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60" yWindow="30" windowWidth="15810" windowHeight="1339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C42" i="1" l="1"/>
  <c r="A45" i="1" l="1"/>
  <c r="A4" i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s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47" i="2"/>
  <c r="B86" i="2"/>
  <c r="B49" i="2"/>
  <c r="B138" i="2"/>
  <c r="B48" i="2"/>
  <c r="B139" i="2"/>
  <c r="B46" i="2"/>
  <c r="B140" i="2"/>
  <c r="B141" i="2"/>
  <c r="B5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B50" i="2"/>
  <c r="C5" i="2"/>
  <c r="C138" i="2"/>
  <c r="C49" i="2"/>
  <c r="C46" i="2"/>
  <c r="C47" i="2"/>
  <c r="C140" i="2"/>
  <c r="C50" i="2"/>
  <c r="C86" i="2"/>
  <c r="C48" i="2"/>
  <c r="C139" i="2"/>
  <c r="C142" i="2"/>
  <c r="B142" i="2"/>
  <c r="C141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47" i="2"/>
  <c r="D48" i="2"/>
  <c r="D51" i="2"/>
  <c r="B143" i="2"/>
  <c r="D141" i="2"/>
  <c r="D46" i="2"/>
  <c r="C51" i="2"/>
  <c r="D5" i="2"/>
  <c r="D143" i="2"/>
  <c r="D86" i="2"/>
  <c r="D49" i="2"/>
  <c r="D50" i="2"/>
  <c r="D139" i="2"/>
  <c r="B51" i="2"/>
  <c r="D138" i="2"/>
  <c r="D142" i="2"/>
  <c r="C143" i="2"/>
  <c r="D140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139" i="2"/>
  <c r="E51" i="2"/>
  <c r="E143" i="2"/>
  <c r="E48" i="2"/>
  <c r="E144" i="2"/>
  <c r="B144" i="2"/>
  <c r="E86" i="2"/>
  <c r="E140" i="2"/>
  <c r="E52" i="2"/>
  <c r="E141" i="2"/>
  <c r="E5" i="2"/>
  <c r="E49" i="2"/>
  <c r="E46" i="2"/>
  <c r="D52" i="2"/>
  <c r="E138" i="2"/>
  <c r="E50" i="2"/>
  <c r="E142" i="2"/>
  <c r="E47" i="2"/>
  <c r="C52" i="2"/>
  <c r="B52" i="2"/>
  <c r="D144" i="2"/>
  <c r="C144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138" i="2"/>
  <c r="F143" i="2"/>
  <c r="E145" i="2"/>
  <c r="F49" i="2"/>
  <c r="F141" i="2"/>
  <c r="F48" i="2"/>
  <c r="D145" i="2"/>
  <c r="F46" i="2"/>
  <c r="F50" i="2"/>
  <c r="F51" i="2"/>
  <c r="F140" i="2"/>
  <c r="C145" i="2"/>
  <c r="E53" i="2"/>
  <c r="D53" i="2"/>
  <c r="F144" i="2"/>
  <c r="F86" i="2"/>
  <c r="F145" i="2"/>
  <c r="B145" i="2"/>
  <c r="F53" i="2"/>
  <c r="F139" i="2"/>
  <c r="F47" i="2"/>
  <c r="F52" i="2"/>
  <c r="F5" i="2"/>
  <c r="B53" i="2"/>
  <c r="F142" i="2"/>
  <c r="C53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82" i="1"/>
  <c r="G144" i="2"/>
  <c r="G5" i="2"/>
  <c r="G47" i="2"/>
  <c r="E54" i="2"/>
  <c r="G143" i="2"/>
  <c r="E134" i="1"/>
  <c r="C54" i="2"/>
  <c r="G146" i="2"/>
  <c r="C146" i="2"/>
  <c r="E146" i="2"/>
  <c r="G50" i="2"/>
  <c r="G140" i="2"/>
  <c r="G141" i="2"/>
  <c r="F54" i="2"/>
  <c r="G138" i="2"/>
  <c r="D54" i="2"/>
  <c r="G139" i="2"/>
  <c r="D146" i="2"/>
  <c r="G46" i="2"/>
  <c r="G49" i="2"/>
  <c r="G52" i="2"/>
  <c r="G51" i="2"/>
  <c r="G53" i="2"/>
  <c r="G54" i="2"/>
  <c r="B146" i="2"/>
  <c r="G86" i="2"/>
  <c r="G145" i="2"/>
  <c r="B54" i="2"/>
  <c r="G142" i="2"/>
  <c r="F146" i="2"/>
  <c r="G48" i="2"/>
  <c r="A136" i="1" l="1"/>
  <c r="A84" i="1"/>
  <c r="G42" i="2"/>
  <c r="G82" i="2" s="1"/>
  <c r="G134" i="2" s="1"/>
  <c r="V43" i="2"/>
  <c r="W43" i="2"/>
  <c r="A146" i="1"/>
  <c r="A147" i="2" s="1"/>
  <c r="AZ145" i="1"/>
  <c r="A54" i="1"/>
  <c r="A55" i="2" s="1"/>
  <c r="AZ53" i="1"/>
  <c r="EI83" i="1"/>
  <c r="G147" i="2"/>
  <c r="H142" i="2"/>
  <c r="H145" i="2"/>
  <c r="H51" i="2"/>
  <c r="B55" i="2"/>
  <c r="G55" i="2"/>
  <c r="E147" i="2"/>
  <c r="H47" i="2"/>
  <c r="H141" i="2"/>
  <c r="F147" i="2"/>
  <c r="H48" i="2"/>
  <c r="E55" i="2"/>
  <c r="H5" i="2"/>
  <c r="H55" i="2"/>
  <c r="H143" i="2"/>
  <c r="C55" i="2"/>
  <c r="H147" i="2"/>
  <c r="H86" i="2"/>
  <c r="F55" i="2"/>
  <c r="H46" i="2"/>
  <c r="H144" i="2"/>
  <c r="D147" i="2"/>
  <c r="B147" i="2"/>
  <c r="H53" i="2"/>
  <c r="H52" i="2"/>
  <c r="H138" i="2"/>
  <c r="D55" i="2"/>
  <c r="H50" i="2"/>
  <c r="H49" i="2"/>
  <c r="C147" i="2"/>
  <c r="H139" i="2"/>
  <c r="H146" i="2"/>
  <c r="H54" i="2"/>
  <c r="H140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G148" i="2"/>
  <c r="I147" i="2"/>
  <c r="C56" i="2"/>
  <c r="H148" i="2"/>
  <c r="I140" i="2"/>
  <c r="G56" i="2"/>
  <c r="F148" i="2"/>
  <c r="C148" i="2"/>
  <c r="I56" i="2"/>
  <c r="H56" i="2"/>
  <c r="I54" i="2"/>
  <c r="E56" i="2"/>
  <c r="D56" i="2"/>
  <c r="I5" i="2"/>
  <c r="I50" i="2"/>
  <c r="I146" i="2"/>
  <c r="I53" i="2"/>
  <c r="I46" i="2"/>
  <c r="I139" i="2"/>
  <c r="I49" i="2"/>
  <c r="I86" i="2"/>
  <c r="B148" i="2"/>
  <c r="I144" i="2"/>
  <c r="D148" i="2"/>
  <c r="I47" i="2"/>
  <c r="I145" i="2"/>
  <c r="I51" i="2"/>
  <c r="B56" i="2"/>
  <c r="I141" i="2"/>
  <c r="I48" i="2"/>
  <c r="I143" i="2"/>
  <c r="I55" i="2"/>
  <c r="F56" i="2"/>
  <c r="E148" i="2"/>
  <c r="I52" i="2"/>
  <c r="I138" i="2"/>
  <c r="I142" i="2"/>
  <c r="I148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146" i="2"/>
  <c r="J142" i="2"/>
  <c r="J50" i="2"/>
  <c r="J57" i="2"/>
  <c r="J54" i="2"/>
  <c r="E57" i="2"/>
  <c r="D149" i="2"/>
  <c r="E149" i="2"/>
  <c r="J138" i="2"/>
  <c r="J149" i="2"/>
  <c r="J148" i="2"/>
  <c r="J46" i="2"/>
  <c r="J53" i="2"/>
  <c r="I57" i="2"/>
  <c r="J144" i="2"/>
  <c r="J48" i="2"/>
  <c r="C149" i="2"/>
  <c r="J141" i="2"/>
  <c r="J49" i="2"/>
  <c r="J145" i="2"/>
  <c r="B149" i="2"/>
  <c r="J51" i="2"/>
  <c r="H149" i="2"/>
  <c r="J147" i="2"/>
  <c r="F57" i="2"/>
  <c r="B57" i="2"/>
  <c r="J143" i="2"/>
  <c r="G149" i="2"/>
  <c r="J5" i="2"/>
  <c r="J56" i="2"/>
  <c r="H57" i="2"/>
  <c r="J55" i="2"/>
  <c r="J86" i="2"/>
  <c r="J52" i="2"/>
  <c r="F149" i="2"/>
  <c r="G57" i="2"/>
  <c r="D57" i="2"/>
  <c r="J47" i="2"/>
  <c r="I149" i="2"/>
  <c r="C57" i="2"/>
  <c r="J139" i="2"/>
  <c r="J140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40" i="2"/>
  <c r="F58" i="2"/>
  <c r="K57" i="2"/>
  <c r="H150" i="2"/>
  <c r="H58" i="2"/>
  <c r="B150" i="2"/>
  <c r="K148" i="2"/>
  <c r="K147" i="2"/>
  <c r="E150" i="2"/>
  <c r="K46" i="2"/>
  <c r="K143" i="2"/>
  <c r="K54" i="2"/>
  <c r="K139" i="2"/>
  <c r="K145" i="2"/>
  <c r="K55" i="2"/>
  <c r="G150" i="2"/>
  <c r="K5" i="2"/>
  <c r="I58" i="2"/>
  <c r="C58" i="2"/>
  <c r="J150" i="2"/>
  <c r="K56" i="2"/>
  <c r="K49" i="2"/>
  <c r="E58" i="2"/>
  <c r="C150" i="2"/>
  <c r="K52" i="2"/>
  <c r="K144" i="2"/>
  <c r="G58" i="2"/>
  <c r="K47" i="2"/>
  <c r="J58" i="2"/>
  <c r="K142" i="2"/>
  <c r="K149" i="2"/>
  <c r="K86" i="2"/>
  <c r="B58" i="2"/>
  <c r="K138" i="2"/>
  <c r="F150" i="2"/>
  <c r="K146" i="2"/>
  <c r="K141" i="2"/>
  <c r="K50" i="2"/>
  <c r="K58" i="2"/>
  <c r="K48" i="2"/>
  <c r="K53" i="2"/>
  <c r="D150" i="2"/>
  <c r="K51" i="2"/>
  <c r="D58" i="2"/>
  <c r="I150" i="2"/>
  <c r="K150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H59" i="2"/>
  <c r="F59" i="2"/>
  <c r="G59" i="2"/>
  <c r="L149" i="2"/>
  <c r="L49" i="2"/>
  <c r="L50" i="2"/>
  <c r="B151" i="2"/>
  <c r="L141" i="2"/>
  <c r="L59" i="2"/>
  <c r="J59" i="2"/>
  <c r="F151" i="2"/>
  <c r="I151" i="2"/>
  <c r="L56" i="2"/>
  <c r="K151" i="2"/>
  <c r="C59" i="2"/>
  <c r="L47" i="2"/>
  <c r="B59" i="2"/>
  <c r="L46" i="2"/>
  <c r="L148" i="2"/>
  <c r="L53" i="2"/>
  <c r="L5" i="2"/>
  <c r="K59" i="2"/>
  <c r="L140" i="2"/>
  <c r="L48" i="2"/>
  <c r="L139" i="2"/>
  <c r="L54" i="2"/>
  <c r="C151" i="2"/>
  <c r="L146" i="2"/>
  <c r="L145" i="2"/>
  <c r="G151" i="2"/>
  <c r="H151" i="2"/>
  <c r="J151" i="2"/>
  <c r="D59" i="2"/>
  <c r="L144" i="2"/>
  <c r="L143" i="2"/>
  <c r="L58" i="2"/>
  <c r="I59" i="2"/>
  <c r="E151" i="2"/>
  <c r="L142" i="2"/>
  <c r="L147" i="2"/>
  <c r="L150" i="2"/>
  <c r="L51" i="2"/>
  <c r="E59" i="2"/>
  <c r="L52" i="2"/>
  <c r="L57" i="2"/>
  <c r="L86" i="2"/>
  <c r="L138" i="2"/>
  <c r="L151" i="2"/>
  <c r="D151" i="2"/>
  <c r="L55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5" i="2"/>
  <c r="M86" i="2"/>
  <c r="M144" i="2"/>
  <c r="M152" i="2"/>
  <c r="M55" i="2"/>
  <c r="H152" i="2"/>
  <c r="E152" i="2"/>
  <c r="H60" i="2"/>
  <c r="M139" i="2"/>
  <c r="C152" i="2"/>
  <c r="J152" i="2"/>
  <c r="B152" i="2"/>
  <c r="I152" i="2"/>
  <c r="M140" i="2"/>
  <c r="M46" i="2"/>
  <c r="L152" i="2"/>
  <c r="D60" i="2"/>
  <c r="F152" i="2"/>
  <c r="M51" i="2"/>
  <c r="D152" i="2"/>
  <c r="M151" i="2"/>
  <c r="M52" i="2"/>
  <c r="M47" i="2"/>
  <c r="B60" i="2"/>
  <c r="M49" i="2"/>
  <c r="M148" i="2"/>
  <c r="M145" i="2"/>
  <c r="G152" i="2"/>
  <c r="I60" i="2"/>
  <c r="M149" i="2"/>
  <c r="C60" i="2"/>
  <c r="M141" i="2"/>
  <c r="L60" i="2"/>
  <c r="K152" i="2"/>
  <c r="G60" i="2"/>
  <c r="E60" i="2"/>
  <c r="M142" i="2"/>
  <c r="M57" i="2"/>
  <c r="J60" i="2"/>
  <c r="K60" i="2"/>
  <c r="M59" i="2"/>
  <c r="M54" i="2"/>
  <c r="M50" i="2"/>
  <c r="M147" i="2"/>
  <c r="M56" i="2"/>
  <c r="M138" i="2"/>
  <c r="M146" i="2"/>
  <c r="M48" i="2"/>
  <c r="F60" i="2"/>
  <c r="M53" i="2"/>
  <c r="M150" i="2"/>
  <c r="M58" i="2"/>
  <c r="M143" i="2"/>
  <c r="M60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147" i="2"/>
  <c r="N61" i="2"/>
  <c r="N138" i="2"/>
  <c r="G61" i="2"/>
  <c r="N152" i="2"/>
  <c r="E61" i="2"/>
  <c r="J153" i="2"/>
  <c r="N141" i="2"/>
  <c r="M153" i="2"/>
  <c r="N49" i="2"/>
  <c r="N149" i="2"/>
  <c r="N53" i="2"/>
  <c r="G153" i="2"/>
  <c r="I153" i="2"/>
  <c r="N142" i="2"/>
  <c r="N57" i="2"/>
  <c r="N144" i="2"/>
  <c r="F153" i="2"/>
  <c r="K153" i="2"/>
  <c r="D61" i="2"/>
  <c r="N47" i="2"/>
  <c r="N153" i="2"/>
  <c r="B61" i="2"/>
  <c r="N140" i="2"/>
  <c r="N145" i="2"/>
  <c r="L61" i="2"/>
  <c r="C61" i="2"/>
  <c r="N51" i="2"/>
  <c r="N86" i="2"/>
  <c r="I61" i="2"/>
  <c r="N50" i="2"/>
  <c r="H61" i="2"/>
  <c r="B153" i="2"/>
  <c r="N151" i="2"/>
  <c r="E153" i="2"/>
  <c r="N48" i="2"/>
  <c r="N5" i="2"/>
  <c r="N139" i="2"/>
  <c r="H153" i="2"/>
  <c r="N59" i="2"/>
  <c r="N55" i="2"/>
  <c r="F61" i="2"/>
  <c r="K61" i="2"/>
  <c r="N52" i="2"/>
  <c r="N46" i="2"/>
  <c r="N148" i="2"/>
  <c r="N56" i="2"/>
  <c r="L153" i="2"/>
  <c r="C153" i="2"/>
  <c r="N60" i="2"/>
  <c r="N143" i="2"/>
  <c r="D153" i="2"/>
  <c r="N146" i="2"/>
  <c r="N54" i="2"/>
  <c r="N58" i="2"/>
  <c r="N150" i="2"/>
  <c r="M61" i="2"/>
  <c r="J61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B47" i="1"/>
  <c r="O154" i="2"/>
  <c r="O49" i="2"/>
  <c r="O62" i="2"/>
  <c r="DD61" i="1"/>
  <c r="D62" i="2"/>
  <c r="O58" i="2"/>
  <c r="O138" i="2"/>
  <c r="H154" i="2"/>
  <c r="DF47" i="1"/>
  <c r="DB48" i="1"/>
  <c r="DF51" i="1"/>
  <c r="DF49" i="1"/>
  <c r="DB56" i="1"/>
  <c r="DB61" i="1"/>
  <c r="DF48" i="1"/>
  <c r="DD58" i="1"/>
  <c r="DF53" i="1"/>
  <c r="B62" i="2"/>
  <c r="J62" i="2"/>
  <c r="C62" i="2"/>
  <c r="O151" i="2"/>
  <c r="DD47" i="1"/>
  <c r="DD53" i="1"/>
  <c r="DB49" i="1"/>
  <c r="DF46" i="1"/>
  <c r="DB58" i="1"/>
  <c r="DF61" i="1"/>
  <c r="DD51" i="1"/>
  <c r="DB51" i="1"/>
  <c r="DD60" i="1"/>
  <c r="DF60" i="1"/>
  <c r="DD57" i="1"/>
  <c r="DF55" i="1"/>
  <c r="DF50" i="1"/>
  <c r="J154" i="2"/>
  <c r="O51" i="2"/>
  <c r="O141" i="2"/>
  <c r="O153" i="2"/>
  <c r="K154" i="2"/>
  <c r="O60" i="2"/>
  <c r="O61" i="2"/>
  <c r="O150" i="2"/>
  <c r="M62" i="2"/>
  <c r="F154" i="2"/>
  <c r="B154" i="2"/>
  <c r="O5" i="2"/>
  <c r="I62" i="2"/>
  <c r="O152" i="2"/>
  <c r="O59" i="2"/>
  <c r="O52" i="2"/>
  <c r="DD56" i="1"/>
  <c r="DD48" i="1"/>
  <c r="DB60" i="1"/>
  <c r="DD46" i="1"/>
  <c r="DD59" i="1"/>
  <c r="DF56" i="1"/>
  <c r="DF59" i="1"/>
  <c r="E62" i="2"/>
  <c r="O144" i="2"/>
  <c r="O47" i="2"/>
  <c r="O56" i="2"/>
  <c r="O148" i="2"/>
  <c r="O86" i="2"/>
  <c r="DB46" i="1"/>
  <c r="O139" i="2"/>
  <c r="O149" i="2"/>
  <c r="H62" i="2"/>
  <c r="L62" i="2"/>
  <c r="DB52" i="1"/>
  <c r="DD49" i="1"/>
  <c r="DF52" i="1"/>
  <c r="DB45" i="1"/>
  <c r="DD50" i="1"/>
  <c r="DD55" i="1"/>
  <c r="DD45" i="1"/>
  <c r="DD54" i="1"/>
  <c r="DB59" i="1"/>
  <c r="DD52" i="1"/>
  <c r="DF57" i="1"/>
  <c r="DB55" i="1"/>
  <c r="DF54" i="1"/>
  <c r="N62" i="2"/>
  <c r="O54" i="2"/>
  <c r="O140" i="2"/>
  <c r="L154" i="2"/>
  <c r="N154" i="2"/>
  <c r="O48" i="2"/>
  <c r="O142" i="2"/>
  <c r="E154" i="2"/>
  <c r="O55" i="2"/>
  <c r="O57" i="2"/>
  <c r="O46" i="2"/>
  <c r="K62" i="2"/>
  <c r="O145" i="2"/>
  <c r="M154" i="2"/>
  <c r="O50" i="2"/>
  <c r="DB54" i="1"/>
  <c r="DB4" i="1"/>
  <c r="DB57" i="1"/>
  <c r="DF45" i="1"/>
  <c r="DF58" i="1"/>
  <c r="F62" i="2"/>
  <c r="O147" i="2"/>
  <c r="C154" i="2"/>
  <c r="O146" i="2"/>
  <c r="G62" i="2"/>
  <c r="D154" i="2"/>
  <c r="DB53" i="1"/>
  <c r="DB50" i="1"/>
  <c r="I154" i="2"/>
  <c r="O143" i="2"/>
  <c r="O53" i="2"/>
  <c r="G154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F62" i="1"/>
  <c r="F155" i="2"/>
  <c r="P142" i="2"/>
  <c r="B155" i="2"/>
  <c r="J155" i="2"/>
  <c r="P152" i="2"/>
  <c r="P52" i="2"/>
  <c r="J63" i="2"/>
  <c r="O155" i="2"/>
  <c r="P61" i="2"/>
  <c r="C63" i="2"/>
  <c r="D63" i="2"/>
  <c r="G63" i="2"/>
  <c r="P62" i="2"/>
  <c r="DB62" i="1"/>
  <c r="P146" i="2"/>
  <c r="P144" i="2"/>
  <c r="P47" i="2"/>
  <c r="P147" i="2"/>
  <c r="P57" i="2"/>
  <c r="B63" i="2"/>
  <c r="K155" i="2"/>
  <c r="O63" i="2"/>
  <c r="P51" i="2"/>
  <c r="P54" i="2"/>
  <c r="C155" i="2"/>
  <c r="P59" i="2"/>
  <c r="E155" i="2"/>
  <c r="D155" i="2"/>
  <c r="DD62" i="1"/>
  <c r="DF4" i="1"/>
  <c r="P150" i="2"/>
  <c r="I63" i="2"/>
  <c r="P46" i="2"/>
  <c r="P58" i="2"/>
  <c r="P148" i="2"/>
  <c r="P63" i="2"/>
  <c r="P149" i="2"/>
  <c r="P151" i="2"/>
  <c r="M63" i="2"/>
  <c r="I155" i="2"/>
  <c r="P5" i="2"/>
  <c r="P55" i="2"/>
  <c r="P138" i="2"/>
  <c r="P56" i="2"/>
  <c r="P53" i="2"/>
  <c r="P141" i="2"/>
  <c r="P155" i="2"/>
  <c r="P60" i="2"/>
  <c r="DD4" i="1"/>
  <c r="H155" i="2"/>
  <c r="P153" i="2"/>
  <c r="M155" i="2"/>
  <c r="L155" i="2"/>
  <c r="P86" i="2"/>
  <c r="E63" i="2"/>
  <c r="P140" i="2"/>
  <c r="N155" i="2"/>
  <c r="L63" i="2"/>
  <c r="P49" i="2"/>
  <c r="P139" i="2"/>
  <c r="P48" i="2"/>
  <c r="G155" i="2"/>
  <c r="P154" i="2"/>
  <c r="P145" i="2"/>
  <c r="H63" i="2"/>
  <c r="N63" i="2"/>
  <c r="F63" i="2"/>
  <c r="P143" i="2"/>
  <c r="K63" i="2"/>
  <c r="P50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Q155" i="2"/>
  <c r="Q152" i="2"/>
  <c r="Q58" i="2"/>
  <c r="Q144" i="2"/>
  <c r="D64" i="2"/>
  <c r="F44" i="1"/>
  <c r="DF63" i="1"/>
  <c r="O156" i="2"/>
  <c r="Q149" i="2"/>
  <c r="Q139" i="2"/>
  <c r="Q86" i="2"/>
  <c r="F136" i="1"/>
  <c r="A44" i="1"/>
  <c r="A3" i="1"/>
  <c r="B64" i="2"/>
  <c r="Q141" i="2"/>
  <c r="Q50" i="2"/>
  <c r="P64" i="2"/>
  <c r="Q140" i="2"/>
  <c r="G64" i="2"/>
  <c r="C156" i="2"/>
  <c r="Q151" i="2"/>
  <c r="M156" i="2"/>
  <c r="Q156" i="2"/>
  <c r="Q64" i="2"/>
  <c r="J156" i="2"/>
  <c r="N64" i="2"/>
  <c r="C64" i="2"/>
  <c r="Q59" i="2"/>
  <c r="Q46" i="2"/>
  <c r="Q57" i="2"/>
  <c r="G44" i="1"/>
  <c r="N156" i="2"/>
  <c r="E156" i="2"/>
  <c r="Q145" i="2"/>
  <c r="M64" i="2"/>
  <c r="E64" i="2"/>
  <c r="Q147" i="2"/>
  <c r="Q142" i="2"/>
  <c r="Q60" i="2"/>
  <c r="Q150" i="2"/>
  <c r="I64" i="2"/>
  <c r="Q47" i="2"/>
  <c r="K156" i="2"/>
  <c r="Q154" i="2"/>
  <c r="Q146" i="2"/>
  <c r="F84" i="1"/>
  <c r="G136" i="1"/>
  <c r="DD63" i="1"/>
  <c r="B156" i="2"/>
  <c r="L156" i="2"/>
  <c r="Q148" i="2"/>
  <c r="G156" i="2"/>
  <c r="Q55" i="2"/>
  <c r="O64" i="2"/>
  <c r="H156" i="2"/>
  <c r="Q62" i="2"/>
  <c r="Q63" i="2"/>
  <c r="Q52" i="2"/>
  <c r="D156" i="2"/>
  <c r="L64" i="2"/>
  <c r="P156" i="2"/>
  <c r="J64" i="2"/>
  <c r="Q51" i="2"/>
  <c r="Q53" i="2"/>
  <c r="H64" i="2"/>
  <c r="F3" i="1"/>
  <c r="DB63" i="1"/>
  <c r="K64" i="2"/>
  <c r="F156" i="2"/>
  <c r="Q143" i="2"/>
  <c r="Q153" i="2"/>
  <c r="Q48" i="2"/>
  <c r="Q54" i="2"/>
  <c r="Q138" i="2"/>
  <c r="Q5" i="2"/>
  <c r="G84" i="1"/>
  <c r="F64" i="2"/>
  <c r="Q61" i="2"/>
  <c r="Q56" i="2"/>
  <c r="I156" i="2"/>
  <c r="Q49" i="2"/>
  <c r="D81" i="1" l="1"/>
  <c r="Q42" i="2"/>
  <c r="Q82" i="2" s="1"/>
  <c r="Q134" i="2" s="1"/>
  <c r="A4" i="2"/>
  <c r="A45" i="2"/>
  <c r="D133" i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AT54" i="1"/>
  <c r="BB54" i="1"/>
  <c r="AS54" i="1"/>
  <c r="BA54" i="1"/>
  <c r="CD54" i="1"/>
  <c r="CE54" i="1"/>
  <c r="R46" i="2"/>
  <c r="P157" i="2"/>
  <c r="O157" i="2"/>
  <c r="G65" i="2"/>
  <c r="R53" i="2"/>
  <c r="I65" i="2"/>
  <c r="B65" i="2"/>
  <c r="R60" i="2"/>
  <c r="R48" i="2"/>
  <c r="EN54" i="1"/>
  <c r="BD54" i="1"/>
  <c r="CF54" i="1"/>
  <c r="CH54" i="1"/>
  <c r="DB64" i="1"/>
  <c r="O65" i="2"/>
  <c r="D65" i="2"/>
  <c r="R154" i="2"/>
  <c r="R65" i="2"/>
  <c r="CG54" i="1"/>
  <c r="DA54" i="1"/>
  <c r="AV54" i="1"/>
  <c r="BF54" i="1"/>
  <c r="DD64" i="1"/>
  <c r="DC54" i="1"/>
  <c r="R151" i="2"/>
  <c r="R55" i="2"/>
  <c r="R138" i="2"/>
  <c r="M157" i="2"/>
  <c r="N157" i="2"/>
  <c r="R54" i="2"/>
  <c r="R57" i="2"/>
  <c r="R86" i="2"/>
  <c r="R63" i="2"/>
  <c r="R51" i="2"/>
  <c r="R52" i="2"/>
  <c r="R61" i="2"/>
  <c r="L65" i="2"/>
  <c r="B157" i="2"/>
  <c r="R157" i="2"/>
  <c r="R142" i="2"/>
  <c r="K157" i="2"/>
  <c r="K65" i="2"/>
  <c r="AX54" i="1"/>
  <c r="CI54" i="1"/>
  <c r="AW54" i="1"/>
  <c r="R146" i="2"/>
  <c r="J157" i="2"/>
  <c r="R150" i="2"/>
  <c r="R145" i="2"/>
  <c r="R49" i="2"/>
  <c r="C157" i="2"/>
  <c r="Q65" i="2"/>
  <c r="R148" i="2"/>
  <c r="R152" i="2"/>
  <c r="R155" i="2"/>
  <c r="R144" i="2"/>
  <c r="L157" i="2"/>
  <c r="R147" i="2"/>
  <c r="BE137" i="1"/>
  <c r="EO54" i="1"/>
  <c r="EP54" i="1"/>
  <c r="EQ54" i="1"/>
  <c r="BE54" i="1"/>
  <c r="BC54" i="1"/>
  <c r="DE54" i="1"/>
  <c r="R153" i="2"/>
  <c r="H157" i="2"/>
  <c r="E157" i="2"/>
  <c r="G157" i="2"/>
  <c r="R141" i="2"/>
  <c r="H65" i="2"/>
  <c r="R139" i="2"/>
  <c r="R59" i="2"/>
  <c r="F65" i="2"/>
  <c r="R47" i="2"/>
  <c r="R140" i="2"/>
  <c r="R62" i="2"/>
  <c r="R143" i="2"/>
  <c r="P65" i="2"/>
  <c r="R56" i="2"/>
  <c r="N65" i="2"/>
  <c r="M65" i="2"/>
  <c r="E65" i="2"/>
  <c r="DF64" i="1"/>
  <c r="AU54" i="1"/>
  <c r="D157" i="2"/>
  <c r="R64" i="2"/>
  <c r="R156" i="2"/>
  <c r="R5" i="2"/>
  <c r="J65" i="2"/>
  <c r="R50" i="2"/>
  <c r="I157" i="2"/>
  <c r="R58" i="2"/>
  <c r="F157" i="2"/>
  <c r="R149" i="2"/>
  <c r="Q157" i="2"/>
  <c r="C65" i="2"/>
  <c r="A85" i="2" l="1"/>
  <c r="DG64" i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BB65" i="1"/>
  <c r="AT65" i="1"/>
  <c r="BB55" i="1"/>
  <c r="CE65" i="1"/>
  <c r="CD65" i="1"/>
  <c r="AS65" i="1"/>
  <c r="BA55" i="1"/>
  <c r="AS55" i="1"/>
  <c r="CD55" i="1"/>
  <c r="CE55" i="1"/>
  <c r="BA65" i="1"/>
  <c r="AT55" i="1"/>
  <c r="AW65" i="1"/>
  <c r="DD65" i="1"/>
  <c r="BE65" i="1"/>
  <c r="CG65" i="1"/>
  <c r="AU55" i="1"/>
  <c r="DB65" i="1"/>
  <c r="EN55" i="1"/>
  <c r="EP55" i="1"/>
  <c r="BE55" i="1"/>
  <c r="EO55" i="1"/>
  <c r="AW55" i="1"/>
  <c r="S147" i="2"/>
  <c r="S152" i="2"/>
  <c r="S157" i="2"/>
  <c r="S148" i="2"/>
  <c r="S149" i="2"/>
  <c r="S62" i="2"/>
  <c r="S154" i="2"/>
  <c r="S145" i="2"/>
  <c r="R158" i="2"/>
  <c r="O158" i="2"/>
  <c r="CI55" i="1"/>
  <c r="DA55" i="1"/>
  <c r="AV55" i="1"/>
  <c r="CG55" i="1"/>
  <c r="DC65" i="1"/>
  <c r="BD55" i="1"/>
  <c r="DA65" i="1"/>
  <c r="BF55" i="1"/>
  <c r="H158" i="2"/>
  <c r="E158" i="2"/>
  <c r="S56" i="2"/>
  <c r="S60" i="2"/>
  <c r="S55" i="2"/>
  <c r="AX55" i="1"/>
  <c r="EO65" i="1"/>
  <c r="BC65" i="1"/>
  <c r="CI65" i="1"/>
  <c r="BF65" i="1"/>
  <c r="EP65" i="1"/>
  <c r="EQ65" i="1"/>
  <c r="DF65" i="1"/>
  <c r="EN65" i="1"/>
  <c r="EQ55" i="1"/>
  <c r="I87" i="2"/>
  <c r="S48" i="2"/>
  <c r="G87" i="2"/>
  <c r="S46" i="2"/>
  <c r="S150" i="2"/>
  <c r="S87" i="2"/>
  <c r="L158" i="2"/>
  <c r="S65" i="2"/>
  <c r="S47" i="2"/>
  <c r="S144" i="2"/>
  <c r="S138" i="2"/>
  <c r="E87" i="2"/>
  <c r="Q158" i="2"/>
  <c r="S51" i="2"/>
  <c r="I158" i="2"/>
  <c r="S141" i="2"/>
  <c r="S57" i="2"/>
  <c r="S59" i="2"/>
  <c r="S63" i="2"/>
  <c r="C158" i="2"/>
  <c r="S156" i="2"/>
  <c r="K87" i="2"/>
  <c r="S155" i="2"/>
  <c r="Q87" i="2"/>
  <c r="S86" i="2"/>
  <c r="M158" i="2"/>
  <c r="DE65" i="1"/>
  <c r="S143" i="2"/>
  <c r="D87" i="2"/>
  <c r="J158" i="2"/>
  <c r="R87" i="2"/>
  <c r="S146" i="2"/>
  <c r="DC55" i="1"/>
  <c r="AX137" i="1"/>
  <c r="AW137" i="1"/>
  <c r="CF65" i="1"/>
  <c r="AU65" i="1"/>
  <c r="DE55" i="1"/>
  <c r="AX65" i="1"/>
  <c r="BD65" i="1"/>
  <c r="CF55" i="1"/>
  <c r="BC55" i="1"/>
  <c r="AV65" i="1"/>
  <c r="CH55" i="1"/>
  <c r="H87" i="2"/>
  <c r="S50" i="2"/>
  <c r="P87" i="2"/>
  <c r="S139" i="2"/>
  <c r="S52" i="2"/>
  <c r="G158" i="2"/>
  <c r="S142" i="2"/>
  <c r="O87" i="2"/>
  <c r="F87" i="2"/>
  <c r="S64" i="2"/>
  <c r="S54" i="2"/>
  <c r="S61" i="2"/>
  <c r="S58" i="2"/>
  <c r="L87" i="2"/>
  <c r="S151" i="2"/>
  <c r="S53" i="2"/>
  <c r="N158" i="2"/>
  <c r="K158" i="2"/>
  <c r="S153" i="2"/>
  <c r="S49" i="2"/>
  <c r="D158" i="2"/>
  <c r="M87" i="2"/>
  <c r="B87" i="2"/>
  <c r="S158" i="2"/>
  <c r="F158" i="2"/>
  <c r="C87" i="2"/>
  <c r="P158" i="2"/>
  <c r="CH65" i="1"/>
  <c r="N87" i="2"/>
  <c r="J87" i="2"/>
  <c r="S5" i="2"/>
  <c r="S140" i="2"/>
  <c r="B158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E66" i="2"/>
  <c r="L66" i="2"/>
  <c r="Q66" i="2"/>
  <c r="I66" i="2"/>
  <c r="F66" i="2"/>
  <c r="G66" i="2"/>
  <c r="M66" i="2"/>
  <c r="J66" i="2"/>
  <c r="O66" i="2"/>
  <c r="P66" i="2"/>
  <c r="R66" i="2"/>
  <c r="H66" i="2"/>
  <c r="C66" i="2"/>
  <c r="N66" i="2"/>
  <c r="B66" i="2"/>
  <c r="K66" i="2"/>
  <c r="D66" i="2"/>
  <c r="S66" i="2"/>
  <c r="ED54" i="1" l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BB67" i="1"/>
  <c r="AS160" i="1"/>
  <c r="AT142" i="1"/>
  <c r="AS156" i="1"/>
  <c r="AT143" i="1"/>
  <c r="AT138" i="1"/>
  <c r="AS148" i="1"/>
  <c r="CE67" i="1"/>
  <c r="AT150" i="1"/>
  <c r="AT160" i="1"/>
  <c r="BA66" i="1"/>
  <c r="AS137" i="1"/>
  <c r="AS153" i="1"/>
  <c r="AS142" i="1"/>
  <c r="BA67" i="1"/>
  <c r="AT148" i="1"/>
  <c r="AS152" i="1"/>
  <c r="CD66" i="1"/>
  <c r="CE68" i="1"/>
  <c r="AT145" i="1"/>
  <c r="AT159" i="1"/>
  <c r="AS140" i="1"/>
  <c r="AS66" i="1"/>
  <c r="AS143" i="1"/>
  <c r="AT67" i="1"/>
  <c r="AT151" i="1"/>
  <c r="BB66" i="1"/>
  <c r="AT147" i="1"/>
  <c r="AT140" i="1"/>
  <c r="AS158" i="1"/>
  <c r="AT141" i="1"/>
  <c r="AS67" i="1"/>
  <c r="AS147" i="1"/>
  <c r="BA137" i="1"/>
  <c r="AS150" i="1"/>
  <c r="AS149" i="1"/>
  <c r="AS139" i="1"/>
  <c r="AS68" i="1"/>
  <c r="CD67" i="1"/>
  <c r="AT146" i="1"/>
  <c r="AT152" i="1"/>
  <c r="AS157" i="1"/>
  <c r="AT144" i="1"/>
  <c r="AT66" i="1"/>
  <c r="BA85" i="1"/>
  <c r="AS151" i="1"/>
  <c r="BA68" i="1"/>
  <c r="AT157" i="1"/>
  <c r="AS154" i="1"/>
  <c r="AS155" i="1"/>
  <c r="AT158" i="1"/>
  <c r="BB68" i="1"/>
  <c r="AS144" i="1"/>
  <c r="AS141" i="1"/>
  <c r="AT154" i="1"/>
  <c r="CD68" i="1"/>
  <c r="AT139" i="1"/>
  <c r="AT137" i="1"/>
  <c r="AS159" i="1"/>
  <c r="CE66" i="1"/>
  <c r="AT68" i="1"/>
  <c r="AT153" i="1"/>
  <c r="AT155" i="1"/>
  <c r="AT149" i="1"/>
  <c r="AS146" i="1"/>
  <c r="AT156" i="1"/>
  <c r="AS145" i="1"/>
  <c r="AS138" i="1"/>
  <c r="BF66" i="1"/>
  <c r="DC66" i="1"/>
  <c r="AV66" i="1"/>
  <c r="DA67" i="1"/>
  <c r="EP66" i="1"/>
  <c r="DC67" i="1"/>
  <c r="BC68" i="1"/>
  <c r="BC67" i="1"/>
  <c r="BD67" i="1"/>
  <c r="EQ67" i="1"/>
  <c r="DE68" i="1"/>
  <c r="DD67" i="1"/>
  <c r="DB68" i="1"/>
  <c r="DF66" i="1"/>
  <c r="CG66" i="1"/>
  <c r="AX66" i="1"/>
  <c r="DA66" i="1"/>
  <c r="BD66" i="1"/>
  <c r="EO66" i="1"/>
  <c r="EQ66" i="1"/>
  <c r="DF68" i="1"/>
  <c r="DB66" i="1"/>
  <c r="CG68" i="1"/>
  <c r="AV67" i="1"/>
  <c r="DC68" i="1"/>
  <c r="BE67" i="1"/>
  <c r="AU66" i="1"/>
  <c r="AW68" i="1"/>
  <c r="EN68" i="1"/>
  <c r="BF68" i="1"/>
  <c r="CF67" i="1"/>
  <c r="BE66" i="1"/>
  <c r="BE68" i="1"/>
  <c r="CF66" i="1"/>
  <c r="AV68" i="1"/>
  <c r="CF68" i="1"/>
  <c r="BF67" i="1"/>
  <c r="DD68" i="1"/>
  <c r="AU67" i="1"/>
  <c r="AX68" i="1"/>
  <c r="DD66" i="1"/>
  <c r="AW66" i="1"/>
  <c r="CI67" i="1"/>
  <c r="DE66" i="1"/>
  <c r="CH68" i="1"/>
  <c r="EN67" i="1"/>
  <c r="CI68" i="1"/>
  <c r="EN66" i="1"/>
  <c r="DE67" i="1"/>
  <c r="EO67" i="1"/>
  <c r="EQ68" i="1"/>
  <c r="DB67" i="1"/>
  <c r="CG67" i="1"/>
  <c r="CH66" i="1"/>
  <c r="CI66" i="1"/>
  <c r="DA68" i="1"/>
  <c r="BD68" i="1"/>
  <c r="BC66" i="1"/>
  <c r="EO68" i="1"/>
  <c r="CH67" i="1"/>
  <c r="AX67" i="1"/>
  <c r="EP67" i="1"/>
  <c r="DF67" i="1"/>
  <c r="EP68" i="1"/>
  <c r="AU68" i="1"/>
  <c r="AW67" i="1"/>
  <c r="ED65" i="1" l="1"/>
  <c r="CU67" i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AT69" i="1"/>
  <c r="AS69" i="1"/>
  <c r="CD69" i="1"/>
  <c r="CE69" i="1"/>
  <c r="AS161" i="1"/>
  <c r="AT161" i="1"/>
  <c r="BB69" i="1"/>
  <c r="BA69" i="1"/>
  <c r="DA69" i="1"/>
  <c r="BD69" i="1"/>
  <c r="BF69" i="1"/>
  <c r="CG69" i="1"/>
  <c r="BE69" i="1"/>
  <c r="DC69" i="1"/>
  <c r="EQ69" i="1"/>
  <c r="E159" i="2"/>
  <c r="T156" i="2"/>
  <c r="J68" i="2"/>
  <c r="D160" i="2"/>
  <c r="B67" i="2"/>
  <c r="V54" i="2"/>
  <c r="C69" i="2"/>
  <c r="B89" i="2"/>
  <c r="Q69" i="2"/>
  <c r="T151" i="2"/>
  <c r="U153" i="2"/>
  <c r="T154" i="2"/>
  <c r="N161" i="2"/>
  <c r="V142" i="2"/>
  <c r="V149" i="2"/>
  <c r="V67" i="2"/>
  <c r="R90" i="2"/>
  <c r="R91" i="2"/>
  <c r="C90" i="2"/>
  <c r="U151" i="2"/>
  <c r="W68" i="2"/>
  <c r="R67" i="2"/>
  <c r="T54" i="2"/>
  <c r="T160" i="2"/>
  <c r="T161" i="2"/>
  <c r="W59" i="2"/>
  <c r="V59" i="2"/>
  <c r="W161" i="2"/>
  <c r="V47" i="2"/>
  <c r="B91" i="2"/>
  <c r="T53" i="2"/>
  <c r="R89" i="2"/>
  <c r="D89" i="2"/>
  <c r="T49" i="2"/>
  <c r="G88" i="2"/>
  <c r="K69" i="2"/>
  <c r="P69" i="2"/>
  <c r="M91" i="2"/>
  <c r="E160" i="2"/>
  <c r="L161" i="2"/>
  <c r="W139" i="2"/>
  <c r="V58" i="2"/>
  <c r="F68" i="2"/>
  <c r="V155" i="2"/>
  <c r="Q159" i="2"/>
  <c r="H159" i="2"/>
  <c r="T158" i="2"/>
  <c r="U5" i="2"/>
  <c r="W152" i="2"/>
  <c r="G69" i="2"/>
  <c r="H160" i="2"/>
  <c r="N89" i="2"/>
  <c r="U88" i="2"/>
  <c r="F90" i="2"/>
  <c r="M67" i="2"/>
  <c r="E69" i="2"/>
  <c r="M159" i="2"/>
  <c r="W138" i="2"/>
  <c r="U57" i="2"/>
  <c r="W51" i="2"/>
  <c r="T86" i="2"/>
  <c r="T89" i="2"/>
  <c r="H90" i="2"/>
  <c r="V62" i="2"/>
  <c r="T69" i="2"/>
  <c r="U158" i="2"/>
  <c r="W56" i="2"/>
  <c r="T142" i="2"/>
  <c r="D159" i="2"/>
  <c r="G67" i="2"/>
  <c r="D68" i="2"/>
  <c r="U50" i="2"/>
  <c r="F91" i="2"/>
  <c r="V147" i="2"/>
  <c r="T50" i="2"/>
  <c r="T90" i="2"/>
  <c r="W49" i="2"/>
  <c r="T149" i="2"/>
  <c r="L89" i="2"/>
  <c r="DB69" i="1"/>
  <c r="CH69" i="1"/>
  <c r="BC69" i="1"/>
  <c r="AX69" i="1"/>
  <c r="DE69" i="1"/>
  <c r="U146" i="2"/>
  <c r="W63" i="2"/>
  <c r="G161" i="2"/>
  <c r="V151" i="2"/>
  <c r="K68" i="2"/>
  <c r="G160" i="2"/>
  <c r="H68" i="2"/>
  <c r="S89" i="2"/>
  <c r="W53" i="2"/>
  <c r="P90" i="2"/>
  <c r="W67" i="2"/>
  <c r="R160" i="2"/>
  <c r="V154" i="2"/>
  <c r="T159" i="2"/>
  <c r="U91" i="2"/>
  <c r="V150" i="2"/>
  <c r="H69" i="2"/>
  <c r="U65" i="2"/>
  <c r="T88" i="2"/>
  <c r="E68" i="2"/>
  <c r="C68" i="2"/>
  <c r="W147" i="2"/>
  <c r="I90" i="2"/>
  <c r="U160" i="2"/>
  <c r="P160" i="2"/>
  <c r="T62" i="2"/>
  <c r="N67" i="2"/>
  <c r="T147" i="2"/>
  <c r="B159" i="2"/>
  <c r="F88" i="2"/>
  <c r="T155" i="2"/>
  <c r="V66" i="2"/>
  <c r="I161" i="2"/>
  <c r="Q68" i="2"/>
  <c r="W66" i="2"/>
  <c r="U58" i="2"/>
  <c r="U68" i="2"/>
  <c r="L159" i="2"/>
  <c r="V89" i="2"/>
  <c r="U86" i="2"/>
  <c r="V148" i="2"/>
  <c r="T141" i="2"/>
  <c r="M161" i="2"/>
  <c r="I68" i="2"/>
  <c r="T143" i="2"/>
  <c r="D90" i="2"/>
  <c r="W160" i="2"/>
  <c r="K89" i="2"/>
  <c r="U56" i="2"/>
  <c r="V55" i="2"/>
  <c r="R69" i="2"/>
  <c r="W142" i="2"/>
  <c r="V143" i="2"/>
  <c r="M88" i="2"/>
  <c r="L68" i="2"/>
  <c r="E89" i="2"/>
  <c r="B69" i="2"/>
  <c r="V90" i="2"/>
  <c r="V61" i="2"/>
  <c r="S159" i="2"/>
  <c r="U147" i="2"/>
  <c r="M160" i="2"/>
  <c r="R68" i="2"/>
  <c r="L88" i="2"/>
  <c r="B90" i="2"/>
  <c r="U149" i="2"/>
  <c r="M69" i="2"/>
  <c r="V68" i="2"/>
  <c r="V51" i="2"/>
  <c r="M89" i="2"/>
  <c r="U47" i="2"/>
  <c r="L67" i="2"/>
  <c r="Q91" i="2"/>
  <c r="O160" i="2"/>
  <c r="S68" i="2"/>
  <c r="W62" i="2"/>
  <c r="M68" i="2"/>
  <c r="V48" i="2"/>
  <c r="T140" i="2"/>
  <c r="T144" i="2"/>
  <c r="U161" i="2"/>
  <c r="S88" i="2"/>
  <c r="O67" i="2"/>
  <c r="Q161" i="2"/>
  <c r="U55" i="2"/>
  <c r="CI69" i="1"/>
  <c r="AU69" i="1"/>
  <c r="EO69" i="1"/>
  <c r="EN69" i="1"/>
  <c r="AV69" i="1"/>
  <c r="DD69" i="1"/>
  <c r="C159" i="2"/>
  <c r="W151" i="2"/>
  <c r="U138" i="2"/>
  <c r="O159" i="2"/>
  <c r="V56" i="2"/>
  <c r="T148" i="2"/>
  <c r="E161" i="2"/>
  <c r="J90" i="2"/>
  <c r="V158" i="2"/>
  <c r="T47" i="2"/>
  <c r="E88" i="2"/>
  <c r="H67" i="2"/>
  <c r="C160" i="2"/>
  <c r="H88" i="2"/>
  <c r="T60" i="2"/>
  <c r="W153" i="2"/>
  <c r="T59" i="2"/>
  <c r="U139" i="2"/>
  <c r="I91" i="2"/>
  <c r="V86" i="2"/>
  <c r="D91" i="2"/>
  <c r="T139" i="2"/>
  <c r="V156" i="2"/>
  <c r="V53" i="2"/>
  <c r="N91" i="2"/>
  <c r="V153" i="2"/>
  <c r="V141" i="2"/>
  <c r="P89" i="2"/>
  <c r="J161" i="2"/>
  <c r="T138" i="2"/>
  <c r="K88" i="2"/>
  <c r="W5" i="2"/>
  <c r="C67" i="2"/>
  <c r="B160" i="2"/>
  <c r="W61" i="2"/>
  <c r="O68" i="2"/>
  <c r="U63" i="2"/>
  <c r="K67" i="2"/>
  <c r="G91" i="2"/>
  <c r="D67" i="2"/>
  <c r="W60" i="2"/>
  <c r="E67" i="2"/>
  <c r="N159" i="2"/>
  <c r="G90" i="2"/>
  <c r="K159" i="2"/>
  <c r="W150" i="2"/>
  <c r="O89" i="2"/>
  <c r="O161" i="2"/>
  <c r="V69" i="2"/>
  <c r="V65" i="2"/>
  <c r="U52" i="2"/>
  <c r="K90" i="2"/>
  <c r="W46" i="2"/>
  <c r="V57" i="2"/>
  <c r="T63" i="2"/>
  <c r="D69" i="2"/>
  <c r="W88" i="2"/>
  <c r="S67" i="2"/>
  <c r="U60" i="2"/>
  <c r="G159" i="2"/>
  <c r="T61" i="2"/>
  <c r="I88" i="2"/>
  <c r="T52" i="2"/>
  <c r="V87" i="2"/>
  <c r="W156" i="2"/>
  <c r="J88" i="2"/>
  <c r="J160" i="2"/>
  <c r="T56" i="2"/>
  <c r="U148" i="2"/>
  <c r="F161" i="2"/>
  <c r="T57" i="2"/>
  <c r="O69" i="2"/>
  <c r="V152" i="2"/>
  <c r="W55" i="2"/>
  <c r="T55" i="2"/>
  <c r="T87" i="2"/>
  <c r="G89" i="2"/>
  <c r="J89" i="2"/>
  <c r="F160" i="2"/>
  <c r="W140" i="2"/>
  <c r="V46" i="2"/>
  <c r="V139" i="2"/>
  <c r="R159" i="2"/>
  <c r="L160" i="2"/>
  <c r="Q88" i="2"/>
  <c r="U150" i="2"/>
  <c r="W149" i="2"/>
  <c r="U67" i="2"/>
  <c r="O88" i="2"/>
  <c r="V160" i="2"/>
  <c r="T58" i="2"/>
  <c r="T5" i="2"/>
  <c r="T153" i="2"/>
  <c r="C91" i="2"/>
  <c r="V50" i="2"/>
  <c r="N90" i="2"/>
  <c r="P159" i="2"/>
  <c r="T48" i="2"/>
  <c r="D161" i="2"/>
  <c r="B161" i="2"/>
  <c r="J69" i="2"/>
  <c r="V49" i="2"/>
  <c r="V138" i="2"/>
  <c r="U66" i="2"/>
  <c r="T66" i="2"/>
  <c r="U140" i="2"/>
  <c r="T65" i="2"/>
  <c r="V145" i="2"/>
  <c r="U141" i="2"/>
  <c r="W52" i="2"/>
  <c r="U46" i="2"/>
  <c r="Q89" i="2"/>
  <c r="W148" i="2"/>
  <c r="V91" i="2"/>
  <c r="W57" i="2"/>
  <c r="CF69" i="1"/>
  <c r="AW69" i="1"/>
  <c r="DF69" i="1"/>
  <c r="EP69" i="1"/>
  <c r="P91" i="2"/>
  <c r="U89" i="2"/>
  <c r="L91" i="2"/>
  <c r="U48" i="2"/>
  <c r="N69" i="2"/>
  <c r="Q160" i="2"/>
  <c r="T68" i="2"/>
  <c r="U87" i="2"/>
  <c r="W54" i="2"/>
  <c r="W87" i="2"/>
  <c r="W155" i="2"/>
  <c r="W69" i="2"/>
  <c r="W141" i="2"/>
  <c r="W65" i="2"/>
  <c r="U155" i="2"/>
  <c r="U144" i="2"/>
  <c r="H91" i="2"/>
  <c r="T157" i="2"/>
  <c r="U142" i="2"/>
  <c r="J159" i="2"/>
  <c r="I160" i="2"/>
  <c r="W145" i="2"/>
  <c r="W64" i="2"/>
  <c r="U61" i="2"/>
  <c r="T146" i="2"/>
  <c r="V159" i="2"/>
  <c r="C89" i="2"/>
  <c r="J91" i="2"/>
  <c r="Q67" i="2"/>
  <c r="W89" i="2"/>
  <c r="W58" i="2"/>
  <c r="V52" i="2"/>
  <c r="V63" i="2"/>
  <c r="U54" i="2"/>
  <c r="F159" i="2"/>
  <c r="W158" i="2"/>
  <c r="N88" i="2"/>
  <c r="Q90" i="2"/>
  <c r="V60" i="2"/>
  <c r="K160" i="2"/>
  <c r="U157" i="2"/>
  <c r="U159" i="2"/>
  <c r="F69" i="2"/>
  <c r="U51" i="2"/>
  <c r="U69" i="2"/>
  <c r="U90" i="2"/>
  <c r="E91" i="2"/>
  <c r="I89" i="2"/>
  <c r="K161" i="2"/>
  <c r="B68" i="2"/>
  <c r="W91" i="2"/>
  <c r="I69" i="2"/>
  <c r="W50" i="2"/>
  <c r="K91" i="2"/>
  <c r="T152" i="2"/>
  <c r="C88" i="2"/>
  <c r="N68" i="2"/>
  <c r="J67" i="2"/>
  <c r="U53" i="2"/>
  <c r="R88" i="2"/>
  <c r="T46" i="2"/>
  <c r="T145" i="2"/>
  <c r="V157" i="2"/>
  <c r="V144" i="2"/>
  <c r="U143" i="2"/>
  <c r="W143" i="2"/>
  <c r="W86" i="2"/>
  <c r="T67" i="2"/>
  <c r="M90" i="2"/>
  <c r="B88" i="2"/>
  <c r="U145" i="2"/>
  <c r="P88" i="2"/>
  <c r="D88" i="2"/>
  <c r="I159" i="2"/>
  <c r="O90" i="2"/>
  <c r="P161" i="2"/>
  <c r="E90" i="2"/>
  <c r="I67" i="2"/>
  <c r="W47" i="2"/>
  <c r="W157" i="2"/>
  <c r="V64" i="2"/>
  <c r="S91" i="2"/>
  <c r="W144" i="2"/>
  <c r="V88" i="2"/>
  <c r="V5" i="2"/>
  <c r="U62" i="2"/>
  <c r="U64" i="2"/>
  <c r="P67" i="2"/>
  <c r="S160" i="2"/>
  <c r="W146" i="2"/>
  <c r="W48" i="2"/>
  <c r="T91" i="2"/>
  <c r="P68" i="2"/>
  <c r="S161" i="2"/>
  <c r="R161" i="2"/>
  <c r="H161" i="2"/>
  <c r="F89" i="2"/>
  <c r="O91" i="2"/>
  <c r="G68" i="2"/>
  <c r="U59" i="2"/>
  <c r="H89" i="2"/>
  <c r="L69" i="2"/>
  <c r="C161" i="2"/>
  <c r="V140" i="2"/>
  <c r="V146" i="2"/>
  <c r="W159" i="2"/>
  <c r="N160" i="2"/>
  <c r="S69" i="2"/>
  <c r="L90" i="2"/>
  <c r="S90" i="2"/>
  <c r="T64" i="2"/>
  <c r="U156" i="2"/>
  <c r="T150" i="2"/>
  <c r="U154" i="2"/>
  <c r="F67" i="2"/>
  <c r="T51" i="2"/>
  <c r="V161" i="2"/>
  <c r="U152" i="2"/>
  <c r="W90" i="2"/>
  <c r="U49" i="2"/>
  <c r="W154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AT162" i="1"/>
  <c r="AS162" i="1"/>
  <c r="DB70" i="1"/>
  <c r="D70" i="2"/>
  <c r="E92" i="2"/>
  <c r="X141" i="2"/>
  <c r="X66" i="2"/>
  <c r="E162" i="2"/>
  <c r="B162" i="2"/>
  <c r="X146" i="2"/>
  <c r="K162" i="2"/>
  <c r="X155" i="2"/>
  <c r="X68" i="2"/>
  <c r="N70" i="2"/>
  <c r="I92" i="2"/>
  <c r="H162" i="2"/>
  <c r="F162" i="2"/>
  <c r="B70" i="2"/>
  <c r="X153" i="2"/>
  <c r="DD70" i="1"/>
  <c r="M162" i="2"/>
  <c r="R92" i="2"/>
  <c r="X59" i="2"/>
  <c r="X149" i="2"/>
  <c r="X57" i="2"/>
  <c r="X90" i="2"/>
  <c r="T70" i="2"/>
  <c r="X56" i="2"/>
  <c r="S70" i="2"/>
  <c r="X144" i="2"/>
  <c r="V162" i="2"/>
  <c r="R70" i="2"/>
  <c r="X140" i="2"/>
  <c r="X89" i="2"/>
  <c r="C70" i="2"/>
  <c r="W92" i="2"/>
  <c r="X158" i="2"/>
  <c r="U92" i="2"/>
  <c r="X157" i="2"/>
  <c r="T162" i="2"/>
  <c r="X47" i="2"/>
  <c r="L92" i="2"/>
  <c r="Q70" i="2"/>
  <c r="X88" i="2"/>
  <c r="X51" i="2"/>
  <c r="X67" i="2"/>
  <c r="X154" i="2"/>
  <c r="V92" i="2"/>
  <c r="X49" i="2"/>
  <c r="X151" i="2"/>
  <c r="D162" i="2"/>
  <c r="X147" i="2"/>
  <c r="P92" i="2"/>
  <c r="J162" i="2"/>
  <c r="O162" i="2"/>
  <c r="G162" i="2"/>
  <c r="W70" i="2"/>
  <c r="X160" i="2"/>
  <c r="S92" i="2"/>
  <c r="X91" i="2"/>
  <c r="X143" i="2"/>
  <c r="J70" i="2"/>
  <c r="N162" i="2"/>
  <c r="H70" i="2"/>
  <c r="X53" i="2"/>
  <c r="S162" i="2"/>
  <c r="K70" i="2"/>
  <c r="X46" i="2"/>
  <c r="X55" i="2"/>
  <c r="X150" i="2"/>
  <c r="X156" i="2"/>
  <c r="W162" i="2"/>
  <c r="C92" i="2"/>
  <c r="X148" i="2"/>
  <c r="G92" i="2"/>
  <c r="P70" i="2"/>
  <c r="F92" i="2"/>
  <c r="DF70" i="1"/>
  <c r="R162" i="2"/>
  <c r="M70" i="2"/>
  <c r="J92" i="2"/>
  <c r="X87" i="2"/>
  <c r="P162" i="2"/>
  <c r="X60" i="2"/>
  <c r="O70" i="2"/>
  <c r="X58" i="2"/>
  <c r="X65" i="2"/>
  <c r="V70" i="2"/>
  <c r="X63" i="2"/>
  <c r="X48" i="2"/>
  <c r="X5" i="2"/>
  <c r="X161" i="2"/>
  <c r="U70" i="2"/>
  <c r="B92" i="2"/>
  <c r="L70" i="2"/>
  <c r="X86" i="2"/>
  <c r="O92" i="2"/>
  <c r="N92" i="2"/>
  <c r="X64" i="2"/>
  <c r="X50" i="2"/>
  <c r="F70" i="2"/>
  <c r="X70" i="2"/>
  <c r="X159" i="2"/>
  <c r="X152" i="2"/>
  <c r="E70" i="2"/>
  <c r="G70" i="2"/>
  <c r="U162" i="2"/>
  <c r="X162" i="2"/>
  <c r="X62" i="2"/>
  <c r="T92" i="2"/>
  <c r="I162" i="2"/>
  <c r="C162" i="2"/>
  <c r="X92" i="2"/>
  <c r="X142" i="2"/>
  <c r="X69" i="2"/>
  <c r="X145" i="2"/>
  <c r="X61" i="2"/>
  <c r="Q92" i="2"/>
  <c r="Q162" i="2"/>
  <c r="X52" i="2"/>
  <c r="L162" i="2"/>
  <c r="H92" i="2"/>
  <c r="X54" i="2"/>
  <c r="X139" i="2"/>
  <c r="X138" i="2"/>
  <c r="K92" i="2"/>
  <c r="M92" i="2"/>
  <c r="I70" i="2"/>
  <c r="D92" i="2"/>
  <c r="ED67" i="1" l="1"/>
  <c r="ED66" i="1"/>
  <c r="DW68" i="1"/>
  <c r="ES68" i="1" s="1"/>
  <c r="ES67" i="1"/>
  <c r="ES66" i="1"/>
  <c r="BT68" i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AS163" i="1"/>
  <c r="AT163" i="1"/>
  <c r="N71" i="2"/>
  <c r="R71" i="2"/>
  <c r="L71" i="2"/>
  <c r="I163" i="2"/>
  <c r="D71" i="2"/>
  <c r="W93" i="2"/>
  <c r="N163" i="2"/>
  <c r="K71" i="2"/>
  <c r="S163" i="2"/>
  <c r="DD71" i="1"/>
  <c r="EQ163" i="1"/>
  <c r="V163" i="2"/>
  <c r="R93" i="2"/>
  <c r="H93" i="2"/>
  <c r="L93" i="2"/>
  <c r="O163" i="2"/>
  <c r="F93" i="2"/>
  <c r="J163" i="2"/>
  <c r="X71" i="2"/>
  <c r="T163" i="2"/>
  <c r="E71" i="2"/>
  <c r="K93" i="2"/>
  <c r="S93" i="2"/>
  <c r="B93" i="2"/>
  <c r="W71" i="2"/>
  <c r="U71" i="2"/>
  <c r="P71" i="2"/>
  <c r="Q93" i="2"/>
  <c r="C71" i="2"/>
  <c r="O71" i="2"/>
  <c r="M163" i="2"/>
  <c r="P93" i="2"/>
  <c r="G93" i="2"/>
  <c r="Q163" i="2"/>
  <c r="X163" i="2"/>
  <c r="F163" i="2"/>
  <c r="C93" i="2"/>
  <c r="P163" i="2"/>
  <c r="J71" i="2"/>
  <c r="G71" i="2"/>
  <c r="T71" i="2"/>
  <c r="E93" i="2"/>
  <c r="S71" i="2"/>
  <c r="V93" i="2"/>
  <c r="DF71" i="1"/>
  <c r="K163" i="2"/>
  <c r="H163" i="2"/>
  <c r="L163" i="2"/>
  <c r="X93" i="2"/>
  <c r="N93" i="2"/>
  <c r="U93" i="2"/>
  <c r="M93" i="2"/>
  <c r="R163" i="2"/>
  <c r="D93" i="2"/>
  <c r="Q71" i="2"/>
  <c r="D163" i="2"/>
  <c r="V71" i="2"/>
  <c r="T93" i="2"/>
  <c r="G163" i="2"/>
  <c r="W163" i="2"/>
  <c r="B163" i="2"/>
  <c r="F71" i="2"/>
  <c r="DB71" i="1"/>
  <c r="H71" i="2"/>
  <c r="I93" i="2"/>
  <c r="M71" i="2"/>
  <c r="I71" i="2"/>
  <c r="E163" i="2"/>
  <c r="U163" i="2"/>
  <c r="J93" i="2"/>
  <c r="C163" i="2"/>
  <c r="O93" i="2"/>
  <c r="B71" i="2"/>
  <c r="ED69" i="1" l="1"/>
  <c r="ED68" i="1"/>
  <c r="ES69" i="1"/>
  <c r="Y163" i="2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AS164" i="1"/>
  <c r="AT164" i="1"/>
  <c r="W164" i="2"/>
  <c r="C164" i="2"/>
  <c r="K72" i="2"/>
  <c r="M94" i="2"/>
  <c r="C72" i="2"/>
  <c r="B72" i="2"/>
  <c r="H164" i="2"/>
  <c r="K94" i="2"/>
  <c r="I72" i="2"/>
  <c r="X164" i="2"/>
  <c r="U94" i="2"/>
  <c r="W94" i="2"/>
  <c r="V94" i="2"/>
  <c r="D164" i="2"/>
  <c r="M164" i="2"/>
  <c r="DB72" i="1"/>
  <c r="DF72" i="1"/>
  <c r="J94" i="2"/>
  <c r="T94" i="2"/>
  <c r="H94" i="2"/>
  <c r="U164" i="2"/>
  <c r="R164" i="2"/>
  <c r="R72" i="2"/>
  <c r="G72" i="2"/>
  <c r="R94" i="2"/>
  <c r="S94" i="2"/>
  <c r="J164" i="2"/>
  <c r="T72" i="2"/>
  <c r="M72" i="2"/>
  <c r="K164" i="2"/>
  <c r="O164" i="2"/>
  <c r="G94" i="2"/>
  <c r="S164" i="2"/>
  <c r="E72" i="2"/>
  <c r="S72" i="2"/>
  <c r="I164" i="2"/>
  <c r="N164" i="2"/>
  <c r="P164" i="2"/>
  <c r="F94" i="2"/>
  <c r="I94" i="2"/>
  <c r="L72" i="2"/>
  <c r="Q164" i="2"/>
  <c r="T164" i="2"/>
  <c r="V72" i="2"/>
  <c r="C94" i="2"/>
  <c r="P94" i="2"/>
  <c r="P72" i="2"/>
  <c r="E94" i="2"/>
  <c r="H72" i="2"/>
  <c r="F164" i="2"/>
  <c r="X72" i="2"/>
  <c r="D72" i="2"/>
  <c r="G164" i="2"/>
  <c r="Q94" i="2"/>
  <c r="E164" i="2"/>
  <c r="DD72" i="1"/>
  <c r="F72" i="2"/>
  <c r="B94" i="2"/>
  <c r="N72" i="2"/>
  <c r="V164" i="2"/>
  <c r="N94" i="2"/>
  <c r="D94" i="2"/>
  <c r="J72" i="2"/>
  <c r="L94" i="2"/>
  <c r="O94" i="2"/>
  <c r="W72" i="2"/>
  <c r="L164" i="2"/>
  <c r="X94" i="2"/>
  <c r="U72" i="2"/>
  <c r="O72" i="2"/>
  <c r="B164" i="2"/>
  <c r="Q72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AT165" i="1"/>
  <c r="AS165" i="1"/>
  <c r="G165" i="2"/>
  <c r="P73" i="2"/>
  <c r="D95" i="2"/>
  <c r="K73" i="2"/>
  <c r="G73" i="2"/>
  <c r="F95" i="2"/>
  <c r="I73" i="2"/>
  <c r="R165" i="2"/>
  <c r="W165" i="2"/>
  <c r="F73" i="2"/>
  <c r="J95" i="2"/>
  <c r="C73" i="2"/>
  <c r="H95" i="2"/>
  <c r="H73" i="2"/>
  <c r="D73" i="2"/>
  <c r="V165" i="2"/>
  <c r="K165" i="2"/>
  <c r="T73" i="2"/>
  <c r="I165" i="2"/>
  <c r="R95" i="2"/>
  <c r="I95" i="2"/>
  <c r="X165" i="2"/>
  <c r="E95" i="2"/>
  <c r="J165" i="2"/>
  <c r="B165" i="2"/>
  <c r="P165" i="2"/>
  <c r="B73" i="2"/>
  <c r="M95" i="2"/>
  <c r="U165" i="2"/>
  <c r="N95" i="2"/>
  <c r="Q95" i="2"/>
  <c r="DB73" i="1"/>
  <c r="N73" i="2"/>
  <c r="C165" i="2"/>
  <c r="X73" i="2"/>
  <c r="J73" i="2"/>
  <c r="W95" i="2"/>
  <c r="E165" i="2"/>
  <c r="D165" i="2"/>
  <c r="O165" i="2"/>
  <c r="M165" i="2"/>
  <c r="F165" i="2"/>
  <c r="L165" i="2"/>
  <c r="T95" i="2"/>
  <c r="L95" i="2"/>
  <c r="Q73" i="2"/>
  <c r="N165" i="2"/>
  <c r="P95" i="2"/>
  <c r="B95" i="2"/>
  <c r="S95" i="2"/>
  <c r="S165" i="2"/>
  <c r="V95" i="2"/>
  <c r="K95" i="2"/>
  <c r="U95" i="2"/>
  <c r="L73" i="2"/>
  <c r="O95" i="2"/>
  <c r="DD73" i="1"/>
  <c r="W73" i="2"/>
  <c r="X95" i="2"/>
  <c r="G95" i="2"/>
  <c r="T165" i="2"/>
  <c r="S73" i="2"/>
  <c r="R73" i="2"/>
  <c r="DF73" i="1"/>
  <c r="U73" i="2"/>
  <c r="H165" i="2"/>
  <c r="Q165" i="2"/>
  <c r="C95" i="2"/>
  <c r="O73" i="2"/>
  <c r="V73" i="2"/>
  <c r="E73" i="2"/>
  <c r="M73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AT166" i="1"/>
  <c r="AS166" i="1"/>
  <c r="N74" i="2"/>
  <c r="F166" i="2"/>
  <c r="L74" i="2"/>
  <c r="C74" i="2"/>
  <c r="L166" i="2"/>
  <c r="J74" i="2"/>
  <c r="G166" i="2"/>
  <c r="R74" i="2"/>
  <c r="D166" i="2"/>
  <c r="R96" i="2"/>
  <c r="G74" i="2"/>
  <c r="DD74" i="1"/>
  <c r="B96" i="2"/>
  <c r="O96" i="2"/>
  <c r="E96" i="2"/>
  <c r="L96" i="2"/>
  <c r="T96" i="2"/>
  <c r="V74" i="2"/>
  <c r="C166" i="2"/>
  <c r="O166" i="2"/>
  <c r="H74" i="2"/>
  <c r="M74" i="2"/>
  <c r="R166" i="2"/>
  <c r="G96" i="2"/>
  <c r="U96" i="2"/>
  <c r="J166" i="2"/>
  <c r="K96" i="2"/>
  <c r="M96" i="2"/>
  <c r="X74" i="2"/>
  <c r="S166" i="2"/>
  <c r="P166" i="2"/>
  <c r="W166" i="2"/>
  <c r="B166" i="2"/>
  <c r="S74" i="2"/>
  <c r="K74" i="2"/>
  <c r="S96" i="2"/>
  <c r="J96" i="2"/>
  <c r="F96" i="2"/>
  <c r="N166" i="2"/>
  <c r="D74" i="2"/>
  <c r="P74" i="2"/>
  <c r="DF74" i="1"/>
  <c r="E166" i="2"/>
  <c r="Q166" i="2"/>
  <c r="W96" i="2"/>
  <c r="O74" i="2"/>
  <c r="D96" i="2"/>
  <c r="N96" i="2"/>
  <c r="X166" i="2"/>
  <c r="Q96" i="2"/>
  <c r="F74" i="2"/>
  <c r="W74" i="2"/>
  <c r="M166" i="2"/>
  <c r="T166" i="2"/>
  <c r="E74" i="2"/>
  <c r="X96" i="2"/>
  <c r="P96" i="2"/>
  <c r="K166" i="2"/>
  <c r="H166" i="2"/>
  <c r="DB74" i="1"/>
  <c r="I74" i="2"/>
  <c r="U166" i="2"/>
  <c r="C96" i="2"/>
  <c r="T74" i="2"/>
  <c r="I166" i="2"/>
  <c r="V96" i="2"/>
  <c r="B74" i="2"/>
  <c r="U74" i="2"/>
  <c r="V166" i="2"/>
  <c r="I96" i="2"/>
  <c r="Q74" i="2"/>
  <c r="H96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AS167" i="1"/>
  <c r="AT167" i="1"/>
  <c r="I97" i="2"/>
  <c r="R97" i="2"/>
  <c r="L75" i="2"/>
  <c r="H167" i="2"/>
  <c r="H75" i="2"/>
  <c r="C167" i="2"/>
  <c r="DD75" i="1"/>
  <c r="M75" i="2"/>
  <c r="U75" i="2"/>
  <c r="M97" i="2"/>
  <c r="D75" i="2"/>
  <c r="X75" i="2"/>
  <c r="DF75" i="1"/>
  <c r="W75" i="2"/>
  <c r="G167" i="2"/>
  <c r="F75" i="2"/>
  <c r="P75" i="2"/>
  <c r="B167" i="2"/>
  <c r="X167" i="2"/>
  <c r="I75" i="2"/>
  <c r="O97" i="2"/>
  <c r="I167" i="2"/>
  <c r="J167" i="2"/>
  <c r="G97" i="2"/>
  <c r="C75" i="2"/>
  <c r="C97" i="2"/>
  <c r="K167" i="2"/>
  <c r="G75" i="2"/>
  <c r="N167" i="2"/>
  <c r="L167" i="2"/>
  <c r="S75" i="2"/>
  <c r="U167" i="2"/>
  <c r="K97" i="2"/>
  <c r="D97" i="2"/>
  <c r="F167" i="2"/>
  <c r="V75" i="2"/>
  <c r="F97" i="2"/>
  <c r="U97" i="2"/>
  <c r="X97" i="2"/>
  <c r="T75" i="2"/>
  <c r="W97" i="2"/>
  <c r="S97" i="2"/>
  <c r="N75" i="2"/>
  <c r="W167" i="2"/>
  <c r="N97" i="2"/>
  <c r="B97" i="2"/>
  <c r="Q75" i="2"/>
  <c r="Q97" i="2"/>
  <c r="T167" i="2"/>
  <c r="E167" i="2"/>
  <c r="O75" i="2"/>
  <c r="L97" i="2"/>
  <c r="P97" i="2"/>
  <c r="E97" i="2"/>
  <c r="Q167" i="2"/>
  <c r="B75" i="2"/>
  <c r="K75" i="2"/>
  <c r="J97" i="2"/>
  <c r="T97" i="2"/>
  <c r="R167" i="2"/>
  <c r="DB75" i="1"/>
  <c r="E75" i="2"/>
  <c r="V97" i="2"/>
  <c r="H97" i="2"/>
  <c r="J75" i="2"/>
  <c r="O167" i="2"/>
  <c r="M167" i="2"/>
  <c r="D167" i="2"/>
  <c r="R75" i="2"/>
  <c r="P167" i="2"/>
  <c r="V167" i="2"/>
  <c r="S167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AT168" i="1"/>
  <c r="AS168" i="1"/>
  <c r="P98" i="2"/>
  <c r="H168" i="2"/>
  <c r="D98" i="2"/>
  <c r="X76" i="2"/>
  <c r="L98" i="2"/>
  <c r="N76" i="2"/>
  <c r="U98" i="2"/>
  <c r="DD76" i="1"/>
  <c r="C98" i="2"/>
  <c r="W76" i="2"/>
  <c r="W98" i="2"/>
  <c r="G76" i="2"/>
  <c r="V76" i="2"/>
  <c r="M76" i="2"/>
  <c r="I98" i="2"/>
  <c r="W168" i="2"/>
  <c r="L76" i="2"/>
  <c r="Q76" i="2"/>
  <c r="H76" i="2"/>
  <c r="E168" i="2"/>
  <c r="H98" i="2"/>
  <c r="I76" i="2"/>
  <c r="K168" i="2"/>
  <c r="E76" i="2"/>
  <c r="U168" i="2"/>
  <c r="T76" i="2"/>
  <c r="M168" i="2"/>
  <c r="I168" i="2"/>
  <c r="M98" i="2"/>
  <c r="J76" i="2"/>
  <c r="N168" i="2"/>
  <c r="X168" i="2"/>
  <c r="D168" i="2"/>
  <c r="J168" i="2"/>
  <c r="Q98" i="2"/>
  <c r="O76" i="2"/>
  <c r="O98" i="2"/>
  <c r="G98" i="2"/>
  <c r="K76" i="2"/>
  <c r="U76" i="2"/>
  <c r="N98" i="2"/>
  <c r="C168" i="2"/>
  <c r="DB76" i="1"/>
  <c r="T168" i="2"/>
  <c r="S168" i="2"/>
  <c r="B168" i="2"/>
  <c r="S98" i="2"/>
  <c r="T98" i="2"/>
  <c r="B98" i="2"/>
  <c r="P76" i="2"/>
  <c r="R98" i="2"/>
  <c r="L168" i="2"/>
  <c r="K98" i="2"/>
  <c r="S76" i="2"/>
  <c r="R76" i="2"/>
  <c r="R168" i="2"/>
  <c r="V168" i="2"/>
  <c r="G168" i="2"/>
  <c r="X98" i="2"/>
  <c r="F168" i="2"/>
  <c r="DF76" i="1"/>
  <c r="C76" i="2"/>
  <c r="F76" i="2"/>
  <c r="B76" i="2"/>
  <c r="Q168" i="2"/>
  <c r="E98" i="2"/>
  <c r="P168" i="2"/>
  <c r="J98" i="2"/>
  <c r="O168" i="2"/>
  <c r="F98" i="2"/>
  <c r="V98" i="2"/>
  <c r="D76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AT169" i="1"/>
  <c r="AS169" i="1"/>
  <c r="W169" i="2"/>
  <c r="C169" i="2"/>
  <c r="R169" i="2"/>
  <c r="N77" i="2"/>
  <c r="E77" i="2"/>
  <c r="D77" i="2"/>
  <c r="Q77" i="2"/>
  <c r="B169" i="2"/>
  <c r="P169" i="2"/>
  <c r="W77" i="2"/>
  <c r="T77" i="2"/>
  <c r="N169" i="2"/>
  <c r="F77" i="2"/>
  <c r="C77" i="2"/>
  <c r="DB77" i="1"/>
  <c r="I77" i="2"/>
  <c r="J169" i="2"/>
  <c r="I169" i="2"/>
  <c r="B77" i="2"/>
  <c r="H77" i="2"/>
  <c r="U169" i="2"/>
  <c r="E169" i="2"/>
  <c r="G77" i="2"/>
  <c r="M77" i="2"/>
  <c r="X77" i="2"/>
  <c r="DF77" i="1"/>
  <c r="S77" i="2"/>
  <c r="L77" i="2"/>
  <c r="Q169" i="2"/>
  <c r="X169" i="2"/>
  <c r="L169" i="2"/>
  <c r="S169" i="2"/>
  <c r="K169" i="2"/>
  <c r="T169" i="2"/>
  <c r="G169" i="2"/>
  <c r="O77" i="2"/>
  <c r="J77" i="2"/>
  <c r="D169" i="2"/>
  <c r="R77" i="2"/>
  <c r="V169" i="2"/>
  <c r="U77" i="2"/>
  <c r="K77" i="2"/>
  <c r="V77" i="2"/>
  <c r="M169" i="2"/>
  <c r="DD77" i="1"/>
  <c r="O169" i="2"/>
  <c r="P77" i="2"/>
  <c r="F169" i="2"/>
  <c r="H169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AS170" i="1"/>
  <c r="AT170" i="1"/>
  <c r="DF78" i="1"/>
  <c r="S78" i="2"/>
  <c r="T100" i="2"/>
  <c r="M100" i="2"/>
  <c r="M78" i="2"/>
  <c r="F100" i="2"/>
  <c r="I100" i="2"/>
  <c r="O99" i="2"/>
  <c r="X170" i="2"/>
  <c r="F99" i="2"/>
  <c r="DB78" i="1"/>
  <c r="O100" i="2"/>
  <c r="K170" i="2"/>
  <c r="J78" i="2"/>
  <c r="R99" i="2"/>
  <c r="X99" i="2"/>
  <c r="M170" i="2"/>
  <c r="S100" i="2"/>
  <c r="W100" i="2"/>
  <c r="U170" i="2"/>
  <c r="H78" i="2"/>
  <c r="N99" i="2"/>
  <c r="O170" i="2"/>
  <c r="G170" i="2"/>
  <c r="X78" i="2"/>
  <c r="J99" i="2"/>
  <c r="N170" i="2"/>
  <c r="E78" i="2"/>
  <c r="U78" i="2"/>
  <c r="K99" i="2"/>
  <c r="I99" i="2"/>
  <c r="V170" i="2"/>
  <c r="H100" i="2"/>
  <c r="T78" i="2"/>
  <c r="B100" i="2"/>
  <c r="V78" i="2"/>
  <c r="B78" i="2"/>
  <c r="B170" i="2"/>
  <c r="Q78" i="2"/>
  <c r="V100" i="2"/>
  <c r="D100" i="2"/>
  <c r="G99" i="2"/>
  <c r="M99" i="2"/>
  <c r="E170" i="2"/>
  <c r="Q100" i="2"/>
  <c r="H170" i="2"/>
  <c r="D170" i="2"/>
  <c r="W99" i="2"/>
  <c r="H99" i="2"/>
  <c r="U99" i="2"/>
  <c r="J100" i="2"/>
  <c r="R100" i="2"/>
  <c r="S99" i="2"/>
  <c r="T170" i="2"/>
  <c r="Q170" i="2"/>
  <c r="P99" i="2"/>
  <c r="DD78" i="1"/>
  <c r="G78" i="2"/>
  <c r="D78" i="2"/>
  <c r="J170" i="2"/>
  <c r="L100" i="2"/>
  <c r="I170" i="2"/>
  <c r="E99" i="2"/>
  <c r="P170" i="2"/>
  <c r="L78" i="2"/>
  <c r="K78" i="2"/>
  <c r="B99" i="2"/>
  <c r="T99" i="2"/>
  <c r="C78" i="2"/>
  <c r="C100" i="2"/>
  <c r="N100" i="2"/>
  <c r="L99" i="2"/>
  <c r="P78" i="2"/>
  <c r="W170" i="2"/>
  <c r="D99" i="2"/>
  <c r="I78" i="2"/>
  <c r="C99" i="2"/>
  <c r="R78" i="2"/>
  <c r="V99" i="2"/>
  <c r="C170" i="2"/>
  <c r="X100" i="2"/>
  <c r="F78" i="2"/>
  <c r="L170" i="2"/>
  <c r="Q99" i="2"/>
  <c r="R170" i="2"/>
  <c r="G100" i="2"/>
  <c r="F170" i="2"/>
  <c r="O78" i="2"/>
  <c r="U100" i="2"/>
  <c r="E100" i="2"/>
  <c r="P100" i="2"/>
  <c r="K100" i="2"/>
  <c r="W78" i="2"/>
  <c r="S170" i="2"/>
  <c r="N78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S171" i="1"/>
  <c r="AT171" i="1"/>
  <c r="R171" i="2"/>
  <c r="E171" i="2"/>
  <c r="K79" i="2"/>
  <c r="L79" i="2"/>
  <c r="S171" i="2"/>
  <c r="D171" i="2"/>
  <c r="X171" i="2"/>
  <c r="M171" i="2"/>
  <c r="R79" i="2"/>
  <c r="B171" i="2"/>
  <c r="DF79" i="1"/>
  <c r="V79" i="2"/>
  <c r="M79" i="2"/>
  <c r="E101" i="2"/>
  <c r="G79" i="2"/>
  <c r="V101" i="2"/>
  <c r="J79" i="2"/>
  <c r="G101" i="2"/>
  <c r="L101" i="2"/>
  <c r="P171" i="2"/>
  <c r="X79" i="2"/>
  <c r="F101" i="2"/>
  <c r="U79" i="2"/>
  <c r="F171" i="2"/>
  <c r="F79" i="2"/>
  <c r="T171" i="2"/>
  <c r="J171" i="2"/>
  <c r="H101" i="2"/>
  <c r="I171" i="2"/>
  <c r="W101" i="2"/>
  <c r="V171" i="2"/>
  <c r="U171" i="2"/>
  <c r="N171" i="2"/>
  <c r="S101" i="2"/>
  <c r="D101" i="2"/>
  <c r="O79" i="2"/>
  <c r="Q101" i="2"/>
  <c r="Q171" i="2"/>
  <c r="D79" i="2"/>
  <c r="J101" i="2"/>
  <c r="S79" i="2"/>
  <c r="DB79" i="1"/>
  <c r="N79" i="2"/>
  <c r="K171" i="2"/>
  <c r="T101" i="2"/>
  <c r="B101" i="2"/>
  <c r="O101" i="2"/>
  <c r="P101" i="2"/>
  <c r="X101" i="2"/>
  <c r="R101" i="2"/>
  <c r="T79" i="2"/>
  <c r="N101" i="2"/>
  <c r="U101" i="2"/>
  <c r="C171" i="2"/>
  <c r="L171" i="2"/>
  <c r="G171" i="2"/>
  <c r="K101" i="2"/>
  <c r="I101" i="2"/>
  <c r="H79" i="2"/>
  <c r="DD79" i="1"/>
  <c r="C79" i="2"/>
  <c r="I79" i="2"/>
  <c r="H171" i="2"/>
  <c r="E79" i="2"/>
  <c r="M101" i="2"/>
  <c r="B79" i="2"/>
  <c r="W171" i="2"/>
  <c r="P79" i="2"/>
  <c r="C101" i="2"/>
  <c r="W79" i="2"/>
  <c r="O171" i="2"/>
  <c r="Q79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T172" i="1"/>
  <c r="AS172" i="1"/>
  <c r="B102" i="2"/>
  <c r="C102" i="2"/>
  <c r="U102" i="2"/>
  <c r="H102" i="2"/>
  <c r="Q172" i="2"/>
  <c r="H172" i="2"/>
  <c r="D80" i="2"/>
  <c r="W80" i="2"/>
  <c r="M102" i="2"/>
  <c r="V172" i="2"/>
  <c r="S172" i="2"/>
  <c r="G172" i="2"/>
  <c r="C80" i="2"/>
  <c r="R102" i="2"/>
  <c r="W172" i="2"/>
  <c r="I172" i="2"/>
  <c r="X172" i="2"/>
  <c r="U80" i="2"/>
  <c r="H80" i="2"/>
  <c r="K80" i="2"/>
  <c r="L102" i="2"/>
  <c r="K172" i="2"/>
  <c r="B172" i="2"/>
  <c r="W102" i="2"/>
  <c r="D172" i="2"/>
  <c r="F80" i="2"/>
  <c r="O80" i="2"/>
  <c r="Q102" i="2"/>
  <c r="T102" i="2"/>
  <c r="X102" i="2"/>
  <c r="O172" i="2"/>
  <c r="U172" i="2"/>
  <c r="F172" i="2"/>
  <c r="E80" i="2"/>
  <c r="S80" i="2"/>
  <c r="G80" i="2"/>
  <c r="P102" i="2"/>
  <c r="S102" i="2"/>
  <c r="I80" i="2"/>
  <c r="K102" i="2"/>
  <c r="P172" i="2"/>
  <c r="V102" i="2"/>
  <c r="I102" i="2"/>
  <c r="O102" i="2"/>
  <c r="B80" i="2"/>
  <c r="P80" i="2"/>
  <c r="G102" i="2"/>
  <c r="E102" i="2"/>
  <c r="V80" i="2"/>
  <c r="N172" i="2"/>
  <c r="J80" i="2"/>
  <c r="R80" i="2"/>
  <c r="X80" i="2"/>
  <c r="Q80" i="2"/>
  <c r="J172" i="2"/>
  <c r="C172" i="2"/>
  <c r="J102" i="2"/>
  <c r="M172" i="2"/>
  <c r="L80" i="2"/>
  <c r="R172" i="2"/>
  <c r="E172" i="2"/>
  <c r="D102" i="2"/>
  <c r="N102" i="2"/>
  <c r="F102" i="2"/>
  <c r="T172" i="2"/>
  <c r="L172" i="2"/>
  <c r="M80" i="2"/>
  <c r="N80" i="2"/>
  <c r="T80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T173" i="1"/>
  <c r="AS173" i="1"/>
  <c r="P103" i="2"/>
  <c r="I103" i="2"/>
  <c r="J103" i="2"/>
  <c r="S173" i="2"/>
  <c r="R173" i="2"/>
  <c r="I173" i="2"/>
  <c r="X103" i="2"/>
  <c r="T103" i="2"/>
  <c r="D103" i="2"/>
  <c r="P173" i="2"/>
  <c r="F173" i="2"/>
  <c r="G173" i="2"/>
  <c r="C103" i="2"/>
  <c r="L173" i="2"/>
  <c r="V173" i="2"/>
  <c r="M173" i="2"/>
  <c r="N103" i="2"/>
  <c r="D173" i="2"/>
  <c r="K173" i="2"/>
  <c r="S103" i="2"/>
  <c r="E103" i="2"/>
  <c r="Q173" i="2"/>
  <c r="T173" i="2"/>
  <c r="U173" i="2"/>
  <c r="Q103" i="2"/>
  <c r="E173" i="2"/>
  <c r="N173" i="2"/>
  <c r="B173" i="2"/>
  <c r="C173" i="2"/>
  <c r="M103" i="2"/>
  <c r="R103" i="2"/>
  <c r="V103" i="2"/>
  <c r="U103" i="2"/>
  <c r="B103" i="2"/>
  <c r="O103" i="2"/>
  <c r="X173" i="2"/>
  <c r="F103" i="2"/>
  <c r="J173" i="2"/>
  <c r="H173" i="2"/>
  <c r="G103" i="2"/>
  <c r="H103" i="2"/>
  <c r="K103" i="2"/>
  <c r="W103" i="2"/>
  <c r="L103" i="2"/>
  <c r="W173" i="2"/>
  <c r="O17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AS174" i="1"/>
  <c r="J104" i="2"/>
  <c r="H174" i="2"/>
  <c r="M104" i="2"/>
  <c r="C174" i="2"/>
  <c r="Q174" i="2"/>
  <c r="I104" i="2"/>
  <c r="G174" i="2"/>
  <c r="U174" i="2"/>
  <c r="K104" i="2"/>
  <c r="T174" i="2"/>
  <c r="E104" i="2"/>
  <c r="W174" i="2"/>
  <c r="C104" i="2"/>
  <c r="X174" i="2"/>
  <c r="F174" i="2"/>
  <c r="K174" i="2"/>
  <c r="X104" i="2"/>
  <c r="B174" i="2"/>
  <c r="E174" i="2"/>
  <c r="J174" i="2"/>
  <c r="P104" i="2"/>
  <c r="Q104" i="2"/>
  <c r="N174" i="2"/>
  <c r="S104" i="2"/>
  <c r="S174" i="2"/>
  <c r="P174" i="2"/>
  <c r="T104" i="2"/>
  <c r="L174" i="2"/>
  <c r="R104" i="2"/>
  <c r="V104" i="2"/>
  <c r="H104" i="2"/>
  <c r="L104" i="2"/>
  <c r="M174" i="2"/>
  <c r="R174" i="2"/>
  <c r="F104" i="2"/>
  <c r="D174" i="2"/>
  <c r="U104" i="2"/>
  <c r="D104" i="2"/>
  <c r="O104" i="2"/>
  <c r="V174" i="2"/>
  <c r="N104" i="2"/>
  <c r="I174" i="2"/>
  <c r="O174" i="2"/>
  <c r="W104" i="2"/>
  <c r="B104" i="2"/>
  <c r="G10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T175" i="1"/>
  <c r="AS175" i="1"/>
  <c r="X105" i="2"/>
  <c r="O175" i="2"/>
  <c r="C175" i="2"/>
  <c r="R105" i="2"/>
  <c r="V175" i="2"/>
  <c r="H175" i="2"/>
  <c r="P175" i="2"/>
  <c r="U175" i="2"/>
  <c r="H105" i="2"/>
  <c r="Q175" i="2"/>
  <c r="N105" i="2"/>
  <c r="O105" i="2"/>
  <c r="I105" i="2"/>
  <c r="K175" i="2"/>
  <c r="S175" i="2"/>
  <c r="E105" i="2"/>
  <c r="D105" i="2"/>
  <c r="L175" i="2"/>
  <c r="F105" i="2"/>
  <c r="S105" i="2"/>
  <c r="M105" i="2"/>
  <c r="P105" i="2"/>
  <c r="W105" i="2"/>
  <c r="U105" i="2"/>
  <c r="W175" i="2"/>
  <c r="B105" i="2"/>
  <c r="C105" i="2"/>
  <c r="V105" i="2"/>
  <c r="F175" i="2"/>
  <c r="E175" i="2"/>
  <c r="N175" i="2"/>
  <c r="M175" i="2"/>
  <c r="K105" i="2"/>
  <c r="X175" i="2"/>
  <c r="D175" i="2"/>
  <c r="Q105" i="2"/>
  <c r="L105" i="2"/>
  <c r="I175" i="2"/>
  <c r="R175" i="2"/>
  <c r="J175" i="2"/>
  <c r="B175" i="2"/>
  <c r="J105" i="2"/>
  <c r="T175" i="2"/>
  <c r="T105" i="2"/>
  <c r="G105" i="2"/>
  <c r="G17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T176" i="1"/>
  <c r="AS176" i="1"/>
  <c r="C176" i="2"/>
  <c r="U106" i="2"/>
  <c r="J106" i="2"/>
  <c r="H106" i="2"/>
  <c r="F176" i="2"/>
  <c r="J176" i="2"/>
  <c r="S106" i="2"/>
  <c r="W106" i="2"/>
  <c r="I106" i="2"/>
  <c r="R176" i="2"/>
  <c r="D176" i="2"/>
  <c r="M176" i="2"/>
  <c r="E176" i="2"/>
  <c r="P176" i="2"/>
  <c r="X106" i="2"/>
  <c r="V106" i="2"/>
  <c r="G106" i="2"/>
  <c r="T106" i="2"/>
  <c r="N176" i="2"/>
  <c r="B106" i="2"/>
  <c r="T176" i="2"/>
  <c r="E106" i="2"/>
  <c r="Q106" i="2"/>
  <c r="S176" i="2"/>
  <c r="R106" i="2"/>
  <c r="P106" i="2"/>
  <c r="N106" i="2"/>
  <c r="X176" i="2"/>
  <c r="Q176" i="2"/>
  <c r="D106" i="2"/>
  <c r="O176" i="2"/>
  <c r="K106" i="2"/>
  <c r="C106" i="2"/>
  <c r="M106" i="2"/>
  <c r="O106" i="2"/>
  <c r="V176" i="2"/>
  <c r="L106" i="2"/>
  <c r="W176" i="2"/>
  <c r="L176" i="2"/>
  <c r="K176" i="2"/>
  <c r="H176" i="2"/>
  <c r="F106" i="2"/>
  <c r="I176" i="2"/>
  <c r="U176" i="2"/>
  <c r="B176" i="2"/>
  <c r="G17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E107" i="2"/>
  <c r="C107" i="2"/>
  <c r="I177" i="2"/>
  <c r="Q177" i="2"/>
  <c r="G177" i="2"/>
  <c r="J107" i="2"/>
  <c r="K107" i="2"/>
  <c r="R107" i="2"/>
  <c r="G107" i="2"/>
  <c r="V107" i="2"/>
  <c r="M107" i="2"/>
  <c r="F177" i="2"/>
  <c r="H107" i="2"/>
  <c r="O177" i="2"/>
  <c r="F107" i="2"/>
  <c r="S107" i="2"/>
  <c r="R177" i="2"/>
  <c r="H177" i="2"/>
  <c r="I107" i="2"/>
  <c r="L177" i="2"/>
  <c r="P177" i="2"/>
  <c r="D107" i="2"/>
  <c r="E177" i="2"/>
  <c r="O107" i="2"/>
  <c r="L107" i="2"/>
  <c r="S177" i="2"/>
  <c r="X107" i="2"/>
  <c r="U177" i="2"/>
  <c r="J177" i="2"/>
  <c r="V177" i="2"/>
  <c r="B177" i="2"/>
  <c r="Q107" i="2"/>
  <c r="U107" i="2"/>
  <c r="P107" i="2"/>
  <c r="D177" i="2"/>
  <c r="B107" i="2"/>
  <c r="N177" i="2"/>
  <c r="X177" i="2"/>
  <c r="N107" i="2"/>
  <c r="W107" i="2"/>
  <c r="M177" i="2"/>
  <c r="T107" i="2"/>
  <c r="K177" i="2"/>
  <c r="T177" i="2"/>
  <c r="W177" i="2"/>
  <c r="C17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T178" i="1"/>
  <c r="AS178" i="1"/>
  <c r="P108" i="2"/>
  <c r="S108" i="2"/>
  <c r="V108" i="2"/>
  <c r="K108" i="2"/>
  <c r="U178" i="2"/>
  <c r="N178" i="2"/>
  <c r="W178" i="2"/>
  <c r="J108" i="2"/>
  <c r="I108" i="2"/>
  <c r="H108" i="2"/>
  <c r="T178" i="2"/>
  <c r="T108" i="2"/>
  <c r="O178" i="2"/>
  <c r="C178" i="2"/>
  <c r="K178" i="2"/>
  <c r="X108" i="2"/>
  <c r="C108" i="2"/>
  <c r="R108" i="2"/>
  <c r="O108" i="2"/>
  <c r="G178" i="2"/>
  <c r="H178" i="2"/>
  <c r="B178" i="2"/>
  <c r="Q108" i="2"/>
  <c r="B108" i="2"/>
  <c r="E178" i="2"/>
  <c r="X178" i="2"/>
  <c r="J178" i="2"/>
  <c r="Q178" i="2"/>
  <c r="V178" i="2"/>
  <c r="G108" i="2"/>
  <c r="S178" i="2"/>
  <c r="M108" i="2"/>
  <c r="D108" i="2"/>
  <c r="P178" i="2"/>
  <c r="F178" i="2"/>
  <c r="N108" i="2"/>
  <c r="E108" i="2"/>
  <c r="L108" i="2"/>
  <c r="D178" i="2"/>
  <c r="F108" i="2"/>
  <c r="I178" i="2"/>
  <c r="M178" i="2"/>
  <c r="W108" i="2"/>
  <c r="L178" i="2"/>
  <c r="R178" i="2"/>
  <c r="U10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T179" i="1"/>
  <c r="AS179" i="1"/>
  <c r="P109" i="2"/>
  <c r="N179" i="2"/>
  <c r="E179" i="2"/>
  <c r="G109" i="2"/>
  <c r="I109" i="2"/>
  <c r="Q179" i="2"/>
  <c r="M179" i="2"/>
  <c r="F109" i="2"/>
  <c r="X109" i="2"/>
  <c r="D179" i="2"/>
  <c r="T109" i="2"/>
  <c r="T179" i="2"/>
  <c r="Q109" i="2"/>
  <c r="V109" i="2"/>
  <c r="H179" i="2"/>
  <c r="J179" i="2"/>
  <c r="H109" i="2"/>
  <c r="B109" i="2"/>
  <c r="R179" i="2"/>
  <c r="S109" i="2"/>
  <c r="U109" i="2"/>
  <c r="W179" i="2"/>
  <c r="W109" i="2"/>
  <c r="I179" i="2"/>
  <c r="M109" i="2"/>
  <c r="B179" i="2"/>
  <c r="C179" i="2"/>
  <c r="V179" i="2"/>
  <c r="L179" i="2"/>
  <c r="G179" i="2"/>
  <c r="K109" i="2"/>
  <c r="J109" i="2"/>
  <c r="E109" i="2"/>
  <c r="D109" i="2"/>
  <c r="N109" i="2"/>
  <c r="X179" i="2"/>
  <c r="F179" i="2"/>
  <c r="U179" i="2"/>
  <c r="S179" i="2"/>
  <c r="K179" i="2"/>
  <c r="P179" i="2"/>
  <c r="R109" i="2"/>
  <c r="L109" i="2"/>
  <c r="O109" i="2"/>
  <c r="C109" i="2"/>
  <c r="O17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B110" i="2"/>
  <c r="H110" i="2"/>
  <c r="J110" i="2"/>
  <c r="L110" i="2"/>
  <c r="W110" i="2"/>
  <c r="G110" i="2"/>
  <c r="S110" i="2"/>
  <c r="R110" i="2"/>
  <c r="R180" i="2"/>
  <c r="O110" i="2"/>
  <c r="N180" i="2"/>
  <c r="H180" i="2"/>
  <c r="E110" i="2"/>
  <c r="M180" i="2"/>
  <c r="N110" i="2"/>
  <c r="C180" i="2"/>
  <c r="T180" i="2"/>
  <c r="F180" i="2"/>
  <c r="W180" i="2"/>
  <c r="B180" i="2"/>
  <c r="O180" i="2"/>
  <c r="J180" i="2"/>
  <c r="V110" i="2"/>
  <c r="U180" i="2"/>
  <c r="Q180" i="2"/>
  <c r="U110" i="2"/>
  <c r="L180" i="2"/>
  <c r="T110" i="2"/>
  <c r="P110" i="2"/>
  <c r="P180" i="2"/>
  <c r="E180" i="2"/>
  <c r="X110" i="2"/>
  <c r="S180" i="2"/>
  <c r="V180" i="2"/>
  <c r="D180" i="2"/>
  <c r="M110" i="2"/>
  <c r="C110" i="2"/>
  <c r="I180" i="2"/>
  <c r="I110" i="2"/>
  <c r="X180" i="2"/>
  <c r="Q110" i="2"/>
  <c r="F110" i="2"/>
  <c r="G180" i="2"/>
  <c r="K180" i="2"/>
  <c r="D110" i="2"/>
  <c r="K11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T181" i="1"/>
  <c r="AS181" i="1"/>
  <c r="B181" i="2"/>
  <c r="J111" i="2"/>
  <c r="E111" i="2"/>
  <c r="R181" i="2"/>
  <c r="G181" i="2"/>
  <c r="O111" i="2"/>
  <c r="D181" i="2"/>
  <c r="K181" i="2"/>
  <c r="G111" i="2"/>
  <c r="K111" i="2"/>
  <c r="V111" i="2"/>
  <c r="M111" i="2"/>
  <c r="T111" i="2"/>
  <c r="Q181" i="2"/>
  <c r="O181" i="2"/>
  <c r="F181" i="2"/>
  <c r="U111" i="2"/>
  <c r="H181" i="2"/>
  <c r="F111" i="2"/>
  <c r="X181" i="2"/>
  <c r="I111" i="2"/>
  <c r="L111" i="2"/>
  <c r="V181" i="2"/>
  <c r="P111" i="2"/>
  <c r="T181" i="2"/>
  <c r="S111" i="2"/>
  <c r="C181" i="2"/>
  <c r="N181" i="2"/>
  <c r="X111" i="2"/>
  <c r="P181" i="2"/>
  <c r="W111" i="2"/>
  <c r="R111" i="2"/>
  <c r="Q111" i="2"/>
  <c r="H111" i="2"/>
  <c r="N111" i="2"/>
  <c r="S181" i="2"/>
  <c r="J181" i="2"/>
  <c r="E181" i="2"/>
  <c r="W181" i="2"/>
  <c r="U181" i="2"/>
  <c r="C111" i="2"/>
  <c r="I181" i="2"/>
  <c r="M181" i="2"/>
  <c r="L181" i="2"/>
  <c r="B111" i="2"/>
  <c r="D11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T182" i="1"/>
  <c r="AS182" i="1"/>
  <c r="U112" i="2"/>
  <c r="P182" i="2"/>
  <c r="B112" i="2"/>
  <c r="S182" i="2"/>
  <c r="D182" i="2"/>
  <c r="G112" i="2"/>
  <c r="J112" i="2"/>
  <c r="X182" i="2"/>
  <c r="O182" i="2"/>
  <c r="T112" i="2"/>
  <c r="K112" i="2"/>
  <c r="L112" i="2"/>
  <c r="F112" i="2"/>
  <c r="M112" i="2"/>
  <c r="E182" i="2"/>
  <c r="U182" i="2"/>
  <c r="P112" i="2"/>
  <c r="G182" i="2"/>
  <c r="C182" i="2"/>
  <c r="R112" i="2"/>
  <c r="V182" i="2"/>
  <c r="W182" i="2"/>
  <c r="L182" i="2"/>
  <c r="F182" i="2"/>
  <c r="O112" i="2"/>
  <c r="D112" i="2"/>
  <c r="I182" i="2"/>
  <c r="B182" i="2"/>
  <c r="H112" i="2"/>
  <c r="W112" i="2"/>
  <c r="J182" i="2"/>
  <c r="H182" i="2"/>
  <c r="T182" i="2"/>
  <c r="S112" i="2"/>
  <c r="E112" i="2"/>
  <c r="X112" i="2"/>
  <c r="Q182" i="2"/>
  <c r="C112" i="2"/>
  <c r="R182" i="2"/>
  <c r="I112" i="2"/>
  <c r="M182" i="2"/>
  <c r="N182" i="2"/>
  <c r="Q112" i="2"/>
  <c r="N112" i="2"/>
  <c r="K182" i="2"/>
  <c r="V11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AS183" i="1"/>
  <c r="P113" i="2"/>
  <c r="T113" i="2"/>
  <c r="J183" i="2"/>
  <c r="H113" i="2"/>
  <c r="F113" i="2"/>
  <c r="I113" i="2"/>
  <c r="G183" i="2"/>
  <c r="E113" i="2"/>
  <c r="W113" i="2"/>
  <c r="C183" i="2"/>
  <c r="P183" i="2"/>
  <c r="X183" i="2"/>
  <c r="O183" i="2"/>
  <c r="M183" i="2"/>
  <c r="F183" i="2"/>
  <c r="S183" i="2"/>
  <c r="V183" i="2"/>
  <c r="O113" i="2"/>
  <c r="E183" i="2"/>
  <c r="R113" i="2"/>
  <c r="V113" i="2"/>
  <c r="H183" i="2"/>
  <c r="T183" i="2"/>
  <c r="B113" i="2"/>
  <c r="D183" i="2"/>
  <c r="Q183" i="2"/>
  <c r="L183" i="2"/>
  <c r="M113" i="2"/>
  <c r="B183" i="2"/>
  <c r="N183" i="2"/>
  <c r="N113" i="2"/>
  <c r="J113" i="2"/>
  <c r="K183" i="2"/>
  <c r="D113" i="2"/>
  <c r="C113" i="2"/>
  <c r="R183" i="2"/>
  <c r="G113" i="2"/>
  <c r="U183" i="2"/>
  <c r="W183" i="2"/>
  <c r="I183" i="2"/>
  <c r="S113" i="2"/>
  <c r="X113" i="2"/>
  <c r="L113" i="2"/>
  <c r="K113" i="2"/>
  <c r="U113" i="2"/>
  <c r="Q11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T184" i="1"/>
  <c r="AS184" i="1"/>
  <c r="V184" i="2"/>
  <c r="R184" i="2"/>
  <c r="L184" i="2"/>
  <c r="V114" i="2"/>
  <c r="N114" i="2"/>
  <c r="S184" i="2"/>
  <c r="U114" i="2"/>
  <c r="K114" i="2"/>
  <c r="I114" i="2"/>
  <c r="L114" i="2"/>
  <c r="S114" i="2"/>
  <c r="K184" i="2"/>
  <c r="M184" i="2"/>
  <c r="I184" i="2"/>
  <c r="X184" i="2"/>
  <c r="F184" i="2"/>
  <c r="T184" i="2"/>
  <c r="G114" i="2"/>
  <c r="N184" i="2"/>
  <c r="Q114" i="2"/>
  <c r="H114" i="2"/>
  <c r="O114" i="2"/>
  <c r="F114" i="2"/>
  <c r="E184" i="2"/>
  <c r="D184" i="2"/>
  <c r="J184" i="2"/>
  <c r="W184" i="2"/>
  <c r="W114" i="2"/>
  <c r="X114" i="2"/>
  <c r="P184" i="2"/>
  <c r="M114" i="2"/>
  <c r="C114" i="2"/>
  <c r="P114" i="2"/>
  <c r="T114" i="2"/>
  <c r="U184" i="2"/>
  <c r="C184" i="2"/>
  <c r="B114" i="2"/>
  <c r="D114" i="2"/>
  <c r="O184" i="2"/>
  <c r="J114" i="2"/>
  <c r="H184" i="2"/>
  <c r="Q184" i="2"/>
  <c r="G184" i="2"/>
  <c r="B184" i="2"/>
  <c r="R114" i="2"/>
  <c r="E11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E185" i="2"/>
  <c r="V115" i="2"/>
  <c r="J115" i="2"/>
  <c r="R115" i="2"/>
  <c r="S185" i="2"/>
  <c r="S115" i="2"/>
  <c r="X115" i="2"/>
  <c r="I185" i="2"/>
  <c r="I115" i="2"/>
  <c r="V185" i="2"/>
  <c r="K115" i="2"/>
  <c r="U185" i="2"/>
  <c r="M185" i="2"/>
  <c r="F115" i="2"/>
  <c r="R185" i="2"/>
  <c r="Q115" i="2"/>
  <c r="B115" i="2"/>
  <c r="Q185" i="2"/>
  <c r="W185" i="2"/>
  <c r="P185" i="2"/>
  <c r="M115" i="2"/>
  <c r="N185" i="2"/>
  <c r="G185" i="2"/>
  <c r="W115" i="2"/>
  <c r="K185" i="2"/>
  <c r="D185" i="2"/>
  <c r="F185" i="2"/>
  <c r="X185" i="2"/>
  <c r="B185" i="2"/>
  <c r="U115" i="2"/>
  <c r="H115" i="2"/>
  <c r="L115" i="2"/>
  <c r="E115" i="2"/>
  <c r="O115" i="2"/>
  <c r="C185" i="2"/>
  <c r="N115" i="2"/>
  <c r="C115" i="2"/>
  <c r="P115" i="2"/>
  <c r="L185" i="2"/>
  <c r="H185" i="2"/>
  <c r="G115" i="2"/>
  <c r="D115" i="2"/>
  <c r="J185" i="2"/>
  <c r="O185" i="2"/>
  <c r="T185" i="2"/>
  <c r="T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T186" i="1"/>
  <c r="AS186" i="1"/>
  <c r="U116" i="2"/>
  <c r="R116" i="2"/>
  <c r="S116" i="2"/>
  <c r="L186" i="2"/>
  <c r="D186" i="2"/>
  <c r="F116" i="2"/>
  <c r="E186" i="2"/>
  <c r="J116" i="2"/>
  <c r="H186" i="2"/>
  <c r="D116" i="2"/>
  <c r="Q186" i="2"/>
  <c r="R186" i="2"/>
  <c r="S186" i="2"/>
  <c r="B116" i="2"/>
  <c r="C186" i="2"/>
  <c r="I116" i="2"/>
  <c r="V116" i="2"/>
  <c r="B186" i="2"/>
  <c r="E116" i="2"/>
  <c r="W186" i="2"/>
  <c r="O116" i="2"/>
  <c r="C116" i="2"/>
  <c r="X186" i="2"/>
  <c r="T186" i="2"/>
  <c r="P186" i="2"/>
  <c r="P116" i="2"/>
  <c r="N186" i="2"/>
  <c r="K116" i="2"/>
  <c r="M116" i="2"/>
  <c r="V186" i="2"/>
  <c r="N116" i="2"/>
  <c r="G186" i="2"/>
  <c r="H116" i="2"/>
  <c r="F186" i="2"/>
  <c r="G116" i="2"/>
  <c r="J186" i="2"/>
  <c r="M186" i="2"/>
  <c r="X116" i="2"/>
  <c r="K186" i="2"/>
  <c r="L116" i="2"/>
  <c r="Q116" i="2"/>
  <c r="W116" i="2"/>
  <c r="U186" i="2"/>
  <c r="I186" i="2"/>
  <c r="O186" i="2"/>
  <c r="T11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T187" i="1"/>
  <c r="AS187" i="1"/>
  <c r="B117" i="2"/>
  <c r="M187" i="2"/>
  <c r="G117" i="2"/>
  <c r="K117" i="2"/>
  <c r="L117" i="2"/>
  <c r="P117" i="2"/>
  <c r="F117" i="2"/>
  <c r="U117" i="2"/>
  <c r="F187" i="2"/>
  <c r="E117" i="2"/>
  <c r="H117" i="2"/>
  <c r="L187" i="2"/>
  <c r="O117" i="2"/>
  <c r="S187" i="2"/>
  <c r="K187" i="2"/>
  <c r="D187" i="2"/>
  <c r="C117" i="2"/>
  <c r="V187" i="2"/>
  <c r="D117" i="2"/>
  <c r="M117" i="2"/>
  <c r="H187" i="2"/>
  <c r="J187" i="2"/>
  <c r="T187" i="2"/>
  <c r="C187" i="2"/>
  <c r="G187" i="2"/>
  <c r="O187" i="2"/>
  <c r="I187" i="2"/>
  <c r="N117" i="2"/>
  <c r="W187" i="2"/>
  <c r="N187" i="2"/>
  <c r="W117" i="2"/>
  <c r="J117" i="2"/>
  <c r="Q187" i="2"/>
  <c r="T117" i="2"/>
  <c r="E187" i="2"/>
  <c r="Q117" i="2"/>
  <c r="U187" i="2"/>
  <c r="R117" i="2"/>
  <c r="V117" i="2"/>
  <c r="S117" i="2"/>
  <c r="I117" i="2"/>
  <c r="X187" i="2"/>
  <c r="X117" i="2"/>
  <c r="R187" i="2"/>
  <c r="P187" i="2"/>
  <c r="B18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S188" i="1"/>
  <c r="AT188" i="1"/>
  <c r="J118" i="2"/>
  <c r="F118" i="2"/>
  <c r="L188" i="2"/>
  <c r="I118" i="2"/>
  <c r="X118" i="2"/>
  <c r="R118" i="2"/>
  <c r="X188" i="2"/>
  <c r="G118" i="2"/>
  <c r="U188" i="2"/>
  <c r="T188" i="2"/>
  <c r="B188" i="2"/>
  <c r="Q118" i="2"/>
  <c r="O118" i="2"/>
  <c r="P118" i="2"/>
  <c r="Q188" i="2"/>
  <c r="I188" i="2"/>
  <c r="E188" i="2"/>
  <c r="D118" i="2"/>
  <c r="F188" i="2"/>
  <c r="G188" i="2"/>
  <c r="M188" i="2"/>
  <c r="N118" i="2"/>
  <c r="P188" i="2"/>
  <c r="C118" i="2"/>
  <c r="V118" i="2"/>
  <c r="S118" i="2"/>
  <c r="D188" i="2"/>
  <c r="L118" i="2"/>
  <c r="K118" i="2"/>
  <c r="U118" i="2"/>
  <c r="S188" i="2"/>
  <c r="M118" i="2"/>
  <c r="W188" i="2"/>
  <c r="W118" i="2"/>
  <c r="E118" i="2"/>
  <c r="H188" i="2"/>
  <c r="K188" i="2"/>
  <c r="B118" i="2"/>
  <c r="T118" i="2"/>
  <c r="O188" i="2"/>
  <c r="N188" i="2"/>
  <c r="R188" i="2"/>
  <c r="C188" i="2"/>
  <c r="V188" i="2"/>
  <c r="J188" i="2"/>
  <c r="H11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T189" i="1"/>
  <c r="AS189" i="1"/>
  <c r="DC189" i="1"/>
  <c r="P189" i="2"/>
  <c r="V119" i="2"/>
  <c r="X189" i="2"/>
  <c r="J119" i="2"/>
  <c r="J189" i="2"/>
  <c r="B119" i="2"/>
  <c r="R189" i="2"/>
  <c r="O119" i="2"/>
  <c r="D119" i="2"/>
  <c r="F119" i="2"/>
  <c r="L189" i="2"/>
  <c r="W119" i="2"/>
  <c r="O189" i="2"/>
  <c r="F189" i="2"/>
  <c r="M119" i="2"/>
  <c r="U119" i="2"/>
  <c r="E189" i="2"/>
  <c r="M189" i="2"/>
  <c r="S119" i="2"/>
  <c r="C189" i="2"/>
  <c r="V189" i="2"/>
  <c r="H119" i="2"/>
  <c r="R119" i="2"/>
  <c r="H189" i="2"/>
  <c r="T119" i="2"/>
  <c r="Q119" i="2"/>
  <c r="L119" i="2"/>
  <c r="E119" i="2"/>
  <c r="DD189" i="1"/>
  <c r="P119" i="2"/>
  <c r="W189" i="2"/>
  <c r="T189" i="2"/>
  <c r="K119" i="2"/>
  <c r="G119" i="2"/>
  <c r="D189" i="2"/>
  <c r="N189" i="2"/>
  <c r="K189" i="2"/>
  <c r="I189" i="2"/>
  <c r="S189" i="2"/>
  <c r="U189" i="2"/>
  <c r="X119" i="2"/>
  <c r="Q189" i="2"/>
  <c r="N119" i="2"/>
  <c r="B189" i="2"/>
  <c r="C119" i="2"/>
  <c r="G189" i="2"/>
  <c r="I11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54" i="1"/>
  <c r="EL55" i="1"/>
  <c r="EL67" i="1"/>
  <c r="EL65" i="1"/>
  <c r="EL68" i="1"/>
  <c r="EL69" i="1"/>
  <c r="EL66" i="1"/>
  <c r="H120" i="2"/>
  <c r="X190" i="2"/>
  <c r="F120" i="2"/>
  <c r="W120" i="2"/>
  <c r="S190" i="2"/>
  <c r="C190" i="2"/>
  <c r="T120" i="2"/>
  <c r="I190" i="2"/>
  <c r="D190" i="2"/>
  <c r="M190" i="2"/>
  <c r="E120" i="2"/>
  <c r="V120" i="2"/>
  <c r="W190" i="2"/>
  <c r="N190" i="2"/>
  <c r="K120" i="2"/>
  <c r="S120" i="2"/>
  <c r="R120" i="2"/>
  <c r="G190" i="2"/>
  <c r="J190" i="2"/>
  <c r="O120" i="2"/>
  <c r="C120" i="2"/>
  <c r="L190" i="2"/>
  <c r="Q120" i="2"/>
  <c r="D120" i="2"/>
  <c r="B120" i="2"/>
  <c r="Q190" i="2"/>
  <c r="I120" i="2"/>
  <c r="O190" i="2"/>
  <c r="B190" i="2"/>
  <c r="R190" i="2"/>
  <c r="M120" i="2"/>
  <c r="P120" i="2"/>
  <c r="E190" i="2"/>
  <c r="U120" i="2"/>
  <c r="H190" i="2"/>
  <c r="V190" i="2"/>
  <c r="T190" i="2"/>
  <c r="U190" i="2"/>
  <c r="P190" i="2"/>
  <c r="N120" i="2"/>
  <c r="K190" i="2"/>
  <c r="G120" i="2"/>
  <c r="J120" i="2"/>
  <c r="F190" i="2"/>
  <c r="L120" i="2"/>
  <c r="X12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EE65" i="1"/>
  <c r="DX65" i="1" s="1"/>
  <c r="EE55" i="1"/>
  <c r="DX55" i="1" s="1"/>
  <c r="EE66" i="1"/>
  <c r="DX66" i="1" s="1"/>
  <c r="EE67" i="1"/>
  <c r="DX67" i="1" s="1"/>
  <c r="EE68" i="1"/>
  <c r="DX68" i="1" s="1"/>
  <c r="EE69" i="1"/>
  <c r="DX69" i="1" s="1"/>
  <c r="EL83" i="1"/>
  <c r="EM43" i="1"/>
  <c r="EM68" i="1"/>
  <c r="EM67" i="1"/>
  <c r="EM55" i="1"/>
  <c r="EM69" i="1"/>
  <c r="EM54" i="1"/>
  <c r="EM65" i="1"/>
  <c r="EM66" i="1"/>
  <c r="W121" i="2"/>
  <c r="Q121" i="2"/>
  <c r="H121" i="2"/>
  <c r="R121" i="2"/>
  <c r="L121" i="2"/>
  <c r="M121" i="2"/>
  <c r="G121" i="2"/>
  <c r="B121" i="2"/>
  <c r="N121" i="2"/>
  <c r="X121" i="2"/>
  <c r="U121" i="2"/>
  <c r="V121" i="2"/>
  <c r="E121" i="2"/>
  <c r="F121" i="2"/>
  <c r="K121" i="2"/>
  <c r="S121" i="2"/>
  <c r="C121" i="2"/>
  <c r="I121" i="2"/>
  <c r="O121" i="2"/>
  <c r="T121" i="2"/>
  <c r="D121" i="2"/>
  <c r="P121" i="2"/>
  <c r="J121" i="2"/>
  <c r="BJ54" i="1" l="1"/>
  <c r="BJ66" i="1"/>
  <c r="BJ67" i="1"/>
  <c r="BJ69" i="1"/>
  <c r="BJ55" i="1"/>
  <c r="BJ68" i="1"/>
  <c r="BJ65" i="1"/>
  <c r="Y121" i="2"/>
  <c r="BG120" i="1" s="1"/>
  <c r="DG120" i="1"/>
  <c r="A121" i="1"/>
  <c r="A122" i="2" s="1"/>
  <c r="AZ120" i="1"/>
  <c r="F120" i="1"/>
  <c r="G120" i="1"/>
  <c r="EF54" i="1"/>
  <c r="DY54" i="1" s="1"/>
  <c r="BK54" i="1" s="1"/>
  <c r="EF65" i="1"/>
  <c r="DY65" i="1" s="1"/>
  <c r="BK65" i="1" s="1"/>
  <c r="EF55" i="1"/>
  <c r="DY55" i="1" s="1"/>
  <c r="BK55" i="1" s="1"/>
  <c r="EF66" i="1"/>
  <c r="DY66" i="1" s="1"/>
  <c r="BK66" i="1" s="1"/>
  <c r="EF67" i="1"/>
  <c r="DY67" i="1" s="1"/>
  <c r="BK67" i="1" s="1"/>
  <c r="EF68" i="1"/>
  <c r="DY68" i="1" s="1"/>
  <c r="BK68" i="1" s="1"/>
  <c r="EF69" i="1"/>
  <c r="DY69" i="1" s="1"/>
  <c r="BK69" i="1" s="1"/>
  <c r="EL135" i="1"/>
  <c r="EM135" i="1" s="1"/>
  <c r="EN135" i="1" s="1"/>
  <c r="EO135" i="1" s="1"/>
  <c r="EP135" i="1" s="1"/>
  <c r="EQ135" i="1" s="1"/>
  <c r="EM83" i="1"/>
  <c r="EN43" i="1"/>
  <c r="T122" i="2"/>
  <c r="B122" i="2"/>
  <c r="H122" i="2"/>
  <c r="J122" i="2"/>
  <c r="P122" i="2"/>
  <c r="N122" i="2"/>
  <c r="L122" i="2"/>
  <c r="U122" i="2"/>
  <c r="E122" i="2"/>
  <c r="F122" i="2"/>
  <c r="D122" i="2"/>
  <c r="Q122" i="2"/>
  <c r="C122" i="2"/>
  <c r="R122" i="2"/>
  <c r="O122" i="2"/>
  <c r="G122" i="2"/>
  <c r="V122" i="2"/>
  <c r="M122" i="2"/>
  <c r="X122" i="2"/>
  <c r="I122" i="2"/>
  <c r="W122" i="2"/>
  <c r="S122" i="2"/>
  <c r="K122" i="2"/>
  <c r="DR69" i="1" l="1"/>
  <c r="DR65" i="1"/>
  <c r="BQ54" i="1"/>
  <c r="EK69" i="1"/>
  <c r="EK55" i="1"/>
  <c r="BQ66" i="1"/>
  <c r="EK54" i="1"/>
  <c r="EK65" i="1"/>
  <c r="EK68" i="1"/>
  <c r="BQ67" i="1"/>
  <c r="EK66" i="1"/>
  <c r="EK67" i="1"/>
  <c r="BX55" i="1"/>
  <c r="CY55" i="1" s="1"/>
  <c r="BQ68" i="1"/>
  <c r="Y122" i="2"/>
  <c r="BG121" i="1" s="1"/>
  <c r="DG121" i="1"/>
  <c r="G121" i="1"/>
  <c r="A122" i="1"/>
  <c r="A123" i="2" s="1"/>
  <c r="AZ121" i="1"/>
  <c r="F121" i="1"/>
  <c r="BQ65" i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DR55" i="1"/>
  <c r="BQ69" i="1"/>
  <c r="BX69" i="1"/>
  <c r="BQ55" i="1"/>
  <c r="DR68" i="1"/>
  <c r="EN83" i="1"/>
  <c r="EO43" i="1"/>
  <c r="J123" i="2"/>
  <c r="O123" i="2"/>
  <c r="D123" i="2"/>
  <c r="U123" i="2"/>
  <c r="H123" i="2"/>
  <c r="P123" i="2"/>
  <c r="S123" i="2"/>
  <c r="R123" i="2"/>
  <c r="G123" i="2"/>
  <c r="N123" i="2"/>
  <c r="F123" i="2"/>
  <c r="V123" i="2"/>
  <c r="E123" i="2"/>
  <c r="T123" i="2"/>
  <c r="M123" i="2"/>
  <c r="K123" i="2"/>
  <c r="B123" i="2"/>
  <c r="L123" i="2"/>
  <c r="C123" i="2"/>
  <c r="X123" i="2"/>
  <c r="I123" i="2"/>
  <c r="W123" i="2"/>
  <c r="Q123" i="2"/>
  <c r="ET55" i="1" l="1"/>
  <c r="ET69" i="1"/>
  <c r="ET65" i="1"/>
  <c r="ET68" i="1"/>
  <c r="CW54" i="1"/>
  <c r="ET54" i="1"/>
  <c r="CW67" i="1"/>
  <c r="ET67" i="1"/>
  <c r="CW66" i="1"/>
  <c r="ET66" i="1"/>
  <c r="BR68" i="1"/>
  <c r="BR66" i="1"/>
  <c r="CW68" i="1"/>
  <c r="BR67" i="1"/>
  <c r="CW55" i="1"/>
  <c r="BR55" i="1"/>
  <c r="CW65" i="1"/>
  <c r="CW69" i="1"/>
  <c r="BR69" i="1"/>
  <c r="Y123" i="2"/>
  <c r="BG122" i="1" s="1"/>
  <c r="DG122" i="1"/>
  <c r="F122" i="1"/>
  <c r="A123" i="1"/>
  <c r="A124" i="2" s="1"/>
  <c r="AZ122" i="1"/>
  <c r="G122" i="1"/>
  <c r="BY69" i="1"/>
  <c r="BY55" i="1"/>
  <c r="BY66" i="1"/>
  <c r="BY68" i="1"/>
  <c r="BY67" i="1"/>
  <c r="CY66" i="1"/>
  <c r="CZ67" i="1" s="1"/>
  <c r="CZ55" i="1"/>
  <c r="CY69" i="1"/>
  <c r="CZ69" i="1" s="1"/>
  <c r="CZ68" i="1"/>
  <c r="EO83" i="1"/>
  <c r="EP43" i="1"/>
  <c r="S124" i="2"/>
  <c r="O124" i="2"/>
  <c r="D124" i="2"/>
  <c r="Q124" i="2"/>
  <c r="W124" i="2"/>
  <c r="E124" i="2"/>
  <c r="X124" i="2"/>
  <c r="C124" i="2"/>
  <c r="G124" i="2"/>
  <c r="F124" i="2"/>
  <c r="T124" i="2"/>
  <c r="J124" i="2"/>
  <c r="V124" i="2"/>
  <c r="N124" i="2"/>
  <c r="U124" i="2"/>
  <c r="K124" i="2"/>
  <c r="R124" i="2"/>
  <c r="M124" i="2"/>
  <c r="L124" i="2"/>
  <c r="I124" i="2"/>
  <c r="H124" i="2"/>
  <c r="P124" i="2"/>
  <c r="B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D125" i="2"/>
  <c r="J125" i="2"/>
  <c r="L125" i="2"/>
  <c r="B125" i="2"/>
  <c r="V125" i="2"/>
  <c r="U125" i="2"/>
  <c r="K125" i="2"/>
  <c r="G125" i="2"/>
  <c r="H125" i="2"/>
  <c r="C125" i="2"/>
  <c r="M125" i="2"/>
  <c r="O125" i="2"/>
  <c r="W125" i="2"/>
  <c r="F125" i="2"/>
  <c r="R125" i="2"/>
  <c r="X125" i="2"/>
  <c r="T125" i="2"/>
  <c r="S125" i="2"/>
  <c r="Q125" i="2"/>
  <c r="N125" i="2"/>
  <c r="P125" i="2"/>
  <c r="I125" i="2"/>
  <c r="E125" i="2"/>
  <c r="Y125" i="2" l="1"/>
  <c r="BG124" i="1" s="1"/>
  <c r="DG124" i="1"/>
  <c r="A125" i="1"/>
  <c r="A126" i="2" s="1"/>
  <c r="AZ124" i="1"/>
  <c r="F124" i="1"/>
  <c r="G124" i="1"/>
  <c r="EQ83" i="1"/>
  <c r="F126" i="2"/>
  <c r="R126" i="2"/>
  <c r="C126" i="2"/>
  <c r="D126" i="2"/>
  <c r="S126" i="2"/>
  <c r="H126" i="2"/>
  <c r="T126" i="2"/>
  <c r="X126" i="2"/>
  <c r="B126" i="2"/>
  <c r="L126" i="2"/>
  <c r="M126" i="2"/>
  <c r="G126" i="2"/>
  <c r="I126" i="2"/>
  <c r="J126" i="2"/>
  <c r="K126" i="2"/>
  <c r="V126" i="2"/>
  <c r="U126" i="2"/>
  <c r="E126" i="2"/>
  <c r="Q126" i="2"/>
  <c r="P126" i="2"/>
  <c r="W126" i="2"/>
  <c r="N126" i="2"/>
  <c r="O126" i="2"/>
  <c r="Y126" i="2" l="1"/>
  <c r="BG125" i="1" s="1"/>
  <c r="DG125" i="1"/>
  <c r="A126" i="1"/>
  <c r="A127" i="2" s="1"/>
  <c r="AZ125" i="1"/>
  <c r="G125" i="1"/>
  <c r="F125" i="1"/>
  <c r="F4" i="1"/>
  <c r="V127" i="2"/>
  <c r="X127" i="2"/>
  <c r="L127" i="2"/>
  <c r="J127" i="2"/>
  <c r="E127" i="2"/>
  <c r="T127" i="2"/>
  <c r="N127" i="2"/>
  <c r="G127" i="2"/>
  <c r="P127" i="2"/>
  <c r="W127" i="2"/>
  <c r="C127" i="2"/>
  <c r="H127" i="2"/>
  <c r="O127" i="2"/>
  <c r="D127" i="2"/>
  <c r="Q127" i="2"/>
  <c r="K127" i="2"/>
  <c r="B127" i="2"/>
  <c r="F127" i="2"/>
  <c r="S127" i="2"/>
  <c r="M127" i="2"/>
  <c r="I127" i="2"/>
  <c r="U127" i="2"/>
  <c r="R127" i="2"/>
  <c r="Y127" i="2" l="1"/>
  <c r="BG126" i="1" s="1"/>
  <c r="DG126" i="1"/>
  <c r="A127" i="1"/>
  <c r="A128" i="2" s="1"/>
  <c r="AZ126" i="1"/>
  <c r="F126" i="1"/>
  <c r="G126" i="1"/>
  <c r="A5" i="1"/>
  <c r="B128" i="2"/>
  <c r="R128" i="2"/>
  <c r="F128" i="2"/>
  <c r="V128" i="2"/>
  <c r="H128" i="2"/>
  <c r="O128" i="2"/>
  <c r="U128" i="2"/>
  <c r="C128" i="2"/>
  <c r="G128" i="2"/>
  <c r="W128" i="2"/>
  <c r="Q128" i="2"/>
  <c r="P128" i="2"/>
  <c r="L128" i="2"/>
  <c r="K128" i="2"/>
  <c r="E128" i="2"/>
  <c r="N128" i="2"/>
  <c r="T128" i="2"/>
  <c r="M128" i="2"/>
  <c r="X128" i="2"/>
  <c r="D128" i="2"/>
  <c r="J128" i="2"/>
  <c r="S128" i="2"/>
  <c r="I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Q6" i="2"/>
  <c r="T129" i="2"/>
  <c r="U129" i="2"/>
  <c r="B129" i="2"/>
  <c r="D129" i="2"/>
  <c r="W6" i="2"/>
  <c r="K129" i="2"/>
  <c r="F6" i="2"/>
  <c r="R129" i="2"/>
  <c r="X6" i="2"/>
  <c r="D6" i="2"/>
  <c r="U6" i="2"/>
  <c r="V129" i="2"/>
  <c r="J6" i="2"/>
  <c r="N129" i="2"/>
  <c r="W129" i="2"/>
  <c r="S129" i="2"/>
  <c r="R6" i="2"/>
  <c r="E129" i="2"/>
  <c r="K6" i="2"/>
  <c r="I129" i="2"/>
  <c r="V6" i="2"/>
  <c r="P129" i="2"/>
  <c r="O129" i="2"/>
  <c r="J129" i="2"/>
  <c r="F129" i="2"/>
  <c r="H6" i="2"/>
  <c r="G6" i="2"/>
  <c r="S6" i="2"/>
  <c r="C6" i="2"/>
  <c r="L129" i="2"/>
  <c r="X129" i="2"/>
  <c r="E6" i="2"/>
  <c r="N6" i="2"/>
  <c r="G129" i="2"/>
  <c r="T6" i="2"/>
  <c r="O6" i="2"/>
  <c r="I6" i="2"/>
  <c r="M6" i="2"/>
  <c r="M129" i="2"/>
  <c r="Q129" i="2"/>
  <c r="P6" i="2"/>
  <c r="C129" i="2"/>
  <c r="L6" i="2"/>
  <c r="H129" i="2"/>
  <c r="B6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E130" i="2"/>
  <c r="D130" i="2"/>
  <c r="L130" i="2"/>
  <c r="V7" i="2"/>
  <c r="R7" i="2"/>
  <c r="U7" i="2"/>
  <c r="W130" i="2"/>
  <c r="B130" i="2"/>
  <c r="K7" i="2"/>
  <c r="O7" i="2"/>
  <c r="T7" i="2"/>
  <c r="G130" i="2"/>
  <c r="M130" i="2"/>
  <c r="F130" i="2"/>
  <c r="C7" i="2"/>
  <c r="T130" i="2"/>
  <c r="U130" i="2"/>
  <c r="H130" i="2"/>
  <c r="F7" i="2"/>
  <c r="B7" i="2"/>
  <c r="O130" i="2"/>
  <c r="J130" i="2"/>
  <c r="L7" i="2"/>
  <c r="X7" i="2"/>
  <c r="S130" i="2"/>
  <c r="E7" i="2"/>
  <c r="W7" i="2"/>
  <c r="P7" i="2"/>
  <c r="X130" i="2"/>
  <c r="V130" i="2"/>
  <c r="R130" i="2"/>
  <c r="N7" i="2"/>
  <c r="C130" i="2"/>
  <c r="I130" i="2"/>
  <c r="I7" i="2"/>
  <c r="J7" i="2"/>
  <c r="D7" i="2"/>
  <c r="S7" i="2"/>
  <c r="K130" i="2"/>
  <c r="H7" i="2"/>
  <c r="P130" i="2"/>
  <c r="G7" i="2"/>
  <c r="Q7" i="2"/>
  <c r="M7" i="2"/>
  <c r="N130" i="2"/>
  <c r="Q130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O131" i="2"/>
  <c r="N8" i="2"/>
  <c r="H8" i="2"/>
  <c r="R8" i="2"/>
  <c r="I131" i="2"/>
  <c r="Q131" i="2"/>
  <c r="U8" i="2"/>
  <c r="B8" i="2"/>
  <c r="C131" i="2"/>
  <c r="S131" i="2"/>
  <c r="N131" i="2"/>
  <c r="K131" i="2"/>
  <c r="W8" i="2"/>
  <c r="F131" i="2"/>
  <c r="X8" i="2"/>
  <c r="T131" i="2"/>
  <c r="V131" i="2"/>
  <c r="G131" i="2"/>
  <c r="I8" i="2"/>
  <c r="E8" i="2"/>
  <c r="D131" i="2"/>
  <c r="E131" i="2"/>
  <c r="R131" i="2"/>
  <c r="U131" i="2"/>
  <c r="H131" i="2"/>
  <c r="F8" i="2"/>
  <c r="V8" i="2"/>
  <c r="P131" i="2"/>
  <c r="L131" i="2"/>
  <c r="D8" i="2"/>
  <c r="L8" i="2"/>
  <c r="J8" i="2"/>
  <c r="M8" i="2"/>
  <c r="M131" i="2"/>
  <c r="C8" i="2"/>
  <c r="J131" i="2"/>
  <c r="S8" i="2"/>
  <c r="K8" i="2"/>
  <c r="X131" i="2"/>
  <c r="B131" i="2"/>
  <c r="W131" i="2"/>
  <c r="G8" i="2"/>
  <c r="P8" i="2"/>
  <c r="T8" i="2"/>
  <c r="O8" i="2"/>
  <c r="Q8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D9" i="2"/>
  <c r="K9" i="2"/>
  <c r="J9" i="2"/>
  <c r="F9" i="2"/>
  <c r="X9" i="2"/>
  <c r="M9" i="2"/>
  <c r="L9" i="2"/>
  <c r="C9" i="2"/>
  <c r="G9" i="2"/>
  <c r="H9" i="2"/>
  <c r="W9" i="2"/>
  <c r="R9" i="2"/>
  <c r="O9" i="2"/>
  <c r="N9" i="2"/>
  <c r="T9" i="2"/>
  <c r="U9" i="2"/>
  <c r="S9" i="2"/>
  <c r="V9" i="2"/>
  <c r="B9" i="2"/>
  <c r="I9" i="2"/>
  <c r="E9" i="2"/>
  <c r="P9" i="2"/>
  <c r="Q9" i="2"/>
  <c r="Y9" i="2" l="1"/>
  <c r="BG8" i="1" s="1"/>
  <c r="AZ9" i="1"/>
  <c r="A10" i="2"/>
  <c r="DG9" i="1"/>
  <c r="F9" i="1"/>
  <c r="A10" i="1"/>
  <c r="I10" i="2"/>
  <c r="L10" i="2"/>
  <c r="V10" i="2"/>
  <c r="D10" i="2"/>
  <c r="O10" i="2"/>
  <c r="H10" i="2"/>
  <c r="X10" i="2"/>
  <c r="C10" i="2"/>
  <c r="R10" i="2"/>
  <c r="F10" i="2"/>
  <c r="Q10" i="2"/>
  <c r="W10" i="2"/>
  <c r="T10" i="2"/>
  <c r="S10" i="2"/>
  <c r="E10" i="2"/>
  <c r="J10" i="2"/>
  <c r="N10" i="2"/>
  <c r="G10" i="2"/>
  <c r="B10" i="2"/>
  <c r="U10" i="2"/>
  <c r="K10" i="2"/>
  <c r="M10" i="2"/>
  <c r="P10" i="2"/>
  <c r="Y10" i="2" l="1"/>
  <c r="BG9" i="1" s="1"/>
  <c r="AZ10" i="1"/>
  <c r="A11" i="2"/>
  <c r="DG10" i="1"/>
  <c r="F10" i="1"/>
  <c r="A11" i="1"/>
  <c r="L11" i="2"/>
  <c r="O11" i="2"/>
  <c r="W11" i="2"/>
  <c r="M11" i="2"/>
  <c r="S11" i="2"/>
  <c r="Q11" i="2"/>
  <c r="B11" i="2"/>
  <c r="I11" i="2"/>
  <c r="E11" i="2"/>
  <c r="T11" i="2"/>
  <c r="N11" i="2"/>
  <c r="R11" i="2"/>
  <c r="X11" i="2"/>
  <c r="F11" i="2"/>
  <c r="H11" i="2"/>
  <c r="G11" i="2"/>
  <c r="C11" i="2"/>
  <c r="J11" i="2"/>
  <c r="K11" i="2"/>
  <c r="P11" i="2"/>
  <c r="D11" i="2"/>
  <c r="U11" i="2"/>
  <c r="V11" i="2"/>
  <c r="Y11" i="2" l="1"/>
  <c r="BG10" i="1" s="1"/>
  <c r="AZ11" i="1"/>
  <c r="A12" i="2"/>
  <c r="DG11" i="1"/>
  <c r="F11" i="1"/>
  <c r="A12" i="1"/>
  <c r="D12" i="2"/>
  <c r="L12" i="2"/>
  <c r="X12" i="2"/>
  <c r="R12" i="2"/>
  <c r="O12" i="2"/>
  <c r="M12" i="2"/>
  <c r="V12" i="2"/>
  <c r="U12" i="2"/>
  <c r="F12" i="2"/>
  <c r="P12" i="2"/>
  <c r="J12" i="2"/>
  <c r="Q12" i="2"/>
  <c r="S12" i="2"/>
  <c r="N12" i="2"/>
  <c r="G12" i="2"/>
  <c r="E12" i="2"/>
  <c r="W12" i="2"/>
  <c r="K12" i="2"/>
  <c r="T12" i="2"/>
  <c r="B12" i="2"/>
  <c r="I12" i="2"/>
  <c r="C12" i="2"/>
  <c r="H12" i="2"/>
  <c r="Y12" i="2" l="1"/>
  <c r="BG11" i="1" s="1"/>
  <c r="AZ12" i="1"/>
  <c r="A13" i="2"/>
  <c r="DG12" i="1"/>
  <c r="F12" i="1"/>
  <c r="A13" i="1"/>
  <c r="N13" i="2"/>
  <c r="C13" i="2"/>
  <c r="J13" i="2"/>
  <c r="B13" i="2"/>
  <c r="I13" i="2"/>
  <c r="E13" i="2"/>
  <c r="L13" i="2"/>
  <c r="R13" i="2"/>
  <c r="K13" i="2"/>
  <c r="D13" i="2"/>
  <c r="F13" i="2"/>
  <c r="V13" i="2"/>
  <c r="X13" i="2"/>
  <c r="H13" i="2"/>
  <c r="P13" i="2"/>
  <c r="G13" i="2"/>
  <c r="Q13" i="2"/>
  <c r="M13" i="2"/>
  <c r="O13" i="2"/>
  <c r="T13" i="2"/>
  <c r="S13" i="2"/>
  <c r="U13" i="2"/>
  <c r="W13" i="2"/>
  <c r="Y13" i="2" l="1"/>
  <c r="BG12" i="1" s="1"/>
  <c r="AZ13" i="1"/>
  <c r="A14" i="2"/>
  <c r="DG13" i="1"/>
  <c r="F13" i="1"/>
  <c r="A14" i="1"/>
  <c r="H14" i="2"/>
  <c r="D14" i="2"/>
  <c r="P14" i="2"/>
  <c r="Q14" i="2"/>
  <c r="V14" i="2"/>
  <c r="C14" i="2"/>
  <c r="U14" i="2"/>
  <c r="N14" i="2"/>
  <c r="L14" i="2"/>
  <c r="G14" i="2"/>
  <c r="R14" i="2"/>
  <c r="M14" i="2"/>
  <c r="W14" i="2"/>
  <c r="T14" i="2"/>
  <c r="O14" i="2"/>
  <c r="F14" i="2"/>
  <c r="S14" i="2"/>
  <c r="I14" i="2"/>
  <c r="E14" i="2"/>
  <c r="K14" i="2"/>
  <c r="J14" i="2"/>
  <c r="B14" i="2"/>
  <c r="X14" i="2"/>
  <c r="Y14" i="2" l="1"/>
  <c r="BG13" i="1" s="1"/>
  <c r="AZ14" i="1"/>
  <c r="A15" i="2"/>
  <c r="DG14" i="1"/>
  <c r="F14" i="1"/>
  <c r="A15" i="1"/>
  <c r="P15" i="2"/>
  <c r="C15" i="2"/>
  <c r="G15" i="2"/>
  <c r="O15" i="2"/>
  <c r="Q15" i="2"/>
  <c r="T15" i="2"/>
  <c r="E15" i="2"/>
  <c r="J15" i="2"/>
  <c r="V15" i="2"/>
  <c r="M15" i="2"/>
  <c r="F15" i="2"/>
  <c r="W15" i="2"/>
  <c r="L15" i="2"/>
  <c r="H15" i="2"/>
  <c r="R15" i="2"/>
  <c r="X15" i="2"/>
  <c r="I15" i="2"/>
  <c r="S15" i="2"/>
  <c r="B15" i="2"/>
  <c r="D15" i="2"/>
  <c r="K15" i="2"/>
  <c r="N15" i="2"/>
  <c r="U15" i="2"/>
  <c r="Y15" i="2" l="1"/>
  <c r="BG14" i="1" s="1"/>
  <c r="AZ15" i="1"/>
  <c r="A16" i="2"/>
  <c r="DG15" i="1"/>
  <c r="F15" i="1"/>
  <c r="A16" i="1"/>
  <c r="U16" i="2"/>
  <c r="H16" i="2"/>
  <c r="L16" i="2"/>
  <c r="W16" i="2"/>
  <c r="C16" i="2"/>
  <c r="O16" i="2"/>
  <c r="B16" i="2"/>
  <c r="X16" i="2"/>
  <c r="P16" i="2"/>
  <c r="M16" i="2"/>
  <c r="S16" i="2"/>
  <c r="R16" i="2"/>
  <c r="D16" i="2"/>
  <c r="E16" i="2"/>
  <c r="G16" i="2"/>
  <c r="I16" i="2"/>
  <c r="J16" i="2"/>
  <c r="T16" i="2"/>
  <c r="V16" i="2"/>
  <c r="K16" i="2"/>
  <c r="N16" i="2"/>
  <c r="F16" i="2"/>
  <c r="Q16" i="2"/>
  <c r="Y16" i="2" l="1"/>
  <c r="BG15" i="1" s="1"/>
  <c r="AZ16" i="1"/>
  <c r="A17" i="2"/>
  <c r="DG16" i="1"/>
  <c r="F16" i="1"/>
  <c r="A17" i="1"/>
  <c r="X17" i="2"/>
  <c r="P17" i="2"/>
  <c r="F17" i="2"/>
  <c r="W17" i="2"/>
  <c r="H17" i="2"/>
  <c r="R17" i="2"/>
  <c r="L17" i="2"/>
  <c r="K17" i="2"/>
  <c r="B17" i="2"/>
  <c r="E17" i="2"/>
  <c r="S17" i="2"/>
  <c r="Q17" i="2"/>
  <c r="G17" i="2"/>
  <c r="J17" i="2"/>
  <c r="V17" i="2"/>
  <c r="D17" i="2"/>
  <c r="N17" i="2"/>
  <c r="C17" i="2"/>
  <c r="I17" i="2"/>
  <c r="O17" i="2"/>
  <c r="M17" i="2"/>
  <c r="T17" i="2"/>
  <c r="U17" i="2"/>
  <c r="Y17" i="2" l="1"/>
  <c r="BG16" i="1" s="1"/>
  <c r="AZ17" i="1"/>
  <c r="A18" i="2"/>
  <c r="DG17" i="1"/>
  <c r="F17" i="1"/>
  <c r="A18" i="1"/>
  <c r="T18" i="2"/>
  <c r="K18" i="2"/>
  <c r="H18" i="2"/>
  <c r="N18" i="2"/>
  <c r="E18" i="2"/>
  <c r="B18" i="2"/>
  <c r="Q18" i="2"/>
  <c r="M18" i="2"/>
  <c r="R18" i="2"/>
  <c r="C18" i="2"/>
  <c r="D18" i="2"/>
  <c r="P18" i="2"/>
  <c r="X18" i="2"/>
  <c r="V18" i="2"/>
  <c r="G18" i="2"/>
  <c r="L18" i="2"/>
  <c r="O18" i="2"/>
  <c r="J18" i="2"/>
  <c r="I18" i="2"/>
  <c r="W18" i="2"/>
  <c r="U18" i="2"/>
  <c r="F18" i="2"/>
  <c r="S18" i="2"/>
  <c r="Y18" i="2" l="1"/>
  <c r="BG17" i="1" s="1"/>
  <c r="AZ18" i="1"/>
  <c r="A19" i="2"/>
  <c r="DG18" i="1"/>
  <c r="F18" i="1"/>
  <c r="A19" i="1"/>
  <c r="Q19" i="2"/>
  <c r="I19" i="2"/>
  <c r="F19" i="2"/>
  <c r="M19" i="2"/>
  <c r="X19" i="2"/>
  <c r="C19" i="2"/>
  <c r="G19" i="2"/>
  <c r="N19" i="2"/>
  <c r="W19" i="2"/>
  <c r="T19" i="2"/>
  <c r="O19" i="2"/>
  <c r="E19" i="2"/>
  <c r="P19" i="2"/>
  <c r="R19" i="2"/>
  <c r="H19" i="2"/>
  <c r="S19" i="2"/>
  <c r="J19" i="2"/>
  <c r="U19" i="2"/>
  <c r="L19" i="2"/>
  <c r="K19" i="2"/>
  <c r="V19" i="2"/>
  <c r="D19" i="2"/>
  <c r="B19" i="2"/>
  <c r="Y19" i="2" l="1"/>
  <c r="BG18" i="1" s="1"/>
  <c r="AZ19" i="1"/>
  <c r="A20" i="2"/>
  <c r="DG19" i="1"/>
  <c r="F19" i="1"/>
  <c r="A20" i="1"/>
  <c r="Q20" i="2"/>
  <c r="N20" i="2"/>
  <c r="K20" i="2"/>
  <c r="U20" i="2"/>
  <c r="J20" i="2"/>
  <c r="I20" i="2"/>
  <c r="B20" i="2"/>
  <c r="E20" i="2"/>
  <c r="M20" i="2"/>
  <c r="S20" i="2"/>
  <c r="D20" i="2"/>
  <c r="P20" i="2"/>
  <c r="G20" i="2"/>
  <c r="O20" i="2"/>
  <c r="F20" i="2"/>
  <c r="W20" i="2"/>
  <c r="H20" i="2"/>
  <c r="V20" i="2"/>
  <c r="C20" i="2"/>
  <c r="X20" i="2"/>
  <c r="R20" i="2"/>
  <c r="T20" i="2"/>
  <c r="L20" i="2"/>
  <c r="Y20" i="2" l="1"/>
  <c r="BG19" i="1" s="1"/>
  <c r="AZ20" i="1"/>
  <c r="A21" i="2"/>
  <c r="DG20" i="1"/>
  <c r="F20" i="1"/>
  <c r="A21" i="1"/>
  <c r="R21" i="2"/>
  <c r="K21" i="2"/>
  <c r="U21" i="2"/>
  <c r="F21" i="2"/>
  <c r="S21" i="2"/>
  <c r="M21" i="2"/>
  <c r="E21" i="2"/>
  <c r="L21" i="2"/>
  <c r="T21" i="2"/>
  <c r="D21" i="2"/>
  <c r="C21" i="2"/>
  <c r="V21" i="2"/>
  <c r="Q21" i="2"/>
  <c r="J21" i="2"/>
  <c r="G21" i="2"/>
  <c r="X21" i="2"/>
  <c r="I21" i="2"/>
  <c r="H21" i="2"/>
  <c r="P21" i="2"/>
  <c r="N21" i="2"/>
  <c r="B21" i="2"/>
  <c r="W21" i="2"/>
  <c r="O21" i="2"/>
  <c r="Y21" i="2" l="1"/>
  <c r="BG20" i="1" s="1"/>
  <c r="AZ21" i="1"/>
  <c r="A22" i="2"/>
  <c r="DG21" i="1"/>
  <c r="F21" i="1"/>
  <c r="A22" i="1"/>
  <c r="C22" i="2"/>
  <c r="U22" i="2"/>
  <c r="D22" i="2"/>
  <c r="O22" i="2"/>
  <c r="Q22" i="2"/>
  <c r="V22" i="2"/>
  <c r="H22" i="2"/>
  <c r="G22" i="2"/>
  <c r="M22" i="2"/>
  <c r="L22" i="2"/>
  <c r="W22" i="2"/>
  <c r="T22" i="2"/>
  <c r="R22" i="2"/>
  <c r="S22" i="2"/>
  <c r="N22" i="2"/>
  <c r="X22" i="2"/>
  <c r="I22" i="2"/>
  <c r="B22" i="2"/>
  <c r="F22" i="2"/>
  <c r="K22" i="2"/>
  <c r="E22" i="2"/>
  <c r="P22" i="2"/>
  <c r="J22" i="2"/>
  <c r="Y22" i="2" l="1"/>
  <c r="BG21" i="1" s="1"/>
  <c r="AZ22" i="1"/>
  <c r="A23" i="2"/>
  <c r="DG22" i="1"/>
  <c r="F22" i="1"/>
  <c r="A23" i="1"/>
  <c r="W23" i="2"/>
  <c r="I23" i="2"/>
  <c r="L23" i="2"/>
  <c r="U23" i="2"/>
  <c r="F23" i="2"/>
  <c r="N23" i="2"/>
  <c r="O23" i="2"/>
  <c r="E23" i="2"/>
  <c r="K23" i="2"/>
  <c r="T23" i="2"/>
  <c r="X23" i="2"/>
  <c r="P23" i="2"/>
  <c r="V23" i="2"/>
  <c r="C23" i="2"/>
  <c r="B23" i="2"/>
  <c r="Q23" i="2"/>
  <c r="S23" i="2"/>
  <c r="M23" i="2"/>
  <c r="G23" i="2"/>
  <c r="J23" i="2"/>
  <c r="H23" i="2"/>
  <c r="D23" i="2"/>
  <c r="R23" i="2"/>
  <c r="Y23" i="2" l="1"/>
  <c r="BG22" i="1" s="1"/>
  <c r="AZ23" i="1"/>
  <c r="A24" i="2"/>
  <c r="DG23" i="1"/>
  <c r="F23" i="1"/>
  <c r="A24" i="1"/>
  <c r="B24" i="2"/>
  <c r="W24" i="2"/>
  <c r="X24" i="2"/>
  <c r="M24" i="2"/>
  <c r="N24" i="2"/>
  <c r="Q24" i="2"/>
  <c r="F24" i="2"/>
  <c r="E24" i="2"/>
  <c r="H24" i="2"/>
  <c r="J24" i="2"/>
  <c r="V24" i="2"/>
  <c r="U24" i="2"/>
  <c r="O24" i="2"/>
  <c r="K24" i="2"/>
  <c r="R24" i="2"/>
  <c r="G24" i="2"/>
  <c r="C24" i="2"/>
  <c r="L24" i="2"/>
  <c r="T24" i="2"/>
  <c r="D24" i="2"/>
  <c r="P24" i="2"/>
  <c r="S24" i="2"/>
  <c r="I24" i="2"/>
  <c r="Y24" i="2" l="1"/>
  <c r="BG23" i="1" s="1"/>
  <c r="AZ24" i="1"/>
  <c r="A25" i="2"/>
  <c r="DG24" i="1"/>
  <c r="F24" i="1"/>
  <c r="A25" i="1"/>
  <c r="G25" i="2"/>
  <c r="E25" i="2"/>
  <c r="C25" i="2"/>
  <c r="S25" i="2"/>
  <c r="W25" i="2"/>
  <c r="T25" i="2"/>
  <c r="H25" i="2"/>
  <c r="N25" i="2"/>
  <c r="X25" i="2"/>
  <c r="I25" i="2"/>
  <c r="K25" i="2"/>
  <c r="Q25" i="2"/>
  <c r="F25" i="2"/>
  <c r="M25" i="2"/>
  <c r="V25" i="2"/>
  <c r="U25" i="2"/>
  <c r="R25" i="2"/>
  <c r="B25" i="2"/>
  <c r="L25" i="2"/>
  <c r="D25" i="2"/>
  <c r="J25" i="2"/>
  <c r="P25" i="2"/>
  <c r="O25" i="2"/>
  <c r="Y25" i="2" l="1"/>
  <c r="BG24" i="1" s="1"/>
  <c r="AZ25" i="1"/>
  <c r="A26" i="2"/>
  <c r="DG25" i="1"/>
  <c r="F25" i="1"/>
  <c r="A26" i="1"/>
  <c r="BA106" i="1"/>
  <c r="BB86" i="1"/>
  <c r="BB106" i="1"/>
  <c r="BB104" i="1"/>
  <c r="BB90" i="1"/>
  <c r="BA98" i="1"/>
  <c r="BA110" i="1"/>
  <c r="BA117" i="1"/>
  <c r="BB119" i="1"/>
  <c r="BA105" i="1"/>
  <c r="BB128" i="1"/>
  <c r="BB127" i="1"/>
  <c r="BA108" i="1"/>
  <c r="BB102" i="1"/>
  <c r="BB85" i="1"/>
  <c r="BB97" i="1"/>
  <c r="BA104" i="1"/>
  <c r="BB103" i="1"/>
  <c r="BA125" i="1"/>
  <c r="BA96" i="1"/>
  <c r="BA99" i="1"/>
  <c r="BA109" i="1"/>
  <c r="BA126" i="1"/>
  <c r="BA123" i="1"/>
  <c r="BB124" i="1"/>
  <c r="BA119" i="1"/>
  <c r="BA107" i="1"/>
  <c r="BA100" i="1"/>
  <c r="BA129" i="1"/>
  <c r="BB96" i="1"/>
  <c r="BA101" i="1"/>
  <c r="BA93" i="1"/>
  <c r="BB93" i="1"/>
  <c r="BB105" i="1"/>
  <c r="BB87" i="1"/>
  <c r="BA103" i="1"/>
  <c r="BB98" i="1"/>
  <c r="BB101" i="1"/>
  <c r="BB99" i="1"/>
  <c r="BA94" i="1"/>
  <c r="BA122" i="1"/>
  <c r="BB126" i="1"/>
  <c r="BA114" i="1"/>
  <c r="BB116" i="1"/>
  <c r="BB122" i="1"/>
  <c r="BB130" i="1"/>
  <c r="BB120" i="1"/>
  <c r="BB125" i="1"/>
  <c r="BA120" i="1"/>
  <c r="BA112" i="1"/>
  <c r="BB88" i="1"/>
  <c r="CD161" i="1"/>
  <c r="BB114" i="1"/>
  <c r="CD163" i="1"/>
  <c r="BB129" i="1"/>
  <c r="BA118" i="1"/>
  <c r="BB121" i="1"/>
  <c r="BA163" i="1"/>
  <c r="BA111" i="1"/>
  <c r="BB89" i="1"/>
  <c r="BB109" i="1"/>
  <c r="BB92" i="1"/>
  <c r="BA95" i="1"/>
  <c r="BB91" i="1"/>
  <c r="BB111" i="1"/>
  <c r="BB112" i="1"/>
  <c r="BB110" i="1"/>
  <c r="BA97" i="1"/>
  <c r="BA124" i="1"/>
  <c r="BB94" i="1"/>
  <c r="BB100" i="1"/>
  <c r="BA127" i="1"/>
  <c r="BA121" i="1"/>
  <c r="CD162" i="1"/>
  <c r="BA116" i="1"/>
  <c r="BB115" i="1"/>
  <c r="BB118" i="1"/>
  <c r="CD165" i="1"/>
  <c r="BB123" i="1"/>
  <c r="CD164" i="1"/>
  <c r="BA115" i="1"/>
  <c r="BB108" i="1"/>
  <c r="BA102" i="1"/>
  <c r="BB95" i="1"/>
  <c r="BA128" i="1"/>
  <c r="BA113" i="1"/>
  <c r="BB117" i="1"/>
  <c r="BA168" i="1"/>
  <c r="BB107" i="1"/>
  <c r="CD168" i="1"/>
  <c r="BB113" i="1"/>
  <c r="EN138" i="1"/>
  <c r="EO148" i="1"/>
  <c r="EO149" i="1"/>
  <c r="AU186" i="1"/>
  <c r="AU185" i="1"/>
  <c r="BC103" i="1"/>
  <c r="BC107" i="1"/>
  <c r="EN189" i="1"/>
  <c r="EO151" i="1"/>
  <c r="AX176" i="1"/>
  <c r="AX170" i="1"/>
  <c r="EN184" i="1"/>
  <c r="EN181" i="1"/>
  <c r="EN182" i="1"/>
  <c r="EO154" i="1"/>
  <c r="AV147" i="1"/>
  <c r="EO145" i="1"/>
  <c r="BD90" i="1"/>
  <c r="BC127" i="1"/>
  <c r="AV143" i="1"/>
  <c r="EO155" i="1"/>
  <c r="AU180" i="1"/>
  <c r="AU181" i="1"/>
  <c r="EO141" i="1"/>
  <c r="BC101" i="1"/>
  <c r="EO173" i="1"/>
  <c r="BD87" i="1"/>
  <c r="AV172" i="1"/>
  <c r="AV141" i="1"/>
  <c r="AU184" i="1"/>
  <c r="BC95" i="1"/>
  <c r="BC92" i="1"/>
  <c r="R26" i="2"/>
  <c r="H26" i="2"/>
  <c r="X26" i="2"/>
  <c r="S26" i="2"/>
  <c r="W26" i="2"/>
  <c r="K26" i="2"/>
  <c r="EN186" i="1"/>
  <c r="AV144" i="1"/>
  <c r="BC118" i="1"/>
  <c r="BC129" i="1"/>
  <c r="BD85" i="1"/>
  <c r="EO156" i="1"/>
  <c r="BC114" i="1"/>
  <c r="EN137" i="1"/>
  <c r="J26" i="2"/>
  <c r="C26" i="2"/>
  <c r="EN183" i="1"/>
  <c r="AV156" i="1"/>
  <c r="BD88" i="1"/>
  <c r="BD89" i="1"/>
  <c r="AV173" i="1"/>
  <c r="EO147" i="1"/>
  <c r="BC100" i="1"/>
  <c r="BC96" i="1"/>
  <c r="EN180" i="1"/>
  <c r="EO157" i="1"/>
  <c r="BC116" i="1"/>
  <c r="BD92" i="1"/>
  <c r="AX172" i="1"/>
  <c r="AU182" i="1"/>
  <c r="AV149" i="1"/>
  <c r="AU140" i="1"/>
  <c r="BD86" i="1"/>
  <c r="EN188" i="1"/>
  <c r="BC91" i="1"/>
  <c r="EO146" i="1"/>
  <c r="BD91" i="1"/>
  <c r="BC104" i="1"/>
  <c r="BC126" i="1"/>
  <c r="AU177" i="1"/>
  <c r="AV153" i="1"/>
  <c r="EO152" i="1"/>
  <c r="AU179" i="1"/>
  <c r="BC97" i="1"/>
  <c r="AU187" i="1"/>
  <c r="BC125" i="1"/>
  <c r="EO150" i="1"/>
  <c r="AX173" i="1"/>
  <c r="AV145" i="1"/>
  <c r="EO143" i="1"/>
  <c r="U26" i="2"/>
  <c r="D26" i="2"/>
  <c r="T26" i="2"/>
  <c r="Q26" i="2"/>
  <c r="P26" i="2"/>
  <c r="B26" i="2"/>
  <c r="AU178" i="1"/>
  <c r="BC122" i="1"/>
  <c r="BC117" i="1"/>
  <c r="EO144" i="1"/>
  <c r="AV155" i="1"/>
  <c r="AV146" i="1"/>
  <c r="EO153" i="1"/>
  <c r="BC99" i="1"/>
  <c r="AX175" i="1"/>
  <c r="M26" i="2"/>
  <c r="I26" i="2"/>
  <c r="BF168" i="1"/>
  <c r="AU139" i="1"/>
  <c r="AV150" i="1"/>
  <c r="EN140" i="1"/>
  <c r="BC123" i="1"/>
  <c r="BC108" i="1"/>
  <c r="BC98" i="1"/>
  <c r="BC93" i="1"/>
  <c r="BC128" i="1"/>
  <c r="AV151" i="1"/>
  <c r="AV154" i="1"/>
  <c r="AX174" i="1"/>
  <c r="BC124" i="1"/>
  <c r="BC109" i="1"/>
  <c r="AV157" i="1"/>
  <c r="AU183" i="1"/>
  <c r="BC105" i="1"/>
  <c r="EN185" i="1"/>
  <c r="EO172" i="1"/>
  <c r="BF163" i="1"/>
  <c r="BC130" i="1"/>
  <c r="BC115" i="1"/>
  <c r="EN187" i="1"/>
  <c r="BC110" i="1"/>
  <c r="EN178" i="1"/>
  <c r="EN139" i="1"/>
  <c r="EN179" i="1"/>
  <c r="BC120" i="1"/>
  <c r="BC106" i="1"/>
  <c r="EO142" i="1"/>
  <c r="AX169" i="1"/>
  <c r="BC113" i="1"/>
  <c r="BC119" i="1"/>
  <c r="BC94" i="1"/>
  <c r="N26" i="2"/>
  <c r="E26" i="2"/>
  <c r="O26" i="2"/>
  <c r="V26" i="2"/>
  <c r="F26" i="2"/>
  <c r="AV152" i="1"/>
  <c r="BC121" i="1"/>
  <c r="BC111" i="1"/>
  <c r="AV142" i="1"/>
  <c r="EN177" i="1"/>
  <c r="BC102" i="1"/>
  <c r="AV148" i="1"/>
  <c r="AX171" i="1"/>
  <c r="BC112" i="1"/>
  <c r="G26" i="2"/>
  <c r="L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Q27" i="2"/>
  <c r="G27" i="2"/>
  <c r="P27" i="2"/>
  <c r="F27" i="2"/>
  <c r="I27" i="2"/>
  <c r="H27" i="2"/>
  <c r="S27" i="2"/>
  <c r="V27" i="2"/>
  <c r="O27" i="2"/>
  <c r="J27" i="2"/>
  <c r="T27" i="2"/>
  <c r="W27" i="2"/>
  <c r="K27" i="2"/>
  <c r="N27" i="2"/>
  <c r="B27" i="2"/>
  <c r="M27" i="2"/>
  <c r="R27" i="2"/>
  <c r="U27" i="2"/>
  <c r="X27" i="2"/>
  <c r="L27" i="2"/>
  <c r="C27" i="2"/>
  <c r="E27" i="2"/>
  <c r="D27" i="2"/>
  <c r="Y27" i="2" l="1"/>
  <c r="BG26" i="1" s="1"/>
  <c r="AZ27" i="1"/>
  <c r="A28" i="2"/>
  <c r="DG27" i="1"/>
  <c r="F27" i="1"/>
  <c r="A28" i="1"/>
  <c r="V28" i="2"/>
  <c r="EO176" i="1"/>
  <c r="BE168" i="1"/>
  <c r="EN173" i="1"/>
  <c r="EO165" i="1"/>
  <c r="EN163" i="1"/>
  <c r="EO167" i="1"/>
  <c r="EO171" i="1"/>
  <c r="EN170" i="1"/>
  <c r="EN174" i="1"/>
  <c r="EO162" i="1"/>
  <c r="EN167" i="1"/>
  <c r="M28" i="2"/>
  <c r="N28" i="2"/>
  <c r="K28" i="2"/>
  <c r="X28" i="2"/>
  <c r="Q28" i="2"/>
  <c r="B28" i="2"/>
  <c r="EN158" i="1"/>
  <c r="EO161" i="1"/>
  <c r="EN160" i="1"/>
  <c r="EO169" i="1"/>
  <c r="EN172" i="1"/>
  <c r="U28" i="2"/>
  <c r="R28" i="2"/>
  <c r="O28" i="2"/>
  <c r="EO175" i="1"/>
  <c r="EN162" i="1"/>
  <c r="EO166" i="1"/>
  <c r="EO159" i="1"/>
  <c r="P28" i="2"/>
  <c r="I28" i="2"/>
  <c r="BE163" i="1"/>
  <c r="EN175" i="1"/>
  <c r="EO160" i="1"/>
  <c r="EN169" i="1"/>
  <c r="EN159" i="1"/>
  <c r="EO164" i="1"/>
  <c r="EN165" i="1"/>
  <c r="EN164" i="1"/>
  <c r="EN171" i="1"/>
  <c r="EN161" i="1"/>
  <c r="C28" i="2"/>
  <c r="W28" i="2"/>
  <c r="L28" i="2"/>
  <c r="G28" i="2"/>
  <c r="H28" i="2"/>
  <c r="EO158" i="1"/>
  <c r="EN176" i="1"/>
  <c r="EN166" i="1"/>
  <c r="EO170" i="1"/>
  <c r="S28" i="2"/>
  <c r="T28" i="2"/>
  <c r="D28" i="2"/>
  <c r="EN168" i="1"/>
  <c r="EO163" i="1"/>
  <c r="EO174" i="1"/>
  <c r="EO168" i="1"/>
  <c r="J28" i="2"/>
  <c r="E28" i="2"/>
  <c r="F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CE162" i="1"/>
  <c r="AS117" i="1"/>
  <c r="AS100" i="1"/>
  <c r="AS93" i="1"/>
  <c r="BB168" i="1"/>
  <c r="CD116" i="1"/>
  <c r="CD115" i="1"/>
  <c r="CD97" i="1"/>
  <c r="AS114" i="1"/>
  <c r="AS108" i="1"/>
  <c r="CD120" i="1"/>
  <c r="CD114" i="1"/>
  <c r="AS103" i="1"/>
  <c r="CD103" i="1"/>
  <c r="CD104" i="1"/>
  <c r="CD93" i="1"/>
  <c r="AS96" i="1"/>
  <c r="CE94" i="1"/>
  <c r="BA88" i="1"/>
  <c r="BB49" i="1"/>
  <c r="AT52" i="1"/>
  <c r="AT112" i="1"/>
  <c r="AT123" i="1"/>
  <c r="CD70" i="1"/>
  <c r="AT64" i="1"/>
  <c r="AS127" i="1"/>
  <c r="AT114" i="1"/>
  <c r="CE105" i="1"/>
  <c r="EL52" i="1"/>
  <c r="CE123" i="1"/>
  <c r="AT49" i="1"/>
  <c r="BA56" i="1"/>
  <c r="CE70" i="1"/>
  <c r="AT105" i="1"/>
  <c r="AT120" i="1"/>
  <c r="BB53" i="1"/>
  <c r="AT107" i="1"/>
  <c r="AT122" i="1"/>
  <c r="AS126" i="1"/>
  <c r="CE121" i="1"/>
  <c r="CD71" i="1"/>
  <c r="AS50" i="1"/>
  <c r="CE127" i="1"/>
  <c r="CD127" i="1"/>
  <c r="CE100" i="1"/>
  <c r="CD62" i="1"/>
  <c r="CD87" i="1"/>
  <c r="AT113" i="1"/>
  <c r="AT129" i="1"/>
  <c r="CE126" i="1"/>
  <c r="CE87" i="1"/>
  <c r="EM50" i="1"/>
  <c r="AS123" i="1"/>
  <c r="BB51" i="1"/>
  <c r="AS90" i="1"/>
  <c r="CE118" i="1"/>
  <c r="BB50" i="1"/>
  <c r="EL56" i="1"/>
  <c r="EL51" i="1"/>
  <c r="CD51" i="1"/>
  <c r="CE92" i="1"/>
  <c r="CE52" i="1"/>
  <c r="CD53" i="1"/>
  <c r="AT91" i="1"/>
  <c r="AT104" i="1"/>
  <c r="BB163" i="1"/>
  <c r="CE164" i="1"/>
  <c r="CD96" i="1"/>
  <c r="CD94" i="1"/>
  <c r="CD119" i="1"/>
  <c r="AS99" i="1"/>
  <c r="CD112" i="1"/>
  <c r="CD109" i="1"/>
  <c r="CD121" i="1"/>
  <c r="CD105" i="1"/>
  <c r="AS118" i="1"/>
  <c r="CD101" i="1"/>
  <c r="AS111" i="1"/>
  <c r="AS110" i="1"/>
  <c r="CD110" i="1"/>
  <c r="CD122" i="1"/>
  <c r="CD85" i="1"/>
  <c r="CD117" i="1"/>
  <c r="CD124" i="1"/>
  <c r="BB52" i="1"/>
  <c r="EM51" i="1"/>
  <c r="AS64" i="1"/>
  <c r="CE115" i="1"/>
  <c r="BA50" i="1"/>
  <c r="CE88" i="1"/>
  <c r="CE112" i="1"/>
  <c r="AT89" i="1"/>
  <c r="CD129" i="1"/>
  <c r="AT111" i="1"/>
  <c r="AT106" i="1"/>
  <c r="EM52" i="1"/>
  <c r="EM56" i="1"/>
  <c r="BA90" i="1"/>
  <c r="AT98" i="1"/>
  <c r="AS53" i="1"/>
  <c r="AT115" i="1"/>
  <c r="BA53" i="1"/>
  <c r="AS51" i="1"/>
  <c r="AT92" i="1"/>
  <c r="AS87" i="1"/>
  <c r="AS124" i="1"/>
  <c r="AT96" i="1"/>
  <c r="CE85" i="1"/>
  <c r="CE51" i="1"/>
  <c r="BA52" i="1"/>
  <c r="CD86" i="1"/>
  <c r="AT99" i="1"/>
  <c r="CD89" i="1"/>
  <c r="CD123" i="1"/>
  <c r="AT103" i="1"/>
  <c r="AT109" i="1"/>
  <c r="AT108" i="1"/>
  <c r="CE49" i="1"/>
  <c r="AT127" i="1"/>
  <c r="AT50" i="1"/>
  <c r="CE97" i="1"/>
  <c r="CE106" i="1"/>
  <c r="CE108" i="1"/>
  <c r="CD125" i="1"/>
  <c r="CD126" i="1"/>
  <c r="AS128" i="1"/>
  <c r="BA86" i="1"/>
  <c r="AS56" i="1"/>
  <c r="AT102" i="1"/>
  <c r="CE125" i="1"/>
  <c r="CE163" i="1"/>
  <c r="CD118" i="1"/>
  <c r="CD98" i="1"/>
  <c r="AS107" i="1"/>
  <c r="CD99" i="1"/>
  <c r="AS109" i="1"/>
  <c r="CD100" i="1"/>
  <c r="CD113" i="1"/>
  <c r="AS121" i="1"/>
  <c r="AS113" i="1"/>
  <c r="AS98" i="1"/>
  <c r="AS115" i="1"/>
  <c r="AS94" i="1"/>
  <c r="CD102" i="1"/>
  <c r="AS106" i="1"/>
  <c r="AS116" i="1"/>
  <c r="AT130" i="1"/>
  <c r="CE96" i="1"/>
  <c r="AT93" i="1"/>
  <c r="AT119" i="1"/>
  <c r="CE86" i="1"/>
  <c r="AS89" i="1"/>
  <c r="AT97" i="1"/>
  <c r="CD50" i="1"/>
  <c r="AT128" i="1"/>
  <c r="AT53" i="1"/>
  <c r="CE111" i="1"/>
  <c r="CD91" i="1"/>
  <c r="AT51" i="1"/>
  <c r="AT94" i="1"/>
  <c r="CE116" i="1"/>
  <c r="CE89" i="1"/>
  <c r="CE53" i="1"/>
  <c r="CE99" i="1"/>
  <c r="CE62" i="1"/>
  <c r="CE130" i="1"/>
  <c r="BA64" i="1"/>
  <c r="CE64" i="1"/>
  <c r="CE71" i="1"/>
  <c r="CE113" i="1"/>
  <c r="AS86" i="1"/>
  <c r="CE117" i="1"/>
  <c r="CE107" i="1"/>
  <c r="AS63" i="1"/>
  <c r="AS91" i="1"/>
  <c r="CD92" i="1"/>
  <c r="AT87" i="1"/>
  <c r="CE128" i="1"/>
  <c r="CE120" i="1"/>
  <c r="CE104" i="1"/>
  <c r="CE114" i="1"/>
  <c r="BA89" i="1"/>
  <c r="CE102" i="1"/>
  <c r="EL49" i="1"/>
  <c r="AS88" i="1"/>
  <c r="AT124" i="1"/>
  <c r="CE122" i="1"/>
  <c r="AT88" i="1"/>
  <c r="CD64" i="1"/>
  <c r="CD130" i="1"/>
  <c r="CE95" i="1"/>
  <c r="AT126" i="1"/>
  <c r="CD52" i="1"/>
  <c r="AT110" i="1"/>
  <c r="CE50" i="1"/>
  <c r="CE165" i="1"/>
  <c r="AS122" i="1"/>
  <c r="CD95" i="1"/>
  <c r="AS97" i="1"/>
  <c r="AS101" i="1"/>
  <c r="CD108" i="1"/>
  <c r="AS119" i="1"/>
  <c r="AS120" i="1"/>
  <c r="CD106" i="1"/>
  <c r="AS104" i="1"/>
  <c r="AS95" i="1"/>
  <c r="AS105" i="1"/>
  <c r="CD111" i="1"/>
  <c r="CE168" i="1"/>
  <c r="CD107" i="1"/>
  <c r="AS112" i="1"/>
  <c r="AS102" i="1"/>
  <c r="AS49" i="1"/>
  <c r="BA92" i="1"/>
  <c r="AT90" i="1"/>
  <c r="BB56" i="1"/>
  <c r="CE91" i="1"/>
  <c r="EM53" i="1"/>
  <c r="CE63" i="1"/>
  <c r="AT117" i="1"/>
  <c r="CE56" i="1"/>
  <c r="AT70" i="1"/>
  <c r="AT100" i="1"/>
  <c r="CE90" i="1"/>
  <c r="CE101" i="1"/>
  <c r="BA51" i="1"/>
  <c r="CE103" i="1"/>
  <c r="CE161" i="1"/>
  <c r="AS125" i="1"/>
  <c r="AT56" i="1"/>
  <c r="CD49" i="1"/>
  <c r="BB64" i="1"/>
  <c r="CD88" i="1"/>
  <c r="EL50" i="1"/>
  <c r="CE93" i="1"/>
  <c r="CD63" i="1"/>
  <c r="BA87" i="1"/>
  <c r="CE124" i="1"/>
  <c r="AT116" i="1"/>
  <c r="CD56" i="1"/>
  <c r="CE109" i="1"/>
  <c r="AT125" i="1"/>
  <c r="CE129" i="1"/>
  <c r="AT118" i="1"/>
  <c r="AT95" i="1"/>
  <c r="AS130" i="1"/>
  <c r="AS92" i="1"/>
  <c r="EL53" i="1"/>
  <c r="CD128" i="1"/>
  <c r="AT86" i="1"/>
  <c r="CE98" i="1"/>
  <c r="AT101" i="1"/>
  <c r="AT121" i="1"/>
  <c r="CE110" i="1"/>
  <c r="CD90" i="1"/>
  <c r="EM49" i="1"/>
  <c r="AS52" i="1"/>
  <c r="CE119" i="1"/>
  <c r="BA91" i="1"/>
  <c r="AS129" i="1"/>
  <c r="BA49" i="1"/>
  <c r="CH118" i="1"/>
  <c r="CI117" i="1"/>
  <c r="CH97" i="1"/>
  <c r="CG99" i="1"/>
  <c r="CG123" i="1"/>
  <c r="CI104" i="1"/>
  <c r="CI111" i="1"/>
  <c r="CG109" i="1"/>
  <c r="CG103" i="1"/>
  <c r="CF96" i="1"/>
  <c r="CG112" i="1"/>
  <c r="CH130" i="1"/>
  <c r="CG118" i="1"/>
  <c r="CG128" i="1"/>
  <c r="CI89" i="1"/>
  <c r="BC168" i="1"/>
  <c r="CI87" i="1"/>
  <c r="CI110" i="1"/>
  <c r="CH117" i="1"/>
  <c r="CI105" i="1"/>
  <c r="CG98" i="1"/>
  <c r="BD168" i="1"/>
  <c r="CG114" i="1"/>
  <c r="CF129" i="1"/>
  <c r="CF107" i="1"/>
  <c r="CI86" i="1"/>
  <c r="CI126" i="1"/>
  <c r="CF93" i="1"/>
  <c r="CG121" i="1"/>
  <c r="CH124" i="1"/>
  <c r="CI94" i="1"/>
  <c r="CI119" i="1"/>
  <c r="CG97" i="1"/>
  <c r="CF116" i="1"/>
  <c r="CF112" i="1"/>
  <c r="CH90" i="1"/>
  <c r="CH111" i="1"/>
  <c r="CF110" i="1"/>
  <c r="CG96" i="1"/>
  <c r="CF111" i="1"/>
  <c r="CH126" i="1"/>
  <c r="CI130" i="1"/>
  <c r="CF125" i="1"/>
  <c r="CF113" i="1"/>
  <c r="BF56" i="1"/>
  <c r="EQ56" i="1"/>
  <c r="AU170" i="1"/>
  <c r="DF164" i="1"/>
  <c r="DF166" i="1"/>
  <c r="BE125" i="1"/>
  <c r="BF93" i="1"/>
  <c r="AX151" i="1"/>
  <c r="EQ183" i="1"/>
  <c r="DE122" i="1"/>
  <c r="DA105" i="1"/>
  <c r="DE98" i="1"/>
  <c r="EP163" i="1"/>
  <c r="AX100" i="1"/>
  <c r="BF118" i="1"/>
  <c r="EQ184" i="1"/>
  <c r="BF86" i="1"/>
  <c r="DB163" i="1"/>
  <c r="DF162" i="1"/>
  <c r="BF85" i="1"/>
  <c r="DA114" i="1"/>
  <c r="AW161" i="1"/>
  <c r="DE94" i="1"/>
  <c r="BF64" i="1"/>
  <c r="EQ178" i="1"/>
  <c r="BF105" i="1"/>
  <c r="BF98" i="1"/>
  <c r="BE126" i="1"/>
  <c r="EP166" i="1"/>
  <c r="AW175" i="1"/>
  <c r="DF137" i="1"/>
  <c r="DD137" i="1"/>
  <c r="DE119" i="1"/>
  <c r="EP167" i="1"/>
  <c r="EQ74" i="1"/>
  <c r="BF100" i="1"/>
  <c r="AU143" i="1"/>
  <c r="DC95" i="1"/>
  <c r="DA103" i="1"/>
  <c r="BF122" i="1"/>
  <c r="AX90" i="1"/>
  <c r="BE130" i="1"/>
  <c r="AX114" i="1"/>
  <c r="DE100" i="1"/>
  <c r="DA94" i="1"/>
  <c r="DC98" i="1"/>
  <c r="AX94" i="1"/>
  <c r="DD167" i="1"/>
  <c r="BF121" i="1"/>
  <c r="DE102" i="1"/>
  <c r="AX97" i="1"/>
  <c r="DA109" i="1"/>
  <c r="AW92" i="1"/>
  <c r="AX178" i="1"/>
  <c r="BE113" i="1"/>
  <c r="AU118" i="1"/>
  <c r="BE121" i="1"/>
  <c r="EQ49" i="1"/>
  <c r="EQ45" i="1"/>
  <c r="EO188" i="1"/>
  <c r="DA100" i="1"/>
  <c r="CI102" i="1"/>
  <c r="CI100" i="1"/>
  <c r="CH119" i="1"/>
  <c r="CH107" i="1"/>
  <c r="CH109" i="1"/>
  <c r="CH98" i="1"/>
  <c r="CF119" i="1"/>
  <c r="CG125" i="1"/>
  <c r="CG107" i="1"/>
  <c r="CF124" i="1"/>
  <c r="CI124" i="1"/>
  <c r="CI114" i="1"/>
  <c r="CI120" i="1"/>
  <c r="CG115" i="1"/>
  <c r="CF117" i="1"/>
  <c r="CI122" i="1"/>
  <c r="CH104" i="1"/>
  <c r="CH88" i="1"/>
  <c r="CH87" i="1"/>
  <c r="CH91" i="1"/>
  <c r="CG110" i="1"/>
  <c r="CI125" i="1"/>
  <c r="CG95" i="1"/>
  <c r="CG100" i="1"/>
  <c r="CI101" i="1"/>
  <c r="CI123" i="1"/>
  <c r="CG126" i="1"/>
  <c r="CI121" i="1"/>
  <c r="CI91" i="1"/>
  <c r="CI109" i="1"/>
  <c r="CI112" i="1"/>
  <c r="CG116" i="1"/>
  <c r="CF94" i="1"/>
  <c r="CH85" i="1"/>
  <c r="CF126" i="1"/>
  <c r="CF103" i="1"/>
  <c r="CF118" i="1"/>
  <c r="CH123" i="1"/>
  <c r="CI127" i="1"/>
  <c r="CH116" i="1"/>
  <c r="CF122" i="1"/>
  <c r="EQ71" i="1"/>
  <c r="EQ185" i="1"/>
  <c r="AX148" i="1"/>
  <c r="AU171" i="1"/>
  <c r="DC106" i="1"/>
  <c r="DD164" i="1"/>
  <c r="AX122" i="1"/>
  <c r="CI71" i="1"/>
  <c r="EP164" i="1"/>
  <c r="DA108" i="1"/>
  <c r="DA102" i="1"/>
  <c r="DA107" i="1"/>
  <c r="DE99" i="1"/>
  <c r="EQ145" i="1"/>
  <c r="EQ187" i="1"/>
  <c r="BF117" i="1"/>
  <c r="AV158" i="1"/>
  <c r="DE93" i="1"/>
  <c r="EQ60" i="1"/>
  <c r="DC114" i="1"/>
  <c r="EN142" i="1"/>
  <c r="DB168" i="1"/>
  <c r="AX113" i="1"/>
  <c r="CI64" i="1"/>
  <c r="BF126" i="1"/>
  <c r="AW115" i="1"/>
  <c r="EP161" i="1"/>
  <c r="EQ51" i="1"/>
  <c r="AX96" i="1"/>
  <c r="EQ189" i="1"/>
  <c r="DE105" i="1"/>
  <c r="DE106" i="1"/>
  <c r="CH161" i="1"/>
  <c r="EQ47" i="1"/>
  <c r="AX185" i="1"/>
  <c r="BF92" i="1"/>
  <c r="DD179" i="1"/>
  <c r="DC120" i="1"/>
  <c r="AX150" i="1"/>
  <c r="EQ75" i="1"/>
  <c r="AX89" i="1"/>
  <c r="CI52" i="1"/>
  <c r="BF49" i="1"/>
  <c r="AW127" i="1"/>
  <c r="DC97" i="1"/>
  <c r="AX116" i="1"/>
  <c r="BF120" i="1"/>
  <c r="EP162" i="1"/>
  <c r="DB167" i="1"/>
  <c r="EQ169" i="1"/>
  <c r="AW93" i="1"/>
  <c r="CH50" i="1"/>
  <c r="CF52" i="1"/>
  <c r="BF52" i="1"/>
  <c r="CI63" i="1"/>
  <c r="AX56" i="1"/>
  <c r="DC115" i="1"/>
  <c r="DE104" i="1"/>
  <c r="EQ141" i="1"/>
  <c r="EP160" i="1"/>
  <c r="AW167" i="1"/>
  <c r="EQ142" i="1"/>
  <c r="DA119" i="1"/>
  <c r="DE120" i="1"/>
  <c r="EQ72" i="1"/>
  <c r="AW119" i="1"/>
  <c r="EP174" i="1"/>
  <c r="BF50" i="1"/>
  <c r="DD171" i="1"/>
  <c r="BE122" i="1"/>
  <c r="DB169" i="1"/>
  <c r="EQ61" i="1"/>
  <c r="DA104" i="1"/>
  <c r="DF170" i="1"/>
  <c r="AX87" i="1"/>
  <c r="EP49" i="1"/>
  <c r="BF112" i="1"/>
  <c r="AW85" i="1"/>
  <c r="BE53" i="1"/>
  <c r="BF99" i="1"/>
  <c r="AX51" i="1"/>
  <c r="EQ180" i="1"/>
  <c r="DC117" i="1"/>
  <c r="DA96" i="1"/>
  <c r="EQ148" i="1"/>
  <c r="BF91" i="1"/>
  <c r="CH121" i="1"/>
  <c r="CH127" i="1"/>
  <c r="CH120" i="1"/>
  <c r="CI129" i="1"/>
  <c r="CI106" i="1"/>
  <c r="CI103" i="1"/>
  <c r="CI108" i="1"/>
  <c r="CF97" i="1"/>
  <c r="CG104" i="1"/>
  <c r="CF100" i="1"/>
  <c r="CG120" i="1"/>
  <c r="CI98" i="1"/>
  <c r="CG127" i="1"/>
  <c r="CH103" i="1"/>
  <c r="CH115" i="1"/>
  <c r="CH128" i="1"/>
  <c r="CI118" i="1"/>
  <c r="CH129" i="1"/>
  <c r="CF115" i="1"/>
  <c r="CF130" i="1"/>
  <c r="CF120" i="1"/>
  <c r="CI128" i="1"/>
  <c r="CF99" i="1"/>
  <c r="CF109" i="1"/>
  <c r="CF123" i="1"/>
  <c r="CF105" i="1"/>
  <c r="CH86" i="1"/>
  <c r="CF101" i="1"/>
  <c r="CF104" i="1"/>
  <c r="CI95" i="1"/>
  <c r="CI85" i="1"/>
  <c r="CI88" i="1"/>
  <c r="CH94" i="1"/>
  <c r="CH112" i="1"/>
  <c r="CH96" i="1"/>
  <c r="CH108" i="1"/>
  <c r="CF95" i="1"/>
  <c r="CF102" i="1"/>
  <c r="BC163" i="1"/>
  <c r="CG105" i="1"/>
  <c r="CI92" i="1"/>
  <c r="CH110" i="1"/>
  <c r="CH89" i="1"/>
  <c r="CG119" i="1"/>
  <c r="BE129" i="1"/>
  <c r="BE128" i="1"/>
  <c r="AX149" i="1"/>
  <c r="DA113" i="1"/>
  <c r="DE113" i="1"/>
  <c r="DC94" i="1"/>
  <c r="BE120" i="1"/>
  <c r="BE123" i="1"/>
  <c r="CI62" i="1"/>
  <c r="AW173" i="1"/>
  <c r="DC104" i="1"/>
  <c r="DB176" i="1"/>
  <c r="AW163" i="1"/>
  <c r="AX120" i="1"/>
  <c r="AX188" i="1"/>
  <c r="BF89" i="1"/>
  <c r="EQ70" i="1"/>
  <c r="DB137" i="1"/>
  <c r="DF139" i="1"/>
  <c r="AX117" i="1"/>
  <c r="EQ186" i="1"/>
  <c r="BF94" i="1"/>
  <c r="BE127" i="1"/>
  <c r="DA93" i="1"/>
  <c r="AW140" i="1"/>
  <c r="AW150" i="1"/>
  <c r="AW129" i="1"/>
  <c r="CI56" i="1"/>
  <c r="CH165" i="1"/>
  <c r="BF53" i="1"/>
  <c r="DB179" i="1"/>
  <c r="DB165" i="1"/>
  <c r="DA116" i="1"/>
  <c r="BF51" i="1"/>
  <c r="EQ152" i="1"/>
  <c r="AW122" i="1"/>
  <c r="CI50" i="1"/>
  <c r="DC118" i="1"/>
  <c r="EQ143" i="1"/>
  <c r="BF102" i="1"/>
  <c r="AX86" i="1"/>
  <c r="CH162" i="1"/>
  <c r="DF171" i="1"/>
  <c r="DE121" i="1"/>
  <c r="DA97" i="1"/>
  <c r="DB178" i="1"/>
  <c r="AW123" i="1"/>
  <c r="AW125" i="1"/>
  <c r="DF138" i="1"/>
  <c r="DE96" i="1"/>
  <c r="AU176" i="1"/>
  <c r="BE85" i="1"/>
  <c r="EP59" i="1"/>
  <c r="EP58" i="1"/>
  <c r="AX102" i="1"/>
  <c r="AX99" i="1"/>
  <c r="AW165" i="1"/>
  <c r="AU169" i="1"/>
  <c r="CF168" i="1"/>
  <c r="CI96" i="1"/>
  <c r="CI93" i="1"/>
  <c r="CI97" i="1"/>
  <c r="CG129" i="1"/>
  <c r="CF127" i="1"/>
  <c r="CH113" i="1"/>
  <c r="CH100" i="1"/>
  <c r="CF128" i="1"/>
  <c r="CF121" i="1"/>
  <c r="CG111" i="1"/>
  <c r="CG102" i="1"/>
  <c r="CI116" i="1"/>
  <c r="CH92" i="1"/>
  <c r="CG117" i="1"/>
  <c r="CI113" i="1"/>
  <c r="CH122" i="1"/>
  <c r="CI99" i="1"/>
  <c r="CH105" i="1"/>
  <c r="CG113" i="1"/>
  <c r="CI107" i="1"/>
  <c r="CF114" i="1"/>
  <c r="CH114" i="1"/>
  <c r="CF106" i="1"/>
  <c r="CF98" i="1"/>
  <c r="CG130" i="1"/>
  <c r="CG94" i="1"/>
  <c r="CH101" i="1"/>
  <c r="CG108" i="1"/>
  <c r="CI115" i="1"/>
  <c r="CI90" i="1"/>
  <c r="CH95" i="1"/>
  <c r="CH99" i="1"/>
  <c r="CH93" i="1"/>
  <c r="CH106" i="1"/>
  <c r="CH102" i="1"/>
  <c r="CF108" i="1"/>
  <c r="CG124" i="1"/>
  <c r="CG122" i="1"/>
  <c r="CH125" i="1"/>
  <c r="CG93" i="1"/>
  <c r="CG101" i="1"/>
  <c r="CG106" i="1"/>
  <c r="CI51" i="1"/>
  <c r="AX88" i="1"/>
  <c r="AX146" i="1"/>
  <c r="DC113" i="1"/>
  <c r="DC96" i="1"/>
  <c r="DC101" i="1"/>
  <c r="AX186" i="1"/>
  <c r="AX121" i="1"/>
  <c r="AW126" i="1"/>
  <c r="EO189" i="1"/>
  <c r="DA118" i="1"/>
  <c r="DC121" i="1"/>
  <c r="DD139" i="1"/>
  <c r="AX50" i="1"/>
  <c r="AX152" i="1"/>
  <c r="CH163" i="1"/>
  <c r="CI49" i="1"/>
  <c r="EQ79" i="1"/>
  <c r="DC107" i="1"/>
  <c r="AX140" i="1"/>
  <c r="DE112" i="1"/>
  <c r="DC116" i="1"/>
  <c r="DA98" i="1"/>
  <c r="DA112" i="1"/>
  <c r="AW98" i="1"/>
  <c r="AX104" i="1"/>
  <c r="EQ64" i="1"/>
  <c r="BF116" i="1"/>
  <c r="EQ147" i="1"/>
  <c r="BE118" i="1"/>
  <c r="DB170" i="1"/>
  <c r="BF96" i="1"/>
  <c r="AW172" i="1"/>
  <c r="AX189" i="1"/>
  <c r="EQ149" i="1"/>
  <c r="DC102" i="1"/>
  <c r="EQ188" i="1"/>
  <c r="EQ182" i="1"/>
  <c r="EP172" i="1"/>
  <c r="EQ151" i="1"/>
  <c r="DD163" i="1"/>
  <c r="DB138" i="1"/>
  <c r="EQ57" i="1"/>
  <c r="DE116" i="1"/>
  <c r="DD138" i="1"/>
  <c r="AX182" i="1"/>
  <c r="BE103" i="1"/>
  <c r="AW178" i="1"/>
  <c r="AW189" i="1"/>
  <c r="BE108" i="1"/>
  <c r="AW160" i="1"/>
  <c r="EQ53" i="1"/>
  <c r="EQ146" i="1"/>
  <c r="BF87" i="1"/>
  <c r="DC119" i="1"/>
  <c r="BF88" i="1"/>
  <c r="EQ140" i="1"/>
  <c r="AX85" i="1"/>
  <c r="DA101" i="1"/>
  <c r="AX92" i="1"/>
  <c r="BF90" i="1"/>
  <c r="BE124" i="1"/>
  <c r="BF101" i="1"/>
  <c r="DA117" i="1"/>
  <c r="DD176" i="1"/>
  <c r="DA122" i="1"/>
  <c r="DF163" i="1"/>
  <c r="DE95" i="1"/>
  <c r="DD166" i="1"/>
  <c r="AW144" i="1"/>
  <c r="BE64" i="1"/>
  <c r="AW159" i="1"/>
  <c r="AX53" i="1"/>
  <c r="EQ62" i="1"/>
  <c r="AW130" i="1"/>
  <c r="AU141" i="1"/>
  <c r="DB166" i="1"/>
  <c r="DF168" i="1"/>
  <c r="DC110" i="1"/>
  <c r="AX143" i="1"/>
  <c r="AW118" i="1"/>
  <c r="DF176" i="1"/>
  <c r="AX180" i="1"/>
  <c r="AX187" i="1"/>
  <c r="DA121" i="1"/>
  <c r="DE114" i="1"/>
  <c r="AX181" i="1"/>
  <c r="EP165" i="1"/>
  <c r="DC99" i="1"/>
  <c r="DD162" i="1"/>
  <c r="DE97" i="1"/>
  <c r="EN141" i="1"/>
  <c r="AW120" i="1"/>
  <c r="AX127" i="1"/>
  <c r="AW141" i="1"/>
  <c r="EP175" i="1"/>
  <c r="EQ76" i="1"/>
  <c r="EQ150" i="1"/>
  <c r="AX118" i="1"/>
  <c r="DD177" i="1"/>
  <c r="DE101" i="1"/>
  <c r="EQ63" i="1"/>
  <c r="AW124" i="1"/>
  <c r="CH164" i="1"/>
  <c r="AU142" i="1"/>
  <c r="AW170" i="1"/>
  <c r="AW88" i="1"/>
  <c r="AU109" i="1"/>
  <c r="EO183" i="1"/>
  <c r="EP137" i="1"/>
  <c r="BE49" i="1"/>
  <c r="AW50" i="1"/>
  <c r="BF125" i="1"/>
  <c r="EQ137" i="1"/>
  <c r="AV181" i="1"/>
  <c r="BC52" i="1"/>
  <c r="AW101" i="1"/>
  <c r="AW96" i="1"/>
  <c r="AW183" i="1"/>
  <c r="AW56" i="1"/>
  <c r="BE99" i="1"/>
  <c r="AU128" i="1"/>
  <c r="AU91" i="1"/>
  <c r="EP180" i="1"/>
  <c r="EP184" i="1"/>
  <c r="EP144" i="1"/>
  <c r="BF109" i="1"/>
  <c r="AW146" i="1"/>
  <c r="BE88" i="1"/>
  <c r="AV177" i="1"/>
  <c r="AV102" i="1"/>
  <c r="AV187" i="1"/>
  <c r="EN53" i="1"/>
  <c r="AU123" i="1"/>
  <c r="AV159" i="1"/>
  <c r="DA115" i="1"/>
  <c r="DC112" i="1"/>
  <c r="BE95" i="1"/>
  <c r="BD108" i="1"/>
  <c r="DC187" i="1"/>
  <c r="CG52" i="1"/>
  <c r="EP77" i="1"/>
  <c r="EP62" i="1"/>
  <c r="EP75" i="1"/>
  <c r="AW64" i="1"/>
  <c r="CF86" i="1"/>
  <c r="BD95" i="1"/>
  <c r="EP47" i="1"/>
  <c r="AX112" i="1"/>
  <c r="EQ171" i="1"/>
  <c r="AW155" i="1"/>
  <c r="AV92" i="1"/>
  <c r="EQ158" i="1"/>
  <c r="BD103" i="1"/>
  <c r="EP61" i="1"/>
  <c r="AX156" i="1"/>
  <c r="EP170" i="1"/>
  <c r="BE112" i="1"/>
  <c r="AV111" i="1"/>
  <c r="AU88" i="1"/>
  <c r="BE87" i="1"/>
  <c r="CF164" i="1"/>
  <c r="DA127" i="1"/>
  <c r="DE186" i="1"/>
  <c r="AU166" i="1"/>
  <c r="AU115" i="1"/>
  <c r="AU172" i="1"/>
  <c r="AU89" i="1"/>
  <c r="DA106" i="1"/>
  <c r="DC100" i="1"/>
  <c r="DE118" i="1"/>
  <c r="AW106" i="1"/>
  <c r="CH70" i="1"/>
  <c r="BE104" i="1"/>
  <c r="EO138" i="1"/>
  <c r="AW139" i="1"/>
  <c r="BE93" i="1"/>
  <c r="AX163" i="1"/>
  <c r="AV140" i="1"/>
  <c r="EP79" i="1"/>
  <c r="AV171" i="1"/>
  <c r="AX123" i="1"/>
  <c r="BE56" i="1"/>
  <c r="EP51" i="1"/>
  <c r="EP145" i="1"/>
  <c r="CG63" i="1"/>
  <c r="EN51" i="1"/>
  <c r="AV186" i="1"/>
  <c r="EQ165" i="1"/>
  <c r="BF128" i="1"/>
  <c r="BF127" i="1"/>
  <c r="AW104" i="1"/>
  <c r="AU51" i="1"/>
  <c r="AX139" i="1"/>
  <c r="DD184" i="1"/>
  <c r="DF100" i="1"/>
  <c r="DA144" i="1"/>
  <c r="AV85" i="1"/>
  <c r="AU107" i="1"/>
  <c r="DC122" i="1"/>
  <c r="AX183" i="1"/>
  <c r="DE111" i="1"/>
  <c r="AX101" i="1"/>
  <c r="EQ144" i="1"/>
  <c r="DF167" i="1"/>
  <c r="DF178" i="1"/>
  <c r="CI53" i="1"/>
  <c r="EQ181" i="1"/>
  <c r="DF179" i="1"/>
  <c r="AU168" i="1"/>
  <c r="CH53" i="1"/>
  <c r="AX106" i="1"/>
  <c r="AX115" i="1"/>
  <c r="AW166" i="1"/>
  <c r="DC108" i="1"/>
  <c r="DB162" i="1"/>
  <c r="BE119" i="1"/>
  <c r="AW121" i="1"/>
  <c r="DE107" i="1"/>
  <c r="DE108" i="1"/>
  <c r="DC105" i="1"/>
  <c r="EQ48" i="1"/>
  <c r="EQ59" i="1"/>
  <c r="DA99" i="1"/>
  <c r="AX70" i="1"/>
  <c r="AX179" i="1"/>
  <c r="AX164" i="1"/>
  <c r="AW185" i="1"/>
  <c r="AV183" i="1"/>
  <c r="AW112" i="1"/>
  <c r="BE52" i="1"/>
  <c r="AW188" i="1"/>
  <c r="AX168" i="1"/>
  <c r="CG50" i="1"/>
  <c r="BC90" i="1"/>
  <c r="EP186" i="1"/>
  <c r="EP46" i="1"/>
  <c r="EP71" i="1"/>
  <c r="EP76" i="1"/>
  <c r="AX167" i="1"/>
  <c r="EO177" i="1"/>
  <c r="DA158" i="1"/>
  <c r="AU164" i="1"/>
  <c r="EP178" i="1"/>
  <c r="AW91" i="1"/>
  <c r="BE86" i="1"/>
  <c r="EP60" i="1"/>
  <c r="CG92" i="1"/>
  <c r="EP176" i="1"/>
  <c r="AV114" i="1"/>
  <c r="BD116" i="1"/>
  <c r="DB126" i="1"/>
  <c r="DE179" i="1"/>
  <c r="DB171" i="1"/>
  <c r="AW162" i="1"/>
  <c r="EP189" i="1"/>
  <c r="EP63" i="1"/>
  <c r="AV169" i="1"/>
  <c r="AU174" i="1"/>
  <c r="EN64" i="1"/>
  <c r="AW110" i="1"/>
  <c r="CH168" i="1"/>
  <c r="AX109" i="1"/>
  <c r="AV104" i="1"/>
  <c r="AV174" i="1"/>
  <c r="AU124" i="1"/>
  <c r="EP72" i="1"/>
  <c r="EP156" i="1"/>
  <c r="EP153" i="1"/>
  <c r="BE114" i="1"/>
  <c r="AW154" i="1"/>
  <c r="EP154" i="1"/>
  <c r="AU102" i="1"/>
  <c r="BE96" i="1"/>
  <c r="EQ167" i="1"/>
  <c r="AW97" i="1"/>
  <c r="AX155" i="1"/>
  <c r="EN151" i="1"/>
  <c r="EO73" i="1"/>
  <c r="AV170" i="1"/>
  <c r="CI161" i="1"/>
  <c r="DB85" i="1"/>
  <c r="DE73" i="1"/>
  <c r="EN154" i="1"/>
  <c r="AU93" i="1"/>
  <c r="AX98" i="1"/>
  <c r="DD168" i="1"/>
  <c r="AX52" i="1"/>
  <c r="DC109" i="1"/>
  <c r="BF106" i="1"/>
  <c r="BD124" i="1"/>
  <c r="BC49" i="1"/>
  <c r="AX166" i="1"/>
  <c r="AW179" i="1"/>
  <c r="CH49" i="1"/>
  <c r="BE91" i="1"/>
  <c r="CG85" i="1"/>
  <c r="EN70" i="1"/>
  <c r="AU144" i="1"/>
  <c r="EP182" i="1"/>
  <c r="AW107" i="1"/>
  <c r="EP53" i="1"/>
  <c r="BE115" i="1"/>
  <c r="BE116" i="1"/>
  <c r="CG87" i="1"/>
  <c r="CG51" i="1"/>
  <c r="EP142" i="1"/>
  <c r="CH56" i="1"/>
  <c r="EP70" i="1"/>
  <c r="AV125" i="1"/>
  <c r="AV50" i="1"/>
  <c r="EO59" i="1"/>
  <c r="AX95" i="1"/>
  <c r="EQ46" i="1"/>
  <c r="BF119" i="1"/>
  <c r="EQ58" i="1"/>
  <c r="DB177" i="1"/>
  <c r="AX184" i="1"/>
  <c r="DC103" i="1"/>
  <c r="AX126" i="1"/>
  <c r="EP169" i="1"/>
  <c r="EQ52" i="1"/>
  <c r="EN143" i="1"/>
  <c r="DC111" i="1"/>
  <c r="EQ77" i="1"/>
  <c r="CI70" i="1"/>
  <c r="DA111" i="1"/>
  <c r="DA120" i="1"/>
  <c r="DD178" i="1"/>
  <c r="DA110" i="1"/>
  <c r="EQ78" i="1"/>
  <c r="EQ50" i="1"/>
  <c r="DF165" i="1"/>
  <c r="EP149" i="1"/>
  <c r="EP78" i="1"/>
  <c r="AV162" i="1"/>
  <c r="AV165" i="1"/>
  <c r="AU175" i="1"/>
  <c r="BF130" i="1"/>
  <c r="AW90" i="1"/>
  <c r="EP158" i="1"/>
  <c r="AX162" i="1"/>
  <c r="CH62" i="1"/>
  <c r="BE92" i="1"/>
  <c r="CG164" i="1"/>
  <c r="EQ162" i="1"/>
  <c r="AW114" i="1"/>
  <c r="AW152" i="1"/>
  <c r="BF129" i="1"/>
  <c r="CG165" i="1"/>
  <c r="EO184" i="1"/>
  <c r="EO79" i="1"/>
  <c r="EP168" i="1"/>
  <c r="EP74" i="1"/>
  <c r="AX138" i="1"/>
  <c r="BE100" i="1"/>
  <c r="CF162" i="1"/>
  <c r="EN46" i="1"/>
  <c r="DB141" i="1"/>
  <c r="BD115" i="1"/>
  <c r="AV128" i="1"/>
  <c r="DD180" i="1"/>
  <c r="BF115" i="1"/>
  <c r="BE105" i="1"/>
  <c r="AW182" i="1"/>
  <c r="EO182" i="1"/>
  <c r="EO56" i="1"/>
  <c r="BD127" i="1"/>
  <c r="BF103" i="1"/>
  <c r="BE50" i="1"/>
  <c r="EQ160" i="1"/>
  <c r="EN73" i="1"/>
  <c r="BC64" i="1"/>
  <c r="EP177" i="1"/>
  <c r="AX157" i="1"/>
  <c r="AW100" i="1"/>
  <c r="BF123" i="1"/>
  <c r="BD111" i="1"/>
  <c r="AU99" i="1"/>
  <c r="EN79" i="1"/>
  <c r="AW169" i="1"/>
  <c r="AW53" i="1"/>
  <c r="AX111" i="1"/>
  <c r="BE111" i="1"/>
  <c r="BF110" i="1"/>
  <c r="EO178" i="1"/>
  <c r="AV161" i="1"/>
  <c r="AU110" i="1"/>
  <c r="CF87" i="1"/>
  <c r="DF175" i="1"/>
  <c r="DC181" i="1"/>
  <c r="CG49" i="1"/>
  <c r="EN77" i="1"/>
  <c r="BF95" i="1"/>
  <c r="DB164" i="1"/>
  <c r="BF114" i="1"/>
  <c r="EP140" i="1"/>
  <c r="EO48" i="1"/>
  <c r="BD114" i="1"/>
  <c r="CF88" i="1"/>
  <c r="EQ156" i="1"/>
  <c r="CI165" i="1"/>
  <c r="CI162" i="1"/>
  <c r="AW116" i="1"/>
  <c r="AV95" i="1"/>
  <c r="CF163" i="1"/>
  <c r="EO49" i="1"/>
  <c r="BE97" i="1"/>
  <c r="AW102" i="1"/>
  <c r="AW148" i="1"/>
  <c r="EQ159" i="1"/>
  <c r="EO63" i="1"/>
  <c r="AU156" i="1"/>
  <c r="CH52" i="1"/>
  <c r="EQ138" i="1"/>
  <c r="AW176" i="1"/>
  <c r="EP155" i="1"/>
  <c r="AU98" i="1"/>
  <c r="AX165" i="1"/>
  <c r="AU101" i="1"/>
  <c r="DC88" i="1"/>
  <c r="DD115" i="1"/>
  <c r="DF120" i="1"/>
  <c r="EO137" i="1"/>
  <c r="EO71" i="1"/>
  <c r="DC93" i="1"/>
  <c r="DD170" i="1"/>
  <c r="AX63" i="1"/>
  <c r="DE103" i="1"/>
  <c r="DA95" i="1"/>
  <c r="BF97" i="1"/>
  <c r="AW128" i="1"/>
  <c r="DE117" i="1"/>
  <c r="DE110" i="1"/>
  <c r="AX119" i="1"/>
  <c r="AX144" i="1"/>
  <c r="AX141" i="1"/>
  <c r="CH63" i="1"/>
  <c r="EP173" i="1"/>
  <c r="AX64" i="1"/>
  <c r="DB139" i="1"/>
  <c r="EQ73" i="1"/>
  <c r="AW164" i="1"/>
  <c r="DE115" i="1"/>
  <c r="DD169" i="1"/>
  <c r="AX49" i="1"/>
  <c r="AX91" i="1"/>
  <c r="AX93" i="1"/>
  <c r="AW171" i="1"/>
  <c r="AW180" i="1"/>
  <c r="AU158" i="1"/>
  <c r="AV88" i="1"/>
  <c r="EN49" i="1"/>
  <c r="EQ139" i="1"/>
  <c r="AW87" i="1"/>
  <c r="AW158" i="1"/>
  <c r="EQ174" i="1"/>
  <c r="EN50" i="1"/>
  <c r="AU111" i="1"/>
  <c r="CG91" i="1"/>
  <c r="EP146" i="1"/>
  <c r="AW145" i="1"/>
  <c r="BE107" i="1"/>
  <c r="AW111" i="1"/>
  <c r="AV87" i="1"/>
  <c r="AV118" i="1"/>
  <c r="AW52" i="1"/>
  <c r="AX103" i="1"/>
  <c r="CI168" i="1"/>
  <c r="BE94" i="1"/>
  <c r="EP152" i="1"/>
  <c r="AU120" i="1"/>
  <c r="AV63" i="1"/>
  <c r="AV178" i="1"/>
  <c r="EO46" i="1"/>
  <c r="DF151" i="1"/>
  <c r="AX147" i="1"/>
  <c r="AW174" i="1"/>
  <c r="AX110" i="1"/>
  <c r="EO78" i="1"/>
  <c r="EN144" i="1"/>
  <c r="AV52" i="1"/>
  <c r="BE101" i="1"/>
  <c r="AW51" i="1"/>
  <c r="AW157" i="1"/>
  <c r="AW109" i="1"/>
  <c r="BD99" i="1"/>
  <c r="AV123" i="1"/>
  <c r="AW99" i="1"/>
  <c r="EP171" i="1"/>
  <c r="EQ157" i="1"/>
  <c r="EP150" i="1"/>
  <c r="AX105" i="1"/>
  <c r="AV166" i="1"/>
  <c r="CF92" i="1"/>
  <c r="AX177" i="1"/>
  <c r="AW95" i="1"/>
  <c r="AW105" i="1"/>
  <c r="EQ155" i="1"/>
  <c r="AW117" i="1"/>
  <c r="EO58" i="1"/>
  <c r="AU165" i="1"/>
  <c r="BF107" i="1"/>
  <c r="EN62" i="1"/>
  <c r="DE177" i="1"/>
  <c r="DE141" i="1"/>
  <c r="BD105" i="1"/>
  <c r="BD56" i="1"/>
  <c r="EQ168" i="1"/>
  <c r="DD165" i="1"/>
  <c r="AX142" i="1"/>
  <c r="BF113" i="1"/>
  <c r="CH64" i="1"/>
  <c r="EN145" i="1"/>
  <c r="EP57" i="1"/>
  <c r="AU104" i="1"/>
  <c r="AX108" i="1"/>
  <c r="AW147" i="1"/>
  <c r="AW186" i="1"/>
  <c r="AX158" i="1"/>
  <c r="AV120" i="1"/>
  <c r="EN72" i="1"/>
  <c r="AV105" i="1"/>
  <c r="AX161" i="1"/>
  <c r="AW94" i="1"/>
  <c r="EQ166" i="1"/>
  <c r="EQ176" i="1"/>
  <c r="EP151" i="1"/>
  <c r="BD117" i="1"/>
  <c r="AV121" i="1"/>
  <c r="EP50" i="1"/>
  <c r="BE109" i="1"/>
  <c r="AW177" i="1"/>
  <c r="BC89" i="1"/>
  <c r="BD107" i="1"/>
  <c r="DA72" i="1"/>
  <c r="DF112" i="1"/>
  <c r="DF86" i="1"/>
  <c r="EN47" i="1"/>
  <c r="AU146" i="1"/>
  <c r="AV116" i="1"/>
  <c r="AX145" i="1"/>
  <c r="DF177" i="1"/>
  <c r="AW89" i="1"/>
  <c r="EP157" i="1"/>
  <c r="EN146" i="1"/>
  <c r="AU53" i="1"/>
  <c r="EP183" i="1"/>
  <c r="EP185" i="1"/>
  <c r="AW138" i="1"/>
  <c r="EQ175" i="1"/>
  <c r="DF155" i="1"/>
  <c r="AW153" i="1"/>
  <c r="AX153" i="1"/>
  <c r="DB118" i="1"/>
  <c r="AU85" i="1"/>
  <c r="AW184" i="1"/>
  <c r="AU103" i="1"/>
  <c r="EN156" i="1"/>
  <c r="EP187" i="1"/>
  <c r="CH71" i="1"/>
  <c r="BF111" i="1"/>
  <c r="EP159" i="1"/>
  <c r="BE102" i="1"/>
  <c r="CI164" i="1"/>
  <c r="AX154" i="1"/>
  <c r="BE51" i="1"/>
  <c r="EN56" i="1"/>
  <c r="AV53" i="1"/>
  <c r="BD102" i="1"/>
  <c r="EP52" i="1"/>
  <c r="AU121" i="1"/>
  <c r="EO72" i="1"/>
  <c r="BC85" i="1"/>
  <c r="AU122" i="1"/>
  <c r="DE59" i="1"/>
  <c r="EN75" i="1"/>
  <c r="DE163" i="1"/>
  <c r="DF148" i="1"/>
  <c r="AW151" i="1"/>
  <c r="AU149" i="1"/>
  <c r="AV113" i="1"/>
  <c r="AV163" i="1"/>
  <c r="DB150" i="1"/>
  <c r="DE63" i="1"/>
  <c r="EO77" i="1"/>
  <c r="EP45" i="1"/>
  <c r="EN45" i="1"/>
  <c r="AV106" i="1"/>
  <c r="AV112" i="1"/>
  <c r="DF103" i="1"/>
  <c r="DA188" i="1"/>
  <c r="DF5" i="1"/>
  <c r="DE76" i="1"/>
  <c r="DC127" i="1"/>
  <c r="AU161" i="1"/>
  <c r="DE53" i="1"/>
  <c r="DF94" i="1"/>
  <c r="DD85" i="1"/>
  <c r="CH51" i="1"/>
  <c r="EP181" i="1"/>
  <c r="AV97" i="1"/>
  <c r="AU63" i="1"/>
  <c r="BD52" i="1"/>
  <c r="AU130" i="1"/>
  <c r="DC177" i="1"/>
  <c r="DC129" i="1"/>
  <c r="DE143" i="1"/>
  <c r="BD121" i="1"/>
  <c r="BD118" i="1"/>
  <c r="AV90" i="1"/>
  <c r="AV124" i="1"/>
  <c r="DE172" i="1"/>
  <c r="DE128" i="1"/>
  <c r="AW49" i="1"/>
  <c r="CG90" i="1"/>
  <c r="CF53" i="1"/>
  <c r="DB181" i="1"/>
  <c r="DC62" i="1"/>
  <c r="DC75" i="1"/>
  <c r="DC123" i="1"/>
  <c r="DB113" i="1"/>
  <c r="DD112" i="1"/>
  <c r="DE139" i="1"/>
  <c r="DF115" i="1"/>
  <c r="DB95" i="1"/>
  <c r="DB101" i="1"/>
  <c r="DD121" i="1"/>
  <c r="AW103" i="1"/>
  <c r="AV168" i="1"/>
  <c r="DF144" i="1"/>
  <c r="CF64" i="1"/>
  <c r="BF104" i="1"/>
  <c r="AU94" i="1"/>
  <c r="DC161" i="1"/>
  <c r="EO64" i="1"/>
  <c r="AV56" i="1"/>
  <c r="AU151" i="1"/>
  <c r="AU114" i="1"/>
  <c r="DC128" i="1"/>
  <c r="DB117" i="1"/>
  <c r="AU127" i="1"/>
  <c r="EN157" i="1"/>
  <c r="EO53" i="1"/>
  <c r="AU106" i="1"/>
  <c r="DA178" i="1"/>
  <c r="DA90" i="1"/>
  <c r="DE183" i="1"/>
  <c r="DA74" i="1"/>
  <c r="DE147" i="1"/>
  <c r="DE159" i="1"/>
  <c r="DB128" i="1"/>
  <c r="EP56" i="1"/>
  <c r="AU119" i="1"/>
  <c r="CG89" i="1"/>
  <c r="CF56" i="1"/>
  <c r="DF174" i="1"/>
  <c r="DD124" i="1"/>
  <c r="DA174" i="1"/>
  <c r="AU154" i="1"/>
  <c r="EN78" i="1"/>
  <c r="EN63" i="1"/>
  <c r="CG64" i="1"/>
  <c r="DA92" i="1"/>
  <c r="DC71" i="1"/>
  <c r="AU160" i="1"/>
  <c r="AV51" i="1"/>
  <c r="AV94" i="1"/>
  <c r="CG88" i="1"/>
  <c r="DD175" i="1"/>
  <c r="DB148" i="1"/>
  <c r="DD159" i="1"/>
  <c r="DF172" i="1"/>
  <c r="DD151" i="1"/>
  <c r="DC76" i="1"/>
  <c r="DE154" i="1"/>
  <c r="DC185" i="1"/>
  <c r="DE77" i="1"/>
  <c r="DC90" i="1"/>
  <c r="DF161" i="1"/>
  <c r="DD173" i="1"/>
  <c r="DE109" i="1"/>
  <c r="CI163" i="1"/>
  <c r="BD122" i="1"/>
  <c r="AX124" i="1"/>
  <c r="EQ177" i="1"/>
  <c r="AX130" i="1"/>
  <c r="BE110" i="1"/>
  <c r="AU125" i="1"/>
  <c r="AX129" i="1"/>
  <c r="EP64" i="1"/>
  <c r="EP179" i="1"/>
  <c r="BE98" i="1"/>
  <c r="EO51" i="1"/>
  <c r="AV182" i="1"/>
  <c r="EQ154" i="1"/>
  <c r="BE90" i="1"/>
  <c r="CF50" i="1"/>
  <c r="EO76" i="1"/>
  <c r="AV185" i="1"/>
  <c r="DE184" i="1"/>
  <c r="AV101" i="1"/>
  <c r="DA140" i="1"/>
  <c r="BC51" i="1"/>
  <c r="AV109" i="1"/>
  <c r="AU152" i="1"/>
  <c r="BD100" i="1"/>
  <c r="DF98" i="1"/>
  <c r="CF62" i="1"/>
  <c r="CG162" i="1"/>
  <c r="AV167" i="1"/>
  <c r="EN148" i="1"/>
  <c r="DC47" i="1"/>
  <c r="DA175" i="1"/>
  <c r="DA128" i="1"/>
  <c r="EN60" i="1"/>
  <c r="DB147" i="1"/>
  <c r="DA48" i="1"/>
  <c r="DA154" i="1"/>
  <c r="DC175" i="1"/>
  <c r="DA146" i="1"/>
  <c r="DD92" i="1"/>
  <c r="DE86" i="1"/>
  <c r="EQ153" i="1"/>
  <c r="EO70" i="1"/>
  <c r="DB102" i="1"/>
  <c r="CG70" i="1"/>
  <c r="AU100" i="1"/>
  <c r="DA161" i="1"/>
  <c r="CG56" i="1"/>
  <c r="AV175" i="1"/>
  <c r="AU90" i="1"/>
  <c r="DA138" i="1"/>
  <c r="DA51" i="1"/>
  <c r="DE74" i="1"/>
  <c r="BD96" i="1"/>
  <c r="CF165" i="1"/>
  <c r="EO187" i="1"/>
  <c r="DA126" i="1"/>
  <c r="BC56" i="1"/>
  <c r="DC171" i="1"/>
  <c r="DA124" i="1"/>
  <c r="DE88" i="1"/>
  <c r="DD188" i="1"/>
  <c r="DB97" i="1"/>
  <c r="DA170" i="1"/>
  <c r="DB145" i="1"/>
  <c r="AV70" i="1"/>
  <c r="DE178" i="1"/>
  <c r="DA163" i="1"/>
  <c r="DC46" i="1"/>
  <c r="AW156" i="1"/>
  <c r="AU86" i="1"/>
  <c r="AU117" i="1"/>
  <c r="AV117" i="1"/>
  <c r="CF71" i="1"/>
  <c r="DC87" i="1"/>
  <c r="DF124" i="1"/>
  <c r="AU113" i="1"/>
  <c r="EN153" i="1"/>
  <c r="BD110" i="1"/>
  <c r="EO180" i="1"/>
  <c r="CG53" i="1"/>
  <c r="DD120" i="1"/>
  <c r="AU159" i="1"/>
  <c r="CF89" i="1"/>
  <c r="BD123" i="1"/>
  <c r="AV86" i="1"/>
  <c r="CF49" i="1"/>
  <c r="DF87" i="1"/>
  <c r="EN74" i="1"/>
  <c r="DA77" i="1"/>
  <c r="DD154" i="1"/>
  <c r="DB142" i="1"/>
  <c r="DC155" i="1"/>
  <c r="DB93" i="1"/>
  <c r="DA76" i="1"/>
  <c r="EP138" i="1"/>
  <c r="EP148" i="1"/>
  <c r="AV96" i="1"/>
  <c r="AV91" i="1"/>
  <c r="DE126" i="1"/>
  <c r="DB154" i="1"/>
  <c r="DF187" i="1"/>
  <c r="AU56" i="1"/>
  <c r="BD97" i="1"/>
  <c r="DA152" i="1"/>
  <c r="AV89" i="1"/>
  <c r="DE182" i="1"/>
  <c r="DC141" i="1"/>
  <c r="BC88" i="1"/>
  <c r="EP188" i="1"/>
  <c r="BD129" i="1"/>
  <c r="DE125" i="1"/>
  <c r="DA172" i="1"/>
  <c r="DF156" i="1"/>
  <c r="DD102" i="1"/>
  <c r="BD113" i="1"/>
  <c r="DE166" i="1"/>
  <c r="DC172" i="1"/>
  <c r="DD104" i="1"/>
  <c r="DD106" i="1"/>
  <c r="DF169" i="1"/>
  <c r="EP73" i="1"/>
  <c r="EO47" i="1"/>
  <c r="EN149" i="1"/>
  <c r="EP141" i="1"/>
  <c r="AW86" i="1"/>
  <c r="EN52" i="1"/>
  <c r="CG161" i="1"/>
  <c r="AX125" i="1"/>
  <c r="AW149" i="1"/>
  <c r="AX159" i="1"/>
  <c r="BF108" i="1"/>
  <c r="BD98" i="1"/>
  <c r="AU153" i="1"/>
  <c r="EP147" i="1"/>
  <c r="AV107" i="1"/>
  <c r="BE89" i="1"/>
  <c r="AU150" i="1"/>
  <c r="DF109" i="1"/>
  <c r="BD101" i="1"/>
  <c r="DE140" i="1"/>
  <c r="BD49" i="1"/>
  <c r="BC53" i="1"/>
  <c r="BE106" i="1"/>
  <c r="AU49" i="1"/>
  <c r="DC130" i="1"/>
  <c r="AV115" i="1"/>
  <c r="EO60" i="1"/>
  <c r="EN152" i="1"/>
  <c r="AU155" i="1"/>
  <c r="DC148" i="1"/>
  <c r="DE188" i="1"/>
  <c r="AV122" i="1"/>
  <c r="EO61" i="1"/>
  <c r="DF85" i="1"/>
  <c r="DD185" i="1"/>
  <c r="DE79" i="1"/>
  <c r="AU129" i="1"/>
  <c r="DF96" i="1"/>
  <c r="DE72" i="1"/>
  <c r="DB109" i="1"/>
  <c r="BE117" i="1"/>
  <c r="BC50" i="1"/>
  <c r="DF99" i="1"/>
  <c r="AX160" i="1"/>
  <c r="AW181" i="1"/>
  <c r="DF180" i="1"/>
  <c r="DB114" i="1"/>
  <c r="DF160" i="1"/>
  <c r="AX107" i="1"/>
  <c r="EO139" i="1"/>
  <c r="CG163" i="1"/>
  <c r="DF105" i="1"/>
  <c r="DE144" i="1"/>
  <c r="EO57" i="1"/>
  <c r="AV103" i="1"/>
  <c r="DA87" i="1"/>
  <c r="BD50" i="1"/>
  <c r="DB91" i="1"/>
  <c r="DB92" i="1"/>
  <c r="DE71" i="1"/>
  <c r="DF113" i="1"/>
  <c r="DF102" i="1"/>
  <c r="DD88" i="1"/>
  <c r="DB143" i="1"/>
  <c r="DA85" i="1"/>
  <c r="DF147" i="1"/>
  <c r="DB160" i="1"/>
  <c r="AW142" i="1"/>
  <c r="AW168" i="1"/>
  <c r="AV180" i="1"/>
  <c r="DE150" i="1"/>
  <c r="BD104" i="1"/>
  <c r="AU163" i="1"/>
  <c r="CF70" i="1"/>
  <c r="DC168" i="1"/>
  <c r="DB186" i="1"/>
  <c r="DD100" i="1"/>
  <c r="EO181" i="1"/>
  <c r="EN59" i="1"/>
  <c r="AU112" i="1"/>
  <c r="EN150" i="1"/>
  <c r="DC169" i="1"/>
  <c r="DE173" i="1"/>
  <c r="EN155" i="1"/>
  <c r="AV110" i="1"/>
  <c r="AU64" i="1"/>
  <c r="DB173" i="1"/>
  <c r="DD144" i="1"/>
  <c r="DC159" i="1"/>
  <c r="DB152" i="1"/>
  <c r="DA58" i="1"/>
  <c r="DA179" i="1"/>
  <c r="DD145" i="1"/>
  <c r="DC151" i="1"/>
  <c r="DC163" i="1"/>
  <c r="DC153" i="1"/>
  <c r="AW187" i="1"/>
  <c r="AV130" i="1"/>
  <c r="BD163" i="1"/>
  <c r="BD109" i="1"/>
  <c r="BD128" i="1"/>
  <c r="DE157" i="1"/>
  <c r="DD117" i="1"/>
  <c r="BD64" i="1"/>
  <c r="BD94" i="1"/>
  <c r="AU167" i="1"/>
  <c r="EN71" i="1"/>
  <c r="BD53" i="1"/>
  <c r="DB174" i="1"/>
  <c r="DF106" i="1"/>
  <c r="AU157" i="1"/>
  <c r="BD130" i="1"/>
  <c r="AU108" i="1"/>
  <c r="DC178" i="1"/>
  <c r="DC51" i="1"/>
  <c r="CG71" i="1"/>
  <c r="DA143" i="1"/>
  <c r="DA73" i="1"/>
  <c r="DA184" i="1"/>
  <c r="DD146" i="1"/>
  <c r="DC59" i="1"/>
  <c r="DC158" i="1"/>
  <c r="DB115" i="1"/>
  <c r="DA142" i="1"/>
  <c r="DB130" i="1"/>
  <c r="DE124" i="1"/>
  <c r="AU92" i="1"/>
  <c r="EP139" i="1"/>
  <c r="AV160" i="1"/>
  <c r="EN48" i="1"/>
  <c r="EQ172" i="1"/>
  <c r="AX128" i="1"/>
  <c r="EP48" i="1"/>
  <c r="CG168" i="1"/>
  <c r="AU96" i="1"/>
  <c r="EQ164" i="1"/>
  <c r="EQ173" i="1"/>
  <c r="EP143" i="1"/>
  <c r="AV49" i="1"/>
  <c r="BD106" i="1"/>
  <c r="AU105" i="1"/>
  <c r="AW108" i="1"/>
  <c r="EO179" i="1"/>
  <c r="DB89" i="1"/>
  <c r="AV100" i="1"/>
  <c r="EN58" i="1"/>
  <c r="DE187" i="1"/>
  <c r="DF93" i="1"/>
  <c r="CF91" i="1"/>
  <c r="DB156" i="1"/>
  <c r="AV108" i="1"/>
  <c r="EQ179" i="1"/>
  <c r="AU173" i="1"/>
  <c r="EO186" i="1"/>
  <c r="BC86" i="1"/>
  <c r="DD91" i="1"/>
  <c r="BD51" i="1"/>
  <c r="EO140" i="1"/>
  <c r="EN57" i="1"/>
  <c r="DF173" i="1"/>
  <c r="DC137" i="1"/>
  <c r="DA149" i="1"/>
  <c r="DD149" i="1"/>
  <c r="DA130" i="1"/>
  <c r="DB96" i="1"/>
  <c r="DC57" i="1"/>
  <c r="DE174" i="1"/>
  <c r="DD96" i="1"/>
  <c r="DC165" i="1"/>
  <c r="DA167" i="1"/>
  <c r="AW113" i="1"/>
  <c r="AU52" i="1"/>
  <c r="AU97" i="1"/>
  <c r="CF90" i="1"/>
  <c r="BD119" i="1"/>
  <c r="DC64" i="1"/>
  <c r="DF6" i="1"/>
  <c r="DB105" i="1"/>
  <c r="AU95" i="1"/>
  <c r="EN147" i="1"/>
  <c r="CG62" i="1"/>
  <c r="DC125" i="1"/>
  <c r="EO52" i="1"/>
  <c r="AV176" i="1"/>
  <c r="BD120" i="1"/>
  <c r="BF124" i="1"/>
  <c r="DF119" i="1"/>
  <c r="EO50" i="1"/>
  <c r="DA63" i="1"/>
  <c r="DB151" i="1"/>
  <c r="DE151" i="1"/>
  <c r="DF154" i="1"/>
  <c r="DC180" i="1"/>
  <c r="DB124" i="1"/>
  <c r="DD129" i="1"/>
  <c r="DA60" i="1"/>
  <c r="DB180" i="1"/>
  <c r="DC184" i="1"/>
  <c r="AW143" i="1"/>
  <c r="BD93" i="1"/>
  <c r="EO75" i="1"/>
  <c r="AV127" i="1"/>
  <c r="AV129" i="1"/>
  <c r="AU147" i="1"/>
  <c r="DB87" i="1"/>
  <c r="DD90" i="1"/>
  <c r="DA52" i="1"/>
  <c r="DB184" i="1"/>
  <c r="EO185" i="1"/>
  <c r="AU162" i="1"/>
  <c r="AU126" i="1"/>
  <c r="DB119" i="1"/>
  <c r="DC152" i="1"/>
  <c r="DD123" i="1"/>
  <c r="BD126" i="1"/>
  <c r="AU70" i="1"/>
  <c r="AU145" i="1"/>
  <c r="AV164" i="1"/>
  <c r="DB189" i="1"/>
  <c r="AV184" i="1"/>
  <c r="DB90" i="1"/>
  <c r="DD125" i="1"/>
  <c r="DB107" i="1"/>
  <c r="DA160" i="1"/>
  <c r="DD186" i="1"/>
  <c r="DF126" i="1"/>
  <c r="DD172" i="1"/>
  <c r="DB188" i="1"/>
  <c r="EQ161" i="1"/>
  <c r="DD6" i="1"/>
  <c r="EN61" i="1"/>
  <c r="BD125" i="1"/>
  <c r="AU50" i="1"/>
  <c r="AV126" i="1"/>
  <c r="EO45" i="1"/>
  <c r="CF161" i="1"/>
  <c r="DA164" i="1"/>
  <c r="DE138" i="1"/>
  <c r="DC156" i="1"/>
  <c r="EN76" i="1"/>
  <c r="EQ170" i="1"/>
  <c r="EO74" i="1"/>
  <c r="BD112" i="1"/>
  <c r="DE146" i="1"/>
  <c r="DF108" i="1"/>
  <c r="BC87" i="1"/>
  <c r="DD174" i="1"/>
  <c r="DC60" i="1"/>
  <c r="DA185" i="1"/>
  <c r="DD128" i="1"/>
  <c r="DA189" i="1"/>
  <c r="DE153" i="1"/>
  <c r="DA125" i="1"/>
  <c r="DB182" i="1"/>
  <c r="DB99" i="1"/>
  <c r="DD111" i="1"/>
  <c r="DF182" i="1"/>
  <c r="DB116" i="1"/>
  <c r="DF145" i="1"/>
  <c r="DF107" i="1"/>
  <c r="DE58" i="1"/>
  <c r="DB108" i="1"/>
  <c r="DE90" i="1"/>
  <c r="DE75" i="1"/>
  <c r="AV64" i="1"/>
  <c r="DC124" i="1"/>
  <c r="DB127" i="1"/>
  <c r="DD122" i="1"/>
  <c r="CG86" i="1"/>
  <c r="DA173" i="1"/>
  <c r="DA177" i="1"/>
  <c r="DB106" i="1"/>
  <c r="DE62" i="1"/>
  <c r="DD140" i="1"/>
  <c r="DC150" i="1"/>
  <c r="DA181" i="1"/>
  <c r="DB161" i="1"/>
  <c r="DC139" i="1"/>
  <c r="DC162" i="1"/>
  <c r="CF85" i="1"/>
  <c r="DF88" i="1"/>
  <c r="DE160" i="1"/>
  <c r="DA89" i="1"/>
  <c r="DD182" i="1"/>
  <c r="DD116" i="1"/>
  <c r="DF146" i="1"/>
  <c r="DA183" i="1"/>
  <c r="DB6" i="1"/>
  <c r="DE137" i="1"/>
  <c r="DC140" i="1"/>
  <c r="DB100" i="1"/>
  <c r="DD101" i="1"/>
  <c r="DC56" i="1"/>
  <c r="DE129" i="1"/>
  <c r="DA45" i="1"/>
  <c r="DA49" i="1"/>
  <c r="DD150" i="1"/>
  <c r="DD157" i="1"/>
  <c r="DA62" i="1"/>
  <c r="DD113" i="1"/>
  <c r="DE48" i="1"/>
  <c r="DF110" i="1"/>
  <c r="DD147" i="1"/>
  <c r="DA157" i="1"/>
  <c r="DF90" i="1"/>
  <c r="DD5" i="1"/>
  <c r="DF142" i="1"/>
  <c r="DE49" i="1"/>
  <c r="DF140" i="1"/>
  <c r="DE51" i="1"/>
  <c r="DA147" i="1"/>
  <c r="DE171" i="1"/>
  <c r="DF189" i="1"/>
  <c r="DD94" i="1"/>
  <c r="DC79" i="1"/>
  <c r="CF51" i="1"/>
  <c r="DD109" i="1"/>
  <c r="DD127" i="1"/>
  <c r="DD98" i="1"/>
  <c r="DB172" i="1"/>
  <c r="DB123" i="1"/>
  <c r="DC173" i="1"/>
  <c r="DB155" i="1"/>
  <c r="D32" i="2"/>
  <c r="H30" i="2"/>
  <c r="E30" i="2"/>
  <c r="C30" i="2"/>
  <c r="C32" i="2"/>
  <c r="M29" i="2"/>
  <c r="B32" i="2"/>
  <c r="N32" i="2"/>
  <c r="T30" i="2"/>
  <c r="O30" i="2"/>
  <c r="I29" i="2"/>
  <c r="W32" i="2"/>
  <c r="V31" i="2"/>
  <c r="DB129" i="1"/>
  <c r="DC53" i="1"/>
  <c r="DB146" i="1"/>
  <c r="DA166" i="1"/>
  <c r="DD93" i="1"/>
  <c r="DC86" i="1"/>
  <c r="DE149" i="1"/>
  <c r="DD155" i="1"/>
  <c r="DF183" i="1"/>
  <c r="DB158" i="1"/>
  <c r="DF181" i="1"/>
  <c r="DF118" i="1"/>
  <c r="DA75" i="1"/>
  <c r="DC179" i="1"/>
  <c r="DF104" i="1"/>
  <c r="DC45" i="1"/>
  <c r="AV119" i="1"/>
  <c r="DB175" i="1"/>
  <c r="DA153" i="1"/>
  <c r="CF63" i="1"/>
  <c r="DB104" i="1"/>
  <c r="DE127" i="1"/>
  <c r="DC52" i="1"/>
  <c r="DE168" i="1"/>
  <c r="DC48" i="1"/>
  <c r="DA162" i="1"/>
  <c r="DC49" i="1"/>
  <c r="AV99" i="1"/>
  <c r="DB140" i="1"/>
  <c r="DF114" i="1"/>
  <c r="DB110" i="1"/>
  <c r="DD161" i="1"/>
  <c r="DF130" i="1"/>
  <c r="DD99" i="1"/>
  <c r="DC174" i="1"/>
  <c r="DC149" i="1"/>
  <c r="DC183" i="1"/>
  <c r="DA56" i="1"/>
  <c r="DE87" i="1"/>
  <c r="DA47" i="1"/>
  <c r="DA129" i="1"/>
  <c r="DC70" i="1"/>
  <c r="DC89" i="1"/>
  <c r="DB88" i="1"/>
  <c r="DF121" i="1"/>
  <c r="DF153" i="1"/>
  <c r="DD156" i="1"/>
  <c r="DD89" i="1"/>
  <c r="DC186" i="1"/>
  <c r="DE181" i="1"/>
  <c r="DB153" i="1"/>
  <c r="DF152" i="1"/>
  <c r="DA151" i="1"/>
  <c r="DF188" i="1"/>
  <c r="DE169" i="1"/>
  <c r="DF158" i="1"/>
  <c r="DF89" i="1"/>
  <c r="DA168" i="1"/>
  <c r="DB112" i="1"/>
  <c r="DE60" i="1"/>
  <c r="DF129" i="1"/>
  <c r="DD187" i="1"/>
  <c r="DB120" i="1"/>
  <c r="DA64" i="1"/>
  <c r="DE165" i="1"/>
  <c r="DD86" i="1"/>
  <c r="DA182" i="1"/>
  <c r="DD108" i="1"/>
  <c r="DE145" i="1"/>
  <c r="DE142" i="1"/>
  <c r="DF101" i="1"/>
  <c r="W29" i="2"/>
  <c r="T29" i="2"/>
  <c r="V29" i="2"/>
  <c r="F29" i="2"/>
  <c r="B29" i="2"/>
  <c r="L30" i="2"/>
  <c r="U32" i="2"/>
  <c r="D29" i="2"/>
  <c r="DB86" i="1"/>
  <c r="AU87" i="1"/>
  <c r="DB149" i="1"/>
  <c r="DA150" i="1"/>
  <c r="DC164" i="1"/>
  <c r="DE164" i="1"/>
  <c r="AV179" i="1"/>
  <c r="DE180" i="1"/>
  <c r="DB144" i="1"/>
  <c r="DA186" i="1"/>
  <c r="DC147" i="1"/>
  <c r="DD105" i="1"/>
  <c r="DA155" i="1"/>
  <c r="DA79" i="1"/>
  <c r="DA137" i="1"/>
  <c r="DF157" i="1"/>
  <c r="DE61" i="1"/>
  <c r="DF185" i="1"/>
  <c r="DE56" i="1"/>
  <c r="AU116" i="1"/>
  <c r="DA50" i="1"/>
  <c r="DA53" i="1"/>
  <c r="DF111" i="1"/>
  <c r="AU148" i="1"/>
  <c r="DD107" i="1"/>
  <c r="DE170" i="1"/>
  <c r="DD130" i="1"/>
  <c r="DF116" i="1"/>
  <c r="DC73" i="1"/>
  <c r="DD114" i="1"/>
  <c r="DE161" i="1"/>
  <c r="DF149" i="1"/>
  <c r="DA57" i="1"/>
  <c r="DC142" i="1"/>
  <c r="DA165" i="1"/>
  <c r="DC176" i="1"/>
  <c r="DF186" i="1"/>
  <c r="DD148" i="1"/>
  <c r="DD119" i="1"/>
  <c r="DF141" i="1"/>
  <c r="DB185" i="1"/>
  <c r="DA159" i="1"/>
  <c r="DF95" i="1"/>
  <c r="DF97" i="1"/>
  <c r="DC58" i="1"/>
  <c r="DD87" i="1"/>
  <c r="DC74" i="1"/>
  <c r="DD153" i="1"/>
  <c r="DE52" i="1"/>
  <c r="DA169" i="1"/>
  <c r="DC63" i="1"/>
  <c r="DE148" i="1"/>
  <c r="DA61" i="1"/>
  <c r="DC50" i="1"/>
  <c r="DF184" i="1"/>
  <c r="DE70" i="1"/>
  <c r="DB103" i="1"/>
  <c r="DC77" i="1"/>
  <c r="DE123" i="1"/>
  <c r="DC143" i="1"/>
  <c r="DD97" i="1"/>
  <c r="DD158" i="1"/>
  <c r="DA59" i="1"/>
  <c r="DC182" i="1"/>
  <c r="DE162" i="1"/>
  <c r="DB183" i="1"/>
  <c r="DE176" i="1"/>
  <c r="DB5" i="1"/>
  <c r="DE189" i="1"/>
  <c r="DF92" i="1"/>
  <c r="DE185" i="1"/>
  <c r="DD143" i="1"/>
  <c r="DA139" i="1"/>
  <c r="DB94" i="1"/>
  <c r="DA171" i="1"/>
  <c r="DE130" i="1"/>
  <c r="DD126" i="1"/>
  <c r="DF122" i="1"/>
  <c r="DE156" i="1"/>
  <c r="DA88" i="1"/>
  <c r="G29" i="2"/>
  <c r="D30" i="2"/>
  <c r="X29" i="2"/>
  <c r="H32" i="2"/>
  <c r="X32" i="2"/>
  <c r="U30" i="2"/>
  <c r="R32" i="2"/>
  <c r="S29" i="2"/>
  <c r="O29" i="2"/>
  <c r="U31" i="2"/>
  <c r="R31" i="2"/>
  <c r="P32" i="2"/>
  <c r="I32" i="2"/>
  <c r="C31" i="2"/>
  <c r="N31" i="2"/>
  <c r="H31" i="2"/>
  <c r="P29" i="2"/>
  <c r="H29" i="2"/>
  <c r="M31" i="2"/>
  <c r="T32" i="2"/>
  <c r="M32" i="2"/>
  <c r="R29" i="2"/>
  <c r="Q29" i="2"/>
  <c r="J30" i="2"/>
  <c r="U29" i="2"/>
  <c r="E31" i="2"/>
  <c r="G31" i="2"/>
  <c r="I31" i="2"/>
  <c r="J31" i="2"/>
  <c r="T31" i="2"/>
  <c r="J29" i="2"/>
  <c r="V30" i="2"/>
  <c r="F32" i="2"/>
  <c r="Q30" i="2"/>
  <c r="DF125" i="1"/>
  <c r="DE175" i="1"/>
  <c r="DE50" i="1"/>
  <c r="DC160" i="1"/>
  <c r="DA86" i="1"/>
  <c r="DF91" i="1"/>
  <c r="AV98" i="1"/>
  <c r="DC85" i="1"/>
  <c r="DE78" i="1"/>
  <c r="DA78" i="1"/>
  <c r="DD181" i="1"/>
  <c r="DB111" i="1"/>
  <c r="DC91" i="1"/>
  <c r="DC157" i="1"/>
  <c r="DD183" i="1"/>
  <c r="DB121" i="1"/>
  <c r="DE64" i="1"/>
  <c r="DB159" i="1"/>
  <c r="DA70" i="1"/>
  <c r="DA148" i="1"/>
  <c r="DA91" i="1"/>
  <c r="DA141" i="1"/>
  <c r="DE57" i="1"/>
  <c r="DB157" i="1"/>
  <c r="DD103" i="1"/>
  <c r="DF117" i="1"/>
  <c r="DC167" i="1"/>
  <c r="AV93" i="1"/>
  <c r="DA180" i="1"/>
  <c r="DF159" i="1"/>
  <c r="DC126" i="1"/>
  <c r="DD118" i="1"/>
  <c r="DA156" i="1"/>
  <c r="DB122" i="1"/>
  <c r="DA176" i="1"/>
  <c r="DF123" i="1"/>
  <c r="DE91" i="1"/>
  <c r="DE89" i="1"/>
  <c r="DE47" i="1"/>
  <c r="DC92" i="1"/>
  <c r="DA145" i="1"/>
  <c r="DD141" i="1"/>
  <c r="DE46" i="1"/>
  <c r="DC170" i="1"/>
  <c r="DC61" i="1"/>
  <c r="DB187" i="1"/>
  <c r="DE152" i="1"/>
  <c r="DC188" i="1"/>
  <c r="DC72" i="1"/>
  <c r="DD160" i="1"/>
  <c r="DF127" i="1"/>
  <c r="DC145" i="1"/>
  <c r="DE85" i="1"/>
  <c r="EO62" i="1"/>
  <c r="DC138" i="1"/>
  <c r="DB98" i="1"/>
  <c r="DE155" i="1"/>
  <c r="DC146" i="1"/>
  <c r="DD152" i="1"/>
  <c r="DD110" i="1"/>
  <c r="DC144" i="1"/>
  <c r="DF143" i="1"/>
  <c r="DA187" i="1"/>
  <c r="DC78" i="1"/>
  <c r="DE92" i="1"/>
  <c r="DE167" i="1"/>
  <c r="DA123" i="1"/>
  <c r="DF128" i="1"/>
  <c r="DE45" i="1"/>
  <c r="DE158" i="1"/>
  <c r="DF150" i="1"/>
  <c r="DA46" i="1"/>
  <c r="W30" i="2"/>
  <c r="O32" i="2"/>
  <c r="Q31" i="2"/>
  <c r="K29" i="2"/>
  <c r="K31" i="2"/>
  <c r="K32" i="2"/>
  <c r="X30" i="2"/>
  <c r="O31" i="2"/>
  <c r="N30" i="2"/>
  <c r="P30" i="2"/>
  <c r="E29" i="2"/>
  <c r="G32" i="2"/>
  <c r="L31" i="2"/>
  <c r="L29" i="2"/>
  <c r="S30" i="2"/>
  <c r="C29" i="2"/>
  <c r="P31" i="2"/>
  <c r="X31" i="2"/>
  <c r="S31" i="2"/>
  <c r="F31" i="2"/>
  <c r="J32" i="2"/>
  <c r="G30" i="2"/>
  <c r="D31" i="2"/>
  <c r="DA71" i="1"/>
  <c r="DC154" i="1"/>
  <c r="DB125" i="1"/>
  <c r="DC166" i="1"/>
  <c r="DD95" i="1"/>
  <c r="DD142" i="1"/>
  <c r="M30" i="2"/>
  <c r="Q32" i="2"/>
  <c r="B31" i="2"/>
  <c r="N29" i="2"/>
  <c r="K30" i="2"/>
  <c r="E32" i="2"/>
  <c r="R30" i="2"/>
  <c r="S32" i="2"/>
  <c r="V32" i="2"/>
  <c r="W31" i="2"/>
  <c r="I30" i="2"/>
  <c r="L32" i="2"/>
  <c r="B30" i="2"/>
  <c r="F30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M33" i="2"/>
  <c r="P33" i="2"/>
  <c r="I33" i="2"/>
  <c r="V33" i="2"/>
  <c r="G33" i="2"/>
  <c r="T33" i="2"/>
  <c r="X33" i="2"/>
  <c r="R33" i="2"/>
  <c r="O33" i="2"/>
  <c r="C33" i="2"/>
  <c r="F33" i="2"/>
  <c r="N33" i="2"/>
  <c r="B33" i="2"/>
  <c r="L33" i="2"/>
  <c r="H33" i="2"/>
  <c r="D33" i="2"/>
  <c r="J33" i="2"/>
  <c r="K33" i="2"/>
  <c r="W33" i="2"/>
  <c r="U33" i="2"/>
  <c r="S33" i="2"/>
  <c r="Q33" i="2"/>
  <c r="E33" i="2"/>
  <c r="BJ56" i="1" l="1"/>
  <c r="DR56" i="1" s="1"/>
  <c r="BJ52" i="1"/>
  <c r="DR52" i="1" s="1"/>
  <c r="BJ51" i="1"/>
  <c r="BQ51" i="1" s="1"/>
  <c r="BJ50" i="1"/>
  <c r="BX50" i="1" s="1"/>
  <c r="BJ53" i="1"/>
  <c r="BQ53" i="1" s="1"/>
  <c r="BJ49" i="1"/>
  <c r="DR49" i="1" s="1"/>
  <c r="ED105" i="1"/>
  <c r="ED114" i="1"/>
  <c r="ED100" i="1"/>
  <c r="ED102" i="1"/>
  <c r="ED124" i="1"/>
  <c r="ED110" i="1"/>
  <c r="ED104" i="1"/>
  <c r="ED112" i="1"/>
  <c r="ED127" i="1"/>
  <c r="ED98" i="1"/>
  <c r="ED108" i="1"/>
  <c r="ED116" i="1"/>
  <c r="ED107" i="1"/>
  <c r="ED113" i="1"/>
  <c r="ED123" i="1"/>
  <c r="ED120" i="1"/>
  <c r="ED101" i="1"/>
  <c r="ED128" i="1"/>
  <c r="ED126" i="1"/>
  <c r="ED111" i="1"/>
  <c r="ED121" i="1"/>
  <c r="ED115" i="1"/>
  <c r="ED122" i="1"/>
  <c r="ED106" i="1"/>
  <c r="ED93" i="1"/>
  <c r="ED130" i="1"/>
  <c r="ED96" i="1"/>
  <c r="ED119" i="1"/>
  <c r="ED118" i="1"/>
  <c r="ED94" i="1"/>
  <c r="ED103" i="1"/>
  <c r="ED125" i="1"/>
  <c r="ED95" i="1"/>
  <c r="ED99" i="1"/>
  <c r="ED117" i="1"/>
  <c r="ED109" i="1"/>
  <c r="ED97" i="1"/>
  <c r="ED129" i="1"/>
  <c r="ED85" i="1"/>
  <c r="BT173" i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DQ117" i="1"/>
  <c r="DQ163" i="1"/>
  <c r="DP90" i="1"/>
  <c r="DP130" i="1"/>
  <c r="CP86" i="1"/>
  <c r="CP50" i="1"/>
  <c r="DP106" i="1"/>
  <c r="BU187" i="1"/>
  <c r="DV86" i="1"/>
  <c r="ED86" i="1" s="1"/>
  <c r="C84" i="1"/>
  <c r="DV88" i="1"/>
  <c r="ED88" i="1" s="1"/>
  <c r="BU52" i="1"/>
  <c r="DH131" i="1"/>
  <c r="DI84" i="1"/>
  <c r="BU176" i="1"/>
  <c r="DV89" i="1"/>
  <c r="ED89" i="1" s="1"/>
  <c r="BU170" i="1"/>
  <c r="DI131" i="1"/>
  <c r="BU177" i="1"/>
  <c r="CP51" i="1"/>
  <c r="DI132" i="1"/>
  <c r="DM114" i="1"/>
  <c r="DQ110" i="1"/>
  <c r="DP105" i="1"/>
  <c r="DM107" i="1"/>
  <c r="DQ53" i="1"/>
  <c r="DL96" i="1"/>
  <c r="DL121" i="1"/>
  <c r="DL126" i="1"/>
  <c r="DP86" i="1"/>
  <c r="DP122" i="1"/>
  <c r="DM87" i="1"/>
  <c r="DL89" i="1"/>
  <c r="BI125" i="1"/>
  <c r="BU156" i="1"/>
  <c r="CP113" i="1"/>
  <c r="CP90" i="1"/>
  <c r="DV87" i="1"/>
  <c r="ED87" i="1" s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ED91" i="1" s="1"/>
  <c r="DP125" i="1"/>
  <c r="DS127" i="1"/>
  <c r="CP53" i="1"/>
  <c r="DM127" i="1"/>
  <c r="E51" i="1"/>
  <c r="CP163" i="1"/>
  <c r="DV90" i="1"/>
  <c r="ED90" i="1" s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ED92" i="1" s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EG44" i="1"/>
  <c r="DL64" i="1"/>
  <c r="BU185" i="1"/>
  <c r="BS50" i="1"/>
  <c r="BU154" i="1"/>
  <c r="CB64" i="1"/>
  <c r="CC65" i="1" s="1"/>
  <c r="BU143" i="1"/>
  <c r="BZ52" i="1"/>
  <c r="BZ64" i="1"/>
  <c r="CA65" i="1" s="1"/>
  <c r="DQ64" i="1"/>
  <c r="EI44" i="1"/>
  <c r="BL44" i="1"/>
  <c r="BO136" i="1"/>
  <c r="BZ53" i="1"/>
  <c r="CA54" i="1" s="1"/>
  <c r="BU186" i="1"/>
  <c r="BN136" i="1"/>
  <c r="BU174" i="1"/>
  <c r="BU189" i="1"/>
  <c r="BU64" i="1"/>
  <c r="BU159" i="1"/>
  <c r="BU169" i="1"/>
  <c r="CB53" i="1"/>
  <c r="CC54" i="1" s="1"/>
  <c r="BU150" i="1"/>
  <c r="BZ50" i="1"/>
  <c r="DS64" i="1"/>
  <c r="DM128" i="1"/>
  <c r="BM44" i="1"/>
  <c r="BU173" i="1"/>
  <c r="BU151" i="1"/>
  <c r="BU56" i="1"/>
  <c r="BS53" i="1"/>
  <c r="BN44" i="1"/>
  <c r="BU53" i="1"/>
  <c r="BS56" i="1"/>
  <c r="BT56" i="1" s="1"/>
  <c r="CB163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X34" i="2"/>
  <c r="T34" i="2"/>
  <c r="O34" i="2"/>
  <c r="U34" i="2"/>
  <c r="S34" i="2"/>
  <c r="F34" i="2"/>
  <c r="V34" i="2"/>
  <c r="E34" i="2"/>
  <c r="C34" i="2"/>
  <c r="G34" i="2"/>
  <c r="P34" i="2"/>
  <c r="I34" i="2"/>
  <c r="H34" i="2"/>
  <c r="N34" i="2"/>
  <c r="B34" i="2"/>
  <c r="K34" i="2"/>
  <c r="M34" i="2"/>
  <c r="Q34" i="2"/>
  <c r="W34" i="2"/>
  <c r="J34" i="2"/>
  <c r="R34" i="2"/>
  <c r="D34" i="2"/>
  <c r="L34" i="2"/>
  <c r="BX53" i="1" l="1"/>
  <c r="BY54" i="1" s="1"/>
  <c r="BX49" i="1"/>
  <c r="BY50" i="1" s="1"/>
  <c r="BQ52" i="1"/>
  <c r="EK56" i="1"/>
  <c r="BX52" i="1"/>
  <c r="BQ49" i="1"/>
  <c r="BX51" i="1"/>
  <c r="CY51" i="1" s="1"/>
  <c r="DR51" i="1"/>
  <c r="BX56" i="1"/>
  <c r="BY56" i="1" s="1"/>
  <c r="EK53" i="1"/>
  <c r="BQ56" i="1"/>
  <c r="DR53" i="1"/>
  <c r="EK50" i="1"/>
  <c r="EK49" i="1"/>
  <c r="EK52" i="1"/>
  <c r="EK51" i="1"/>
  <c r="BQ50" i="1"/>
  <c r="DR50" i="1"/>
  <c r="ED132" i="1"/>
  <c r="ED131" i="1"/>
  <c r="ED56" i="1"/>
  <c r="ED168" i="1"/>
  <c r="ED163" i="1"/>
  <c r="ED53" i="1"/>
  <c r="ED49" i="1"/>
  <c r="ED50" i="1"/>
  <c r="ED64" i="1"/>
  <c r="ED52" i="1"/>
  <c r="ED51" i="1"/>
  <c r="ES91" i="1"/>
  <c r="ES86" i="1"/>
  <c r="ES90" i="1"/>
  <c r="ES87" i="1"/>
  <c r="ES89" i="1"/>
  <c r="ES88" i="1"/>
  <c r="ES92" i="1"/>
  <c r="BV185" i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4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DP132" i="1"/>
  <c r="CO131" i="1"/>
  <c r="CC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CY50" i="1"/>
  <c r="DS84" i="1"/>
  <c r="DS131" i="1"/>
  <c r="DM84" i="1"/>
  <c r="CC53" i="1"/>
  <c r="CW53" i="1"/>
  <c r="CA50" i="1"/>
  <c r="CA51" i="1"/>
  <c r="CA53" i="1"/>
  <c r="BU136" i="1"/>
  <c r="BU191" i="1" s="1"/>
  <c r="Y34" i="2"/>
  <c r="BG33" i="1" s="1"/>
  <c r="AZ34" i="1"/>
  <c r="A35" i="2"/>
  <c r="DG34" i="1"/>
  <c r="F34" i="1"/>
  <c r="A35" i="1"/>
  <c r="N35" i="2"/>
  <c r="Q35" i="2"/>
  <c r="M35" i="2"/>
  <c r="X35" i="2"/>
  <c r="E35" i="2"/>
  <c r="K35" i="2"/>
  <c r="O35" i="2"/>
  <c r="L35" i="2"/>
  <c r="F35" i="2"/>
  <c r="G35" i="2"/>
  <c r="S35" i="2"/>
  <c r="W35" i="2"/>
  <c r="D35" i="2"/>
  <c r="V35" i="2"/>
  <c r="R35" i="2"/>
  <c r="U35" i="2"/>
  <c r="P35" i="2"/>
  <c r="C35" i="2"/>
  <c r="J35" i="2"/>
  <c r="I35" i="2"/>
  <c r="B35" i="2"/>
  <c r="H35" i="2"/>
  <c r="T35" i="2"/>
  <c r="BY53" i="1" l="1"/>
  <c r="CY53" i="1"/>
  <c r="CZ54" i="1" s="1"/>
  <c r="ET53" i="1"/>
  <c r="ET51" i="1"/>
  <c r="ET50" i="1"/>
  <c r="BR56" i="1"/>
  <c r="ET56" i="1"/>
  <c r="BR52" i="1"/>
  <c r="ET52" i="1"/>
  <c r="CW49" i="1"/>
  <c r="ET49" i="1"/>
  <c r="CY49" i="1"/>
  <c r="CZ50" i="1" s="1"/>
  <c r="BR53" i="1"/>
  <c r="CW52" i="1"/>
  <c r="CY52" i="1"/>
  <c r="BY52" i="1"/>
  <c r="BR50" i="1"/>
  <c r="BY51" i="1"/>
  <c r="CY56" i="1"/>
  <c r="CZ56" i="1" s="1"/>
  <c r="CW56" i="1"/>
  <c r="CW50" i="1"/>
  <c r="BR51" i="1"/>
  <c r="DN132" i="1"/>
  <c r="CZ51" i="1"/>
  <c r="BU190" i="1"/>
  <c r="Y35" i="2"/>
  <c r="BG34" i="1" s="1"/>
  <c r="AZ35" i="1"/>
  <c r="A36" i="2"/>
  <c r="DG35" i="1"/>
  <c r="F35" i="1"/>
  <c r="A36" i="1"/>
  <c r="J36" i="2"/>
  <c r="Q36" i="2"/>
  <c r="G36" i="2"/>
  <c r="V36" i="2"/>
  <c r="D36" i="2"/>
  <c r="H36" i="2"/>
  <c r="R36" i="2"/>
  <c r="T36" i="2"/>
  <c r="K36" i="2"/>
  <c r="P36" i="2"/>
  <c r="W36" i="2"/>
  <c r="M36" i="2"/>
  <c r="L36" i="2"/>
  <c r="E36" i="2"/>
  <c r="F36" i="2"/>
  <c r="S36" i="2"/>
  <c r="C36" i="2"/>
  <c r="U36" i="2"/>
  <c r="I36" i="2"/>
  <c r="O36" i="2"/>
  <c r="X36" i="2"/>
  <c r="N36" i="2"/>
  <c r="B36" i="2"/>
  <c r="CZ53" i="1" l="1"/>
  <c r="CZ52" i="1"/>
  <c r="Y36" i="2"/>
  <c r="BG35" i="1" s="1"/>
  <c r="AZ36" i="1"/>
  <c r="A37" i="2"/>
  <c r="DG36" i="1"/>
  <c r="F36" i="1"/>
  <c r="A37" i="1"/>
  <c r="Q37" i="2"/>
  <c r="P37" i="2"/>
  <c r="V37" i="2"/>
  <c r="J37" i="2"/>
  <c r="K37" i="2"/>
  <c r="M37" i="2"/>
  <c r="X37" i="2"/>
  <c r="O37" i="2"/>
  <c r="R37" i="2"/>
  <c r="U37" i="2"/>
  <c r="B37" i="2"/>
  <c r="W37" i="2"/>
  <c r="H37" i="2"/>
  <c r="L37" i="2"/>
  <c r="E37" i="2"/>
  <c r="F37" i="2"/>
  <c r="S37" i="2"/>
  <c r="D37" i="2"/>
  <c r="I37" i="2"/>
  <c r="G37" i="2"/>
  <c r="N37" i="2"/>
  <c r="T37" i="2"/>
  <c r="C37" i="2"/>
  <c r="Y37" i="2" l="1"/>
  <c r="BG36" i="1" s="1"/>
  <c r="AZ37" i="1"/>
  <c r="A38" i="2"/>
  <c r="DG37" i="1"/>
  <c r="F37" i="1"/>
  <c r="A38" i="1"/>
  <c r="I38" i="2"/>
  <c r="O38" i="2"/>
  <c r="R38" i="2"/>
  <c r="J38" i="2"/>
  <c r="G38" i="2"/>
  <c r="P38" i="2"/>
  <c r="E38" i="2"/>
  <c r="U38" i="2"/>
  <c r="D38" i="2"/>
  <c r="L38" i="2"/>
  <c r="C38" i="2"/>
  <c r="Q38" i="2"/>
  <c r="B38" i="2"/>
  <c r="F38" i="2"/>
  <c r="W38" i="2"/>
  <c r="N38" i="2"/>
  <c r="K38" i="2"/>
  <c r="S38" i="2"/>
  <c r="V38" i="2"/>
  <c r="X38" i="2"/>
  <c r="M38" i="2"/>
  <c r="H38" i="2"/>
  <c r="T38" i="2"/>
  <c r="Y38" i="2" l="1"/>
  <c r="BG37" i="1" s="1"/>
  <c r="AZ38" i="1"/>
  <c r="A39" i="2"/>
  <c r="DG38" i="1"/>
  <c r="F38" i="1"/>
  <c r="L39" i="2"/>
  <c r="U39" i="2"/>
  <c r="T39" i="2"/>
  <c r="N39" i="2"/>
  <c r="D39" i="2"/>
  <c r="V39" i="2"/>
  <c r="W39" i="2"/>
  <c r="Q39" i="2"/>
  <c r="E39" i="2"/>
  <c r="H39" i="2"/>
  <c r="X39" i="2"/>
  <c r="M39" i="2"/>
  <c r="O39" i="2"/>
  <c r="R39" i="2"/>
  <c r="I39" i="2"/>
  <c r="C39" i="2"/>
  <c r="B39" i="2"/>
  <c r="P39" i="2"/>
  <c r="K39" i="2"/>
  <c r="J39" i="2"/>
  <c r="G39" i="2"/>
  <c r="F39" i="2"/>
  <c r="S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EL161" i="1"/>
  <c r="EL164" i="1"/>
  <c r="EL160" i="1"/>
  <c r="BA162" i="1"/>
  <c r="EL168" i="1"/>
  <c r="EL167" i="1"/>
  <c r="BA167" i="1"/>
  <c r="BA161" i="1"/>
  <c r="EL163" i="1"/>
  <c r="BA164" i="1"/>
  <c r="BA166" i="1"/>
  <c r="EL162" i="1"/>
  <c r="EL166" i="1"/>
  <c r="BA165" i="1"/>
  <c r="EL165" i="1"/>
  <c r="EL159" i="1"/>
  <c r="BD151" i="1"/>
  <c r="BE158" i="1"/>
  <c r="BD154" i="1"/>
  <c r="BE160" i="1"/>
  <c r="BE154" i="1"/>
  <c r="BD153" i="1"/>
  <c r="CG149" i="1"/>
  <c r="CG155" i="1"/>
  <c r="CF183" i="1"/>
  <c r="CG153" i="1"/>
  <c r="CG154" i="1"/>
  <c r="BF174" i="1"/>
  <c r="BD150" i="1"/>
  <c r="BC179" i="1"/>
  <c r="BF173" i="1"/>
  <c r="CG157" i="1"/>
  <c r="BD157" i="1"/>
  <c r="BF170" i="1"/>
  <c r="BE159" i="1"/>
  <c r="BD149" i="1"/>
  <c r="BE157" i="1"/>
  <c r="CG150" i="1"/>
  <c r="CF182" i="1"/>
  <c r="BC180" i="1"/>
  <c r="BF169" i="1"/>
  <c r="BE155" i="1"/>
  <c r="BF176" i="1"/>
  <c r="BD155" i="1"/>
  <c r="CF181" i="1"/>
  <c r="CG151" i="1"/>
  <c r="CF180" i="1"/>
  <c r="BF175" i="1"/>
  <c r="BF171" i="1"/>
  <c r="CF179" i="1"/>
  <c r="CF184" i="1"/>
  <c r="BE153" i="1"/>
  <c r="BD152" i="1"/>
  <c r="BD156" i="1"/>
  <c r="BE156" i="1"/>
  <c r="CG156" i="1"/>
  <c r="CG152" i="1"/>
  <c r="EE165" i="1" l="1"/>
  <c r="DX165" i="1" s="1"/>
  <c r="EE168" i="1"/>
  <c r="DX168" i="1" s="1"/>
  <c r="EE167" i="1"/>
  <c r="DX167" i="1" s="1"/>
  <c r="DJ166" i="1"/>
  <c r="DH166" i="1"/>
  <c r="DT166" i="1"/>
  <c r="DN166" i="1"/>
  <c r="DN165" i="1"/>
  <c r="DJ165" i="1"/>
  <c r="DH165" i="1"/>
  <c r="DT165" i="1"/>
  <c r="EE163" i="1"/>
  <c r="DX163" i="1" s="1"/>
  <c r="DN167" i="1"/>
  <c r="DH167" i="1"/>
  <c r="DT167" i="1"/>
  <c r="DJ167" i="1"/>
  <c r="EE159" i="1"/>
  <c r="DX159" i="1" s="1"/>
  <c r="DH162" i="1"/>
  <c r="DJ162" i="1"/>
  <c r="DN162" i="1"/>
  <c r="DT162" i="1"/>
  <c r="DJ161" i="1"/>
  <c r="DT161" i="1"/>
  <c r="DN161" i="1"/>
  <c r="DH161" i="1"/>
  <c r="EE166" i="1"/>
  <c r="DX166" i="1" s="1"/>
  <c r="EE164" i="1"/>
  <c r="DX164" i="1" s="1"/>
  <c r="DJ164" i="1"/>
  <c r="DT164" i="1"/>
  <c r="DN164" i="1"/>
  <c r="DH164" i="1"/>
  <c r="EE160" i="1"/>
  <c r="DX160" i="1" s="1"/>
  <c r="EE161" i="1"/>
  <c r="DX161" i="1" s="1"/>
  <c r="EE162" i="1"/>
  <c r="DX162" i="1" s="1"/>
  <c r="EM139" i="1"/>
  <c r="EM183" i="1"/>
  <c r="EM180" i="1"/>
  <c r="EL178" i="1"/>
  <c r="EM179" i="1"/>
  <c r="EM181" i="1"/>
  <c r="EM142" i="1"/>
  <c r="EM177" i="1"/>
  <c r="EL180" i="1"/>
  <c r="EL179" i="1"/>
  <c r="EL181" i="1"/>
  <c r="EL144" i="1"/>
  <c r="EM144" i="1"/>
  <c r="EM143" i="1"/>
  <c r="EM182" i="1"/>
  <c r="EL182" i="1"/>
  <c r="EL137" i="1"/>
  <c r="EM184" i="1"/>
  <c r="EM137" i="1"/>
  <c r="EL177" i="1"/>
  <c r="EL183" i="1"/>
  <c r="EL184" i="1"/>
  <c r="EM141" i="1"/>
  <c r="EM178" i="1"/>
  <c r="EM140" i="1"/>
  <c r="EM138" i="1"/>
  <c r="EL139" i="1"/>
  <c r="EL140" i="1"/>
  <c r="EL141" i="1"/>
  <c r="EL143" i="1"/>
  <c r="EL142" i="1"/>
  <c r="EL138" i="1"/>
  <c r="BE173" i="1"/>
  <c r="BF164" i="1"/>
  <c r="BE166" i="1"/>
  <c r="BF189" i="1"/>
  <c r="BF151" i="1"/>
  <c r="BE175" i="1"/>
  <c r="BE151" i="1"/>
  <c r="BE167" i="1"/>
  <c r="BF149" i="1"/>
  <c r="BF152" i="1"/>
  <c r="BE149" i="1"/>
  <c r="BF167" i="1"/>
  <c r="BF161" i="1"/>
  <c r="BE152" i="1"/>
  <c r="BE164" i="1"/>
  <c r="BE169" i="1"/>
  <c r="BE189" i="1"/>
  <c r="BE161" i="1"/>
  <c r="BE174" i="1"/>
  <c r="BE172" i="1"/>
  <c r="BE162" i="1"/>
  <c r="BE171" i="1"/>
  <c r="BE176" i="1"/>
  <c r="BF162" i="1"/>
  <c r="BE150" i="1"/>
  <c r="BE170" i="1"/>
  <c r="BF165" i="1"/>
  <c r="BF150" i="1"/>
  <c r="BF172" i="1"/>
  <c r="BE165" i="1"/>
  <c r="BF166" i="1"/>
  <c r="BJ161" i="1" l="1"/>
  <c r="BJ160" i="1"/>
  <c r="BJ163" i="1"/>
  <c r="BJ164" i="1"/>
  <c r="BJ167" i="1"/>
  <c r="BJ162" i="1"/>
  <c r="BJ166" i="1"/>
  <c r="BJ168" i="1"/>
  <c r="BJ159" i="1"/>
  <c r="BJ165" i="1"/>
  <c r="EE138" i="1"/>
  <c r="DX138" i="1" s="1"/>
  <c r="CU165" i="1"/>
  <c r="CB165" i="1"/>
  <c r="CB162" i="1"/>
  <c r="CC163" i="1" s="1"/>
  <c r="CU162" i="1"/>
  <c r="EE144" i="1"/>
  <c r="DX144" i="1" s="1"/>
  <c r="EE137" i="1"/>
  <c r="DX137" i="1" s="1"/>
  <c r="EE181" i="1"/>
  <c r="DX181" i="1" s="1"/>
  <c r="CB170" i="1"/>
  <c r="CU170" i="1"/>
  <c r="CU161" i="1"/>
  <c r="CB161" i="1"/>
  <c r="EE182" i="1"/>
  <c r="DX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EE179" i="1"/>
  <c r="DX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EE183" i="1"/>
  <c r="DX183" i="1" s="1"/>
  <c r="EE139" i="1"/>
  <c r="DX139" i="1" s="1"/>
  <c r="EE141" i="1"/>
  <c r="DX141" i="1" s="1"/>
  <c r="EE140" i="1"/>
  <c r="DX140" i="1" s="1"/>
  <c r="CU175" i="1"/>
  <c r="CB175" i="1"/>
  <c r="CU173" i="1"/>
  <c r="CB173" i="1"/>
  <c r="CU167" i="1"/>
  <c r="CB167" i="1"/>
  <c r="CC168" i="1" s="1"/>
  <c r="EE178" i="1"/>
  <c r="DX178" i="1" s="1"/>
  <c r="EE177" i="1"/>
  <c r="DX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J177" i="1" l="1"/>
  <c r="BQ177" i="1" s="1"/>
  <c r="BJ179" i="1"/>
  <c r="BQ179" i="1" s="1"/>
  <c r="BJ144" i="1"/>
  <c r="BQ144" i="1" s="1"/>
  <c r="BJ141" i="1"/>
  <c r="BQ141" i="1" s="1"/>
  <c r="BJ180" i="1"/>
  <c r="BQ180" i="1" s="1"/>
  <c r="BJ138" i="1"/>
  <c r="BQ138" i="1" s="1"/>
  <c r="BJ139" i="1"/>
  <c r="BQ139" i="1" s="1"/>
  <c r="BJ184" i="1"/>
  <c r="BQ184" i="1" s="1"/>
  <c r="BJ181" i="1"/>
  <c r="BQ181" i="1" s="1"/>
  <c r="BJ140" i="1"/>
  <c r="BQ140" i="1" s="1"/>
  <c r="BJ178" i="1"/>
  <c r="BQ178" i="1" s="1"/>
  <c r="BJ182" i="1"/>
  <c r="BQ182" i="1" s="1"/>
  <c r="BJ183" i="1"/>
  <c r="BQ183" i="1" s="1"/>
  <c r="BJ143" i="1"/>
  <c r="BQ143" i="1" s="1"/>
  <c r="BJ142" i="1"/>
  <c r="BQ142" i="1" s="1"/>
  <c r="BJ137" i="1"/>
  <c r="CC175" i="1"/>
  <c r="CC171" i="1"/>
  <c r="CC166" i="1"/>
  <c r="CC152" i="1"/>
  <c r="CC150" i="1"/>
  <c r="CC170" i="1"/>
  <c r="CC162" i="1"/>
  <c r="CC172" i="1"/>
  <c r="DY137" i="1"/>
  <c r="BK137" i="1" s="1"/>
  <c r="CC174" i="1"/>
  <c r="CC176" i="1"/>
  <c r="CC151" i="1"/>
  <c r="CC164" i="1"/>
  <c r="CC165" i="1"/>
  <c r="CC167" i="1"/>
  <c r="CC173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l="1"/>
  <c r="EM173" i="1"/>
  <c r="EM186" i="1"/>
  <c r="EM169" i="1"/>
  <c r="EM174" i="1"/>
  <c r="EM160" i="1"/>
  <c r="EM155" i="1"/>
  <c r="EM163" i="1"/>
  <c r="EM187" i="1"/>
  <c r="BB147" i="1"/>
  <c r="EL157" i="1"/>
  <c r="CD157" i="1"/>
  <c r="EM170" i="1"/>
  <c r="BA159" i="1"/>
  <c r="EL152" i="1"/>
  <c r="CE138" i="1"/>
  <c r="BB45" i="1"/>
  <c r="EL102" i="1"/>
  <c r="EL117" i="1"/>
  <c r="CD170" i="1"/>
  <c r="CD189" i="1"/>
  <c r="CE179" i="1"/>
  <c r="CE169" i="1"/>
  <c r="EL106" i="1"/>
  <c r="BB176" i="1"/>
  <c r="EM45" i="1"/>
  <c r="BA189" i="1"/>
  <c r="BA30" i="1"/>
  <c r="AS28" i="1"/>
  <c r="EM130" i="1"/>
  <c r="EL114" i="1"/>
  <c r="CE47" i="1"/>
  <c r="EM46" i="1"/>
  <c r="BA60" i="1"/>
  <c r="CD181" i="1"/>
  <c r="BB78" i="1"/>
  <c r="CE17" i="1"/>
  <c r="EL104" i="1"/>
  <c r="AS19" i="1"/>
  <c r="CE148" i="1"/>
  <c r="CE30" i="1"/>
  <c r="EM64" i="1"/>
  <c r="CE150" i="1"/>
  <c r="EL75" i="1"/>
  <c r="CE32" i="1"/>
  <c r="AT48" i="1"/>
  <c r="AT18" i="1"/>
  <c r="EL22" i="1"/>
  <c r="CD20" i="1"/>
  <c r="BB31" i="1"/>
  <c r="CD12" i="1"/>
  <c r="EL99" i="1"/>
  <c r="BA79" i="1"/>
  <c r="EL34" i="1"/>
  <c r="EL7" i="1"/>
  <c r="BB27" i="1"/>
  <c r="AS62" i="1"/>
  <c r="CE10" i="1"/>
  <c r="CE36" i="1"/>
  <c r="CD48" i="1"/>
  <c r="BA176" i="1"/>
  <c r="EM33" i="1"/>
  <c r="EM96" i="1"/>
  <c r="EM121" i="1"/>
  <c r="EL25" i="1"/>
  <c r="CD29" i="1"/>
  <c r="EL24" i="1"/>
  <c r="AS34" i="1"/>
  <c r="CE31" i="1"/>
  <c r="CE16" i="1"/>
  <c r="EM91" i="1"/>
  <c r="AT77" i="1"/>
  <c r="CE15" i="1"/>
  <c r="EL146" i="1"/>
  <c r="CD176" i="1"/>
  <c r="EL105" i="1"/>
  <c r="CD177" i="1"/>
  <c r="BB16" i="1"/>
  <c r="AS35" i="1"/>
  <c r="BB25" i="1"/>
  <c r="EM6" i="1"/>
  <c r="EM111" i="1"/>
  <c r="CE24" i="1"/>
  <c r="EM119" i="1"/>
  <c r="BA4" i="1"/>
  <c r="AS46" i="1"/>
  <c r="BB173" i="1"/>
  <c r="BA14" i="1"/>
  <c r="EL188" i="1"/>
  <c r="EL15" i="1"/>
  <c r="AT78" i="1"/>
  <c r="AS9" i="1"/>
  <c r="EM104" i="1"/>
  <c r="CE4" i="1"/>
  <c r="EL48" i="1"/>
  <c r="BA7" i="1"/>
  <c r="EM165" i="1"/>
  <c r="BB186" i="1"/>
  <c r="CD156" i="1"/>
  <c r="CE166" i="1"/>
  <c r="CD159" i="1"/>
  <c r="EM172" i="1"/>
  <c r="CE152" i="1"/>
  <c r="CE167" i="1"/>
  <c r="EL156" i="1"/>
  <c r="EM161" i="1"/>
  <c r="EM185" i="1"/>
  <c r="EM168" i="1"/>
  <c r="BB166" i="1"/>
  <c r="BA158" i="1"/>
  <c r="CD160" i="1"/>
  <c r="AT47" i="1"/>
  <c r="AT45" i="1"/>
  <c r="BB169" i="1"/>
  <c r="EL120" i="1"/>
  <c r="BA175" i="1"/>
  <c r="AT9" i="1"/>
  <c r="EL97" i="1"/>
  <c r="BB171" i="1"/>
  <c r="EL111" i="1"/>
  <c r="CE176" i="1"/>
  <c r="BB139" i="1"/>
  <c r="EM90" i="1"/>
  <c r="EM115" i="1"/>
  <c r="BA152" i="1"/>
  <c r="CE73" i="1"/>
  <c r="EL116" i="1"/>
  <c r="EM47" i="1"/>
  <c r="EL93" i="1"/>
  <c r="BB150" i="1"/>
  <c r="CD145" i="1"/>
  <c r="BA147" i="1"/>
  <c r="EL45" i="1"/>
  <c r="EL100" i="1"/>
  <c r="EM89" i="1"/>
  <c r="CE18" i="1"/>
  <c r="AT4" i="1"/>
  <c r="CD172" i="1"/>
  <c r="EL172" i="1"/>
  <c r="CD179" i="1"/>
  <c r="AT29" i="1"/>
  <c r="CD30" i="1"/>
  <c r="EL171" i="1"/>
  <c r="CE38" i="1"/>
  <c r="EL88" i="1"/>
  <c r="CD171" i="1"/>
  <c r="BB182" i="1"/>
  <c r="CE14" i="1"/>
  <c r="EL4" i="1"/>
  <c r="AS16" i="1"/>
  <c r="EL59" i="1"/>
  <c r="BB175" i="1"/>
  <c r="EL90" i="1"/>
  <c r="AS45" i="1"/>
  <c r="EM59" i="1"/>
  <c r="CE146" i="1"/>
  <c r="CD148" i="1"/>
  <c r="BB33" i="1"/>
  <c r="CE156" i="1"/>
  <c r="CD23" i="1"/>
  <c r="BA156" i="1"/>
  <c r="AT28" i="1"/>
  <c r="AS79" i="1"/>
  <c r="CD5" i="1"/>
  <c r="AS23" i="1"/>
  <c r="EM105" i="1"/>
  <c r="AS32" i="1"/>
  <c r="AT8" i="1"/>
  <c r="BB151" i="1"/>
  <c r="BA6" i="1"/>
  <c r="BB61" i="1"/>
  <c r="EM32" i="1"/>
  <c r="EM21" i="1"/>
  <c r="CE187" i="1"/>
  <c r="BB48" i="1"/>
  <c r="BA71" i="1"/>
  <c r="EM10" i="1"/>
  <c r="EM13" i="1"/>
  <c r="BA38" i="1"/>
  <c r="CD45" i="1"/>
  <c r="BB157" i="1"/>
  <c r="BB140" i="1"/>
  <c r="BA45" i="1"/>
  <c r="EL151" i="1"/>
  <c r="CE157" i="1"/>
  <c r="CD10" i="1"/>
  <c r="EL170" i="1"/>
  <c r="BB17" i="1"/>
  <c r="CD31" i="1"/>
  <c r="BB7" i="1"/>
  <c r="EM31" i="1"/>
  <c r="CE60" i="1"/>
  <c r="BB164" i="1"/>
  <c r="CD158" i="1"/>
  <c r="BB187" i="1"/>
  <c r="BB165" i="1"/>
  <c r="BB144" i="1"/>
  <c r="EM145" i="1"/>
  <c r="EM146" i="1"/>
  <c r="EM171" i="1"/>
  <c r="BB185" i="1"/>
  <c r="BA160" i="1"/>
  <c r="BB146" i="1"/>
  <c r="BB162" i="1"/>
  <c r="EM164" i="1"/>
  <c r="EL153" i="1"/>
  <c r="EM152" i="1"/>
  <c r="EL115" i="1"/>
  <c r="BB177" i="1"/>
  <c r="CE137" i="1"/>
  <c r="EL107" i="1"/>
  <c r="CD144" i="1"/>
  <c r="BA46" i="1"/>
  <c r="CE178" i="1"/>
  <c r="EL121" i="1"/>
  <c r="CE139" i="1"/>
  <c r="BB170" i="1"/>
  <c r="EL101" i="1"/>
  <c r="EM79" i="1"/>
  <c r="EM101" i="1"/>
  <c r="BB18" i="1"/>
  <c r="CE184" i="1"/>
  <c r="CE171" i="1"/>
  <c r="BB178" i="1"/>
  <c r="EL119" i="1"/>
  <c r="EM116" i="1"/>
  <c r="AT36" i="1"/>
  <c r="CD73" i="1"/>
  <c r="EL96" i="1"/>
  <c r="EL94" i="1"/>
  <c r="BB12" i="1"/>
  <c r="EL187" i="1"/>
  <c r="AT62" i="1"/>
  <c r="BA170" i="1"/>
  <c r="CE141" i="1"/>
  <c r="CD143" i="1"/>
  <c r="EL91" i="1"/>
  <c r="AS21" i="1"/>
  <c r="BB143" i="1"/>
  <c r="BB9" i="1"/>
  <c r="BB72" i="1"/>
  <c r="EL128" i="1"/>
  <c r="BB62" i="1"/>
  <c r="EM109" i="1"/>
  <c r="EM8" i="1"/>
  <c r="CE78" i="1"/>
  <c r="EL64" i="1"/>
  <c r="CE7" i="1"/>
  <c r="CD34" i="1"/>
  <c r="EM22" i="1"/>
  <c r="CE160" i="1"/>
  <c r="BA172" i="1"/>
  <c r="AT34" i="1"/>
  <c r="EM128" i="1"/>
  <c r="EM4" i="1"/>
  <c r="EL63" i="1"/>
  <c r="AS30" i="1"/>
  <c r="BA35" i="1"/>
  <c r="AS59" i="1"/>
  <c r="CE58" i="1"/>
  <c r="BB10" i="1"/>
  <c r="AS25" i="1"/>
  <c r="EM122" i="1"/>
  <c r="EM148" i="1"/>
  <c r="CE143" i="1"/>
  <c r="CE33" i="1"/>
  <c r="EL109" i="1"/>
  <c r="EM112" i="1"/>
  <c r="EL29" i="1"/>
  <c r="EM70" i="1"/>
  <c r="EM76" i="1"/>
  <c r="BB159" i="1"/>
  <c r="EL189" i="1"/>
  <c r="CD16" i="1"/>
  <c r="BB79" i="1"/>
  <c r="EM62" i="1"/>
  <c r="BB75" i="1"/>
  <c r="CE183" i="1"/>
  <c r="EL30" i="1"/>
  <c r="CD24" i="1"/>
  <c r="BB35" i="1"/>
  <c r="CE149" i="1"/>
  <c r="AT58" i="1"/>
  <c r="AS8" i="1"/>
  <c r="BB30" i="1"/>
  <c r="EL5" i="1"/>
  <c r="BB23" i="1"/>
  <c r="AS12" i="1"/>
  <c r="EM120" i="1"/>
  <c r="BA34" i="1"/>
  <c r="CE19" i="1"/>
  <c r="BA150" i="1"/>
  <c r="BB58" i="1"/>
  <c r="CE57" i="1"/>
  <c r="AS10" i="1"/>
  <c r="EM126" i="1"/>
  <c r="CD147" i="1"/>
  <c r="EL46" i="1"/>
  <c r="AT32" i="1"/>
  <c r="BB148" i="1"/>
  <c r="BA23" i="1"/>
  <c r="BB28" i="1"/>
  <c r="CD33" i="1"/>
  <c r="BB71" i="1"/>
  <c r="CE22" i="1"/>
  <c r="BB6" i="1"/>
  <c r="EM16" i="1"/>
  <c r="CD153" i="1"/>
  <c r="AT73" i="1"/>
  <c r="AT72" i="1"/>
  <c r="CE175" i="1"/>
  <c r="BA11" i="1"/>
  <c r="BB181" i="1"/>
  <c r="BA75" i="1"/>
  <c r="BB26" i="1"/>
  <c r="EM36" i="1"/>
  <c r="CE77" i="1"/>
  <c r="CE144" i="1"/>
  <c r="AT74" i="1"/>
  <c r="EM167" i="1"/>
  <c r="EM147" i="1"/>
  <c r="EM176" i="1"/>
  <c r="BB167" i="1"/>
  <c r="BB145" i="1"/>
  <c r="EL154" i="1"/>
  <c r="EL158" i="1"/>
  <c r="EM166" i="1"/>
  <c r="EM154" i="1"/>
  <c r="BB184" i="1"/>
  <c r="EM175" i="1"/>
  <c r="EM162" i="1"/>
  <c r="EL155" i="1"/>
  <c r="EM153" i="1"/>
  <c r="EL103" i="1"/>
  <c r="CE170" i="1"/>
  <c r="EL118" i="1"/>
  <c r="EL98" i="1"/>
  <c r="BB179" i="1"/>
  <c r="EL169" i="1"/>
  <c r="AT35" i="1"/>
  <c r="BB137" i="1"/>
  <c r="BB138" i="1"/>
  <c r="BB46" i="1"/>
  <c r="CE177" i="1"/>
  <c r="CE155" i="1"/>
  <c r="BB174" i="1"/>
  <c r="CD183" i="1"/>
  <c r="EL92" i="1"/>
  <c r="CD146" i="1"/>
  <c r="EL108" i="1"/>
  <c r="EL122" i="1"/>
  <c r="EL110" i="1"/>
  <c r="EM125" i="1"/>
  <c r="CD75" i="1"/>
  <c r="CD72" i="1"/>
  <c r="EL113" i="1"/>
  <c r="CD11" i="1"/>
  <c r="EM15" i="1"/>
  <c r="CE174" i="1"/>
  <c r="AS29" i="1"/>
  <c r="EM38" i="1"/>
  <c r="AS85" i="1"/>
  <c r="CD15" i="1"/>
  <c r="AT85" i="1"/>
  <c r="CD35" i="1"/>
  <c r="CD37" i="1"/>
  <c r="CD185" i="1"/>
  <c r="EM106" i="1"/>
  <c r="CD61" i="1"/>
  <c r="BA61" i="1"/>
  <c r="AS13" i="1"/>
  <c r="BB70" i="1"/>
  <c r="EM150" i="1"/>
  <c r="CE26" i="1"/>
  <c r="EM72" i="1"/>
  <c r="CD13" i="1"/>
  <c r="AS33" i="1"/>
  <c r="BA9" i="1"/>
  <c r="CE74" i="1"/>
  <c r="AS24" i="1"/>
  <c r="BA184" i="1"/>
  <c r="AT75" i="1"/>
  <c r="EL20" i="1"/>
  <c r="EM92" i="1"/>
  <c r="EL173" i="1"/>
  <c r="AT13" i="1"/>
  <c r="BA15" i="1"/>
  <c r="BA47" i="1"/>
  <c r="AT21" i="1"/>
  <c r="AS20" i="1"/>
  <c r="CE20" i="1"/>
  <c r="EL72" i="1"/>
  <c r="EL38" i="1"/>
  <c r="BB47" i="1"/>
  <c r="BB4" i="1"/>
  <c r="EM98" i="1"/>
  <c r="EL26" i="1"/>
  <c r="EL31" i="1"/>
  <c r="BA78" i="1"/>
  <c r="AT17" i="1"/>
  <c r="EM18" i="1"/>
  <c r="CE181" i="1"/>
  <c r="AS27" i="1"/>
  <c r="BA154" i="1"/>
  <c r="BA139" i="1"/>
  <c r="BA143" i="1"/>
  <c r="AS48" i="1"/>
  <c r="BA151" i="1"/>
  <c r="CD46" i="1"/>
  <c r="EM48" i="1"/>
  <c r="CE35" i="1"/>
  <c r="AT30" i="1"/>
  <c r="EL76" i="1"/>
  <c r="AT27" i="1"/>
  <c r="BB38" i="1"/>
  <c r="AS5" i="1"/>
  <c r="EL16" i="1"/>
  <c r="CD32" i="1"/>
  <c r="CE61" i="1"/>
  <c r="CD149" i="1"/>
  <c r="CD182" i="1"/>
  <c r="CD22" i="1"/>
  <c r="AT22" i="1"/>
  <c r="CE21" i="1"/>
  <c r="CD47" i="1"/>
  <c r="EL21" i="1"/>
  <c r="CD140" i="1"/>
  <c r="CE34" i="1"/>
  <c r="EM88" i="1"/>
  <c r="CD76" i="1"/>
  <c r="EM127" i="1"/>
  <c r="EL150" i="1"/>
  <c r="AS76" i="1"/>
  <c r="BA72" i="1"/>
  <c r="EL61" i="1"/>
  <c r="EM110" i="1"/>
  <c r="BA181" i="1"/>
  <c r="CE11" i="1"/>
  <c r="BB60" i="1"/>
  <c r="CD138" i="1"/>
  <c r="CD188" i="1"/>
  <c r="EM20" i="1"/>
  <c r="BA138" i="1"/>
  <c r="EM71" i="1"/>
  <c r="CD79" i="1"/>
  <c r="EM63" i="1"/>
  <c r="BA20" i="1"/>
  <c r="AS15" i="1"/>
  <c r="CD74" i="1"/>
  <c r="AT14" i="1"/>
  <c r="CD166" i="1"/>
  <c r="EM73" i="1"/>
  <c r="EM12" i="1"/>
  <c r="CE6" i="1"/>
  <c r="AS71" i="1"/>
  <c r="BA25" i="1"/>
  <c r="EM189" i="1"/>
  <c r="EM156" i="1"/>
  <c r="BA146" i="1"/>
  <c r="BB155" i="1"/>
  <c r="BA58" i="1"/>
  <c r="BB141" i="1"/>
  <c r="AT24" i="1"/>
  <c r="BA177" i="1"/>
  <c r="EM28" i="1"/>
  <c r="BB77" i="1"/>
  <c r="CE12" i="1"/>
  <c r="BA188" i="1"/>
  <c r="EM37" i="1"/>
  <c r="AS60" i="1"/>
  <c r="CD167" i="1"/>
  <c r="CD4" i="1"/>
  <c r="AT57" i="1"/>
  <c r="EL13" i="1"/>
  <c r="BB37" i="1"/>
  <c r="CE180" i="1"/>
  <c r="AS70" i="1"/>
  <c r="CE158" i="1"/>
  <c r="BA183" i="1"/>
  <c r="BA182" i="1"/>
  <c r="BB76" i="1"/>
  <c r="EM5" i="1"/>
  <c r="EM30" i="1"/>
  <c r="EM75" i="1"/>
  <c r="CD8" i="1"/>
  <c r="EL57" i="1"/>
  <c r="CD38" i="1"/>
  <c r="CD9" i="1"/>
  <c r="CE188" i="1"/>
  <c r="EL33" i="1"/>
  <c r="CD184" i="1"/>
  <c r="CE75" i="1"/>
  <c r="AT71" i="1"/>
  <c r="EL71" i="1"/>
  <c r="EL145" i="1"/>
  <c r="EL123" i="1"/>
  <c r="CE153" i="1"/>
  <c r="BA149" i="1"/>
  <c r="EM107" i="1"/>
  <c r="AS61" i="1"/>
  <c r="AS75" i="1"/>
  <c r="CD19" i="1"/>
  <c r="CE23" i="1"/>
  <c r="CD60" i="1"/>
  <c r="CE46" i="1"/>
  <c r="BB188" i="1"/>
  <c r="AT20" i="1"/>
  <c r="AT16" i="1"/>
  <c r="BA17" i="1"/>
  <c r="CE173" i="1"/>
  <c r="AT76" i="1"/>
  <c r="EL148" i="1"/>
  <c r="CE5" i="1"/>
  <c r="CD27" i="1"/>
  <c r="AS72" i="1"/>
  <c r="BB32" i="1"/>
  <c r="BB5" i="1"/>
  <c r="CD78" i="1"/>
  <c r="CE182" i="1"/>
  <c r="AS36" i="1"/>
  <c r="EM57" i="1"/>
  <c r="CD21" i="1"/>
  <c r="AS78" i="1"/>
  <c r="EL130" i="1"/>
  <c r="EM149" i="1"/>
  <c r="AT23" i="1"/>
  <c r="EM93" i="1"/>
  <c r="EL174" i="1"/>
  <c r="BB160" i="1"/>
  <c r="CD7" i="1"/>
  <c r="EM151" i="1"/>
  <c r="EL17" i="1"/>
  <c r="BB74" i="1"/>
  <c r="BA76" i="1"/>
  <c r="CD36" i="1"/>
  <c r="BB22" i="1"/>
  <c r="EL129" i="1"/>
  <c r="EL89" i="1"/>
  <c r="EL10" i="1"/>
  <c r="EM14" i="1"/>
  <c r="BA140" i="1"/>
  <c r="BA31" i="1"/>
  <c r="BA36" i="1"/>
  <c r="EM29" i="1"/>
  <c r="EM9" i="1"/>
  <c r="EL74" i="1"/>
  <c r="EL9" i="1"/>
  <c r="AT25" i="1"/>
  <c r="EM159" i="1"/>
  <c r="BA18" i="1"/>
  <c r="BB152" i="1"/>
  <c r="BB161" i="1"/>
  <c r="BA179" i="1"/>
  <c r="CE27" i="1"/>
  <c r="BB73" i="1"/>
  <c r="AS73" i="1"/>
  <c r="BA10" i="1"/>
  <c r="CE151" i="1"/>
  <c r="BB158" i="1"/>
  <c r="AS14" i="1"/>
  <c r="BB14" i="1"/>
  <c r="CD151" i="1"/>
  <c r="EM114" i="1"/>
  <c r="EL62" i="1"/>
  <c r="EM61" i="1"/>
  <c r="BA186" i="1"/>
  <c r="AT7" i="1"/>
  <c r="EL12" i="1"/>
  <c r="BA171" i="1"/>
  <c r="AT6" i="1"/>
  <c r="CE147" i="1"/>
  <c r="BB180" i="1"/>
  <c r="EM124" i="1"/>
  <c r="EM24" i="1"/>
  <c r="BA16" i="1"/>
  <c r="CE159" i="1"/>
  <c r="BA174" i="1"/>
  <c r="BA77" i="1"/>
  <c r="CD152" i="1"/>
  <c r="BB57" i="1"/>
  <c r="AS37" i="1"/>
  <c r="EM27" i="1"/>
  <c r="BB8" i="1"/>
  <c r="EM26" i="1"/>
  <c r="EL175" i="1"/>
  <c r="CE59" i="1"/>
  <c r="AS6" i="1"/>
  <c r="AT61" i="1"/>
  <c r="EL60" i="1"/>
  <c r="AT37" i="1"/>
  <c r="EM23" i="1"/>
  <c r="EL186" i="1"/>
  <c r="BB189" i="1"/>
  <c r="BA13" i="1"/>
  <c r="AS57" i="1"/>
  <c r="AT63" i="1"/>
  <c r="AS17" i="1"/>
  <c r="BA73" i="1"/>
  <c r="CE48" i="1"/>
  <c r="CE189" i="1"/>
  <c r="EL95" i="1"/>
  <c r="CD137" i="1"/>
  <c r="EL23" i="1"/>
  <c r="BA29" i="1"/>
  <c r="EM158" i="1"/>
  <c r="CD139" i="1"/>
  <c r="CD180" i="1"/>
  <c r="BA180" i="1"/>
  <c r="CE29" i="1"/>
  <c r="AT19" i="1"/>
  <c r="EM123" i="1"/>
  <c r="EL79" i="1"/>
  <c r="BA185" i="1"/>
  <c r="EL14" i="1"/>
  <c r="EL58" i="1"/>
  <c r="BA12" i="1"/>
  <c r="CD77" i="1"/>
  <c r="AT11" i="1"/>
  <c r="EM60" i="1"/>
  <c r="BB36" i="1"/>
  <c r="EL73" i="1"/>
  <c r="EL78" i="1"/>
  <c r="EL112" i="1"/>
  <c r="CD178" i="1"/>
  <c r="EL70" i="1"/>
  <c r="CD155" i="1"/>
  <c r="EM87" i="1"/>
  <c r="BB19" i="1"/>
  <c r="EL185" i="1"/>
  <c r="BA62" i="1"/>
  <c r="EL35" i="1"/>
  <c r="CE72" i="1"/>
  <c r="EL124" i="1"/>
  <c r="BA5" i="1"/>
  <c r="EM102" i="1"/>
  <c r="CD186" i="1"/>
  <c r="AS22" i="1"/>
  <c r="EM78" i="1"/>
  <c r="BA173" i="1"/>
  <c r="BB11" i="1"/>
  <c r="CD141" i="1"/>
  <c r="EL127" i="1"/>
  <c r="BB20" i="1"/>
  <c r="AS74" i="1"/>
  <c r="BB29" i="1"/>
  <c r="BA57" i="1"/>
  <c r="BA142" i="1"/>
  <c r="EL19" i="1"/>
  <c r="BB21" i="1"/>
  <c r="EL125" i="1"/>
  <c r="CD18" i="1"/>
  <c r="CE13" i="1"/>
  <c r="EM108" i="1"/>
  <c r="BB172" i="1"/>
  <c r="BA153" i="1"/>
  <c r="CD169" i="1"/>
  <c r="AS38" i="1"/>
  <c r="EL6" i="1"/>
  <c r="BA178" i="1"/>
  <c r="CD17" i="1"/>
  <c r="EM117" i="1"/>
  <c r="EL37" i="1"/>
  <c r="EM58" i="1"/>
  <c r="EM103" i="1"/>
  <c r="CE8" i="1"/>
  <c r="BA169" i="1"/>
  <c r="CD154" i="1"/>
  <c r="AS7" i="1"/>
  <c r="BA37" i="1"/>
  <c r="CE79" i="1"/>
  <c r="EM157" i="1"/>
  <c r="CD174" i="1"/>
  <c r="EM19" i="1"/>
  <c r="BA70" i="1"/>
  <c r="EL77" i="1"/>
  <c r="EL28" i="1"/>
  <c r="BA28" i="1"/>
  <c r="BA141" i="1"/>
  <c r="BA33" i="1"/>
  <c r="CD14" i="1"/>
  <c r="AT12" i="1"/>
  <c r="BB34" i="1"/>
  <c r="EM99" i="1"/>
  <c r="CE25" i="1"/>
  <c r="CE37" i="1"/>
  <c r="EL147" i="1"/>
  <c r="CD57" i="1"/>
  <c r="EM74" i="1"/>
  <c r="BA157" i="1"/>
  <c r="CE185" i="1"/>
  <c r="EM118" i="1"/>
  <c r="BA144" i="1"/>
  <c r="BA21" i="1"/>
  <c r="BB149" i="1"/>
  <c r="EM34" i="1"/>
  <c r="AT38" i="1"/>
  <c r="BB154" i="1"/>
  <c r="CD175" i="1"/>
  <c r="EM85" i="1"/>
  <c r="BA24" i="1"/>
  <c r="EL126" i="1"/>
  <c r="CD187" i="1"/>
  <c r="AT33" i="1"/>
  <c r="AT26" i="1"/>
  <c r="EL8" i="1"/>
  <c r="BA48" i="1"/>
  <c r="AT31" i="1"/>
  <c r="BA63" i="1"/>
  <c r="BA59" i="1"/>
  <c r="BA22" i="1"/>
  <c r="CD28" i="1"/>
  <c r="AT79" i="1"/>
  <c r="AS31" i="1"/>
  <c r="AS18" i="1"/>
  <c r="EM188" i="1"/>
  <c r="EL149" i="1"/>
  <c r="BB153" i="1"/>
  <c r="BB183" i="1"/>
  <c r="EM129" i="1"/>
  <c r="BA148" i="1"/>
  <c r="EL87" i="1"/>
  <c r="EL11" i="1"/>
  <c r="AT60" i="1"/>
  <c r="BA155" i="1"/>
  <c r="CE76" i="1"/>
  <c r="EL47" i="1"/>
  <c r="EM7" i="1"/>
  <c r="CE154" i="1"/>
  <c r="CD6" i="1"/>
  <c r="BA74" i="1"/>
  <c r="AS4" i="1"/>
  <c r="AT5" i="1"/>
  <c r="BA145" i="1"/>
  <c r="BA19" i="1"/>
  <c r="EM17" i="1"/>
  <c r="BA8" i="1"/>
  <c r="CD58" i="1"/>
  <c r="EL36" i="1"/>
  <c r="CD142" i="1"/>
  <c r="CE28" i="1"/>
  <c r="BB24" i="1"/>
  <c r="BB15" i="1"/>
  <c r="CE9" i="1"/>
  <c r="AT46" i="1"/>
  <c r="EL85" i="1"/>
  <c r="AT10" i="1"/>
  <c r="BB63" i="1"/>
  <c r="AS77" i="1"/>
  <c r="CE172" i="1"/>
  <c r="EM77" i="1"/>
  <c r="CE145" i="1"/>
  <c r="CE186" i="1"/>
  <c r="BA32" i="1"/>
  <c r="EL18" i="1"/>
  <c r="BA187" i="1"/>
  <c r="EM35" i="1"/>
  <c r="EL176" i="1"/>
  <c r="CE45" i="1"/>
  <c r="CD26" i="1"/>
  <c r="BB142" i="1"/>
  <c r="EM86" i="1"/>
  <c r="BA27" i="1"/>
  <c r="EM25" i="1"/>
  <c r="BB13" i="1"/>
  <c r="AS26" i="1"/>
  <c r="CD150" i="1"/>
  <c r="EM94" i="1"/>
  <c r="EM100" i="1"/>
  <c r="EM97" i="1"/>
  <c r="CE140" i="1"/>
  <c r="EL32" i="1"/>
  <c r="CD25" i="1"/>
  <c r="BB156" i="1"/>
  <c r="EM113" i="1"/>
  <c r="EL86" i="1"/>
  <c r="CD59" i="1"/>
  <c r="AS11" i="1"/>
  <c r="EL27" i="1"/>
  <c r="BA26" i="1"/>
  <c r="AS47" i="1"/>
  <c r="CE142" i="1"/>
  <c r="EM95" i="1"/>
  <c r="AT59" i="1"/>
  <c r="EM11" i="1"/>
  <c r="CD173" i="1"/>
  <c r="AT15" i="1"/>
  <c r="BB59" i="1"/>
  <c r="BC183" i="1"/>
  <c r="BC181" i="1"/>
  <c r="BF143" i="1"/>
  <c r="BF153" i="1"/>
  <c r="BC157" i="1"/>
  <c r="BD186" i="1"/>
  <c r="BE186" i="1"/>
  <c r="BD185" i="1"/>
  <c r="BC153" i="1"/>
  <c r="BF145" i="1"/>
  <c r="BF180" i="1"/>
  <c r="BE184" i="1"/>
  <c r="BF154" i="1"/>
  <c r="BC189" i="1"/>
  <c r="BC174" i="1"/>
  <c r="BC178" i="1"/>
  <c r="BD189" i="1"/>
  <c r="BC148" i="1"/>
  <c r="BC152" i="1"/>
  <c r="BE147" i="1"/>
  <c r="BE145" i="1"/>
  <c r="BF183" i="1"/>
  <c r="BC139" i="1"/>
  <c r="BC177" i="1"/>
  <c r="BC171" i="1"/>
  <c r="BD178" i="1"/>
  <c r="BC164" i="1"/>
  <c r="BC149" i="1"/>
  <c r="BC173" i="1"/>
  <c r="BF155" i="1"/>
  <c r="BE188" i="1"/>
  <c r="BC166" i="1"/>
  <c r="BC159" i="1"/>
  <c r="AX75" i="1"/>
  <c r="EQ86" i="1"/>
  <c r="CI180" i="1"/>
  <c r="CF138" i="1"/>
  <c r="BF70" i="1"/>
  <c r="CI183" i="1"/>
  <c r="CI182" i="1"/>
  <c r="EQ98" i="1"/>
  <c r="BF77" i="1"/>
  <c r="EQ92" i="1"/>
  <c r="CF170" i="1"/>
  <c r="CF139" i="1"/>
  <c r="EP85" i="1"/>
  <c r="EO25" i="1"/>
  <c r="CH33" i="1"/>
  <c r="CI23" i="1"/>
  <c r="BD35" i="1"/>
  <c r="EO102" i="1"/>
  <c r="EP12" i="1"/>
  <c r="AX31" i="1"/>
  <c r="CF76" i="1"/>
  <c r="CH61" i="1"/>
  <c r="EQ30" i="1"/>
  <c r="AX33" i="1"/>
  <c r="EP11" i="1"/>
  <c r="EP94" i="1"/>
  <c r="CG178" i="1"/>
  <c r="EP111" i="1"/>
  <c r="CI173" i="1"/>
  <c r="EO126" i="1"/>
  <c r="EN29" i="1"/>
  <c r="DC32" i="1"/>
  <c r="BF33" i="1"/>
  <c r="CF21" i="1"/>
  <c r="BC26" i="1"/>
  <c r="AW33" i="1"/>
  <c r="AV31" i="1"/>
  <c r="BC27" i="1"/>
  <c r="CH178" i="1"/>
  <c r="AW75" i="1"/>
  <c r="CF77" i="1"/>
  <c r="EP88" i="1"/>
  <c r="BE76" i="1"/>
  <c r="CG18" i="1"/>
  <c r="AU34" i="1"/>
  <c r="BE24" i="1"/>
  <c r="BE32" i="1"/>
  <c r="CI48" i="1"/>
  <c r="CI150" i="1"/>
  <c r="CG189" i="1"/>
  <c r="CI57" i="1"/>
  <c r="EQ114" i="1"/>
  <c r="CF143" i="1"/>
  <c r="EP121" i="1"/>
  <c r="CI59" i="1"/>
  <c r="BC141" i="1"/>
  <c r="BF181" i="1"/>
  <c r="BC170" i="1"/>
  <c r="BC187" i="1"/>
  <c r="BD171" i="1"/>
  <c r="BD174" i="1"/>
  <c r="BE181" i="1"/>
  <c r="BC188" i="1"/>
  <c r="BD187" i="1"/>
  <c r="BD139" i="1"/>
  <c r="BD177" i="1"/>
  <c r="BF187" i="1"/>
  <c r="BC140" i="1"/>
  <c r="BD180" i="1"/>
  <c r="BE178" i="1"/>
  <c r="BC162" i="1"/>
  <c r="BF139" i="1"/>
  <c r="BE185" i="1"/>
  <c r="BC150" i="1"/>
  <c r="BC156" i="1"/>
  <c r="BF144" i="1"/>
  <c r="BF146" i="1"/>
  <c r="BC176" i="1"/>
  <c r="BD141" i="1"/>
  <c r="BE148" i="1"/>
  <c r="BF138" i="1"/>
  <c r="BD170" i="1"/>
  <c r="BD146" i="1"/>
  <c r="BD147" i="1"/>
  <c r="BF156" i="1"/>
  <c r="BE180" i="1"/>
  <c r="BD181" i="1"/>
  <c r="BD175" i="1"/>
  <c r="BE183" i="1"/>
  <c r="BC186" i="1"/>
  <c r="EQ93" i="1"/>
  <c r="CI188" i="1"/>
  <c r="AV188" i="1"/>
  <c r="CI189" i="1"/>
  <c r="CI152" i="1"/>
  <c r="CI78" i="1"/>
  <c r="CI77" i="1"/>
  <c r="CI143" i="1"/>
  <c r="AX61" i="1"/>
  <c r="CI170" i="1"/>
  <c r="CI33" i="1"/>
  <c r="BF34" i="1"/>
  <c r="BD166" i="1"/>
  <c r="BE10" i="1"/>
  <c r="EO96" i="1"/>
  <c r="EN92" i="1"/>
  <c r="EP96" i="1"/>
  <c r="BD20" i="1"/>
  <c r="BE19" i="1"/>
  <c r="CH78" i="1"/>
  <c r="AU78" i="1"/>
  <c r="CG171" i="1"/>
  <c r="CI32" i="1"/>
  <c r="CG7" i="1"/>
  <c r="EN86" i="1"/>
  <c r="BF9" i="1"/>
  <c r="BC19" i="1"/>
  <c r="CF4" i="1"/>
  <c r="AU57" i="1"/>
  <c r="CH22" i="1"/>
  <c r="CG27" i="1"/>
  <c r="CH79" i="1"/>
  <c r="CH34" i="1"/>
  <c r="AU38" i="1"/>
  <c r="AX29" i="1"/>
  <c r="BE37" i="1"/>
  <c r="CH46" i="1"/>
  <c r="EN124" i="1"/>
  <c r="EQ109" i="1"/>
  <c r="EN101" i="1"/>
  <c r="CF72" i="1"/>
  <c r="BF38" i="1"/>
  <c r="BC35" i="1"/>
  <c r="BF79" i="1"/>
  <c r="EQ118" i="1"/>
  <c r="BF63" i="1"/>
  <c r="BF76" i="1"/>
  <c r="EQ89" i="1"/>
  <c r="CI184" i="1"/>
  <c r="AX46" i="1"/>
  <c r="CG158" i="1"/>
  <c r="BF26" i="1"/>
  <c r="BF24" i="1"/>
  <c r="AV73" i="1"/>
  <c r="EP16" i="1"/>
  <c r="CH16" i="1"/>
  <c r="AV5" i="1"/>
  <c r="AW32" i="1"/>
  <c r="BE14" i="1"/>
  <c r="AW4" i="1"/>
  <c r="BE71" i="1"/>
  <c r="BE46" i="1"/>
  <c r="EO121" i="1"/>
  <c r="AV137" i="1"/>
  <c r="CH18" i="1"/>
  <c r="EO13" i="1"/>
  <c r="AX26" i="1"/>
  <c r="AX25" i="1"/>
  <c r="AV26" i="1"/>
  <c r="EN15" i="1"/>
  <c r="EQ33" i="1"/>
  <c r="BE9" i="1"/>
  <c r="BD61" i="1"/>
  <c r="EP117" i="1"/>
  <c r="CF9" i="1"/>
  <c r="BD78" i="1"/>
  <c r="EQ106" i="1"/>
  <c r="CI153" i="1"/>
  <c r="BC6" i="1"/>
  <c r="CG75" i="1"/>
  <c r="BF4" i="1"/>
  <c r="EN128" i="1"/>
  <c r="AV14" i="1"/>
  <c r="CH19" i="1"/>
  <c r="AX15" i="1"/>
  <c r="EQ19" i="1"/>
  <c r="EP13" i="1"/>
  <c r="CF159" i="1"/>
  <c r="CI137" i="1"/>
  <c r="BF35" i="1"/>
  <c r="CF8" i="1"/>
  <c r="EP36" i="1"/>
  <c r="EP14" i="1"/>
  <c r="CF15" i="1"/>
  <c r="AV21" i="1"/>
  <c r="CI140" i="1"/>
  <c r="AX57" i="1"/>
  <c r="EP119" i="1"/>
  <c r="AX73" i="1"/>
  <c r="BF58" i="1"/>
  <c r="CF169" i="1"/>
  <c r="EQ100" i="1"/>
  <c r="CI142" i="1"/>
  <c r="EP128" i="1"/>
  <c r="CH155" i="1"/>
  <c r="CI158" i="1"/>
  <c r="CF185" i="1"/>
  <c r="CG74" i="1"/>
  <c r="BE74" i="1"/>
  <c r="CI178" i="1"/>
  <c r="EO94" i="1"/>
  <c r="CH140" i="1"/>
  <c r="CH14" i="1"/>
  <c r="EO114" i="1"/>
  <c r="AU62" i="1"/>
  <c r="AW21" i="1"/>
  <c r="CH15" i="1"/>
  <c r="CF14" i="1"/>
  <c r="CI139" i="1"/>
  <c r="AW19" i="1"/>
  <c r="EN112" i="1"/>
  <c r="CF35" i="1"/>
  <c r="AW76" i="1"/>
  <c r="AV22" i="1"/>
  <c r="AU19" i="1"/>
  <c r="DC12" i="1"/>
  <c r="CI159" i="1"/>
  <c r="CG29" i="1"/>
  <c r="CG182" i="1"/>
  <c r="EP20" i="1"/>
  <c r="EN22" i="1"/>
  <c r="EN36" i="1"/>
  <c r="BF8" i="1"/>
  <c r="EN116" i="1"/>
  <c r="EO14" i="1"/>
  <c r="EP8" i="1"/>
  <c r="CF152" i="1"/>
  <c r="CF166" i="1"/>
  <c r="CG34" i="1"/>
  <c r="EP18" i="1"/>
  <c r="AX28" i="1"/>
  <c r="EO99" i="1"/>
  <c r="BD74" i="1"/>
  <c r="AW62" i="1"/>
  <c r="EN18" i="1"/>
  <c r="EO32" i="1"/>
  <c r="BF18" i="1"/>
  <c r="BF10" i="1"/>
  <c r="CF19" i="1"/>
  <c r="BE47" i="1"/>
  <c r="BF15" i="1"/>
  <c r="CG60" i="1"/>
  <c r="CH144" i="1"/>
  <c r="AX59" i="1"/>
  <c r="BF57" i="1"/>
  <c r="EQ120" i="1"/>
  <c r="AX48" i="1"/>
  <c r="EQ112" i="1"/>
  <c r="EQ31" i="1"/>
  <c r="CH177" i="1"/>
  <c r="CF186" i="1"/>
  <c r="EQ17" i="1"/>
  <c r="BC10" i="1"/>
  <c r="BD77" i="1"/>
  <c r="EN17" i="1"/>
  <c r="AX16" i="1"/>
  <c r="BE29" i="1"/>
  <c r="BD28" i="1"/>
  <c r="CI6" i="1"/>
  <c r="CF149" i="1"/>
  <c r="CG78" i="1"/>
  <c r="AU48" i="1"/>
  <c r="EN127" i="1"/>
  <c r="DE23" i="1"/>
  <c r="DA33" i="1"/>
  <c r="BD12" i="1"/>
  <c r="AV46" i="1"/>
  <c r="CF29" i="1"/>
  <c r="CG174" i="1"/>
  <c r="BC75" i="1"/>
  <c r="EO119" i="1"/>
  <c r="EN85" i="1"/>
  <c r="AV62" i="1"/>
  <c r="AU13" i="1"/>
  <c r="EP89" i="1"/>
  <c r="CG22" i="1"/>
  <c r="CG4" i="1"/>
  <c r="DB14" i="1"/>
  <c r="BF186" i="1"/>
  <c r="BC138" i="1"/>
  <c r="BC151" i="1"/>
  <c r="BE187" i="1"/>
  <c r="BC146" i="1"/>
  <c r="BD140" i="1"/>
  <c r="BD173" i="1"/>
  <c r="BE140" i="1"/>
  <c r="BD179" i="1"/>
  <c r="BF188" i="1"/>
  <c r="BD148" i="1"/>
  <c r="BF141" i="1"/>
  <c r="BE142" i="1"/>
  <c r="BD172" i="1"/>
  <c r="BC144" i="1"/>
  <c r="BD183" i="1"/>
  <c r="BD158" i="1"/>
  <c r="BC169" i="1"/>
  <c r="BD145" i="1"/>
  <c r="BD137" i="1"/>
  <c r="BF177" i="1"/>
  <c r="BF157" i="1"/>
  <c r="BE139" i="1"/>
  <c r="BD182" i="1"/>
  <c r="BF158" i="1"/>
  <c r="BF148" i="1"/>
  <c r="BF140" i="1"/>
  <c r="BF185" i="1"/>
  <c r="BC184" i="1"/>
  <c r="BD176" i="1"/>
  <c r="BF178" i="1"/>
  <c r="BC165" i="1"/>
  <c r="BD143" i="1"/>
  <c r="BD138" i="1"/>
  <c r="CI58" i="1"/>
  <c r="BF46" i="1"/>
  <c r="AU137" i="1"/>
  <c r="CH172" i="1"/>
  <c r="EP123" i="1"/>
  <c r="CF142" i="1"/>
  <c r="CF171" i="1"/>
  <c r="CI141" i="1"/>
  <c r="CF176" i="1"/>
  <c r="EP126" i="1"/>
  <c r="BF17" i="1"/>
  <c r="CI31" i="1"/>
  <c r="CG13" i="1"/>
  <c r="EQ9" i="1"/>
  <c r="BF11" i="1"/>
  <c r="BC57" i="1"/>
  <c r="AX24" i="1"/>
  <c r="BF36" i="1"/>
  <c r="CF22" i="1"/>
  <c r="EP87" i="1"/>
  <c r="EP99" i="1"/>
  <c r="BC37" i="1"/>
  <c r="EN117" i="1"/>
  <c r="AW73" i="1"/>
  <c r="CG186" i="1"/>
  <c r="CF24" i="1"/>
  <c r="BE72" i="1"/>
  <c r="EO5" i="1"/>
  <c r="AU60" i="1"/>
  <c r="AW22" i="1"/>
  <c r="EN35" i="1"/>
  <c r="CF145" i="1"/>
  <c r="CH36" i="1"/>
  <c r="EP93" i="1"/>
  <c r="CI19" i="1"/>
  <c r="AW70" i="1"/>
  <c r="AX38" i="1"/>
  <c r="EO112" i="1"/>
  <c r="CI172" i="1"/>
  <c r="BF27" i="1"/>
  <c r="CG61" i="1"/>
  <c r="AW18" i="1"/>
  <c r="CH185" i="1"/>
  <c r="BD11" i="1"/>
  <c r="EQ113" i="1"/>
  <c r="EQ117" i="1"/>
  <c r="CG188" i="1"/>
  <c r="BF45" i="1"/>
  <c r="CI151" i="1"/>
  <c r="EQ122" i="1"/>
  <c r="BF62" i="1"/>
  <c r="EQ91" i="1"/>
  <c r="CI186" i="1"/>
  <c r="CH157" i="1"/>
  <c r="EO6" i="1"/>
  <c r="EN25" i="1"/>
  <c r="EQ108" i="1"/>
  <c r="EN109" i="1"/>
  <c r="EN121" i="1"/>
  <c r="CH35" i="1"/>
  <c r="AW71" i="1"/>
  <c r="AU20" i="1"/>
  <c r="EP23" i="1"/>
  <c r="BE27" i="1"/>
  <c r="BC77" i="1"/>
  <c r="CI15" i="1"/>
  <c r="EQ26" i="1"/>
  <c r="CI38" i="1"/>
  <c r="CG181" i="1"/>
  <c r="CH47" i="1"/>
  <c r="BC38" i="1"/>
  <c r="BD46" i="1"/>
  <c r="CI176" i="1"/>
  <c r="BC62" i="1"/>
  <c r="AV138" i="1"/>
  <c r="AX11" i="1"/>
  <c r="EN123" i="1"/>
  <c r="AU8" i="1"/>
  <c r="CH147" i="1"/>
  <c r="AW7" i="1"/>
  <c r="EN96" i="1"/>
  <c r="BE25" i="1"/>
  <c r="CH186" i="1"/>
  <c r="EN94" i="1"/>
  <c r="BD76" i="1"/>
  <c r="CH60" i="1"/>
  <c r="EO91" i="1"/>
  <c r="BF160" i="1"/>
  <c r="EO103" i="1"/>
  <c r="EO88" i="1"/>
  <c r="CH48" i="1"/>
  <c r="CI30" i="1"/>
  <c r="EN33" i="1"/>
  <c r="EQ20" i="1"/>
  <c r="BD18" i="1"/>
  <c r="BD58" i="1"/>
  <c r="AV11" i="1"/>
  <c r="EQ121" i="1"/>
  <c r="CI185" i="1"/>
  <c r="EP130" i="1"/>
  <c r="BF75" i="1"/>
  <c r="CI72" i="1"/>
  <c r="BF59" i="1"/>
  <c r="EQ87" i="1"/>
  <c r="CF141" i="1"/>
  <c r="CI146" i="1"/>
  <c r="EQ94" i="1"/>
  <c r="BE16" i="1"/>
  <c r="BE8" i="1"/>
  <c r="EN105" i="1"/>
  <c r="BC61" i="1"/>
  <c r="AW48" i="1"/>
  <c r="BD4" i="1"/>
  <c r="CF61" i="1"/>
  <c r="CI24" i="1"/>
  <c r="CH145" i="1"/>
  <c r="BE62" i="1"/>
  <c r="EO111" i="1"/>
  <c r="BF7" i="1"/>
  <c r="EO107" i="1"/>
  <c r="CG77" i="1"/>
  <c r="EP5" i="1"/>
  <c r="CH7" i="1"/>
  <c r="EO100" i="1"/>
  <c r="AW38" i="1"/>
  <c r="BF14" i="1"/>
  <c r="CG21" i="1"/>
  <c r="EQ32" i="1"/>
  <c r="CI11" i="1"/>
  <c r="EN28" i="1"/>
  <c r="BE20" i="1"/>
  <c r="EQ128" i="1"/>
  <c r="EO34" i="1"/>
  <c r="CI26" i="1"/>
  <c r="AX35" i="1"/>
  <c r="AU23" i="1"/>
  <c r="BD48" i="1"/>
  <c r="BF21" i="1"/>
  <c r="CG12" i="1"/>
  <c r="CF13" i="1"/>
  <c r="EN97" i="1"/>
  <c r="CH137" i="1"/>
  <c r="EP95" i="1"/>
  <c r="EN107" i="1"/>
  <c r="AX18" i="1"/>
  <c r="CH26" i="1"/>
  <c r="BC45" i="1"/>
  <c r="EN106" i="1"/>
  <c r="AX34" i="1"/>
  <c r="BC30" i="1"/>
  <c r="EN6" i="1"/>
  <c r="CH184" i="1"/>
  <c r="EO29" i="1"/>
  <c r="CF167" i="1"/>
  <c r="AV9" i="1"/>
  <c r="CG159" i="1"/>
  <c r="AV189" i="1"/>
  <c r="CI149" i="1"/>
  <c r="CH30" i="1"/>
  <c r="BC63" i="1"/>
  <c r="CH179" i="1"/>
  <c r="CF74" i="1"/>
  <c r="BC60" i="1"/>
  <c r="CH187" i="1"/>
  <c r="EQ24" i="1"/>
  <c r="AW45" i="1"/>
  <c r="BF20" i="1"/>
  <c r="EP91" i="1"/>
  <c r="CG138" i="1"/>
  <c r="EO95" i="1"/>
  <c r="EO87" i="1"/>
  <c r="DE9" i="1"/>
  <c r="EQ104" i="1"/>
  <c r="DE12" i="1"/>
  <c r="CG19" i="1"/>
  <c r="BE70" i="1"/>
  <c r="CF23" i="1"/>
  <c r="AV35" i="1"/>
  <c r="DA13" i="1"/>
  <c r="AW12" i="1"/>
  <c r="EP4" i="1"/>
  <c r="EQ110" i="1"/>
  <c r="CF37" i="1"/>
  <c r="EO18" i="1"/>
  <c r="EN108" i="1"/>
  <c r="BD160" i="1"/>
  <c r="CF27" i="1"/>
  <c r="CG38" i="1"/>
  <c r="EP129" i="1"/>
  <c r="CF177" i="1"/>
  <c r="AV74" i="1"/>
  <c r="EO120" i="1"/>
  <c r="AU189" i="1"/>
  <c r="EQ37" i="1"/>
  <c r="EN34" i="1"/>
  <c r="DF30" i="1"/>
  <c r="EP34" i="1"/>
  <c r="BE34" i="1"/>
  <c r="CI138" i="1"/>
  <c r="CH13" i="1"/>
  <c r="AW23" i="1"/>
  <c r="BE36" i="1"/>
  <c r="EQ38" i="1"/>
  <c r="EO92" i="1"/>
  <c r="CF146" i="1"/>
  <c r="DC38" i="1"/>
  <c r="AU24" i="1"/>
  <c r="DC24" i="1"/>
  <c r="BC12" i="1"/>
  <c r="BE75" i="1"/>
  <c r="AU77" i="1"/>
  <c r="DF17" i="1"/>
  <c r="EN20" i="1"/>
  <c r="CF175" i="1"/>
  <c r="EP28" i="1"/>
  <c r="BC29" i="1"/>
  <c r="DC20" i="1"/>
  <c r="CG72" i="1"/>
  <c r="CF58" i="1"/>
  <c r="AU21" i="1"/>
  <c r="EO115" i="1"/>
  <c r="BF147" i="1"/>
  <c r="BD188" i="1"/>
  <c r="BD159" i="1"/>
  <c r="BC167" i="1"/>
  <c r="BD184" i="1"/>
  <c r="BC175" i="1"/>
  <c r="BC185" i="1"/>
  <c r="BC145" i="1"/>
  <c r="BF159" i="1"/>
  <c r="BE179" i="1"/>
  <c r="BC182" i="1"/>
  <c r="BC143" i="1"/>
  <c r="BC142" i="1"/>
  <c r="BC147" i="1"/>
  <c r="BC160" i="1"/>
  <c r="BE177" i="1"/>
  <c r="BE144" i="1"/>
  <c r="BC154" i="1"/>
  <c r="BC158" i="1"/>
  <c r="BD142" i="1"/>
  <c r="BF184" i="1"/>
  <c r="BF182" i="1"/>
  <c r="BC137" i="1"/>
  <c r="BE143" i="1"/>
  <c r="BD144" i="1"/>
  <c r="BF137" i="1"/>
  <c r="BD169" i="1"/>
  <c r="BC155" i="1"/>
  <c r="BC172" i="1"/>
  <c r="BF142" i="1"/>
  <c r="BE138" i="1"/>
  <c r="BE141" i="1"/>
  <c r="BE182" i="1"/>
  <c r="BE146" i="1"/>
  <c r="BF179" i="1"/>
  <c r="BC161" i="1"/>
  <c r="CI74" i="1"/>
  <c r="EQ97" i="1"/>
  <c r="EQ101" i="1"/>
  <c r="BF73" i="1"/>
  <c r="CH166" i="1"/>
  <c r="CH175" i="1"/>
  <c r="CI79" i="1"/>
  <c r="CI181" i="1"/>
  <c r="BE58" i="1"/>
  <c r="EQ22" i="1"/>
  <c r="BC7" i="1"/>
  <c r="BF25" i="1"/>
  <c r="AW10" i="1"/>
  <c r="CF59" i="1"/>
  <c r="EP109" i="1"/>
  <c r="BE18" i="1"/>
  <c r="EO17" i="1"/>
  <c r="CH38" i="1"/>
  <c r="CI4" i="1"/>
  <c r="BD27" i="1"/>
  <c r="CH180" i="1"/>
  <c r="CI10" i="1"/>
  <c r="EO36" i="1"/>
  <c r="CH11" i="1"/>
  <c r="CI154" i="1"/>
  <c r="CI35" i="1"/>
  <c r="AV28" i="1"/>
  <c r="DB9" i="1"/>
  <c r="BE28" i="1"/>
  <c r="BD30" i="1"/>
  <c r="BD19" i="1"/>
  <c r="AW29" i="1"/>
  <c r="EP104" i="1"/>
  <c r="AV77" i="1"/>
  <c r="EQ29" i="1"/>
  <c r="CI16" i="1"/>
  <c r="EN87" i="1"/>
  <c r="EN114" i="1"/>
  <c r="EP6" i="1"/>
  <c r="CF73" i="1"/>
  <c r="EO93" i="1"/>
  <c r="AW6" i="1"/>
  <c r="AW27" i="1"/>
  <c r="EN31" i="1"/>
  <c r="BF74" i="1"/>
  <c r="CI73" i="1"/>
  <c r="BF71" i="1"/>
  <c r="CF137" i="1"/>
  <c r="AX77" i="1"/>
  <c r="CI75" i="1"/>
  <c r="EP120" i="1"/>
  <c r="CI76" i="1"/>
  <c r="CH160" i="1"/>
  <c r="BE23" i="1"/>
  <c r="AU25" i="1"/>
  <c r="BD45" i="1"/>
  <c r="BF22" i="1"/>
  <c r="CF155" i="1"/>
  <c r="CF34" i="1"/>
  <c r="AX9" i="1"/>
  <c r="AW5" i="1"/>
  <c r="AX23" i="1"/>
  <c r="EP106" i="1"/>
  <c r="BC33" i="1"/>
  <c r="CF6" i="1"/>
  <c r="CH171" i="1"/>
  <c r="CI5" i="1"/>
  <c r="CG140" i="1"/>
  <c r="CH28" i="1"/>
  <c r="AW35" i="1"/>
  <c r="BF37" i="1"/>
  <c r="EO24" i="1"/>
  <c r="AW63" i="1"/>
  <c r="CF7" i="1"/>
  <c r="EN38" i="1"/>
  <c r="CI166" i="1"/>
  <c r="AU18" i="1"/>
  <c r="CF16" i="1"/>
  <c r="EP25" i="1"/>
  <c r="BC28" i="1"/>
  <c r="EO35" i="1"/>
  <c r="BF19" i="1"/>
  <c r="EP86" i="1"/>
  <c r="CG166" i="1"/>
  <c r="EO27" i="1"/>
  <c r="CH138" i="1"/>
  <c r="EN99" i="1"/>
  <c r="BD13" i="1"/>
  <c r="CI36" i="1"/>
  <c r="CG45" i="1"/>
  <c r="AU71" i="1"/>
  <c r="CH182" i="1"/>
  <c r="AW74" i="1"/>
  <c r="BD17" i="1"/>
  <c r="CH6" i="1"/>
  <c r="EO10" i="1"/>
  <c r="CH5" i="1"/>
  <c r="AV13" i="1"/>
  <c r="EQ96" i="1"/>
  <c r="AX72" i="1"/>
  <c r="CI47" i="1"/>
  <c r="EP122" i="1"/>
  <c r="CF178" i="1"/>
  <c r="CG148" i="1"/>
  <c r="AX47" i="1"/>
  <c r="AX74" i="1"/>
  <c r="CI167" i="1"/>
  <c r="AW13" i="1"/>
  <c r="AV17" i="1"/>
  <c r="EO104" i="1"/>
  <c r="CI27" i="1"/>
  <c r="AU35" i="1"/>
  <c r="BD29" i="1"/>
  <c r="AW61" i="1"/>
  <c r="EP90" i="1"/>
  <c r="EP118" i="1"/>
  <c r="AW72" i="1"/>
  <c r="CH148" i="1"/>
  <c r="CG180" i="1"/>
  <c r="EN119" i="1"/>
  <c r="DA32" i="1"/>
  <c r="EQ27" i="1"/>
  <c r="EQ36" i="1"/>
  <c r="BC76" i="1"/>
  <c r="CH20" i="1"/>
  <c r="CH72" i="1"/>
  <c r="CG175" i="1"/>
  <c r="CI25" i="1"/>
  <c r="EQ13" i="1"/>
  <c r="AX60" i="1"/>
  <c r="EQ90" i="1"/>
  <c r="CG36" i="1"/>
  <c r="AX21" i="1"/>
  <c r="EN9" i="1"/>
  <c r="CH149" i="1"/>
  <c r="CF36" i="1"/>
  <c r="EO124" i="1"/>
  <c r="CH156" i="1"/>
  <c r="EP107" i="1"/>
  <c r="EP114" i="1"/>
  <c r="EO130" i="1"/>
  <c r="CH76" i="1"/>
  <c r="AX4" i="1"/>
  <c r="EP9" i="1"/>
  <c r="EP31" i="1"/>
  <c r="CG144" i="1"/>
  <c r="CH170" i="1"/>
  <c r="AU9" i="1"/>
  <c r="EP116" i="1"/>
  <c r="EN104" i="1"/>
  <c r="EO21" i="1"/>
  <c r="CH75" i="1"/>
  <c r="EN111" i="1"/>
  <c r="CI147" i="1"/>
  <c r="CI21" i="1"/>
  <c r="BF31" i="1"/>
  <c r="EP24" i="1"/>
  <c r="BD37" i="1"/>
  <c r="CH151" i="1"/>
  <c r="AW17" i="1"/>
  <c r="BC78" i="1"/>
  <c r="CG8" i="1"/>
  <c r="BD71" i="1"/>
  <c r="CF11" i="1"/>
  <c r="BD161" i="1"/>
  <c r="AV29" i="1"/>
  <c r="AX32" i="1"/>
  <c r="EQ119" i="1"/>
  <c r="AW79" i="1"/>
  <c r="AU30" i="1"/>
  <c r="CH143" i="1"/>
  <c r="EO101" i="1"/>
  <c r="AW16" i="1"/>
  <c r="CI174" i="1"/>
  <c r="AU46" i="1"/>
  <c r="CI8" i="1"/>
  <c r="AV61" i="1"/>
  <c r="CG26" i="1"/>
  <c r="EQ28" i="1"/>
  <c r="DA36" i="1"/>
  <c r="BC21" i="1"/>
  <c r="EN14" i="1"/>
  <c r="EO118" i="1"/>
  <c r="CF158" i="1"/>
  <c r="DE30" i="1"/>
  <c r="DA28" i="1"/>
  <c r="AU16" i="1"/>
  <c r="AU61" i="1"/>
  <c r="EO123" i="1"/>
  <c r="EN21" i="1"/>
  <c r="EP103" i="1"/>
  <c r="CF160" i="1"/>
  <c r="DE21" i="1"/>
  <c r="CG14" i="1"/>
  <c r="DF14" i="1"/>
  <c r="DB33" i="1"/>
  <c r="DB35" i="1"/>
  <c r="BC23" i="1"/>
  <c r="BF60" i="1"/>
  <c r="EQ115" i="1"/>
  <c r="CI60" i="1"/>
  <c r="AX10" i="1"/>
  <c r="EP105" i="1"/>
  <c r="EO106" i="1"/>
  <c r="BD16" i="1"/>
  <c r="DE32" i="1"/>
  <c r="CG176" i="1"/>
  <c r="CH59" i="1"/>
  <c r="CI12" i="1"/>
  <c r="CI177" i="1"/>
  <c r="AW30" i="1"/>
  <c r="CH32" i="1"/>
  <c r="EP98" i="1"/>
  <c r="AX36" i="1"/>
  <c r="BC71" i="1"/>
  <c r="BD22" i="1"/>
  <c r="AV10" i="1"/>
  <c r="DC13" i="1"/>
  <c r="BC36" i="1"/>
  <c r="BF23" i="1"/>
  <c r="EO26" i="1"/>
  <c r="CF148" i="1"/>
  <c r="AW34" i="1"/>
  <c r="BD23" i="1"/>
  <c r="DC25" i="1"/>
  <c r="DD25" i="1"/>
  <c r="BD6" i="1"/>
  <c r="BE61" i="1"/>
  <c r="EP37" i="1"/>
  <c r="BC48" i="1"/>
  <c r="AV72" i="1"/>
  <c r="BC79" i="1"/>
  <c r="DE35" i="1"/>
  <c r="DF7" i="1"/>
  <c r="CF140" i="1"/>
  <c r="EP124" i="1"/>
  <c r="CF47" i="1"/>
  <c r="AU31" i="1"/>
  <c r="CH45" i="1"/>
  <c r="CG167" i="1"/>
  <c r="EN90" i="1"/>
  <c r="BD70" i="1"/>
  <c r="AU138" i="1"/>
  <c r="BE5" i="1"/>
  <c r="EP10" i="1"/>
  <c r="EN102" i="1"/>
  <c r="CF26" i="1"/>
  <c r="BE79" i="1"/>
  <c r="CI14" i="1"/>
  <c r="BC5" i="1"/>
  <c r="CI169" i="1"/>
  <c r="BC17" i="1"/>
  <c r="BD72" i="1"/>
  <c r="AV25" i="1"/>
  <c r="BE4" i="1"/>
  <c r="EQ95" i="1"/>
  <c r="EQ99" i="1"/>
  <c r="AX78" i="1"/>
  <c r="EQ88" i="1"/>
  <c r="EQ126" i="1"/>
  <c r="CH57" i="1"/>
  <c r="CI22" i="1"/>
  <c r="EN120" i="1"/>
  <c r="EQ6" i="1"/>
  <c r="AV58" i="1"/>
  <c r="EO89" i="1"/>
  <c r="BE38" i="1"/>
  <c r="EQ4" i="1"/>
  <c r="CG172" i="1"/>
  <c r="AW58" i="1"/>
  <c r="EO108" i="1"/>
  <c r="CI179" i="1"/>
  <c r="EN27" i="1"/>
  <c r="CI156" i="1"/>
  <c r="CG59" i="1"/>
  <c r="CI17" i="1"/>
  <c r="CH4" i="1"/>
  <c r="BD62" i="1"/>
  <c r="CH77" i="1"/>
  <c r="EN98" i="1"/>
  <c r="EQ102" i="1"/>
  <c r="CF75" i="1"/>
  <c r="EP26" i="1"/>
  <c r="AX19" i="1"/>
  <c r="AX22" i="1"/>
  <c r="AU37" i="1"/>
  <c r="AV19" i="1"/>
  <c r="EO85" i="1"/>
  <c r="AX7" i="1"/>
  <c r="CG30" i="1"/>
  <c r="EQ130" i="1"/>
  <c r="CG15" i="1"/>
  <c r="DB17" i="1"/>
  <c r="CH188" i="1"/>
  <c r="CF18" i="1"/>
  <c r="BC20" i="1"/>
  <c r="AX27" i="1"/>
  <c r="AU26" i="1"/>
  <c r="EP127" i="1"/>
  <c r="EQ16" i="1"/>
  <c r="EN110" i="1"/>
  <c r="EQ12" i="1"/>
  <c r="EN91" i="1"/>
  <c r="CG141" i="1"/>
  <c r="AU36" i="1"/>
  <c r="EP22" i="1"/>
  <c r="EQ15" i="1"/>
  <c r="CH9" i="1"/>
  <c r="AV76" i="1"/>
  <c r="BE13" i="1"/>
  <c r="DC9" i="1"/>
  <c r="CF173" i="1"/>
  <c r="CF28" i="1"/>
  <c r="CG79" i="1"/>
  <c r="EO38" i="1"/>
  <c r="CH183" i="1"/>
  <c r="DF12" i="1"/>
  <c r="DA6" i="1"/>
  <c r="EN19" i="1"/>
  <c r="BD7" i="1"/>
  <c r="EN13" i="1"/>
  <c r="EO12" i="1"/>
  <c r="DF32" i="1"/>
  <c r="DA21" i="1"/>
  <c r="DC26" i="1"/>
  <c r="CG57" i="1"/>
  <c r="AS58" i="1"/>
  <c r="DB25" i="1"/>
  <c r="DD12" i="1"/>
  <c r="BF48" i="1"/>
  <c r="CH167" i="1"/>
  <c r="AX71" i="1"/>
  <c r="CI37" i="1"/>
  <c r="EQ25" i="1"/>
  <c r="AX8" i="1"/>
  <c r="CH74" i="1"/>
  <c r="CH37" i="1"/>
  <c r="BD167" i="1"/>
  <c r="AW31" i="1"/>
  <c r="AW20" i="1"/>
  <c r="EQ127" i="1"/>
  <c r="BE78" i="1"/>
  <c r="EN26" i="1"/>
  <c r="CH58" i="1"/>
  <c r="EP115" i="1"/>
  <c r="CG31" i="1"/>
  <c r="CF156" i="1"/>
  <c r="CF45" i="1"/>
  <c r="DB32" i="1"/>
  <c r="EO127" i="1"/>
  <c r="BD26" i="1"/>
  <c r="DA12" i="1"/>
  <c r="EP108" i="1"/>
  <c r="DE33" i="1"/>
  <c r="DF37" i="1"/>
  <c r="CF32" i="1"/>
  <c r="AV18" i="1"/>
  <c r="BC47" i="1"/>
  <c r="DC18" i="1"/>
  <c r="AU32" i="1"/>
  <c r="AW24" i="1"/>
  <c r="CG177" i="1"/>
  <c r="CI34" i="1"/>
  <c r="AV75" i="1"/>
  <c r="BF32" i="1"/>
  <c r="BE31" i="1"/>
  <c r="BE48" i="1"/>
  <c r="AU79" i="1"/>
  <c r="EP33" i="1"/>
  <c r="CI7" i="1"/>
  <c r="AX12" i="1"/>
  <c r="CH158" i="1"/>
  <c r="AU74" i="1"/>
  <c r="AX79" i="1"/>
  <c r="CI46" i="1"/>
  <c r="EP92" i="1"/>
  <c r="CH176" i="1"/>
  <c r="AV34" i="1"/>
  <c r="CI18" i="1"/>
  <c r="EN118" i="1"/>
  <c r="AW77" i="1"/>
  <c r="AX13" i="1"/>
  <c r="EN12" i="1"/>
  <c r="CG20" i="1"/>
  <c r="BF29" i="1"/>
  <c r="CF38" i="1"/>
  <c r="EP102" i="1"/>
  <c r="BD75" i="1"/>
  <c r="BF28" i="1"/>
  <c r="BD8" i="1"/>
  <c r="CH31" i="1"/>
  <c r="EQ123" i="1"/>
  <c r="AU4" i="1"/>
  <c r="CH73" i="1"/>
  <c r="AV8" i="1"/>
  <c r="AV23" i="1"/>
  <c r="AU17" i="1"/>
  <c r="CH142" i="1"/>
  <c r="EN88" i="1"/>
  <c r="CH23" i="1"/>
  <c r="CF57" i="1"/>
  <c r="CG147" i="1"/>
  <c r="BD34" i="1"/>
  <c r="CH150" i="1"/>
  <c r="BE21" i="1"/>
  <c r="CH21" i="1"/>
  <c r="DC30" i="1"/>
  <c r="EO128" i="1"/>
  <c r="BC11" i="1"/>
  <c r="AV45" i="1"/>
  <c r="DF10" i="1"/>
  <c r="CG173" i="1"/>
  <c r="DC4" i="1"/>
  <c r="CI144" i="1"/>
  <c r="CI187" i="1"/>
  <c r="BE30" i="1"/>
  <c r="EP97" i="1"/>
  <c r="AX6" i="1"/>
  <c r="EQ10" i="1"/>
  <c r="AU76" i="1"/>
  <c r="AW37" i="1"/>
  <c r="EO125" i="1"/>
  <c r="CH8" i="1"/>
  <c r="EQ124" i="1"/>
  <c r="BE57" i="1"/>
  <c r="AV30" i="1"/>
  <c r="AV37" i="1"/>
  <c r="CG10" i="1"/>
  <c r="BC18" i="1"/>
  <c r="AX20" i="1"/>
  <c r="CG183" i="1"/>
  <c r="DD18" i="1"/>
  <c r="CH12" i="1"/>
  <c r="EN24" i="1"/>
  <c r="BD38" i="1"/>
  <c r="EP30" i="1"/>
  <c r="EO8" i="1"/>
  <c r="BD32" i="1"/>
  <c r="DD24" i="1"/>
  <c r="DA26" i="1"/>
  <c r="DB15" i="1"/>
  <c r="EP29" i="1"/>
  <c r="DF36" i="1"/>
  <c r="CI145" i="1"/>
  <c r="EQ85" i="1"/>
  <c r="EP101" i="1"/>
  <c r="BD57" i="1"/>
  <c r="EQ35" i="1"/>
  <c r="CI157" i="1"/>
  <c r="BD165" i="1"/>
  <c r="BE17" i="1"/>
  <c r="CH169" i="1"/>
  <c r="AW57" i="1"/>
  <c r="EN129" i="1"/>
  <c r="BC14" i="1"/>
  <c r="AX30" i="1"/>
  <c r="EO30" i="1"/>
  <c r="CG170" i="1"/>
  <c r="EO19" i="1"/>
  <c r="BD63" i="1"/>
  <c r="CG179" i="1"/>
  <c r="DD19" i="1"/>
  <c r="EQ111" i="1"/>
  <c r="CG58" i="1"/>
  <c r="AW26" i="1"/>
  <c r="EO86" i="1"/>
  <c r="EN8" i="1"/>
  <c r="CF153" i="1"/>
  <c r="BD60" i="1"/>
  <c r="EN11" i="1"/>
  <c r="DE38" i="1"/>
  <c r="EP110" i="1"/>
  <c r="EP21" i="1"/>
  <c r="EN115" i="1"/>
  <c r="CF30" i="1"/>
  <c r="BC15" i="1"/>
  <c r="DD38" i="1"/>
  <c r="DD11" i="1"/>
  <c r="DB19" i="1"/>
  <c r="EN125" i="1"/>
  <c r="DC33" i="1"/>
  <c r="DA5" i="1"/>
  <c r="BF13" i="1"/>
  <c r="CG185" i="1"/>
  <c r="CF5" i="1"/>
  <c r="EQ8" i="1"/>
  <c r="AW60" i="1"/>
  <c r="CG142" i="1"/>
  <c r="BD9" i="1"/>
  <c r="AX76" i="1"/>
  <c r="BC13" i="1"/>
  <c r="BE7" i="1"/>
  <c r="AW28" i="1"/>
  <c r="AV57" i="1"/>
  <c r="BD73" i="1"/>
  <c r="CH181" i="1"/>
  <c r="BE11" i="1"/>
  <c r="AX14" i="1"/>
  <c r="CH141" i="1"/>
  <c r="CF189" i="1"/>
  <c r="BD162" i="1"/>
  <c r="CI61" i="1"/>
  <c r="AV47" i="1"/>
  <c r="EQ125" i="1"/>
  <c r="CG17" i="1"/>
  <c r="EP100" i="1"/>
  <c r="BF16" i="1"/>
  <c r="EO129" i="1"/>
  <c r="BE77" i="1"/>
  <c r="EO105" i="1"/>
  <c r="AU45" i="1"/>
  <c r="CI171" i="1"/>
  <c r="AU11" i="1"/>
  <c r="CH24" i="1"/>
  <c r="CI175" i="1"/>
  <c r="CF172" i="1"/>
  <c r="AV33" i="1"/>
  <c r="EQ18" i="1"/>
  <c r="BC25" i="1"/>
  <c r="EQ7" i="1"/>
  <c r="BE26" i="1"/>
  <c r="EQ14" i="1"/>
  <c r="DA31" i="1"/>
  <c r="BF47" i="1"/>
  <c r="BF78" i="1"/>
  <c r="CH174" i="1"/>
  <c r="EP32" i="1"/>
  <c r="CI13" i="1"/>
  <c r="CI20" i="1"/>
  <c r="AW46" i="1"/>
  <c r="BD31" i="1"/>
  <c r="BF12" i="1"/>
  <c r="CG24" i="1"/>
  <c r="AU75" i="1"/>
  <c r="EO7" i="1"/>
  <c r="DA38" i="1"/>
  <c r="AV78" i="1"/>
  <c r="EP17" i="1"/>
  <c r="EO23" i="1"/>
  <c r="BD79" i="1"/>
  <c r="BD59" i="1"/>
  <c r="AX58" i="1"/>
  <c r="CI148" i="1"/>
  <c r="EP112" i="1"/>
  <c r="EP35" i="1"/>
  <c r="CF151" i="1"/>
  <c r="EO20" i="1"/>
  <c r="EO113" i="1"/>
  <c r="BE73" i="1"/>
  <c r="CG33" i="1"/>
  <c r="CG11" i="1"/>
  <c r="CG169" i="1"/>
  <c r="BD47" i="1"/>
  <c r="DD8" i="1"/>
  <c r="EO28" i="1"/>
  <c r="DD37" i="1"/>
  <c r="BC8" i="1"/>
  <c r="DE36" i="1"/>
  <c r="BE35" i="1"/>
  <c r="BE33" i="1"/>
  <c r="AW8" i="1"/>
  <c r="CG146" i="1"/>
  <c r="EQ23" i="1"/>
  <c r="CG5" i="1"/>
  <c r="EN10" i="1"/>
  <c r="DB22" i="1"/>
  <c r="CF20" i="1"/>
  <c r="EO4" i="1"/>
  <c r="BD24" i="1"/>
  <c r="DA17" i="1"/>
  <c r="AV27" i="1"/>
  <c r="DE26" i="1"/>
  <c r="DE8" i="1"/>
  <c r="DF9" i="1"/>
  <c r="EO97" i="1"/>
  <c r="DB26" i="1"/>
  <c r="DC5" i="1"/>
  <c r="EQ116" i="1"/>
  <c r="AX62" i="1"/>
  <c r="CF17" i="1"/>
  <c r="AV59" i="1"/>
  <c r="BD21" i="1"/>
  <c r="EO37" i="1"/>
  <c r="AV24" i="1"/>
  <c r="BE59" i="1"/>
  <c r="CH146" i="1"/>
  <c r="BC58" i="1"/>
  <c r="BD14" i="1"/>
  <c r="AU12" i="1"/>
  <c r="EP19" i="1"/>
  <c r="EQ5" i="1"/>
  <c r="EN122" i="1"/>
  <c r="AW25" i="1"/>
  <c r="DF34" i="1"/>
  <c r="CH10" i="1"/>
  <c r="EO33" i="1"/>
  <c r="EO31" i="1"/>
  <c r="DD9" i="1"/>
  <c r="DB12" i="1"/>
  <c r="EN30" i="1"/>
  <c r="BE45" i="1"/>
  <c r="EO22" i="1"/>
  <c r="BC46" i="1"/>
  <c r="BC73" i="1"/>
  <c r="AV32" i="1"/>
  <c r="CH29" i="1"/>
  <c r="CF78" i="1"/>
  <c r="CF25" i="1"/>
  <c r="DE19" i="1"/>
  <c r="CG16" i="1"/>
  <c r="EN5" i="1"/>
  <c r="DC11" i="1"/>
  <c r="DE28" i="1"/>
  <c r="DF20" i="1"/>
  <c r="DA27" i="1"/>
  <c r="BF61" i="1"/>
  <c r="CH152" i="1"/>
  <c r="CG32" i="1"/>
  <c r="EO109" i="1"/>
  <c r="CH189" i="1"/>
  <c r="BE12" i="1"/>
  <c r="DA29" i="1"/>
  <c r="AV6" i="1"/>
  <c r="EO90" i="1"/>
  <c r="DB11" i="1"/>
  <c r="DF29" i="1"/>
  <c r="AU6" i="1"/>
  <c r="CF187" i="1"/>
  <c r="DF38" i="1"/>
  <c r="DC16" i="1"/>
  <c r="EN89" i="1"/>
  <c r="CG25" i="1"/>
  <c r="CI155" i="1"/>
  <c r="EO110" i="1"/>
  <c r="BC34" i="1"/>
  <c r="AW47" i="1"/>
  <c r="BC70" i="1"/>
  <c r="DC14" i="1"/>
  <c r="CF48" i="1"/>
  <c r="DA9" i="1"/>
  <c r="DB23" i="1"/>
  <c r="DF27" i="1"/>
  <c r="AU29" i="1"/>
  <c r="BD25" i="1"/>
  <c r="DB28" i="1"/>
  <c r="EQ11" i="1"/>
  <c r="DF35" i="1"/>
  <c r="DD32" i="1"/>
  <c r="DE11" i="1"/>
  <c r="EN130" i="1"/>
  <c r="EP27" i="1"/>
  <c r="AU15" i="1"/>
  <c r="DA8" i="1"/>
  <c r="DA14" i="1"/>
  <c r="AV7" i="1"/>
  <c r="EO116" i="1"/>
  <c r="AX37" i="1"/>
  <c r="AV16" i="1"/>
  <c r="CI28" i="1"/>
  <c r="AU7" i="1"/>
  <c r="DD16" i="1"/>
  <c r="DB30" i="1"/>
  <c r="AV79" i="1"/>
  <c r="DF23" i="1"/>
  <c r="DC36" i="1"/>
  <c r="CG37" i="1"/>
  <c r="AW78" i="1"/>
  <c r="AU72" i="1"/>
  <c r="DE5" i="1"/>
  <c r="BD164" i="1"/>
  <c r="DD7" i="1"/>
  <c r="CH27" i="1"/>
  <c r="AV139" i="1"/>
  <c r="CF154" i="1"/>
  <c r="DB16" i="1"/>
  <c r="DB13" i="1"/>
  <c r="CI29" i="1"/>
  <c r="CF60" i="1"/>
  <c r="EQ129" i="1"/>
  <c r="DD20" i="1"/>
  <c r="DB29" i="1"/>
  <c r="DC17" i="1"/>
  <c r="DD23" i="1"/>
  <c r="DF24" i="1"/>
  <c r="EN7" i="1"/>
  <c r="DB24" i="1"/>
  <c r="DF18" i="1"/>
  <c r="DE17" i="1"/>
  <c r="BC4" i="1"/>
  <c r="DF22" i="1"/>
  <c r="DC29" i="1"/>
  <c r="CI45" i="1"/>
  <c r="CH139" i="1"/>
  <c r="BE15" i="1"/>
  <c r="CF33" i="1"/>
  <c r="BC72" i="1"/>
  <c r="DC37" i="1"/>
  <c r="AV12" i="1"/>
  <c r="BF30" i="1"/>
  <c r="EO9" i="1"/>
  <c r="EN103" i="1"/>
  <c r="AW59" i="1"/>
  <c r="DB8" i="1"/>
  <c r="DE7" i="1"/>
  <c r="BC32" i="1"/>
  <c r="DC34" i="1"/>
  <c r="AW36" i="1"/>
  <c r="DC35" i="1"/>
  <c r="DB10" i="1"/>
  <c r="DC27" i="1"/>
  <c r="DF19" i="1"/>
  <c r="AV71" i="1"/>
  <c r="BC74" i="1"/>
  <c r="DE4" i="1"/>
  <c r="CF174" i="1"/>
  <c r="DB37" i="1"/>
  <c r="DB20" i="1"/>
  <c r="DC23" i="1"/>
  <c r="CH25" i="1"/>
  <c r="AU73" i="1"/>
  <c r="BE22" i="1"/>
  <c r="AU5" i="1"/>
  <c r="DC22" i="1"/>
  <c r="CG76" i="1"/>
  <c r="DC19" i="1"/>
  <c r="AX45" i="1"/>
  <c r="CI160" i="1"/>
  <c r="DC31" i="1"/>
  <c r="DF21" i="1"/>
  <c r="AV36" i="1"/>
  <c r="DD31" i="1"/>
  <c r="CF150" i="1"/>
  <c r="DD13" i="1"/>
  <c r="DF15" i="1"/>
  <c r="DC21" i="1"/>
  <c r="EN93" i="1"/>
  <c r="EN23" i="1"/>
  <c r="DA35" i="1"/>
  <c r="DA7" i="1"/>
  <c r="DB21" i="1"/>
  <c r="DA34" i="1"/>
  <c r="BD5" i="1"/>
  <c r="DC28" i="1"/>
  <c r="CG9" i="1"/>
  <c r="CH17" i="1"/>
  <c r="BF6" i="1"/>
  <c r="EO16" i="1"/>
  <c r="DB34" i="1"/>
  <c r="EQ103" i="1"/>
  <c r="CG48" i="1"/>
  <c r="AV38" i="1"/>
  <c r="CG35" i="1"/>
  <c r="AU59" i="1"/>
  <c r="CF147" i="1"/>
  <c r="EQ107" i="1"/>
  <c r="EP15" i="1"/>
  <c r="DB27" i="1"/>
  <c r="EO122" i="1"/>
  <c r="CG139" i="1"/>
  <c r="AV15" i="1"/>
  <c r="DB18" i="1"/>
  <c r="DD14" i="1"/>
  <c r="DF16" i="1"/>
  <c r="BD15" i="1"/>
  <c r="DA25" i="1"/>
  <c r="DA30" i="1"/>
  <c r="DD17" i="1"/>
  <c r="DF11" i="1"/>
  <c r="DC6" i="1"/>
  <c r="DD10" i="1"/>
  <c r="CH154" i="1"/>
  <c r="CF46" i="1"/>
  <c r="AU14" i="1"/>
  <c r="BF72" i="1"/>
  <c r="BE6" i="1"/>
  <c r="AW14" i="1"/>
  <c r="CG73" i="1"/>
  <c r="EP113" i="1"/>
  <c r="CG46" i="1"/>
  <c r="AW9" i="1"/>
  <c r="BC59" i="1"/>
  <c r="DB31" i="1"/>
  <c r="DE34" i="1"/>
  <c r="CG47" i="1"/>
  <c r="DE29" i="1"/>
  <c r="DA23" i="1"/>
  <c r="CF31" i="1"/>
  <c r="DE10" i="1"/>
  <c r="DD21" i="1"/>
  <c r="DE16" i="1"/>
  <c r="BC22" i="1"/>
  <c r="EO117" i="1"/>
  <c r="DE18" i="1"/>
  <c r="DD26" i="1"/>
  <c r="BC9" i="1"/>
  <c r="DD34" i="1"/>
  <c r="CG143" i="1"/>
  <c r="AW15" i="1"/>
  <c r="EQ21" i="1"/>
  <c r="EN95" i="1"/>
  <c r="AU22" i="1"/>
  <c r="DE15" i="1"/>
  <c r="DA10" i="1"/>
  <c r="BC31" i="1"/>
  <c r="AU27" i="1"/>
  <c r="AV20" i="1"/>
  <c r="CG6" i="1"/>
  <c r="CG187" i="1"/>
  <c r="DB36" i="1"/>
  <c r="BE60" i="1"/>
  <c r="CG28" i="1"/>
  <c r="DE24" i="1"/>
  <c r="CF188" i="1"/>
  <c r="EN100" i="1"/>
  <c r="CF10" i="1"/>
  <c r="AU33" i="1"/>
  <c r="DA24" i="1"/>
  <c r="BD36" i="1"/>
  <c r="DF25" i="1"/>
  <c r="DE25" i="1"/>
  <c r="BC16" i="1"/>
  <c r="DA19" i="1"/>
  <c r="DA20" i="1"/>
  <c r="EN16" i="1"/>
  <c r="EN4" i="1"/>
  <c r="AX5" i="1"/>
  <c r="DA22" i="1"/>
  <c r="BE63" i="1"/>
  <c r="AU10" i="1"/>
  <c r="EN126" i="1"/>
  <c r="DA18" i="1"/>
  <c r="CH173" i="1"/>
  <c r="CH153" i="1"/>
  <c r="EP38" i="1"/>
  <c r="EO15" i="1"/>
  <c r="EN37" i="1"/>
  <c r="EN32" i="1"/>
  <c r="CG160" i="1"/>
  <c r="AV48" i="1"/>
  <c r="DA4" i="1"/>
  <c r="EO98" i="1"/>
  <c r="DC8" i="1"/>
  <c r="BC24" i="1"/>
  <c r="DD35" i="1"/>
  <c r="DE20" i="1"/>
  <c r="DE6" i="1"/>
  <c r="DF26" i="1"/>
  <c r="DA11" i="1"/>
  <c r="DD30" i="1"/>
  <c r="CG137" i="1"/>
  <c r="DB7" i="1"/>
  <c r="DD15" i="1"/>
  <c r="DC7" i="1"/>
  <c r="DD33" i="1"/>
  <c r="AU28" i="1"/>
  <c r="DE31" i="1"/>
  <c r="DF33" i="1"/>
  <c r="DE27" i="1"/>
  <c r="EQ34" i="1"/>
  <c r="BF5" i="1"/>
  <c r="CI9" i="1"/>
  <c r="CF144" i="1"/>
  <c r="AW11" i="1"/>
  <c r="CH159" i="1"/>
  <c r="AX17" i="1"/>
  <c r="EO11" i="1"/>
  <c r="EP7" i="1"/>
  <c r="EQ105" i="1"/>
  <c r="DA16" i="1"/>
  <c r="DD28" i="1"/>
  <c r="BD10" i="1"/>
  <c r="DE13" i="1"/>
  <c r="DE14" i="1"/>
  <c r="DD29" i="1"/>
  <c r="DD22" i="1"/>
  <c r="CF79" i="1"/>
  <c r="AU47" i="1"/>
  <c r="DB38" i="1"/>
  <c r="DA37" i="1"/>
  <c r="DD36" i="1"/>
  <c r="DC10" i="1"/>
  <c r="CG184" i="1"/>
  <c r="DF8" i="1"/>
  <c r="DF13" i="1"/>
  <c r="DE22" i="1"/>
  <c r="CG23" i="1"/>
  <c r="AV60" i="1"/>
  <c r="EP125" i="1"/>
  <c r="AU188" i="1"/>
  <c r="EN113" i="1"/>
  <c r="DA15" i="1"/>
  <c r="DF31" i="1"/>
  <c r="DD27" i="1"/>
  <c r="DE37" i="1"/>
  <c r="CF157" i="1"/>
  <c r="BD33" i="1"/>
  <c r="DF28" i="1"/>
  <c r="CG145" i="1"/>
  <c r="AV4" i="1"/>
  <c r="DC15" i="1"/>
  <c r="CF12" i="1"/>
  <c r="DK181" i="1" l="1"/>
  <c r="DJ139" i="1"/>
  <c r="DK152" i="1"/>
  <c r="DK4" i="1"/>
  <c r="DK169" i="1"/>
  <c r="DK60" i="1"/>
  <c r="DK62" i="1"/>
  <c r="EF175" i="1"/>
  <c r="DY175" i="1" s="1"/>
  <c r="BK175" i="1" s="1"/>
  <c r="EE32" i="1"/>
  <c r="DX32" i="1" s="1"/>
  <c r="BJ32" i="1" s="1"/>
  <c r="DT12" i="1"/>
  <c r="CQ12" i="1"/>
  <c r="BH12" i="1"/>
  <c r="EF58" i="1"/>
  <c r="DY58" i="1" s="1"/>
  <c r="BK58" i="1" s="1"/>
  <c r="DU10" i="1"/>
  <c r="DN30" i="1"/>
  <c r="DH30" i="1"/>
  <c r="DJ30" i="1"/>
  <c r="EF36" i="1"/>
  <c r="DY36" i="1" s="1"/>
  <c r="BK36" i="1" s="1"/>
  <c r="DJ181" i="1"/>
  <c r="CQ181" i="1"/>
  <c r="BH181" i="1"/>
  <c r="DN181" i="1"/>
  <c r="DV181" i="1" s="1"/>
  <c r="DH181" i="1"/>
  <c r="BX181" i="1"/>
  <c r="DT181" i="1"/>
  <c r="CK142" i="1"/>
  <c r="DT36" i="1"/>
  <c r="BH36" i="1"/>
  <c r="CQ36" i="1"/>
  <c r="CQ167" i="1"/>
  <c r="DK167" i="1"/>
  <c r="DU167" i="1"/>
  <c r="BH167" i="1"/>
  <c r="BI168" i="1" s="1"/>
  <c r="DI167" i="1"/>
  <c r="DP167" i="1" s="1"/>
  <c r="DO167" i="1"/>
  <c r="DJ70" i="1"/>
  <c r="CQ70" i="1"/>
  <c r="DN70" i="1"/>
  <c r="DH70" i="1"/>
  <c r="DT70" i="1"/>
  <c r="BH70" i="1"/>
  <c r="BI70" i="1" s="1"/>
  <c r="DU22" i="1"/>
  <c r="EE185" i="1"/>
  <c r="DX185" i="1" s="1"/>
  <c r="BJ185" i="1" s="1"/>
  <c r="EF19" i="1"/>
  <c r="DY19" i="1" s="1"/>
  <c r="BK19" i="1" s="1"/>
  <c r="DI76" i="1"/>
  <c r="DO76" i="1"/>
  <c r="DK76" i="1"/>
  <c r="DU76" i="1"/>
  <c r="EE117" i="1"/>
  <c r="DX117" i="1" s="1"/>
  <c r="BJ117" i="1" s="1"/>
  <c r="DH58" i="1"/>
  <c r="DN58" i="1"/>
  <c r="DJ58" i="1"/>
  <c r="CQ58" i="1"/>
  <c r="BH58" i="1"/>
  <c r="DT58" i="1"/>
  <c r="DE3" i="1"/>
  <c r="EF170" i="1"/>
  <c r="DY170" i="1" s="1"/>
  <c r="BK170" i="1" s="1"/>
  <c r="CK140" i="1"/>
  <c r="DN34" i="1"/>
  <c r="DH34" i="1"/>
  <c r="DJ34" i="1"/>
  <c r="DU156" i="1"/>
  <c r="DI156" i="1"/>
  <c r="DK156" i="1"/>
  <c r="DO156" i="1"/>
  <c r="EE10" i="1"/>
  <c r="DX10" i="1" s="1"/>
  <c r="BJ10" i="1" s="1"/>
  <c r="DH27" i="1"/>
  <c r="DN27" i="1"/>
  <c r="DJ27" i="1"/>
  <c r="DU23" i="1"/>
  <c r="CE44" i="1"/>
  <c r="CQ188" i="1"/>
  <c r="BH188" i="1"/>
  <c r="DJ188" i="1"/>
  <c r="DN188" i="1"/>
  <c r="DV188" i="1" s="1"/>
  <c r="DT188" i="1"/>
  <c r="DH188" i="1"/>
  <c r="DU29" i="1"/>
  <c r="EF100" i="1"/>
  <c r="DY100" i="1" s="1"/>
  <c r="EE94" i="1"/>
  <c r="DX94" i="1" s="1"/>
  <c r="BJ94" i="1" s="1"/>
  <c r="AY23" i="1"/>
  <c r="CK23" i="1"/>
  <c r="B23" i="1"/>
  <c r="DK187" i="1"/>
  <c r="DO187" i="1"/>
  <c r="DU187" i="1"/>
  <c r="DI187" i="1"/>
  <c r="DK141" i="1"/>
  <c r="DU141" i="1"/>
  <c r="DI141" i="1"/>
  <c r="DO141" i="1"/>
  <c r="DW141" i="1" s="1"/>
  <c r="BA136" i="1"/>
  <c r="BH138" i="1"/>
  <c r="DJ138" i="1"/>
  <c r="DN138" i="1"/>
  <c r="DT138" i="1"/>
  <c r="CQ138" i="1"/>
  <c r="BX138" i="1"/>
  <c r="DH138" i="1"/>
  <c r="EF60" i="1"/>
  <c r="DY60" i="1" s="1"/>
  <c r="BK60" i="1" s="1"/>
  <c r="EF78" i="1"/>
  <c r="DY78" i="1" s="1"/>
  <c r="BK78" i="1" s="1"/>
  <c r="DJ155" i="1"/>
  <c r="DT155" i="1"/>
  <c r="DH155" i="1"/>
  <c r="DN155" i="1"/>
  <c r="BH155" i="1"/>
  <c r="CQ155" i="1"/>
  <c r="DO142" i="1"/>
  <c r="DW142" i="1" s="1"/>
  <c r="DK142" i="1"/>
  <c r="DI142" i="1"/>
  <c r="DU142" i="1"/>
  <c r="EE12" i="1"/>
  <c r="DX12" i="1" s="1"/>
  <c r="BJ12" i="1" s="1"/>
  <c r="EE126" i="1"/>
  <c r="DX126" i="1" s="1"/>
  <c r="BJ126" i="1" s="1"/>
  <c r="CK149" i="1"/>
  <c r="DI31" i="1"/>
  <c r="DO31" i="1"/>
  <c r="DK31" i="1"/>
  <c r="EE79" i="1"/>
  <c r="DX79" i="1" s="1"/>
  <c r="BJ79" i="1" s="1"/>
  <c r="DO36" i="1"/>
  <c r="DI36" i="1"/>
  <c r="DK36" i="1"/>
  <c r="EF31" i="1"/>
  <c r="DY31" i="1" s="1"/>
  <c r="BK31" i="1" s="1"/>
  <c r="DU138" i="1"/>
  <c r="DO138" i="1"/>
  <c r="DW138" i="1" s="1"/>
  <c r="DK138" i="1"/>
  <c r="DI138" i="1"/>
  <c r="BH177" i="1"/>
  <c r="DN177" i="1"/>
  <c r="DV177" i="1" s="1"/>
  <c r="BX177" i="1"/>
  <c r="DT177" i="1"/>
  <c r="CQ177" i="1"/>
  <c r="DJ177" i="1"/>
  <c r="DH177" i="1"/>
  <c r="DT37" i="1"/>
  <c r="CQ37" i="1"/>
  <c r="BH37" i="1"/>
  <c r="EE154" i="1"/>
  <c r="DX154" i="1" s="1"/>
  <c r="BJ154" i="1" s="1"/>
  <c r="EF97" i="1"/>
  <c r="DY97" i="1" s="1"/>
  <c r="BK97" i="1" s="1"/>
  <c r="BH142" i="1"/>
  <c r="DJ142" i="1"/>
  <c r="BX142" i="1"/>
  <c r="DN142" i="1"/>
  <c r="DT142" i="1"/>
  <c r="CQ142" i="1"/>
  <c r="DH142" i="1"/>
  <c r="BH16" i="1"/>
  <c r="DT16" i="1"/>
  <c r="CQ16" i="1"/>
  <c r="DU58" i="1"/>
  <c r="DI58" i="1"/>
  <c r="DK58" i="1"/>
  <c r="DO58" i="1"/>
  <c r="DN14" i="1"/>
  <c r="DH14" i="1"/>
  <c r="DJ14" i="1"/>
  <c r="DU176" i="1"/>
  <c r="DI176" i="1"/>
  <c r="DK176" i="1"/>
  <c r="DO176" i="1"/>
  <c r="DK61" i="1"/>
  <c r="DO61" i="1"/>
  <c r="DU61" i="1"/>
  <c r="DI61" i="1"/>
  <c r="DK186" i="1"/>
  <c r="DO186" i="1"/>
  <c r="DW186" i="1" s="1"/>
  <c r="DU186" i="1"/>
  <c r="DI186" i="1"/>
  <c r="EF99" i="1"/>
  <c r="DY99" i="1" s="1"/>
  <c r="BK99" i="1" s="1"/>
  <c r="EF20" i="1"/>
  <c r="DY20" i="1" s="1"/>
  <c r="BK20" i="1" s="1"/>
  <c r="DU21" i="1"/>
  <c r="DK160" i="1"/>
  <c r="DO160" i="1"/>
  <c r="DU160" i="1"/>
  <c r="DI160" i="1"/>
  <c r="DI161" i="1"/>
  <c r="DK161" i="1"/>
  <c r="DQ161" i="1" s="1"/>
  <c r="DO161" i="1"/>
  <c r="BH161" i="1"/>
  <c r="DU161" i="1"/>
  <c r="CQ161" i="1"/>
  <c r="BH157" i="1"/>
  <c r="DH157" i="1"/>
  <c r="DJ157" i="1"/>
  <c r="DT157" i="1"/>
  <c r="DN157" i="1"/>
  <c r="CQ157" i="1"/>
  <c r="EE130" i="1"/>
  <c r="DX130" i="1" s="1"/>
  <c r="DK148" i="1"/>
  <c r="DO148" i="1"/>
  <c r="DU148" i="1"/>
  <c r="DI148" i="1"/>
  <c r="BH31" i="1"/>
  <c r="DT31" i="1"/>
  <c r="CQ31" i="1"/>
  <c r="EF110" i="1"/>
  <c r="DY110" i="1" s="1"/>
  <c r="EE48" i="1"/>
  <c r="DX48" i="1" s="1"/>
  <c r="BJ48" i="1" s="1"/>
  <c r="CQ8" i="1"/>
  <c r="DT8" i="1"/>
  <c r="BH8" i="1"/>
  <c r="DH26" i="1"/>
  <c r="DJ26" i="1"/>
  <c r="DN26" i="1"/>
  <c r="DI21" i="1"/>
  <c r="DO21" i="1"/>
  <c r="DK21" i="1"/>
  <c r="EE148" i="1"/>
  <c r="DX148" i="1" s="1"/>
  <c r="BJ148" i="1" s="1"/>
  <c r="AY6" i="1"/>
  <c r="CK6" i="1"/>
  <c r="B6" i="1"/>
  <c r="EF9" i="1"/>
  <c r="DY9" i="1" s="1"/>
  <c r="BK9" i="1" s="1"/>
  <c r="DU32" i="1"/>
  <c r="DJ20" i="1"/>
  <c r="DH20" i="1"/>
  <c r="DN20" i="1"/>
  <c r="B61" i="1"/>
  <c r="AY61" i="1"/>
  <c r="CK61" i="1"/>
  <c r="CK176" i="1"/>
  <c r="EE76" i="1"/>
  <c r="DX76" i="1" s="1"/>
  <c r="BJ76" i="1" s="1"/>
  <c r="EE28" i="1"/>
  <c r="DX28" i="1" s="1"/>
  <c r="BJ28" i="1" s="1"/>
  <c r="DI73" i="1"/>
  <c r="DK73" i="1"/>
  <c r="DU73" i="1"/>
  <c r="DO73" i="1"/>
  <c r="EE101" i="1"/>
  <c r="DX101" i="1" s="1"/>
  <c r="BJ101" i="1" s="1"/>
  <c r="EF152" i="1"/>
  <c r="DY152" i="1" s="1"/>
  <c r="BK152" i="1" s="1"/>
  <c r="DU14" i="1"/>
  <c r="AT44" i="1"/>
  <c r="EE38" i="1"/>
  <c r="DX38" i="1" s="1"/>
  <c r="BJ38" i="1" s="1"/>
  <c r="B70" i="1"/>
  <c r="AY70" i="1"/>
  <c r="CK70" i="1"/>
  <c r="CQ33" i="1"/>
  <c r="DT33" i="1"/>
  <c r="BH33" i="1"/>
  <c r="DN158" i="1"/>
  <c r="DH158" i="1"/>
  <c r="DJ158" i="1"/>
  <c r="CQ158" i="1"/>
  <c r="BH158" i="1"/>
  <c r="DT158" i="1"/>
  <c r="DK180" i="1"/>
  <c r="DO180" i="1"/>
  <c r="DW180" i="1" s="1"/>
  <c r="DI180" i="1"/>
  <c r="DU180" i="1"/>
  <c r="DI37" i="1"/>
  <c r="DK37" i="1"/>
  <c r="DO37" i="1"/>
  <c r="EE57" i="1"/>
  <c r="DX57" i="1" s="1"/>
  <c r="BJ57" i="1" s="1"/>
  <c r="DH150" i="1"/>
  <c r="DJ150" i="1"/>
  <c r="BH150" i="1"/>
  <c r="DN150" i="1"/>
  <c r="CQ150" i="1"/>
  <c r="DT150" i="1"/>
  <c r="BH15" i="1"/>
  <c r="CQ15" i="1"/>
  <c r="DT15" i="1"/>
  <c r="B47" i="1"/>
  <c r="CK47" i="1"/>
  <c r="AY47" i="1"/>
  <c r="EE17" i="1"/>
  <c r="DX17" i="1" s="1"/>
  <c r="BJ17" i="1" s="1"/>
  <c r="CK173" i="1"/>
  <c r="DJ182" i="1"/>
  <c r="BH182" i="1"/>
  <c r="BI182" i="1" s="1"/>
  <c r="DH182" i="1"/>
  <c r="BX182" i="1"/>
  <c r="CQ182" i="1"/>
  <c r="DT182" i="1"/>
  <c r="DN182" i="1"/>
  <c r="DV182" i="1" s="1"/>
  <c r="DJ153" i="1"/>
  <c r="BH153" i="1"/>
  <c r="CQ153" i="1"/>
  <c r="DH153" i="1"/>
  <c r="DN153" i="1"/>
  <c r="DT153" i="1"/>
  <c r="AY74" i="1"/>
  <c r="CK74" i="1"/>
  <c r="B74" i="1"/>
  <c r="EE71" i="1"/>
  <c r="DX71" i="1" s="1"/>
  <c r="BJ71" i="1" s="1"/>
  <c r="DO28" i="1"/>
  <c r="DI28" i="1"/>
  <c r="DK28" i="1"/>
  <c r="DI10" i="1"/>
  <c r="DK10" i="1"/>
  <c r="DO10" i="1"/>
  <c r="DF3" i="1"/>
  <c r="EE5" i="1"/>
  <c r="DX5" i="1" s="1"/>
  <c r="BJ5" i="1" s="1"/>
  <c r="CK36" i="1"/>
  <c r="B36" i="1"/>
  <c r="AY36" i="1"/>
  <c r="DT6" i="1"/>
  <c r="CQ6" i="1"/>
  <c r="BH6" i="1"/>
  <c r="DT22" i="1"/>
  <c r="BH22" i="1"/>
  <c r="CQ22" i="1"/>
  <c r="DO59" i="1"/>
  <c r="DK59" i="1"/>
  <c r="DU59" i="1"/>
  <c r="DI59" i="1"/>
  <c r="DT148" i="1"/>
  <c r="CQ148" i="1"/>
  <c r="BH148" i="1"/>
  <c r="DJ148" i="1"/>
  <c r="DN148" i="1"/>
  <c r="DV148" i="1" s="1"/>
  <c r="DH148" i="1"/>
  <c r="DJ19" i="1"/>
  <c r="DH19" i="1"/>
  <c r="DN19" i="1"/>
  <c r="CQ144" i="1"/>
  <c r="BX144" i="1"/>
  <c r="DT144" i="1"/>
  <c r="BH144" i="1"/>
  <c r="DN144" i="1"/>
  <c r="DJ144" i="1"/>
  <c r="DH144" i="1"/>
  <c r="DU7" i="1"/>
  <c r="EF113" i="1"/>
  <c r="DY113" i="1" s="1"/>
  <c r="BK113" i="1" s="1"/>
  <c r="EF189" i="1"/>
  <c r="DY189" i="1" s="1"/>
  <c r="BK189" i="1" s="1"/>
  <c r="CK7" i="1"/>
  <c r="B7" i="1"/>
  <c r="AY7" i="1"/>
  <c r="EM44" i="1"/>
  <c r="EF45" i="1"/>
  <c r="DY45" i="1" s="1"/>
  <c r="BK45" i="1" s="1"/>
  <c r="DN11" i="1"/>
  <c r="DJ11" i="1"/>
  <c r="DH11" i="1"/>
  <c r="DH5" i="1"/>
  <c r="DN5" i="1"/>
  <c r="DJ5" i="1"/>
  <c r="CE3" i="1"/>
  <c r="DN7" i="1"/>
  <c r="DH7" i="1"/>
  <c r="DJ7" i="1"/>
  <c r="EE61" i="1"/>
  <c r="DX61" i="1" s="1"/>
  <c r="BJ61" i="1" s="1"/>
  <c r="EE146" i="1"/>
  <c r="DX146" i="1" s="1"/>
  <c r="BJ146" i="1" s="1"/>
  <c r="DO13" i="1"/>
  <c r="DI13" i="1"/>
  <c r="DK13" i="1"/>
  <c r="BH13" i="1"/>
  <c r="CQ13" i="1"/>
  <c r="DT13" i="1"/>
  <c r="DU19" i="1"/>
  <c r="DT29" i="1"/>
  <c r="CQ29" i="1"/>
  <c r="BH29" i="1"/>
  <c r="EF17" i="1"/>
  <c r="DY17" i="1" s="1"/>
  <c r="BK17" i="1" s="1"/>
  <c r="EE72" i="1"/>
  <c r="DX72" i="1" s="1"/>
  <c r="BJ72" i="1" s="1"/>
  <c r="AY34" i="1"/>
  <c r="B34" i="1"/>
  <c r="CK34" i="1"/>
  <c r="DU13" i="1"/>
  <c r="B60" i="1"/>
  <c r="CK60" i="1"/>
  <c r="AY60" i="1"/>
  <c r="EF88" i="1"/>
  <c r="DY88" i="1" s="1"/>
  <c r="BK88" i="1" s="1"/>
  <c r="DU20" i="1"/>
  <c r="AY22" i="1"/>
  <c r="CK22" i="1"/>
  <c r="B22" i="1"/>
  <c r="DU26" i="1"/>
  <c r="CK153" i="1"/>
  <c r="EF185" i="1"/>
  <c r="DY185" i="1" s="1"/>
  <c r="BK185" i="1" s="1"/>
  <c r="EF11" i="1"/>
  <c r="DY11" i="1" s="1"/>
  <c r="BK11" i="1" s="1"/>
  <c r="EE186" i="1"/>
  <c r="DX186" i="1" s="1"/>
  <c r="BJ186" i="1" s="1"/>
  <c r="EE21" i="1"/>
  <c r="DX21" i="1" s="1"/>
  <c r="BJ21" i="1" s="1"/>
  <c r="DJ169" i="1"/>
  <c r="DH169" i="1"/>
  <c r="DT169" i="1"/>
  <c r="CQ169" i="1"/>
  <c r="BH169" i="1"/>
  <c r="BI169" i="1" s="1"/>
  <c r="DN169" i="1"/>
  <c r="DV169" i="1" s="1"/>
  <c r="EE105" i="1"/>
  <c r="DX105" i="1" s="1"/>
  <c r="BJ105" i="1" s="1"/>
  <c r="DT77" i="1"/>
  <c r="DH77" i="1"/>
  <c r="DN77" i="1"/>
  <c r="DJ77" i="1"/>
  <c r="BH77" i="1"/>
  <c r="CQ77" i="1"/>
  <c r="CQ186" i="1"/>
  <c r="DJ186" i="1"/>
  <c r="DN186" i="1"/>
  <c r="DV186" i="1" s="1"/>
  <c r="DT186" i="1"/>
  <c r="DH186" i="1"/>
  <c r="BH186" i="1"/>
  <c r="EE58" i="1"/>
  <c r="DX58" i="1" s="1"/>
  <c r="BJ58" i="1" s="1"/>
  <c r="DU30" i="1"/>
  <c r="DK151" i="1"/>
  <c r="DU151" i="1"/>
  <c r="DO151" i="1"/>
  <c r="DI151" i="1"/>
  <c r="DK5" i="1"/>
  <c r="DU5" i="1"/>
  <c r="DO5" i="1"/>
  <c r="DI5" i="1"/>
  <c r="B14" i="1"/>
  <c r="AY14" i="1"/>
  <c r="CK14" i="1"/>
  <c r="EE18" i="1"/>
  <c r="DX18" i="1" s="1"/>
  <c r="BJ18" i="1" s="1"/>
  <c r="CQ140" i="1"/>
  <c r="DJ140" i="1"/>
  <c r="DH140" i="1"/>
  <c r="BX140" i="1"/>
  <c r="DN140" i="1"/>
  <c r="DV140" i="1" s="1"/>
  <c r="DT140" i="1"/>
  <c r="BH140" i="1"/>
  <c r="EF176" i="1"/>
  <c r="DY176" i="1" s="1"/>
  <c r="BK176" i="1" s="1"/>
  <c r="DU152" i="1"/>
  <c r="DO152" i="1"/>
  <c r="DW152" i="1" s="1"/>
  <c r="DI152" i="1"/>
  <c r="CK184" i="1"/>
  <c r="AY63" i="1"/>
  <c r="CK63" i="1"/>
  <c r="B63" i="1"/>
  <c r="DK139" i="1"/>
  <c r="DO139" i="1"/>
  <c r="DW139" i="1" s="1"/>
  <c r="DU139" i="1"/>
  <c r="DI139" i="1"/>
  <c r="DN35" i="1"/>
  <c r="DJ35" i="1"/>
  <c r="DH35" i="1"/>
  <c r="EF147" i="1"/>
  <c r="DY147" i="1" s="1"/>
  <c r="BK147" i="1" s="1"/>
  <c r="DI29" i="1"/>
  <c r="DO29" i="1"/>
  <c r="DK29" i="1"/>
  <c r="EF24" i="1"/>
  <c r="DY24" i="1" s="1"/>
  <c r="BK24" i="1" s="1"/>
  <c r="CQ24" i="1"/>
  <c r="DT24" i="1"/>
  <c r="BH24" i="1"/>
  <c r="EF23" i="1"/>
  <c r="DY23" i="1" s="1"/>
  <c r="BK23" i="1" s="1"/>
  <c r="EF169" i="1"/>
  <c r="DY169" i="1" s="1"/>
  <c r="BK169" i="1" s="1"/>
  <c r="DT73" i="1"/>
  <c r="CQ73" i="1"/>
  <c r="DN73" i="1"/>
  <c r="DH73" i="1"/>
  <c r="DJ73" i="1"/>
  <c r="BH73" i="1"/>
  <c r="CK77" i="1"/>
  <c r="AY77" i="1"/>
  <c r="B77" i="1"/>
  <c r="EF104" i="1"/>
  <c r="DY104" i="1" s="1"/>
  <c r="BK104" i="1" s="1"/>
  <c r="CQ19" i="1"/>
  <c r="DT19" i="1"/>
  <c r="BH19" i="1"/>
  <c r="DU155" i="1"/>
  <c r="DO155" i="1"/>
  <c r="DK155" i="1"/>
  <c r="DI155" i="1"/>
  <c r="CE136" i="1"/>
  <c r="EE37" i="1"/>
  <c r="DX37" i="1" s="1"/>
  <c r="BJ37" i="1" s="1"/>
  <c r="CK174" i="1"/>
  <c r="DJ180" i="1"/>
  <c r="DH180" i="1"/>
  <c r="DN180" i="1"/>
  <c r="DV180" i="1" s="1"/>
  <c r="BH180" i="1"/>
  <c r="DT180" i="1"/>
  <c r="BX180" i="1"/>
  <c r="CQ180" i="1"/>
  <c r="DI77" i="1"/>
  <c r="DK77" i="1"/>
  <c r="DU77" i="1"/>
  <c r="DO77" i="1"/>
  <c r="EE35" i="1"/>
  <c r="DX35" i="1" s="1"/>
  <c r="BJ35" i="1" s="1"/>
  <c r="EE127" i="1"/>
  <c r="DX127" i="1" s="1"/>
  <c r="BJ127" i="1" s="1"/>
  <c r="EF35" i="1"/>
  <c r="DY35" i="1" s="1"/>
  <c r="BK35" i="1" s="1"/>
  <c r="DI23" i="1"/>
  <c r="DK23" i="1"/>
  <c r="DO23" i="1"/>
  <c r="B59" i="1"/>
  <c r="CK59" i="1"/>
  <c r="AY59" i="1"/>
  <c r="CK188" i="1"/>
  <c r="AY78" i="1"/>
  <c r="B78" i="1"/>
  <c r="CK78" i="1"/>
  <c r="B31" i="1"/>
  <c r="AY31" i="1"/>
  <c r="CK31" i="1"/>
  <c r="CK150" i="1"/>
  <c r="EE74" i="1"/>
  <c r="DX74" i="1" s="1"/>
  <c r="BJ74" i="1" s="1"/>
  <c r="B8" i="1"/>
  <c r="AY8" i="1"/>
  <c r="CK8" i="1"/>
  <c r="EF107" i="1"/>
  <c r="DY107" i="1" s="1"/>
  <c r="BK107" i="1" s="1"/>
  <c r="EE89" i="1"/>
  <c r="DX89" i="1" s="1"/>
  <c r="EE8" i="1"/>
  <c r="DX8" i="1" s="1"/>
  <c r="BJ8" i="1" s="1"/>
  <c r="B79" i="1"/>
  <c r="AY79" i="1"/>
  <c r="CK79" i="1"/>
  <c r="EF61" i="1"/>
  <c r="DY61" i="1" s="1"/>
  <c r="BK61" i="1" s="1"/>
  <c r="EE175" i="1"/>
  <c r="DX175" i="1" s="1"/>
  <c r="BJ175" i="1" s="1"/>
  <c r="DJ75" i="1"/>
  <c r="DT75" i="1"/>
  <c r="DH75" i="1"/>
  <c r="CQ75" i="1"/>
  <c r="BH75" i="1"/>
  <c r="DN75" i="1"/>
  <c r="DV75" i="1" s="1"/>
  <c r="BH72" i="1"/>
  <c r="DT72" i="1"/>
  <c r="CQ72" i="1"/>
  <c r="DN72" i="1"/>
  <c r="DJ72" i="1"/>
  <c r="DH72" i="1"/>
  <c r="DO25" i="1"/>
  <c r="DI25" i="1"/>
  <c r="DK25" i="1"/>
  <c r="EE99" i="1"/>
  <c r="DX99" i="1" s="1"/>
  <c r="BJ99" i="1" s="1"/>
  <c r="DH23" i="1"/>
  <c r="DN23" i="1"/>
  <c r="DJ23" i="1"/>
  <c r="BH26" i="1"/>
  <c r="CQ26" i="1"/>
  <c r="DT26" i="1"/>
  <c r="BH59" i="1"/>
  <c r="DJ59" i="1"/>
  <c r="DH59" i="1"/>
  <c r="DP59" i="1" s="1"/>
  <c r="DN59" i="1"/>
  <c r="DT59" i="1"/>
  <c r="CQ59" i="1"/>
  <c r="DU28" i="1"/>
  <c r="DW28" i="1" s="1"/>
  <c r="DU17" i="1"/>
  <c r="EE33" i="1"/>
  <c r="DX33" i="1" s="1"/>
  <c r="BJ33" i="1" s="1"/>
  <c r="AY15" i="1"/>
  <c r="CK15" i="1"/>
  <c r="B15" i="1"/>
  <c r="EE24" i="1"/>
  <c r="DX24" i="1" s="1"/>
  <c r="BJ24" i="1" s="1"/>
  <c r="EF16" i="1"/>
  <c r="DY16" i="1" s="1"/>
  <c r="BK16" i="1" s="1"/>
  <c r="EF148" i="1"/>
  <c r="DY148" i="1" s="1"/>
  <c r="BK148" i="1" s="1"/>
  <c r="EF93" i="1"/>
  <c r="DY93" i="1" s="1"/>
  <c r="BK93" i="1" s="1"/>
  <c r="DT28" i="1"/>
  <c r="CQ28" i="1"/>
  <c r="BH28" i="1"/>
  <c r="CK169" i="1"/>
  <c r="EE60" i="1"/>
  <c r="DX60" i="1" s="1"/>
  <c r="BJ60" i="1" s="1"/>
  <c r="EL136" i="1"/>
  <c r="EE145" i="1"/>
  <c r="DX145" i="1" s="1"/>
  <c r="BJ145" i="1" s="1"/>
  <c r="CK9" i="1"/>
  <c r="AY9" i="1"/>
  <c r="B9" i="1"/>
  <c r="DO7" i="1"/>
  <c r="DW7" i="1" s="1"/>
  <c r="DK7" i="1"/>
  <c r="DI7" i="1"/>
  <c r="DB3" i="1"/>
  <c r="DI18" i="1"/>
  <c r="DK18" i="1"/>
  <c r="DO18" i="1"/>
  <c r="EE16" i="1"/>
  <c r="DX16" i="1" s="1"/>
  <c r="BJ16" i="1" s="1"/>
  <c r="DN21" i="1"/>
  <c r="DH21" i="1"/>
  <c r="DJ21" i="1"/>
  <c r="EF123" i="1"/>
  <c r="DY123" i="1" s="1"/>
  <c r="BK123" i="1" s="1"/>
  <c r="EF151" i="1"/>
  <c r="DY151" i="1" s="1"/>
  <c r="BK151" i="1" s="1"/>
  <c r="EF164" i="1"/>
  <c r="DY164" i="1" s="1"/>
  <c r="BK164" i="1" s="1"/>
  <c r="BQ164" i="1" s="1"/>
  <c r="CW164" i="1" s="1"/>
  <c r="DN15" i="1"/>
  <c r="DH15" i="1"/>
  <c r="DJ15" i="1"/>
  <c r="CK157" i="1"/>
  <c r="DK166" i="1"/>
  <c r="CQ166" i="1"/>
  <c r="BH166" i="1"/>
  <c r="DI166" i="1"/>
  <c r="DL166" i="1" s="1"/>
  <c r="DO166" i="1"/>
  <c r="DU166" i="1"/>
  <c r="DU46" i="1"/>
  <c r="DK46" i="1"/>
  <c r="DO46" i="1"/>
  <c r="DI46" i="1"/>
  <c r="EF165" i="1"/>
  <c r="DY165" i="1" s="1"/>
  <c r="BK165" i="1" s="1"/>
  <c r="BQ165" i="1" s="1"/>
  <c r="EE110" i="1"/>
  <c r="DX110" i="1" s="1"/>
  <c r="BJ110" i="1" s="1"/>
  <c r="CK186" i="1"/>
  <c r="DO26" i="1"/>
  <c r="DK26" i="1"/>
  <c r="DI26" i="1"/>
  <c r="EF48" i="1"/>
  <c r="DY48" i="1" s="1"/>
  <c r="BK48" i="1" s="1"/>
  <c r="EE158" i="1"/>
  <c r="DX158" i="1" s="1"/>
  <c r="BJ158" i="1" s="1"/>
  <c r="CQ25" i="1"/>
  <c r="BH25" i="1"/>
  <c r="DT25" i="1"/>
  <c r="DJ183" i="1"/>
  <c r="BH183" i="1"/>
  <c r="BI183" i="1" s="1"/>
  <c r="DN183" i="1"/>
  <c r="DV183" i="1" s="1"/>
  <c r="BX183" i="1"/>
  <c r="DH183" i="1"/>
  <c r="DT183" i="1"/>
  <c r="CQ183" i="1"/>
  <c r="EE173" i="1"/>
  <c r="DX173" i="1" s="1"/>
  <c r="BJ173" i="1" s="1"/>
  <c r="CK138" i="1"/>
  <c r="DU169" i="1"/>
  <c r="DI169" i="1"/>
  <c r="DO169" i="1"/>
  <c r="B26" i="1"/>
  <c r="CK26" i="1"/>
  <c r="AY26" i="1"/>
  <c r="DK154" i="1"/>
  <c r="DU154" i="1"/>
  <c r="DI154" i="1"/>
  <c r="DO154" i="1"/>
  <c r="EF73" i="1"/>
  <c r="DY73" i="1" s="1"/>
  <c r="BK73" i="1" s="1"/>
  <c r="DK137" i="1"/>
  <c r="DS137" i="1" s="1"/>
  <c r="BH137" i="1"/>
  <c r="DI137" i="1"/>
  <c r="DP137" i="1" s="1"/>
  <c r="BB136" i="1"/>
  <c r="DU137" i="1"/>
  <c r="DO137" i="1"/>
  <c r="DW137" i="1" s="1"/>
  <c r="ES137" i="1" s="1"/>
  <c r="BX137" i="1"/>
  <c r="CQ137" i="1"/>
  <c r="EE73" i="1"/>
  <c r="DX73" i="1" s="1"/>
  <c r="BJ73" i="1" s="1"/>
  <c r="CK156" i="1"/>
  <c r="B76" i="1"/>
  <c r="AY76" i="1"/>
  <c r="CK76" i="1"/>
  <c r="DJ145" i="1"/>
  <c r="DN145" i="1"/>
  <c r="CQ145" i="1"/>
  <c r="DT145" i="1"/>
  <c r="BH145" i="1"/>
  <c r="DH145" i="1"/>
  <c r="BH27" i="1"/>
  <c r="DT27" i="1"/>
  <c r="CQ27" i="1"/>
  <c r="CQ35" i="1"/>
  <c r="BH35" i="1"/>
  <c r="DT35" i="1"/>
  <c r="DU181" i="1"/>
  <c r="DI181" i="1"/>
  <c r="DO181" i="1"/>
  <c r="DW181" i="1" s="1"/>
  <c r="CK158" i="1"/>
  <c r="EF171" i="1"/>
  <c r="DY171" i="1" s="1"/>
  <c r="BK171" i="1" s="1"/>
  <c r="AY57" i="1"/>
  <c r="CK57" i="1"/>
  <c r="B57" i="1"/>
  <c r="DK158" i="1"/>
  <c r="DI158" i="1"/>
  <c r="DU158" i="1"/>
  <c r="DO158" i="1"/>
  <c r="EE36" i="1"/>
  <c r="DX36" i="1" s="1"/>
  <c r="BJ36" i="1" s="1"/>
  <c r="EE100" i="1"/>
  <c r="DX100" i="1" s="1"/>
  <c r="BJ100" i="1" s="1"/>
  <c r="EF129" i="1"/>
  <c r="DY129" i="1" s="1"/>
  <c r="CK141" i="1"/>
  <c r="EF153" i="1"/>
  <c r="DY153" i="1" s="1"/>
  <c r="BK153" i="1" s="1"/>
  <c r="CK58" i="1"/>
  <c r="AY58" i="1"/>
  <c r="B58" i="1"/>
  <c r="EE170" i="1"/>
  <c r="DX170" i="1" s="1"/>
  <c r="BJ170" i="1" s="1"/>
  <c r="BQ170" i="1" s="1"/>
  <c r="DJ76" i="1"/>
  <c r="DH76" i="1"/>
  <c r="CQ76" i="1"/>
  <c r="BH76" i="1"/>
  <c r="BI76" i="1" s="1"/>
  <c r="DN76" i="1"/>
  <c r="DT76" i="1"/>
  <c r="EE11" i="1"/>
  <c r="DX11" i="1" s="1"/>
  <c r="BJ11" i="1" s="1"/>
  <c r="DJ37" i="1"/>
  <c r="DN37" i="1"/>
  <c r="DH37" i="1"/>
  <c r="EE115" i="1"/>
  <c r="DX115" i="1" s="1"/>
  <c r="BJ115" i="1" s="1"/>
  <c r="DU15" i="1"/>
  <c r="EF75" i="1"/>
  <c r="DY75" i="1" s="1"/>
  <c r="BK75" i="1" s="1"/>
  <c r="EE62" i="1"/>
  <c r="DX62" i="1" s="1"/>
  <c r="BJ62" i="1" s="1"/>
  <c r="DK6" i="1"/>
  <c r="DU6" i="1"/>
  <c r="DO6" i="1"/>
  <c r="DI6" i="1"/>
  <c r="DK24" i="1"/>
  <c r="DO24" i="1"/>
  <c r="DI24" i="1"/>
  <c r="EF94" i="1"/>
  <c r="DY94" i="1" s="1"/>
  <c r="BK94" i="1" s="1"/>
  <c r="DK179" i="1"/>
  <c r="DU179" i="1"/>
  <c r="DO179" i="1"/>
  <c r="DI179" i="1"/>
  <c r="DJ48" i="1"/>
  <c r="CQ48" i="1"/>
  <c r="BH48" i="1"/>
  <c r="BI49" i="1" s="1"/>
  <c r="DT48" i="1"/>
  <c r="DN48" i="1"/>
  <c r="DH48" i="1"/>
  <c r="DJ185" i="1"/>
  <c r="BH185" i="1"/>
  <c r="DT185" i="1"/>
  <c r="DN185" i="1"/>
  <c r="DV185" i="1" s="1"/>
  <c r="CQ185" i="1"/>
  <c r="DH185" i="1"/>
  <c r="EM136" i="1"/>
  <c r="EF145" i="1"/>
  <c r="DY145" i="1" s="1"/>
  <c r="BK145" i="1" s="1"/>
  <c r="DI38" i="1"/>
  <c r="DK38" i="1"/>
  <c r="DO38" i="1"/>
  <c r="EF7" i="1"/>
  <c r="DY7" i="1" s="1"/>
  <c r="BK7" i="1" s="1"/>
  <c r="CQ34" i="1"/>
  <c r="DT34" i="1"/>
  <c r="BH34" i="1"/>
  <c r="EF87" i="1"/>
  <c r="DY87" i="1" s="1"/>
  <c r="BK87" i="1" s="1"/>
  <c r="EF85" i="1"/>
  <c r="DY85" i="1" s="1"/>
  <c r="BK85" i="1" s="1"/>
  <c r="EM84" i="1"/>
  <c r="CK20" i="1"/>
  <c r="AY20" i="1"/>
  <c r="B20" i="1"/>
  <c r="EE46" i="1"/>
  <c r="DJ62" i="1"/>
  <c r="BH62" i="1"/>
  <c r="DH62" i="1"/>
  <c r="CQ62" i="1"/>
  <c r="DN62" i="1"/>
  <c r="DT62" i="1"/>
  <c r="DJ146" i="1"/>
  <c r="BH146" i="1"/>
  <c r="CQ146" i="1"/>
  <c r="DT146" i="1"/>
  <c r="DN146" i="1"/>
  <c r="DH146" i="1"/>
  <c r="DK20" i="1"/>
  <c r="DI20" i="1"/>
  <c r="DP20" i="1" s="1"/>
  <c r="DO20" i="1"/>
  <c r="DW20" i="1" s="1"/>
  <c r="EF158" i="1"/>
  <c r="DY158" i="1" s="1"/>
  <c r="BK158" i="1" s="1"/>
  <c r="EF102" i="1"/>
  <c r="DY102" i="1" s="1"/>
  <c r="BK102" i="1" s="1"/>
  <c r="EF118" i="1"/>
  <c r="DY118" i="1" s="1"/>
  <c r="BK118" i="1" s="1"/>
  <c r="EE27" i="1"/>
  <c r="DX27" i="1" s="1"/>
  <c r="BJ27" i="1" s="1"/>
  <c r="EE125" i="1"/>
  <c r="DX125" i="1" s="1"/>
  <c r="CK180" i="1"/>
  <c r="EF122" i="1"/>
  <c r="DY122" i="1" s="1"/>
  <c r="BK122" i="1" s="1"/>
  <c r="CQ32" i="1"/>
  <c r="BH32" i="1"/>
  <c r="DT32" i="1"/>
  <c r="DN25" i="1"/>
  <c r="DH25" i="1"/>
  <c r="DP25" i="1" s="1"/>
  <c r="DJ25" i="1"/>
  <c r="DJ141" i="1"/>
  <c r="BX141" i="1"/>
  <c r="BH141" i="1"/>
  <c r="DN141" i="1"/>
  <c r="DT141" i="1"/>
  <c r="CQ141" i="1"/>
  <c r="DH141" i="1"/>
  <c r="CK167" i="1"/>
  <c r="DI60" i="1"/>
  <c r="DU60" i="1"/>
  <c r="DO60" i="1"/>
  <c r="EE14" i="1"/>
  <c r="DX14" i="1" s="1"/>
  <c r="BJ14" i="1" s="1"/>
  <c r="CK160" i="1"/>
  <c r="EE121" i="1"/>
  <c r="DX121" i="1" s="1"/>
  <c r="BJ121" i="1" s="1"/>
  <c r="BH18" i="1"/>
  <c r="DT18" i="1"/>
  <c r="CQ18" i="1"/>
  <c r="EF46" i="1"/>
  <c r="DY46" i="1" s="1"/>
  <c r="BK46" i="1" s="1"/>
  <c r="EF168" i="1"/>
  <c r="DY168" i="1" s="1"/>
  <c r="BK168" i="1" s="1"/>
  <c r="DR168" i="1" s="1"/>
  <c r="EF34" i="1"/>
  <c r="DY34" i="1" s="1"/>
  <c r="BK34" i="1" s="1"/>
  <c r="AY11" i="1"/>
  <c r="B11" i="1"/>
  <c r="CK11" i="1"/>
  <c r="DK146" i="1"/>
  <c r="DU146" i="1"/>
  <c r="DI146" i="1"/>
  <c r="DO146" i="1"/>
  <c r="DW146" i="1" s="1"/>
  <c r="CK32" i="1"/>
  <c r="B32" i="1"/>
  <c r="AY32" i="1"/>
  <c r="BZ74" i="1"/>
  <c r="CS74" i="1"/>
  <c r="C138" i="1"/>
  <c r="E138" i="1" s="1"/>
  <c r="CM138" i="1"/>
  <c r="BS138" i="1"/>
  <c r="AY138" i="1"/>
  <c r="CS24" i="1"/>
  <c r="BZ179" i="1"/>
  <c r="CS179" i="1"/>
  <c r="EG23" i="1"/>
  <c r="DZ23" i="1" s="1"/>
  <c r="BL23" i="1" s="1"/>
  <c r="C33" i="1"/>
  <c r="CM33" i="1"/>
  <c r="CM154" i="1"/>
  <c r="CF136" i="1"/>
  <c r="EG125" i="1"/>
  <c r="DZ125" i="1" s="1"/>
  <c r="BL125" i="1" s="1"/>
  <c r="EH98" i="1"/>
  <c r="EA98" i="1" s="1"/>
  <c r="BM98" i="1" s="1"/>
  <c r="EG16" i="1"/>
  <c r="DZ16" i="1" s="1"/>
  <c r="BL16" i="1" s="1"/>
  <c r="CS23" i="1"/>
  <c r="CM176" i="1"/>
  <c r="CS9" i="1"/>
  <c r="BZ159" i="1"/>
  <c r="CS159" i="1"/>
  <c r="CS15" i="1"/>
  <c r="EG7" i="1"/>
  <c r="DZ7" i="1" s="1"/>
  <c r="BL7" i="1" s="1"/>
  <c r="CS31" i="1"/>
  <c r="EH97" i="1"/>
  <c r="EA97" i="1" s="1"/>
  <c r="BM97" i="1" s="1"/>
  <c r="BS73" i="1"/>
  <c r="CM73" i="1"/>
  <c r="C73" i="1"/>
  <c r="CS170" i="1"/>
  <c r="BZ170" i="1"/>
  <c r="CM29" i="1"/>
  <c r="C29" i="1"/>
  <c r="EH122" i="1"/>
  <c r="EA122" i="1" s="1"/>
  <c r="BM122" i="1" s="1"/>
  <c r="CS186" i="1"/>
  <c r="BZ186" i="1"/>
  <c r="C6" i="1"/>
  <c r="CM6" i="1"/>
  <c r="BZ172" i="1"/>
  <c r="CS172" i="1"/>
  <c r="CS79" i="1"/>
  <c r="BZ79" i="1"/>
  <c r="EI15" i="1"/>
  <c r="EB15" i="1" s="1"/>
  <c r="BN15" i="1" s="1"/>
  <c r="CU60" i="1"/>
  <c r="CB60" i="1"/>
  <c r="EJ99" i="1"/>
  <c r="EC99" i="1" s="1"/>
  <c r="BO99" i="1" s="1"/>
  <c r="EI29" i="1"/>
  <c r="EB29" i="1" s="1"/>
  <c r="BN29" i="1" s="1"/>
  <c r="EJ129" i="1"/>
  <c r="EC129" i="1" s="1"/>
  <c r="BO129" i="1" s="1"/>
  <c r="CB158" i="1"/>
  <c r="CU158" i="1"/>
  <c r="D36" i="1"/>
  <c r="CO36" i="1"/>
  <c r="EG89" i="1"/>
  <c r="DZ89" i="1" s="1"/>
  <c r="BL89" i="1" s="1"/>
  <c r="CM174" i="1"/>
  <c r="EH12" i="1"/>
  <c r="EA12" i="1" s="1"/>
  <c r="BM12" i="1" s="1"/>
  <c r="CS16" i="1"/>
  <c r="EG5" i="1"/>
  <c r="DZ5" i="1" s="1"/>
  <c r="BL5" i="1" s="1"/>
  <c r="EG126" i="1"/>
  <c r="DZ126" i="1" s="1"/>
  <c r="BL126" i="1" s="1"/>
  <c r="CS22" i="1"/>
  <c r="CS4" i="1"/>
  <c r="BC3" i="1"/>
  <c r="C22" i="1"/>
  <c r="CM22" i="1"/>
  <c r="CM139" i="1"/>
  <c r="CS32" i="1"/>
  <c r="CS48" i="1"/>
  <c r="BZ48" i="1"/>
  <c r="CA49" i="1" s="1"/>
  <c r="CM150" i="1"/>
  <c r="EG93" i="1"/>
  <c r="DZ93" i="1" s="1"/>
  <c r="BL93" i="1" s="1"/>
  <c r="EE150" i="1"/>
  <c r="CK5" i="1"/>
  <c r="AY5" i="1"/>
  <c r="B5" i="1"/>
  <c r="DU37" i="1"/>
  <c r="DU34" i="1"/>
  <c r="AY17" i="1"/>
  <c r="B17" i="1"/>
  <c r="CK17" i="1"/>
  <c r="DI35" i="1"/>
  <c r="DK35" i="1"/>
  <c r="DO35" i="1"/>
  <c r="EE23" i="1"/>
  <c r="DX23" i="1" s="1"/>
  <c r="BJ23" i="1" s="1"/>
  <c r="EE19" i="1"/>
  <c r="DX19" i="1" s="1"/>
  <c r="BJ19" i="1" s="1"/>
  <c r="EF71" i="1"/>
  <c r="DY71" i="1" s="1"/>
  <c r="BK71" i="1" s="1"/>
  <c r="EF92" i="1"/>
  <c r="DY92" i="1" s="1"/>
  <c r="BK92" i="1" s="1"/>
  <c r="EF146" i="1"/>
  <c r="DY146" i="1" s="1"/>
  <c r="BK146" i="1" s="1"/>
  <c r="EF120" i="1"/>
  <c r="DY120" i="1" s="1"/>
  <c r="EF29" i="1"/>
  <c r="DY29" i="1" s="1"/>
  <c r="BK29" i="1" s="1"/>
  <c r="AY72" i="1"/>
  <c r="CK72" i="1"/>
  <c r="B72" i="1"/>
  <c r="EF91" i="1"/>
  <c r="DY91" i="1" s="1"/>
  <c r="BK91" i="1" s="1"/>
  <c r="EF117" i="1"/>
  <c r="DY117" i="1" s="1"/>
  <c r="BK117" i="1" s="1"/>
  <c r="EE176" i="1"/>
  <c r="DX176" i="1" s="1"/>
  <c r="BJ176" i="1" s="1"/>
  <c r="CQ179" i="1"/>
  <c r="DT179" i="1"/>
  <c r="BH179" i="1"/>
  <c r="DJ179" i="1"/>
  <c r="BX179" i="1"/>
  <c r="DH179" i="1"/>
  <c r="DN179" i="1"/>
  <c r="DV179" i="1" s="1"/>
  <c r="EE15" i="1"/>
  <c r="DX15" i="1" s="1"/>
  <c r="BJ15" i="1" s="1"/>
  <c r="BB44" i="1"/>
  <c r="DK45" i="1"/>
  <c r="DI45" i="1"/>
  <c r="DO45" i="1"/>
  <c r="DU45" i="1"/>
  <c r="EE102" i="1"/>
  <c r="DX102" i="1" s="1"/>
  <c r="BJ102" i="1" s="1"/>
  <c r="AY30" i="1"/>
  <c r="CK30" i="1"/>
  <c r="B30" i="1"/>
  <c r="EF30" i="1"/>
  <c r="DY30" i="1" s="1"/>
  <c r="BK30" i="1" s="1"/>
  <c r="EE107" i="1"/>
  <c r="DX107" i="1" s="1"/>
  <c r="BJ107" i="1" s="1"/>
  <c r="DU11" i="1"/>
  <c r="DK183" i="1"/>
  <c r="DI183" i="1"/>
  <c r="DO183" i="1"/>
  <c r="DU183" i="1"/>
  <c r="DT11" i="1"/>
  <c r="BH11" i="1"/>
  <c r="CQ11" i="1"/>
  <c r="DK189" i="1"/>
  <c r="DO189" i="1"/>
  <c r="DW189" i="1" s="1"/>
  <c r="DU189" i="1"/>
  <c r="DI189" i="1"/>
  <c r="DN18" i="1"/>
  <c r="DJ18" i="1"/>
  <c r="DH18" i="1"/>
  <c r="DP18" i="1" s="1"/>
  <c r="EE86" i="1"/>
  <c r="DX86" i="1" s="1"/>
  <c r="BJ86" i="1" s="1"/>
  <c r="CQ57" i="1"/>
  <c r="DT57" i="1"/>
  <c r="DH57" i="1"/>
  <c r="DJ57" i="1"/>
  <c r="DN57" i="1"/>
  <c r="BH57" i="1"/>
  <c r="BI57" i="1" s="1"/>
  <c r="DJ151" i="1"/>
  <c r="DS151" i="1" s="1"/>
  <c r="DH151" i="1"/>
  <c r="BH151" i="1"/>
  <c r="DN151" i="1"/>
  <c r="CQ151" i="1"/>
  <c r="DT151" i="1"/>
  <c r="EE47" i="1"/>
  <c r="DX47" i="1" s="1"/>
  <c r="BJ47" i="1" s="1"/>
  <c r="CQ20" i="1"/>
  <c r="BH20" i="1"/>
  <c r="BI20" i="1" s="1"/>
  <c r="DT20" i="1"/>
  <c r="DT156" i="1"/>
  <c r="BH156" i="1"/>
  <c r="DN156" i="1"/>
  <c r="DH156" i="1"/>
  <c r="DJ156" i="1"/>
  <c r="CQ156" i="1"/>
  <c r="EF114" i="1"/>
  <c r="DY114" i="1" s="1"/>
  <c r="BK114" i="1" s="1"/>
  <c r="CK71" i="1"/>
  <c r="B71" i="1"/>
  <c r="AY71" i="1"/>
  <c r="CK187" i="1"/>
  <c r="EF26" i="1"/>
  <c r="DY26" i="1" s="1"/>
  <c r="BK26" i="1" s="1"/>
  <c r="EF57" i="1"/>
  <c r="DY57" i="1" s="1"/>
  <c r="BK57" i="1" s="1"/>
  <c r="EF63" i="1"/>
  <c r="DY63" i="1" s="1"/>
  <c r="BK63" i="1" s="1"/>
  <c r="DJ9" i="1"/>
  <c r="DH9" i="1"/>
  <c r="DN9" i="1"/>
  <c r="DU35" i="1"/>
  <c r="EF124" i="1"/>
  <c r="DY124" i="1" s="1"/>
  <c r="BK124" i="1" s="1"/>
  <c r="BH5" i="1"/>
  <c r="DT5" i="1"/>
  <c r="CQ5" i="1"/>
  <c r="DK19" i="1"/>
  <c r="DI19" i="1"/>
  <c r="DO19" i="1"/>
  <c r="EE25" i="1"/>
  <c r="DX25" i="1" s="1"/>
  <c r="BJ25" i="1" s="1"/>
  <c r="DI33" i="1"/>
  <c r="DK33" i="1"/>
  <c r="DO33" i="1"/>
  <c r="CK155" i="1"/>
  <c r="CK152" i="1"/>
  <c r="EE147" i="1"/>
  <c r="DX147" i="1" s="1"/>
  <c r="BJ147" i="1" s="1"/>
  <c r="EF103" i="1"/>
  <c r="DY103" i="1" s="1"/>
  <c r="BK103" i="1" s="1"/>
  <c r="DJ187" i="1"/>
  <c r="DH187" i="1"/>
  <c r="CQ187" i="1"/>
  <c r="DN187" i="1"/>
  <c r="DV187" i="1" s="1"/>
  <c r="DT187" i="1"/>
  <c r="BH187" i="1"/>
  <c r="EF14" i="1"/>
  <c r="DY14" i="1" s="1"/>
  <c r="BK14" i="1" s="1"/>
  <c r="CQ10" i="1"/>
  <c r="BH10" i="1"/>
  <c r="DT10" i="1"/>
  <c r="EE153" i="1"/>
  <c r="DX153" i="1" s="1"/>
  <c r="BJ153" i="1" s="1"/>
  <c r="EE20" i="1"/>
  <c r="DX20" i="1" s="1"/>
  <c r="BJ20" i="1" s="1"/>
  <c r="AS3" i="1"/>
  <c r="CK4" i="1"/>
  <c r="AY4" i="1"/>
  <c r="B4" i="1"/>
  <c r="EF127" i="1"/>
  <c r="DY127" i="1" s="1"/>
  <c r="BK127" i="1" s="1"/>
  <c r="B25" i="1"/>
  <c r="CK25" i="1"/>
  <c r="AY25" i="1"/>
  <c r="DK172" i="1"/>
  <c r="DU172" i="1"/>
  <c r="DI172" i="1"/>
  <c r="DO172" i="1"/>
  <c r="DW172" i="1" s="1"/>
  <c r="EE77" i="1"/>
  <c r="DX77" i="1" s="1"/>
  <c r="BJ77" i="1" s="1"/>
  <c r="DT23" i="1"/>
  <c r="BH23" i="1"/>
  <c r="CQ23" i="1"/>
  <c r="BH17" i="1"/>
  <c r="CQ17" i="1"/>
  <c r="DT17" i="1"/>
  <c r="EF25" i="1"/>
  <c r="DY25" i="1" s="1"/>
  <c r="BK25" i="1" s="1"/>
  <c r="B18" i="1"/>
  <c r="AY18" i="1"/>
  <c r="CK18" i="1"/>
  <c r="DJ149" i="1"/>
  <c r="DH149" i="1"/>
  <c r="BH149" i="1"/>
  <c r="DN149" i="1"/>
  <c r="CQ149" i="1"/>
  <c r="DT149" i="1"/>
  <c r="EF5" i="1"/>
  <c r="DY5" i="1" s="1"/>
  <c r="BK5" i="1" s="1"/>
  <c r="DU38" i="1"/>
  <c r="EE63" i="1"/>
  <c r="DX63" i="1" s="1"/>
  <c r="BJ63" i="1" s="1"/>
  <c r="DK71" i="1"/>
  <c r="DU71" i="1"/>
  <c r="DI71" i="1"/>
  <c r="DO71" i="1"/>
  <c r="DO15" i="1"/>
  <c r="DK15" i="1"/>
  <c r="DI15" i="1"/>
  <c r="EF159" i="1"/>
  <c r="DY159" i="1" s="1"/>
  <c r="BK159" i="1" s="1"/>
  <c r="EE112" i="1"/>
  <c r="DX112" i="1" s="1"/>
  <c r="BJ112" i="1" s="1"/>
  <c r="DK16" i="1"/>
  <c r="DI16" i="1"/>
  <c r="DO16" i="1"/>
  <c r="DK27" i="1"/>
  <c r="DO27" i="1"/>
  <c r="DI27" i="1"/>
  <c r="EE188" i="1"/>
  <c r="DX188" i="1" s="1"/>
  <c r="BJ188" i="1" s="1"/>
  <c r="EF28" i="1"/>
  <c r="DY28" i="1" s="1"/>
  <c r="BK28" i="1" s="1"/>
  <c r="DK47" i="1"/>
  <c r="DO47" i="1"/>
  <c r="DU47" i="1"/>
  <c r="DI47" i="1"/>
  <c r="AY12" i="1"/>
  <c r="CK12" i="1"/>
  <c r="B12" i="1"/>
  <c r="DJ173" i="1"/>
  <c r="DN173" i="1"/>
  <c r="CQ173" i="1"/>
  <c r="BH173" i="1"/>
  <c r="DH173" i="1"/>
  <c r="DT173" i="1"/>
  <c r="EF105" i="1"/>
  <c r="DY105" i="1" s="1"/>
  <c r="BK105" i="1" s="1"/>
  <c r="EE174" i="1"/>
  <c r="DX174" i="1" s="1"/>
  <c r="BJ174" i="1" s="1"/>
  <c r="DH24" i="1"/>
  <c r="DJ24" i="1"/>
  <c r="DN24" i="1"/>
  <c r="EF167" i="1"/>
  <c r="DY167" i="1" s="1"/>
  <c r="BK167" i="1" s="1"/>
  <c r="EF74" i="1"/>
  <c r="DY74" i="1" s="1"/>
  <c r="BK74" i="1" s="1"/>
  <c r="AY48" i="1"/>
  <c r="CK48" i="1"/>
  <c r="B48" i="1"/>
  <c r="EF186" i="1"/>
  <c r="DY186" i="1" s="1"/>
  <c r="BK186" i="1" s="1"/>
  <c r="EE123" i="1"/>
  <c r="DX123" i="1" s="1"/>
  <c r="BJ123" i="1" s="1"/>
  <c r="EF121" i="1"/>
  <c r="DY121" i="1" s="1"/>
  <c r="BK121" i="1" s="1"/>
  <c r="DK74" i="1"/>
  <c r="DO74" i="1"/>
  <c r="DI74" i="1"/>
  <c r="DU74" i="1"/>
  <c r="EE124" i="1"/>
  <c r="DX124" i="1" s="1"/>
  <c r="DJ61" i="1"/>
  <c r="CQ61" i="1"/>
  <c r="DN61" i="1"/>
  <c r="DT61" i="1"/>
  <c r="DH61" i="1"/>
  <c r="BH61" i="1"/>
  <c r="EF157" i="1"/>
  <c r="DY157" i="1" s="1"/>
  <c r="BK157" i="1" s="1"/>
  <c r="EF155" i="1"/>
  <c r="DY155" i="1" s="1"/>
  <c r="BK155" i="1" s="1"/>
  <c r="DJ171" i="1"/>
  <c r="DH171" i="1"/>
  <c r="CQ171" i="1"/>
  <c r="DT171" i="1"/>
  <c r="BH171" i="1"/>
  <c r="DN171" i="1"/>
  <c r="DV171" i="1" s="1"/>
  <c r="EE13" i="1"/>
  <c r="DX13" i="1" s="1"/>
  <c r="BJ13" i="1" s="1"/>
  <c r="DU24" i="1"/>
  <c r="DH10" i="1"/>
  <c r="DJ10" i="1"/>
  <c r="DM10" i="1" s="1"/>
  <c r="DN10" i="1"/>
  <c r="EE87" i="1"/>
  <c r="DX87" i="1" s="1"/>
  <c r="EE157" i="1"/>
  <c r="DX157" i="1" s="1"/>
  <c r="BJ157" i="1" s="1"/>
  <c r="CK151" i="1"/>
  <c r="EE129" i="1"/>
  <c r="DX129" i="1" s="1"/>
  <c r="BJ129" i="1" s="1"/>
  <c r="DT7" i="1"/>
  <c r="CQ7" i="1"/>
  <c r="BH7" i="1"/>
  <c r="EF156" i="1"/>
  <c r="DY156" i="1" s="1"/>
  <c r="BK156" i="1" s="1"/>
  <c r="EE113" i="1"/>
  <c r="DX113" i="1" s="1"/>
  <c r="EE122" i="1"/>
  <c r="DX122" i="1" s="1"/>
  <c r="BJ122" i="1" s="1"/>
  <c r="EF95" i="1"/>
  <c r="DY95" i="1" s="1"/>
  <c r="BK95" i="1" s="1"/>
  <c r="CK175" i="1"/>
  <c r="EE109" i="1"/>
  <c r="DX109" i="1" s="1"/>
  <c r="BJ109" i="1" s="1"/>
  <c r="DI62" i="1"/>
  <c r="DU62" i="1"/>
  <c r="DO62" i="1"/>
  <c r="DJ63" i="1"/>
  <c r="DT63" i="1"/>
  <c r="DN63" i="1"/>
  <c r="DH63" i="1"/>
  <c r="BH63" i="1"/>
  <c r="BI64" i="1" s="1"/>
  <c r="CQ63" i="1"/>
  <c r="EF86" i="1"/>
  <c r="DY86" i="1" s="1"/>
  <c r="BK86" i="1" s="1"/>
  <c r="DK75" i="1"/>
  <c r="DU75" i="1"/>
  <c r="DO75" i="1"/>
  <c r="DI75" i="1"/>
  <c r="CK137" i="1"/>
  <c r="DJ174" i="1"/>
  <c r="DN174" i="1"/>
  <c r="DV174" i="1" s="1"/>
  <c r="CQ174" i="1"/>
  <c r="DH174" i="1"/>
  <c r="DT174" i="1"/>
  <c r="BH174" i="1"/>
  <c r="EE120" i="1"/>
  <c r="DX120" i="1" s="1"/>
  <c r="BJ120" i="1" s="1"/>
  <c r="EF12" i="1"/>
  <c r="DY12" i="1" s="1"/>
  <c r="BK12" i="1" s="1"/>
  <c r="DT38" i="1"/>
  <c r="CQ38" i="1"/>
  <c r="BH38" i="1"/>
  <c r="EF172" i="1"/>
  <c r="DY172" i="1" s="1"/>
  <c r="BK172" i="1" s="1"/>
  <c r="EE93" i="1"/>
  <c r="DX93" i="1" s="1"/>
  <c r="EE78" i="1"/>
  <c r="DX78" i="1" s="1"/>
  <c r="BJ78" i="1" s="1"/>
  <c r="AT84" i="1"/>
  <c r="DK159" i="1"/>
  <c r="DI159" i="1"/>
  <c r="DU159" i="1"/>
  <c r="DO159" i="1"/>
  <c r="EE152" i="1"/>
  <c r="DX152" i="1" s="1"/>
  <c r="BJ152" i="1" s="1"/>
  <c r="BQ152" i="1" s="1"/>
  <c r="CW152" i="1" s="1"/>
  <c r="AV3" i="1"/>
  <c r="CM173" i="1"/>
  <c r="EG21" i="1"/>
  <c r="DZ21" i="1" s="1"/>
  <c r="BL21" i="1" s="1"/>
  <c r="CM148" i="1"/>
  <c r="CS20" i="1"/>
  <c r="EH38" i="1"/>
  <c r="EA38" i="1" s="1"/>
  <c r="BM38" i="1" s="1"/>
  <c r="CS36" i="1"/>
  <c r="CM47" i="1"/>
  <c r="BS47" i="1"/>
  <c r="C47" i="1"/>
  <c r="CM5" i="1"/>
  <c r="C5" i="1"/>
  <c r="CS12" i="1"/>
  <c r="CM187" i="1"/>
  <c r="EG30" i="1"/>
  <c r="DZ30" i="1" s="1"/>
  <c r="BL30" i="1" s="1"/>
  <c r="EG108" i="1"/>
  <c r="DZ108" i="1" s="1"/>
  <c r="BL108" i="1" s="1"/>
  <c r="EG20" i="1"/>
  <c r="DZ20" i="1" s="1"/>
  <c r="BL20" i="1" s="1"/>
  <c r="CM15" i="1"/>
  <c r="C15" i="1"/>
  <c r="CM147" i="1"/>
  <c r="EH128" i="1"/>
  <c r="EA128" i="1" s="1"/>
  <c r="BM128" i="1" s="1"/>
  <c r="EH33" i="1"/>
  <c r="EA33" i="1" s="1"/>
  <c r="BM33" i="1" s="1"/>
  <c r="BZ178" i="1"/>
  <c r="CS178" i="1"/>
  <c r="EG14" i="1"/>
  <c r="DZ14" i="1" s="1"/>
  <c r="BL14" i="1" s="1"/>
  <c r="EG8" i="1"/>
  <c r="DZ8" i="1" s="1"/>
  <c r="BL8" i="1" s="1"/>
  <c r="EH7" i="1"/>
  <c r="EA7" i="1" s="1"/>
  <c r="BM7" i="1" s="1"/>
  <c r="BZ7" i="1" s="1"/>
  <c r="CM184" i="1"/>
  <c r="C13" i="1"/>
  <c r="CM13" i="1"/>
  <c r="CM16" i="1"/>
  <c r="C16" i="1"/>
  <c r="CO47" i="1"/>
  <c r="BU47" i="1"/>
  <c r="D47" i="1"/>
  <c r="EJ111" i="1"/>
  <c r="EC111" i="1" s="1"/>
  <c r="BO111" i="1" s="1"/>
  <c r="EJ11" i="1"/>
  <c r="EC11" i="1" s="1"/>
  <c r="BO11" i="1" s="1"/>
  <c r="EI110" i="1"/>
  <c r="EB110" i="1" s="1"/>
  <c r="BN110" i="1" s="1"/>
  <c r="D12" i="1"/>
  <c r="CO12" i="1"/>
  <c r="CU35" i="1"/>
  <c r="BZ166" i="1"/>
  <c r="CS166" i="1"/>
  <c r="BZ155" i="1"/>
  <c r="CS155" i="1"/>
  <c r="EH15" i="1"/>
  <c r="EA15" i="1" s="1"/>
  <c r="BM15" i="1" s="1"/>
  <c r="CM28" i="1"/>
  <c r="C28" i="1"/>
  <c r="BZ72" i="1"/>
  <c r="CS72" i="1"/>
  <c r="EH127" i="1"/>
  <c r="EA127" i="1" s="1"/>
  <c r="BM127" i="1" s="1"/>
  <c r="BZ177" i="1"/>
  <c r="CS177" i="1"/>
  <c r="CM32" i="1"/>
  <c r="C32" i="1"/>
  <c r="BZ75" i="1"/>
  <c r="CS75" i="1"/>
  <c r="CS18" i="1"/>
  <c r="EG19" i="1"/>
  <c r="DZ19" i="1" s="1"/>
  <c r="BL19" i="1" s="1"/>
  <c r="EG113" i="1"/>
  <c r="DZ113" i="1" s="1"/>
  <c r="BL113" i="1" s="1"/>
  <c r="EH23" i="1"/>
  <c r="EA23" i="1" s="1"/>
  <c r="BM23" i="1" s="1"/>
  <c r="CK182" i="1"/>
  <c r="DT74" i="1"/>
  <c r="DN74" i="1"/>
  <c r="DH74" i="1"/>
  <c r="DJ74" i="1"/>
  <c r="BH74" i="1"/>
  <c r="CQ74" i="1"/>
  <c r="DH71" i="1"/>
  <c r="DJ71" i="1"/>
  <c r="DT71" i="1"/>
  <c r="BH71" i="1"/>
  <c r="DN71" i="1"/>
  <c r="CQ71" i="1"/>
  <c r="B73" i="1"/>
  <c r="CK73" i="1"/>
  <c r="AY73" i="1"/>
  <c r="DK17" i="1"/>
  <c r="DI17" i="1"/>
  <c r="DO17" i="1"/>
  <c r="DW17" i="1" s="1"/>
  <c r="EE155" i="1"/>
  <c r="DX155" i="1" s="1"/>
  <c r="BJ155" i="1" s="1"/>
  <c r="CQ47" i="1"/>
  <c r="DT47" i="1"/>
  <c r="BH47" i="1"/>
  <c r="DJ47" i="1"/>
  <c r="DN47" i="1"/>
  <c r="DH47" i="1"/>
  <c r="DU144" i="1"/>
  <c r="DO144" i="1"/>
  <c r="DW144" i="1" s="1"/>
  <c r="DK144" i="1"/>
  <c r="DI144" i="1"/>
  <c r="DP144" i="1" s="1"/>
  <c r="EM3" i="1"/>
  <c r="EF4" i="1"/>
  <c r="EE97" i="1"/>
  <c r="DX97" i="1" s="1"/>
  <c r="BJ97" i="1" s="1"/>
  <c r="B37" i="1"/>
  <c r="CK37" i="1"/>
  <c r="AY37" i="1"/>
  <c r="CK139" i="1"/>
  <c r="EF166" i="1"/>
  <c r="DY166" i="1" s="1"/>
  <c r="BK166" i="1" s="1"/>
  <c r="BQ166" i="1" s="1"/>
  <c r="CW166" i="1" s="1"/>
  <c r="DU25" i="1"/>
  <c r="DO182" i="1"/>
  <c r="DW182" i="1" s="1"/>
  <c r="DU182" i="1"/>
  <c r="DK182" i="1"/>
  <c r="DI182" i="1"/>
  <c r="CK185" i="1"/>
  <c r="EE91" i="1"/>
  <c r="DX91" i="1" s="1"/>
  <c r="BJ91" i="1" s="1"/>
  <c r="DK170" i="1"/>
  <c r="DU170" i="1"/>
  <c r="DI170" i="1"/>
  <c r="DO170" i="1"/>
  <c r="DW170" i="1" s="1"/>
  <c r="EF38" i="1"/>
  <c r="DY38" i="1" s="1"/>
  <c r="BK38" i="1" s="1"/>
  <c r="DI63" i="1"/>
  <c r="DK63" i="1"/>
  <c r="DU63" i="1"/>
  <c r="DO63" i="1"/>
  <c r="DO153" i="1"/>
  <c r="DI153" i="1"/>
  <c r="DK153" i="1"/>
  <c r="DU153" i="1"/>
  <c r="DI12" i="1"/>
  <c r="DO12" i="1"/>
  <c r="DK12" i="1"/>
  <c r="DK185" i="1"/>
  <c r="DI185" i="1"/>
  <c r="DU185" i="1"/>
  <c r="DO185" i="1"/>
  <c r="DN8" i="1"/>
  <c r="DJ8" i="1"/>
  <c r="DH8" i="1"/>
  <c r="DI157" i="1"/>
  <c r="DU157" i="1"/>
  <c r="DK157" i="1"/>
  <c r="DO157" i="1"/>
  <c r="DN28" i="1"/>
  <c r="DJ28" i="1"/>
  <c r="DH28" i="1"/>
  <c r="DP28" i="1" s="1"/>
  <c r="DT172" i="1"/>
  <c r="CQ172" i="1"/>
  <c r="DH172" i="1"/>
  <c r="BH172" i="1"/>
  <c r="DJ172" i="1"/>
  <c r="DN172" i="1"/>
  <c r="DN13" i="1"/>
  <c r="DH13" i="1"/>
  <c r="DJ13" i="1"/>
  <c r="EE7" i="1"/>
  <c r="DX7" i="1" s="1"/>
  <c r="BJ7" i="1" s="1"/>
  <c r="DI184" i="1"/>
  <c r="DK184" i="1"/>
  <c r="DO184" i="1"/>
  <c r="DW184" i="1" s="1"/>
  <c r="DU184" i="1"/>
  <c r="DU9" i="1"/>
  <c r="BH170" i="1"/>
  <c r="DT170" i="1"/>
  <c r="DN170" i="1"/>
  <c r="DV170" i="1" s="1"/>
  <c r="CQ170" i="1"/>
  <c r="DJ170" i="1"/>
  <c r="DH170" i="1"/>
  <c r="CK166" i="1"/>
  <c r="EF18" i="1"/>
  <c r="DY18" i="1" s="1"/>
  <c r="BK18" i="1" s="1"/>
  <c r="DI30" i="1"/>
  <c r="DK30" i="1"/>
  <c r="DO30" i="1"/>
  <c r="BA3" i="1"/>
  <c r="BH4" i="1"/>
  <c r="CQ4" i="1"/>
  <c r="DT4" i="1"/>
  <c r="EE90" i="1"/>
  <c r="DX90" i="1" s="1"/>
  <c r="BJ90" i="1" s="1"/>
  <c r="DI32" i="1"/>
  <c r="DO32" i="1"/>
  <c r="DK32" i="1"/>
  <c r="EE151" i="1"/>
  <c r="DX151" i="1" s="1"/>
  <c r="BJ151" i="1" s="1"/>
  <c r="BQ151" i="1" s="1"/>
  <c r="DO22" i="1"/>
  <c r="DK22" i="1"/>
  <c r="DI22" i="1"/>
  <c r="EF150" i="1"/>
  <c r="DY150" i="1" s="1"/>
  <c r="BK150" i="1" s="1"/>
  <c r="DN33" i="1"/>
  <c r="DV33" i="1" s="1"/>
  <c r="DJ33" i="1"/>
  <c r="DH33" i="1"/>
  <c r="CK154" i="1"/>
  <c r="CD136" i="1"/>
  <c r="B75" i="1"/>
  <c r="CK75" i="1"/>
  <c r="AY75" i="1"/>
  <c r="CK147" i="1"/>
  <c r="CK62" i="1"/>
  <c r="AY62" i="1"/>
  <c r="B62" i="1"/>
  <c r="EE31" i="1"/>
  <c r="DX31" i="1" s="1"/>
  <c r="BJ31" i="1" s="1"/>
  <c r="DT14" i="1"/>
  <c r="BH14" i="1"/>
  <c r="CQ14" i="1"/>
  <c r="EF96" i="1"/>
  <c r="DY96" i="1" s="1"/>
  <c r="BK96" i="1" s="1"/>
  <c r="EE22" i="1"/>
  <c r="DX22" i="1" s="1"/>
  <c r="BJ22" i="1" s="1"/>
  <c r="CK172" i="1"/>
  <c r="EE128" i="1"/>
  <c r="DX128" i="1" s="1"/>
  <c r="BJ128" i="1" s="1"/>
  <c r="EF163" i="1"/>
  <c r="DY163" i="1" s="1"/>
  <c r="EK163" i="1" s="1"/>
  <c r="DK188" i="1"/>
  <c r="DU188" i="1"/>
  <c r="DO188" i="1"/>
  <c r="DI188" i="1"/>
  <c r="DJ178" i="1"/>
  <c r="CQ178" i="1"/>
  <c r="BH178" i="1"/>
  <c r="DH178" i="1"/>
  <c r="BX178" i="1"/>
  <c r="DT178" i="1"/>
  <c r="DN178" i="1"/>
  <c r="DV178" i="1" s="1"/>
  <c r="EF173" i="1"/>
  <c r="DY173" i="1" s="1"/>
  <c r="BK173" i="1" s="1"/>
  <c r="EF76" i="1"/>
  <c r="DY76" i="1" s="1"/>
  <c r="BK76" i="1" s="1"/>
  <c r="DJ143" i="1"/>
  <c r="CQ143" i="1"/>
  <c r="DN143" i="1"/>
  <c r="DH143" i="1"/>
  <c r="BH143" i="1"/>
  <c r="DT143" i="1"/>
  <c r="BX143" i="1"/>
  <c r="EF161" i="1"/>
  <c r="DY161" i="1" s="1"/>
  <c r="BK161" i="1" s="1"/>
  <c r="B16" i="1"/>
  <c r="AY16" i="1"/>
  <c r="CK16" i="1"/>
  <c r="DJ184" i="1"/>
  <c r="CQ184" i="1"/>
  <c r="DH184" i="1"/>
  <c r="DP184" i="1" s="1"/>
  <c r="DN184" i="1"/>
  <c r="DV184" i="1" s="1"/>
  <c r="BH184" i="1"/>
  <c r="DT184" i="1"/>
  <c r="BX184" i="1"/>
  <c r="EF64" i="1"/>
  <c r="DY64" i="1" s="1"/>
  <c r="BK64" i="1" s="1"/>
  <c r="DC3" i="1"/>
  <c r="EF13" i="1"/>
  <c r="DY13" i="1" s="1"/>
  <c r="BK13" i="1" s="1"/>
  <c r="EE149" i="1"/>
  <c r="DX149" i="1" s="1"/>
  <c r="BJ149" i="1" s="1"/>
  <c r="DN16" i="1"/>
  <c r="DH16" i="1"/>
  <c r="DJ16" i="1"/>
  <c r="DK48" i="1"/>
  <c r="DU48" i="1"/>
  <c r="DO48" i="1"/>
  <c r="DW48" i="1" s="1"/>
  <c r="DI48" i="1"/>
  <c r="EE104" i="1"/>
  <c r="DX104" i="1" s="1"/>
  <c r="BJ104" i="1" s="1"/>
  <c r="B27" i="1"/>
  <c r="AY27" i="1"/>
  <c r="CK27" i="1"/>
  <c r="EE34" i="1"/>
  <c r="DX34" i="1" s="1"/>
  <c r="BJ34" i="1" s="1"/>
  <c r="EE30" i="1"/>
  <c r="DX30" i="1" s="1"/>
  <c r="BJ30" i="1" s="1"/>
  <c r="EE98" i="1"/>
  <c r="DX98" i="1" s="1"/>
  <c r="BJ98" i="1" s="1"/>
  <c r="DK178" i="1"/>
  <c r="DU178" i="1"/>
  <c r="DI178" i="1"/>
  <c r="DO178" i="1"/>
  <c r="DW178" i="1" s="1"/>
  <c r="EF128" i="1"/>
  <c r="DY128" i="1" s="1"/>
  <c r="BK128" i="1" s="1"/>
  <c r="DT9" i="1"/>
  <c r="BH9" i="1"/>
  <c r="CQ9" i="1"/>
  <c r="EE96" i="1"/>
  <c r="DX96" i="1" s="1"/>
  <c r="BJ96" i="1" s="1"/>
  <c r="AY29" i="1"/>
  <c r="B29" i="1"/>
  <c r="CK29" i="1"/>
  <c r="CK171" i="1"/>
  <c r="DK145" i="1"/>
  <c r="DS145" i="1" s="1"/>
  <c r="DU145" i="1"/>
  <c r="DO145" i="1"/>
  <c r="DW145" i="1" s="1"/>
  <c r="DI145" i="1"/>
  <c r="DJ159" i="1"/>
  <c r="DH159" i="1"/>
  <c r="DN159" i="1"/>
  <c r="DT159" i="1"/>
  <c r="BH159" i="1"/>
  <c r="CQ159" i="1"/>
  <c r="DJ29" i="1"/>
  <c r="DH29" i="1"/>
  <c r="DN29" i="1"/>
  <c r="DV29" i="1" s="1"/>
  <c r="DJ4" i="1"/>
  <c r="DA3" i="1"/>
  <c r="DH4" i="1"/>
  <c r="DN4" i="1"/>
  <c r="EF27" i="1"/>
  <c r="DY27" i="1" s="1"/>
  <c r="BK27" i="1" s="1"/>
  <c r="EF111" i="1"/>
  <c r="DY111" i="1" s="1"/>
  <c r="B35" i="1"/>
  <c r="AY35" i="1"/>
  <c r="CK35" i="1"/>
  <c r="EF62" i="1"/>
  <c r="DY62" i="1" s="1"/>
  <c r="BK62" i="1" s="1"/>
  <c r="EF72" i="1"/>
  <c r="DY72" i="1" s="1"/>
  <c r="BK72" i="1" s="1"/>
  <c r="DK171" i="1"/>
  <c r="DI171" i="1"/>
  <c r="DU171" i="1"/>
  <c r="DO171" i="1"/>
  <c r="DJ45" i="1"/>
  <c r="DM45" i="1" s="1"/>
  <c r="BA44" i="1"/>
  <c r="DT45" i="1"/>
  <c r="DN45" i="1"/>
  <c r="DH45" i="1"/>
  <c r="CQ45" i="1"/>
  <c r="BH45" i="1"/>
  <c r="EF154" i="1"/>
  <c r="DY154" i="1" s="1"/>
  <c r="BK154" i="1" s="1"/>
  <c r="DK70" i="1"/>
  <c r="DU70" i="1"/>
  <c r="DO70" i="1"/>
  <c r="DI70" i="1"/>
  <c r="DU33" i="1"/>
  <c r="DK143" i="1"/>
  <c r="DI143" i="1"/>
  <c r="DO143" i="1"/>
  <c r="DW143" i="1" s="1"/>
  <c r="DU143" i="1"/>
  <c r="AY10" i="1"/>
  <c r="B10" i="1"/>
  <c r="CK10" i="1"/>
  <c r="DI14" i="1"/>
  <c r="DK14" i="1"/>
  <c r="DO14" i="1"/>
  <c r="DN22" i="1"/>
  <c r="DH22" i="1"/>
  <c r="DJ22" i="1"/>
  <c r="DO11" i="1"/>
  <c r="DW11" i="1" s="1"/>
  <c r="DK11" i="1"/>
  <c r="DI11" i="1"/>
  <c r="DK173" i="1"/>
  <c r="DO173" i="1"/>
  <c r="DU173" i="1"/>
  <c r="DI173" i="1"/>
  <c r="EF59" i="1"/>
  <c r="DY59" i="1" s="1"/>
  <c r="BK59" i="1" s="1"/>
  <c r="CK143" i="1"/>
  <c r="EE171" i="1"/>
  <c r="DX171" i="1" s="1"/>
  <c r="BJ171" i="1" s="1"/>
  <c r="EE111" i="1"/>
  <c r="DX111" i="1" s="1"/>
  <c r="BJ111" i="1" s="1"/>
  <c r="DU31" i="1"/>
  <c r="EF126" i="1"/>
  <c r="DY126" i="1" s="1"/>
  <c r="BK126" i="1" s="1"/>
  <c r="DD3" i="1"/>
  <c r="CK159" i="1"/>
  <c r="CD44" i="1"/>
  <c r="EE116" i="1"/>
  <c r="DX116" i="1" s="1"/>
  <c r="BJ116" i="1" s="1"/>
  <c r="EE26" i="1"/>
  <c r="DX26" i="1" s="1"/>
  <c r="BJ26" i="1" s="1"/>
  <c r="DT139" i="1"/>
  <c r="DN139" i="1"/>
  <c r="DH139" i="1"/>
  <c r="BX139" i="1"/>
  <c r="CQ139" i="1"/>
  <c r="BH139" i="1"/>
  <c r="EF8" i="1"/>
  <c r="DY8" i="1" s="1"/>
  <c r="BK8" i="1" s="1"/>
  <c r="DN17" i="1"/>
  <c r="DH17" i="1"/>
  <c r="DP17" i="1" s="1"/>
  <c r="DJ17" i="1"/>
  <c r="EF47" i="1"/>
  <c r="AT3" i="1"/>
  <c r="EF106" i="1"/>
  <c r="DY106" i="1" s="1"/>
  <c r="BK106" i="1" s="1"/>
  <c r="CK179" i="1"/>
  <c r="CK178" i="1"/>
  <c r="EL84" i="1"/>
  <c r="EE85" i="1"/>
  <c r="DX85" i="1" s="1"/>
  <c r="BJ85" i="1" s="1"/>
  <c r="EF77" i="1"/>
  <c r="DY77" i="1" s="1"/>
  <c r="BK77" i="1" s="1"/>
  <c r="EF70" i="1"/>
  <c r="DY70" i="1" s="1"/>
  <c r="BK70" i="1" s="1"/>
  <c r="EF160" i="1"/>
  <c r="DY160" i="1" s="1"/>
  <c r="BK160" i="1" s="1"/>
  <c r="BX160" i="1" s="1"/>
  <c r="EL3" i="1"/>
  <c r="EE4" i="1"/>
  <c r="DX4" i="1" s="1"/>
  <c r="BJ4" i="1" s="1"/>
  <c r="EF33" i="1"/>
  <c r="DY33" i="1" s="1"/>
  <c r="BK33" i="1" s="1"/>
  <c r="AY33" i="1"/>
  <c r="CK33" i="1"/>
  <c r="B33" i="1"/>
  <c r="DK175" i="1"/>
  <c r="DU175" i="1"/>
  <c r="DI175" i="1"/>
  <c r="DO175" i="1"/>
  <c r="EH18" i="1"/>
  <c r="EA18" i="1" s="1"/>
  <c r="BM18" i="1" s="1"/>
  <c r="CF44" i="1"/>
  <c r="BZ70" i="1"/>
  <c r="CA70" i="1" s="1"/>
  <c r="CS70" i="1"/>
  <c r="CS73" i="1"/>
  <c r="BZ73" i="1"/>
  <c r="C7" i="1"/>
  <c r="CM7" i="1"/>
  <c r="EG10" i="1"/>
  <c r="DZ10" i="1" s="1"/>
  <c r="BL10" i="1" s="1"/>
  <c r="BZ150" i="1"/>
  <c r="CS150" i="1"/>
  <c r="CS21" i="1"/>
  <c r="EG13" i="1"/>
  <c r="DZ13" i="1" s="1"/>
  <c r="BL13" i="1" s="1"/>
  <c r="EG127" i="1"/>
  <c r="DZ127" i="1" s="1"/>
  <c r="BL127" i="1" s="1"/>
  <c r="CG3" i="1"/>
  <c r="C10" i="1"/>
  <c r="CM10" i="1"/>
  <c r="EG11" i="1"/>
  <c r="DZ11" i="1" s="1"/>
  <c r="BL11" i="1" s="1"/>
  <c r="EG24" i="1"/>
  <c r="DZ24" i="1" s="1"/>
  <c r="BL24" i="1" s="1"/>
  <c r="EH86" i="1"/>
  <c r="EA86" i="1" s="1"/>
  <c r="BM86" i="1" s="1"/>
  <c r="CS8" i="1"/>
  <c r="EH115" i="1"/>
  <c r="EA115" i="1" s="1"/>
  <c r="BM115" i="1" s="1"/>
  <c r="AV44" i="1"/>
  <c r="CM158" i="1"/>
  <c r="CS153" i="1"/>
  <c r="BZ153" i="1"/>
  <c r="CS34" i="1"/>
  <c r="CS142" i="1"/>
  <c r="BZ142" i="1"/>
  <c r="BZ47" i="1"/>
  <c r="CS47" i="1"/>
  <c r="C139" i="1"/>
  <c r="E139" i="1" s="1"/>
  <c r="AY139" i="1"/>
  <c r="BS139" i="1"/>
  <c r="EJ107" i="1"/>
  <c r="EC107" i="1" s="1"/>
  <c r="BO107" i="1" s="1"/>
  <c r="CU140" i="1"/>
  <c r="CB140" i="1"/>
  <c r="EI108" i="1"/>
  <c r="EB108" i="1" s="1"/>
  <c r="BN108" i="1" s="1"/>
  <c r="EJ85" i="1"/>
  <c r="EC85" i="1" s="1"/>
  <c r="BO85" i="1" s="1"/>
  <c r="EQ84" i="1"/>
  <c r="EI37" i="1"/>
  <c r="EB37" i="1" s="1"/>
  <c r="BN37" i="1" s="1"/>
  <c r="CU183" i="1"/>
  <c r="CB183" i="1"/>
  <c r="D8" i="1"/>
  <c r="CO8" i="1"/>
  <c r="CM160" i="1"/>
  <c r="CM59" i="1"/>
  <c r="C59" i="1"/>
  <c r="BS59" i="1"/>
  <c r="EG37" i="1"/>
  <c r="DZ37" i="1" s="1"/>
  <c r="BL37" i="1" s="1"/>
  <c r="C14" i="1"/>
  <c r="CM14" i="1"/>
  <c r="CS29" i="1"/>
  <c r="BZ181" i="1"/>
  <c r="CS181" i="1"/>
  <c r="CM179" i="1"/>
  <c r="BZ161" i="1"/>
  <c r="CS161" i="1"/>
  <c r="EH26" i="1"/>
  <c r="EA26" i="1" s="1"/>
  <c r="BM26" i="1" s="1"/>
  <c r="CM24" i="1"/>
  <c r="C24" i="1"/>
  <c r="EG100" i="1"/>
  <c r="DZ100" i="1" s="1"/>
  <c r="BL100" i="1" s="1"/>
  <c r="C77" i="1"/>
  <c r="CM77" i="1"/>
  <c r="BS77" i="1"/>
  <c r="C26" i="1"/>
  <c r="CM26" i="1"/>
  <c r="CS46" i="1"/>
  <c r="BZ46" i="1"/>
  <c r="DH38" i="1"/>
  <c r="DN38" i="1"/>
  <c r="DJ38" i="1"/>
  <c r="DU8" i="1"/>
  <c r="DH6" i="1"/>
  <c r="DJ6" i="1"/>
  <c r="DN6" i="1"/>
  <c r="EF149" i="1"/>
  <c r="DY149" i="1" s="1"/>
  <c r="BK149" i="1" s="1"/>
  <c r="EE156" i="1"/>
  <c r="DX156" i="1" s="1"/>
  <c r="BJ156" i="1" s="1"/>
  <c r="EE189" i="1"/>
  <c r="DX189" i="1" s="1"/>
  <c r="BJ189" i="1" s="1"/>
  <c r="CQ79" i="1"/>
  <c r="DT79" i="1"/>
  <c r="BH79" i="1"/>
  <c r="DJ79" i="1"/>
  <c r="DN79" i="1"/>
  <c r="DH79" i="1"/>
  <c r="B24" i="1"/>
  <c r="AY24" i="1"/>
  <c r="CK24" i="1"/>
  <c r="EF37" i="1"/>
  <c r="DY37" i="1" s="1"/>
  <c r="BK37" i="1" s="1"/>
  <c r="DU27" i="1"/>
  <c r="DO72" i="1"/>
  <c r="DK72" i="1"/>
  <c r="DU72" i="1"/>
  <c r="DI72" i="1"/>
  <c r="AY13" i="1"/>
  <c r="B13" i="1"/>
  <c r="CK13" i="1"/>
  <c r="DO147" i="1"/>
  <c r="DU147" i="1"/>
  <c r="DK147" i="1"/>
  <c r="DI147" i="1"/>
  <c r="EE75" i="1"/>
  <c r="DX75" i="1" s="1"/>
  <c r="BJ75" i="1" s="1"/>
  <c r="EF15" i="1"/>
  <c r="DY15" i="1" s="1"/>
  <c r="BK15" i="1" s="1"/>
  <c r="BH21" i="1"/>
  <c r="DT21" i="1"/>
  <c r="CQ21" i="1"/>
  <c r="CK19" i="1"/>
  <c r="B19" i="1"/>
  <c r="AY19" i="1"/>
  <c r="DK8" i="1"/>
  <c r="DI8" i="1"/>
  <c r="DO8" i="1"/>
  <c r="EE103" i="1"/>
  <c r="DX103" i="1" s="1"/>
  <c r="EL44" i="1"/>
  <c r="EE45" i="1"/>
  <c r="DX45" i="1" s="1"/>
  <c r="BJ45" i="1" s="1"/>
  <c r="BQ45" i="1" s="1"/>
  <c r="DI162" i="1"/>
  <c r="CQ162" i="1"/>
  <c r="BH162" i="1"/>
  <c r="DO162" i="1"/>
  <c r="DK162" i="1"/>
  <c r="DS162" i="1" s="1"/>
  <c r="DU162" i="1"/>
  <c r="EF115" i="1"/>
  <c r="DY115" i="1" s="1"/>
  <c r="BK115" i="1" s="1"/>
  <c r="EF22" i="1"/>
  <c r="DY22" i="1" s="1"/>
  <c r="BK22" i="1" s="1"/>
  <c r="CK146" i="1"/>
  <c r="EF10" i="1"/>
  <c r="DY10" i="1" s="1"/>
  <c r="BK10" i="1" s="1"/>
  <c r="CK189" i="1"/>
  <c r="CK38" i="1"/>
  <c r="AY38" i="1"/>
  <c r="B38" i="1"/>
  <c r="DI140" i="1"/>
  <c r="DO140" i="1"/>
  <c r="DW140" i="1" s="1"/>
  <c r="DK140" i="1"/>
  <c r="DU140" i="1"/>
  <c r="DO57" i="1"/>
  <c r="DK57" i="1"/>
  <c r="DI57" i="1"/>
  <c r="DU57" i="1"/>
  <c r="CK21" i="1"/>
  <c r="B21" i="1"/>
  <c r="AY21" i="1"/>
  <c r="EE29" i="1"/>
  <c r="DX29" i="1" s="1"/>
  <c r="BJ29" i="1" s="1"/>
  <c r="CK145" i="1"/>
  <c r="BH30" i="1"/>
  <c r="CQ30" i="1"/>
  <c r="DT30" i="1"/>
  <c r="EE70" i="1"/>
  <c r="DX70" i="1" s="1"/>
  <c r="BJ70" i="1" s="1"/>
  <c r="AY85" i="1"/>
  <c r="AY84" i="1" s="1"/>
  <c r="AS84" i="1"/>
  <c r="CK85" i="1"/>
  <c r="B85" i="1"/>
  <c r="E85" i="1" s="1"/>
  <c r="EE169" i="1"/>
  <c r="DX169" i="1" s="1"/>
  <c r="BJ169" i="1" s="1"/>
  <c r="DU36" i="1"/>
  <c r="EF109" i="1"/>
  <c r="DY109" i="1" s="1"/>
  <c r="BK109" i="1" s="1"/>
  <c r="EE88" i="1"/>
  <c r="DX88" i="1" s="1"/>
  <c r="BJ88" i="1" s="1"/>
  <c r="EF32" i="1"/>
  <c r="DY32" i="1" s="1"/>
  <c r="BK32" i="1" s="1"/>
  <c r="EF119" i="1"/>
  <c r="DY119" i="1" s="1"/>
  <c r="BK119" i="1" s="1"/>
  <c r="EE6" i="1"/>
  <c r="CK181" i="1"/>
  <c r="DU16" i="1"/>
  <c r="DK174" i="1"/>
  <c r="DO174" i="1"/>
  <c r="DI174" i="1"/>
  <c r="DU174" i="1"/>
  <c r="B45" i="1"/>
  <c r="AS44" i="1"/>
  <c r="AY45" i="1"/>
  <c r="CK45" i="1"/>
  <c r="DN12" i="1"/>
  <c r="DH12" i="1"/>
  <c r="DJ12" i="1"/>
  <c r="CK144" i="1"/>
  <c r="DJ36" i="1"/>
  <c r="DN36" i="1"/>
  <c r="DH36" i="1"/>
  <c r="CD3" i="1"/>
  <c r="EE95" i="1"/>
  <c r="DX95" i="1" s="1"/>
  <c r="BJ95" i="1" s="1"/>
  <c r="EF162" i="1"/>
  <c r="DY162" i="1" s="1"/>
  <c r="BK162" i="1" s="1"/>
  <c r="EE187" i="1"/>
  <c r="DX187" i="1" s="1"/>
  <c r="BJ187" i="1" s="1"/>
  <c r="EF125" i="1"/>
  <c r="DY125" i="1" s="1"/>
  <c r="BK125" i="1" s="1"/>
  <c r="B46" i="1"/>
  <c r="CK46" i="1"/>
  <c r="AY46" i="1"/>
  <c r="EF21" i="1"/>
  <c r="DY21" i="1" s="1"/>
  <c r="BK21" i="1" s="1"/>
  <c r="DK149" i="1"/>
  <c r="DO149" i="1"/>
  <c r="DU149" i="1"/>
  <c r="DI149" i="1"/>
  <c r="EF79" i="1"/>
  <c r="DY79" i="1" s="1"/>
  <c r="BK79" i="1" s="1"/>
  <c r="EE64" i="1"/>
  <c r="DX64" i="1" s="1"/>
  <c r="BJ64" i="1" s="1"/>
  <c r="DJ175" i="1"/>
  <c r="DN175" i="1"/>
  <c r="DT175" i="1"/>
  <c r="BH175" i="1"/>
  <c r="CQ175" i="1"/>
  <c r="DH175" i="1"/>
  <c r="DP175" i="1" s="1"/>
  <c r="CK148" i="1"/>
  <c r="EF130" i="1"/>
  <c r="DY130" i="1" s="1"/>
  <c r="BK130" i="1" s="1"/>
  <c r="DJ160" i="1"/>
  <c r="DN160" i="1"/>
  <c r="DV160" i="1" s="1"/>
  <c r="DH160" i="1"/>
  <c r="DL160" i="1" s="1"/>
  <c r="BH160" i="1"/>
  <c r="DT160" i="1"/>
  <c r="CQ160" i="1"/>
  <c r="BH164" i="1"/>
  <c r="BI164" i="1" s="1"/>
  <c r="DK164" i="1"/>
  <c r="DI164" i="1"/>
  <c r="DL164" i="1" s="1"/>
  <c r="CQ164" i="1"/>
  <c r="DU164" i="1"/>
  <c r="DO164" i="1"/>
  <c r="BH165" i="1"/>
  <c r="DK165" i="1"/>
  <c r="DS165" i="1" s="1"/>
  <c r="DI165" i="1"/>
  <c r="CQ165" i="1"/>
  <c r="DU165" i="1"/>
  <c r="DO165" i="1"/>
  <c r="EF90" i="1"/>
  <c r="DY90" i="1" s="1"/>
  <c r="BK90" i="1" s="1"/>
  <c r="EF187" i="1"/>
  <c r="DY187" i="1" s="1"/>
  <c r="BK187" i="1" s="1"/>
  <c r="DU12" i="1"/>
  <c r="DI34" i="1"/>
  <c r="DK34" i="1"/>
  <c r="DO34" i="1"/>
  <c r="DJ154" i="1"/>
  <c r="DT154" i="1"/>
  <c r="BH154" i="1"/>
  <c r="DN154" i="1"/>
  <c r="CQ154" i="1"/>
  <c r="DH154" i="1"/>
  <c r="DP154" i="1" s="1"/>
  <c r="DJ147" i="1"/>
  <c r="DM147" i="1" s="1"/>
  <c r="DH147" i="1"/>
  <c r="DN147" i="1"/>
  <c r="BH147" i="1"/>
  <c r="CQ147" i="1"/>
  <c r="DT147" i="1"/>
  <c r="EF116" i="1"/>
  <c r="DY116" i="1" s="1"/>
  <c r="BK116" i="1" s="1"/>
  <c r="EF6" i="1"/>
  <c r="DY6" i="1" s="1"/>
  <c r="BK6" i="1" s="1"/>
  <c r="EE92" i="1"/>
  <c r="DX92" i="1" s="1"/>
  <c r="EK92" i="1" s="1"/>
  <c r="EE9" i="1"/>
  <c r="DX9" i="1" s="1"/>
  <c r="BJ9" i="1" s="1"/>
  <c r="EE106" i="1"/>
  <c r="DX106" i="1" s="1"/>
  <c r="BJ106" i="1" s="1"/>
  <c r="EE59" i="1"/>
  <c r="DX59" i="1" s="1"/>
  <c r="BJ59" i="1" s="1"/>
  <c r="EE114" i="1"/>
  <c r="DX114" i="1" s="1"/>
  <c r="BJ114" i="1" s="1"/>
  <c r="DJ176" i="1"/>
  <c r="DN176" i="1"/>
  <c r="DV176" i="1" s="1"/>
  <c r="BH176" i="1"/>
  <c r="DH176" i="1"/>
  <c r="CQ176" i="1"/>
  <c r="DT176" i="1"/>
  <c r="CK177" i="1"/>
  <c r="DK177" i="1"/>
  <c r="DO177" i="1"/>
  <c r="DI177" i="1"/>
  <c r="DU177" i="1"/>
  <c r="DJ189" i="1"/>
  <c r="DT189" i="1"/>
  <c r="DH189" i="1"/>
  <c r="BH189" i="1"/>
  <c r="BI189" i="1" s="1"/>
  <c r="CQ189" i="1"/>
  <c r="DN189" i="1"/>
  <c r="DV189" i="1" s="1"/>
  <c r="EE172" i="1"/>
  <c r="DX172" i="1" s="1"/>
  <c r="BJ172" i="1" s="1"/>
  <c r="EF174" i="1"/>
  <c r="DY174" i="1" s="1"/>
  <c r="BK174" i="1" s="1"/>
  <c r="EF98" i="1"/>
  <c r="DY98" i="1" s="1"/>
  <c r="BK98" i="1" s="1"/>
  <c r="DI9" i="1"/>
  <c r="DO9" i="1"/>
  <c r="DW9" i="1" s="1"/>
  <c r="DK9" i="1"/>
  <c r="DU18" i="1"/>
  <c r="EF108" i="1"/>
  <c r="DY108" i="1" s="1"/>
  <c r="EF89" i="1"/>
  <c r="DY89" i="1" s="1"/>
  <c r="BK89" i="1" s="1"/>
  <c r="DK150" i="1"/>
  <c r="DU150" i="1"/>
  <c r="DO150" i="1"/>
  <c r="DI150" i="1"/>
  <c r="EF188" i="1"/>
  <c r="DY188" i="1" s="1"/>
  <c r="BK188" i="1" s="1"/>
  <c r="CK183" i="1"/>
  <c r="DK79" i="1"/>
  <c r="DU79" i="1"/>
  <c r="DO79" i="1"/>
  <c r="DI79" i="1"/>
  <c r="DK78" i="1"/>
  <c r="DU78" i="1"/>
  <c r="DO78" i="1"/>
  <c r="DI78" i="1"/>
  <c r="DJ152" i="1"/>
  <c r="DH152" i="1"/>
  <c r="BH152" i="1"/>
  <c r="CQ152" i="1"/>
  <c r="DT152" i="1"/>
  <c r="DN152" i="1"/>
  <c r="EF112" i="1"/>
  <c r="DY112" i="1" s="1"/>
  <c r="BK112" i="1" s="1"/>
  <c r="CK170" i="1"/>
  <c r="EE118" i="1"/>
  <c r="DX118" i="1" s="1"/>
  <c r="DI4" i="1"/>
  <c r="BB3" i="1"/>
  <c r="DO4" i="1"/>
  <c r="DU4" i="1"/>
  <c r="EF101" i="1"/>
  <c r="DY101" i="1" s="1"/>
  <c r="BK101" i="1" s="1"/>
  <c r="DJ60" i="1"/>
  <c r="DN60" i="1"/>
  <c r="DH60" i="1"/>
  <c r="BH60" i="1"/>
  <c r="CQ60" i="1"/>
  <c r="DT60" i="1"/>
  <c r="DJ78" i="1"/>
  <c r="DT78" i="1"/>
  <c r="BH78" i="1"/>
  <c r="DH78" i="1"/>
  <c r="CQ78" i="1"/>
  <c r="DN78" i="1"/>
  <c r="DN31" i="1"/>
  <c r="DV31" i="1" s="1"/>
  <c r="DH31" i="1"/>
  <c r="DJ31" i="1"/>
  <c r="DJ46" i="1"/>
  <c r="DH46" i="1"/>
  <c r="BH46" i="1"/>
  <c r="DN46" i="1"/>
  <c r="CQ46" i="1"/>
  <c r="DT46" i="1"/>
  <c r="DN32" i="1"/>
  <c r="DJ32" i="1"/>
  <c r="DH32" i="1"/>
  <c r="B28" i="1"/>
  <c r="AY28" i="1"/>
  <c r="CK28" i="1"/>
  <c r="EE119" i="1"/>
  <c r="DX119" i="1" s="1"/>
  <c r="BJ119" i="1" s="1"/>
  <c r="EE108" i="1"/>
  <c r="DX108" i="1" s="1"/>
  <c r="BJ108" i="1" s="1"/>
  <c r="CS169" i="1"/>
  <c r="BZ169" i="1"/>
  <c r="CA169" i="1" s="1"/>
  <c r="EO84" i="1"/>
  <c r="EH85" i="1"/>
  <c r="EA85" i="1" s="1"/>
  <c r="BM85" i="1" s="1"/>
  <c r="EH125" i="1"/>
  <c r="EA125" i="1" s="1"/>
  <c r="BM125" i="1" s="1"/>
  <c r="CS152" i="1"/>
  <c r="BZ152" i="1"/>
  <c r="EG90" i="1"/>
  <c r="DZ90" i="1" s="1"/>
  <c r="BL90" i="1" s="1"/>
  <c r="EH110" i="1"/>
  <c r="EA110" i="1" s="1"/>
  <c r="BM110" i="1" s="1"/>
  <c r="EG130" i="1"/>
  <c r="DZ130" i="1" s="1"/>
  <c r="BL130" i="1" s="1"/>
  <c r="C17" i="1"/>
  <c r="CM17" i="1"/>
  <c r="CS17" i="1"/>
  <c r="CM19" i="1"/>
  <c r="C19" i="1"/>
  <c r="C137" i="1"/>
  <c r="E137" i="1" s="1"/>
  <c r="AY137" i="1"/>
  <c r="CM137" i="1"/>
  <c r="AU136" i="1"/>
  <c r="BS137" i="1"/>
  <c r="CW137" i="1" s="1"/>
  <c r="CM34" i="1"/>
  <c r="C34" i="1"/>
  <c r="BZ160" i="1"/>
  <c r="CS160" i="1"/>
  <c r="CM156" i="1"/>
  <c r="EG17" i="1"/>
  <c r="DZ17" i="1" s="1"/>
  <c r="BL17" i="1" s="1"/>
  <c r="BS57" i="1"/>
  <c r="BT57" i="1" s="1"/>
  <c r="C57" i="1"/>
  <c r="CM57" i="1"/>
  <c r="EH8" i="1"/>
  <c r="EA8" i="1" s="1"/>
  <c r="BM8" i="1" s="1"/>
  <c r="EG97" i="1"/>
  <c r="DZ97" i="1" s="1"/>
  <c r="BL97" i="1" s="1"/>
  <c r="EH101" i="1"/>
  <c r="EA101" i="1" s="1"/>
  <c r="BM101" i="1" s="1"/>
  <c r="EG95" i="1"/>
  <c r="DZ95" i="1" s="1"/>
  <c r="BL95" i="1" s="1"/>
  <c r="EH27" i="1"/>
  <c r="EA27" i="1" s="1"/>
  <c r="BM27" i="1" s="1"/>
  <c r="EH93" i="1"/>
  <c r="EA93" i="1" s="1"/>
  <c r="BM93" i="1" s="1"/>
  <c r="EH24" i="1"/>
  <c r="EA24" i="1" s="1"/>
  <c r="BM24" i="1" s="1"/>
  <c r="EH22" i="1"/>
  <c r="EA22" i="1" s="1"/>
  <c r="BM22" i="1" s="1"/>
  <c r="EH87" i="1"/>
  <c r="EA87" i="1" s="1"/>
  <c r="BM87" i="1" s="1"/>
  <c r="EG29" i="1"/>
  <c r="DZ29" i="1" s="1"/>
  <c r="BL29" i="1" s="1"/>
  <c r="CM183" i="1"/>
  <c r="CM141" i="1"/>
  <c r="CO18" i="1"/>
  <c r="D18" i="1"/>
  <c r="CB159" i="1"/>
  <c r="CU159" i="1"/>
  <c r="CO144" i="1"/>
  <c r="EI107" i="1"/>
  <c r="EB107" i="1" s="1"/>
  <c r="BN107" i="1" s="1"/>
  <c r="BS48" i="1"/>
  <c r="BT49" i="1" s="1"/>
  <c r="C48" i="1"/>
  <c r="CM48" i="1"/>
  <c r="EG27" i="1"/>
  <c r="DZ27" i="1" s="1"/>
  <c r="BL27" i="1" s="1"/>
  <c r="CS164" i="1"/>
  <c r="BZ164" i="1"/>
  <c r="CA164" i="1" s="1"/>
  <c r="EH90" i="1"/>
  <c r="EA90" i="1" s="1"/>
  <c r="BM90" i="1" s="1"/>
  <c r="CS185" i="1"/>
  <c r="BZ185" i="1"/>
  <c r="EH123" i="1"/>
  <c r="EA123" i="1" s="1"/>
  <c r="BM123" i="1" s="1"/>
  <c r="BZ171" i="1"/>
  <c r="CS171" i="1"/>
  <c r="EH20" i="1"/>
  <c r="EA20" i="1" s="1"/>
  <c r="BM20" i="1" s="1"/>
  <c r="CM27" i="1"/>
  <c r="C27" i="1"/>
  <c r="EH92" i="1"/>
  <c r="EA92" i="1" s="1"/>
  <c r="BM92" i="1" s="1"/>
  <c r="BZ140" i="1"/>
  <c r="CS140" i="1"/>
  <c r="EG98" i="1"/>
  <c r="DZ98" i="1" s="1"/>
  <c r="BL98" i="1" s="1"/>
  <c r="CS182" i="1"/>
  <c r="BZ182" i="1"/>
  <c r="CS154" i="1"/>
  <c r="BZ154" i="1"/>
  <c r="EG115" i="1"/>
  <c r="DZ115" i="1" s="1"/>
  <c r="BL115" i="1" s="1"/>
  <c r="CM149" i="1"/>
  <c r="EN84" i="1"/>
  <c r="EG85" i="1"/>
  <c r="DZ85" i="1" s="1"/>
  <c r="BL85" i="1" s="1"/>
  <c r="EH116" i="1"/>
  <c r="EA116" i="1" s="1"/>
  <c r="BM116" i="1" s="1"/>
  <c r="CM60" i="1"/>
  <c r="C60" i="1"/>
  <c r="BS60" i="1"/>
  <c r="EH11" i="1"/>
  <c r="EA11" i="1" s="1"/>
  <c r="BM11" i="1" s="1"/>
  <c r="EG111" i="1"/>
  <c r="DZ111" i="1" s="1"/>
  <c r="BL111" i="1" s="1"/>
  <c r="CU13" i="1"/>
  <c r="EI122" i="1"/>
  <c r="EB122" i="1" s="1"/>
  <c r="BN122" i="1" s="1"/>
  <c r="D26" i="1"/>
  <c r="CO26" i="1"/>
  <c r="EJ98" i="1"/>
  <c r="EC98" i="1" s="1"/>
  <c r="BO98" i="1" s="1"/>
  <c r="EH117" i="1"/>
  <c r="EA117" i="1" s="1"/>
  <c r="BM117" i="1" s="1"/>
  <c r="CS71" i="1"/>
  <c r="BZ71" i="1"/>
  <c r="CA71" i="1" s="1"/>
  <c r="EH105" i="1"/>
  <c r="EA105" i="1" s="1"/>
  <c r="BM105" i="1" s="1"/>
  <c r="EG129" i="1"/>
  <c r="DZ129" i="1" s="1"/>
  <c r="BL129" i="1" s="1"/>
  <c r="CM170" i="1"/>
  <c r="C21" i="1"/>
  <c r="CM21" i="1"/>
  <c r="CM167" i="1"/>
  <c r="CM166" i="1"/>
  <c r="EG15" i="1"/>
  <c r="DZ15" i="1" s="1"/>
  <c r="BL15" i="1" s="1"/>
  <c r="BZ183" i="1"/>
  <c r="CS183" i="1"/>
  <c r="CF3" i="1"/>
  <c r="BS75" i="1"/>
  <c r="CM75" i="1"/>
  <c r="C75" i="1"/>
  <c r="BZ78" i="1"/>
  <c r="CS78" i="1"/>
  <c r="CM36" i="1"/>
  <c r="C36" i="1"/>
  <c r="CM172" i="1"/>
  <c r="EH126" i="1"/>
  <c r="EA126" i="1" s="1"/>
  <c r="BM126" i="1" s="1"/>
  <c r="EG122" i="1"/>
  <c r="DZ122" i="1" s="1"/>
  <c r="BL122" i="1" s="1"/>
  <c r="EG94" i="1"/>
  <c r="DZ94" i="1" s="1"/>
  <c r="BL94" i="1" s="1"/>
  <c r="EG34" i="1"/>
  <c r="DZ34" i="1" s="1"/>
  <c r="BL34" i="1" s="1"/>
  <c r="CM157" i="1"/>
  <c r="BZ165" i="1"/>
  <c r="CS165" i="1"/>
  <c r="EJ14" i="1"/>
  <c r="EC14" i="1" s="1"/>
  <c r="BO14" i="1" s="1"/>
  <c r="CO59" i="1"/>
  <c r="BU59" i="1"/>
  <c r="D59" i="1"/>
  <c r="CO24" i="1"/>
  <c r="D24" i="1"/>
  <c r="BS74" i="1"/>
  <c r="CM74" i="1"/>
  <c r="C74" i="1"/>
  <c r="BZ189" i="1"/>
  <c r="CS189" i="1"/>
  <c r="CS157" i="1"/>
  <c r="BZ157" i="1"/>
  <c r="CS146" i="1"/>
  <c r="BZ146" i="1"/>
  <c r="EG12" i="1"/>
  <c r="DZ12" i="1" s="1"/>
  <c r="BL12" i="1" s="1"/>
  <c r="CS38" i="1"/>
  <c r="EH10" i="1"/>
  <c r="EA10" i="1" s="1"/>
  <c r="BM10" i="1" s="1"/>
  <c r="EG128" i="1"/>
  <c r="DZ128" i="1" s="1"/>
  <c r="BL128" i="1" s="1"/>
  <c r="EH5" i="1"/>
  <c r="EA5" i="1" s="1"/>
  <c r="BM5" i="1" s="1"/>
  <c r="EH118" i="1"/>
  <c r="EA118" i="1" s="1"/>
  <c r="BM118" i="1" s="1"/>
  <c r="EH19" i="1"/>
  <c r="EA19" i="1" s="1"/>
  <c r="BM19" i="1" s="1"/>
  <c r="BS19" i="1" s="1"/>
  <c r="EG101" i="1"/>
  <c r="DZ101" i="1" s="1"/>
  <c r="BL101" i="1" s="1"/>
  <c r="CM146" i="1"/>
  <c r="BZ143" i="1"/>
  <c r="CS143" i="1"/>
  <c r="EH89" i="1"/>
  <c r="EA89" i="1" s="1"/>
  <c r="BM89" i="1" s="1"/>
  <c r="EH29" i="1"/>
  <c r="EA29" i="1" s="1"/>
  <c r="BM29" i="1" s="1"/>
  <c r="CS176" i="1"/>
  <c r="BZ176" i="1"/>
  <c r="CS19" i="1"/>
  <c r="CM152" i="1"/>
  <c r="EH95" i="1"/>
  <c r="EA95" i="1" s="1"/>
  <c r="BM95" i="1" s="1"/>
  <c r="EI113" i="1"/>
  <c r="EB113" i="1" s="1"/>
  <c r="BN113" i="1" s="1"/>
  <c r="CU76" i="1"/>
  <c r="CB76" i="1"/>
  <c r="CB48" i="1"/>
  <c r="CC49" i="1" s="1"/>
  <c r="CU48" i="1"/>
  <c r="EJ105" i="1"/>
  <c r="EC105" i="1" s="1"/>
  <c r="BO105" i="1" s="1"/>
  <c r="D20" i="1"/>
  <c r="CO20" i="1"/>
  <c r="EI28" i="1"/>
  <c r="EB28" i="1" s="1"/>
  <c r="BN28" i="1" s="1"/>
  <c r="EJ119" i="1"/>
  <c r="EC119" i="1" s="1"/>
  <c r="BO119" i="1" s="1"/>
  <c r="EJ10" i="1"/>
  <c r="EC10" i="1" s="1"/>
  <c r="BO10" i="1" s="1"/>
  <c r="CU21" i="1"/>
  <c r="EI14" i="1"/>
  <c r="EB14" i="1" s="1"/>
  <c r="BN14" i="1" s="1"/>
  <c r="EI127" i="1"/>
  <c r="EB127" i="1" s="1"/>
  <c r="BN127" i="1" s="1"/>
  <c r="EI115" i="1"/>
  <c r="EB115" i="1" s="1"/>
  <c r="BN115" i="1" s="1"/>
  <c r="EI86" i="1"/>
  <c r="EB86" i="1" s="1"/>
  <c r="BN86" i="1" s="1"/>
  <c r="EI119" i="1"/>
  <c r="EB119" i="1" s="1"/>
  <c r="BN119" i="1" s="1"/>
  <c r="CB61" i="1"/>
  <c r="CU61" i="1"/>
  <c r="EJ38" i="1"/>
  <c r="EC38" i="1" s="1"/>
  <c r="BO38" i="1" s="1"/>
  <c r="CB180" i="1"/>
  <c r="CU180" i="1"/>
  <c r="BU76" i="1"/>
  <c r="D76" i="1"/>
  <c r="CO76" i="1"/>
  <c r="EI118" i="1"/>
  <c r="EB118" i="1" s="1"/>
  <c r="BN118" i="1" s="1"/>
  <c r="D35" i="1"/>
  <c r="CO35" i="1"/>
  <c r="CU12" i="1"/>
  <c r="CO175" i="1"/>
  <c r="EI17" i="1"/>
  <c r="EB17" i="1" s="1"/>
  <c r="BN17" i="1" s="1"/>
  <c r="CO189" i="1"/>
  <c r="CI136" i="1"/>
  <c r="D25" i="1"/>
  <c r="CO25" i="1"/>
  <c r="CU139" i="1"/>
  <c r="CB139" i="1"/>
  <c r="CU147" i="1"/>
  <c r="CB147" i="1"/>
  <c r="EI103" i="1"/>
  <c r="EB103" i="1" s="1"/>
  <c r="BN103" i="1" s="1"/>
  <c r="EJ94" i="1"/>
  <c r="EC94" i="1" s="1"/>
  <c r="BO94" i="1" s="1"/>
  <c r="CO156" i="1"/>
  <c r="EJ102" i="1"/>
  <c r="EC102" i="1" s="1"/>
  <c r="BO102" i="1" s="1"/>
  <c r="EJ86" i="1"/>
  <c r="CO186" i="1"/>
  <c r="CB63" i="1"/>
  <c r="CC64" i="1" s="1"/>
  <c r="CU63" i="1"/>
  <c r="CB72" i="1"/>
  <c r="CU72" i="1"/>
  <c r="EJ28" i="1"/>
  <c r="EC28" i="1" s="1"/>
  <c r="BO28" i="1" s="1"/>
  <c r="CU177" i="1"/>
  <c r="CB177" i="1"/>
  <c r="CC177" i="1" s="1"/>
  <c r="EJ100" i="1"/>
  <c r="EC100" i="1" s="1"/>
  <c r="BO100" i="1" s="1"/>
  <c r="CB75" i="1"/>
  <c r="CU75" i="1"/>
  <c r="BE3" i="1"/>
  <c r="CU4" i="1"/>
  <c r="EJ21" i="1"/>
  <c r="EC21" i="1" s="1"/>
  <c r="BO21" i="1" s="1"/>
  <c r="AX44" i="1"/>
  <c r="CU57" i="1"/>
  <c r="CB57" i="1"/>
  <c r="CC57" i="1" s="1"/>
  <c r="EI31" i="1"/>
  <c r="EB31" i="1" s="1"/>
  <c r="BN31" i="1" s="1"/>
  <c r="CO34" i="1"/>
  <c r="D34" i="1"/>
  <c r="BF3" i="1"/>
  <c r="BF44" i="1"/>
  <c r="EJ104" i="1"/>
  <c r="EC104" i="1" s="1"/>
  <c r="BO104" i="1" s="1"/>
  <c r="CO184" i="1"/>
  <c r="CU77" i="1"/>
  <c r="CB77" i="1"/>
  <c r="EI6" i="1"/>
  <c r="EB6" i="1" s="1"/>
  <c r="BN6" i="1" s="1"/>
  <c r="EJ24" i="1"/>
  <c r="EC24" i="1" s="1"/>
  <c r="BO24" i="1" s="1"/>
  <c r="EJ110" i="1"/>
  <c r="EC110" i="1" s="1"/>
  <c r="BO110" i="1" s="1"/>
  <c r="CU185" i="1"/>
  <c r="CB185" i="1"/>
  <c r="EJ117" i="1"/>
  <c r="EC117" i="1" s="1"/>
  <c r="BO117" i="1" s="1"/>
  <c r="CB47" i="1"/>
  <c r="CU47" i="1"/>
  <c r="EI7" i="1"/>
  <c r="EB7" i="1" s="1"/>
  <c r="BN7" i="1" s="1"/>
  <c r="EJ20" i="1"/>
  <c r="EC20" i="1" s="1"/>
  <c r="BO20" i="1" s="1"/>
  <c r="CO139" i="1"/>
  <c r="CU15" i="1"/>
  <c r="EI8" i="1"/>
  <c r="EB8" i="1" s="1"/>
  <c r="BN8" i="1" s="1"/>
  <c r="CU141" i="1"/>
  <c r="CB141" i="1"/>
  <c r="EJ101" i="1"/>
  <c r="EC101" i="1" s="1"/>
  <c r="BO101" i="1" s="1"/>
  <c r="CO150" i="1"/>
  <c r="CB79" i="1"/>
  <c r="CU79" i="1"/>
  <c r="BE44" i="1"/>
  <c r="CU45" i="1"/>
  <c r="CB45" i="1"/>
  <c r="CU26" i="1"/>
  <c r="EJ109" i="1"/>
  <c r="EC109" i="1" s="1"/>
  <c r="BO109" i="1" s="1"/>
  <c r="EI111" i="1"/>
  <c r="EB111" i="1" s="1"/>
  <c r="BN111" i="1" s="1"/>
  <c r="EJ97" i="1"/>
  <c r="EC97" i="1" s="1"/>
  <c r="BO97" i="1" s="1"/>
  <c r="CO183" i="1"/>
  <c r="EI36" i="1"/>
  <c r="EB36" i="1" s="1"/>
  <c r="BN36" i="1" s="1"/>
  <c r="EJ8" i="1"/>
  <c r="EC8" i="1" s="1"/>
  <c r="BO8" i="1" s="1"/>
  <c r="CU25" i="1"/>
  <c r="D38" i="1"/>
  <c r="CO38" i="1"/>
  <c r="EI88" i="1"/>
  <c r="EB88" i="1" s="1"/>
  <c r="BN88" i="1" s="1"/>
  <c r="CO174" i="1"/>
  <c r="CO173" i="1"/>
  <c r="CU34" i="1"/>
  <c r="CO15" i="1"/>
  <c r="D15" i="1"/>
  <c r="EI123" i="1"/>
  <c r="EB123" i="1" s="1"/>
  <c r="BN123" i="1" s="1"/>
  <c r="EH119" i="1"/>
  <c r="EA119" i="1" s="1"/>
  <c r="BM119" i="1" s="1"/>
  <c r="BZ145" i="1"/>
  <c r="CS145" i="1"/>
  <c r="EG114" i="1"/>
  <c r="DZ114" i="1" s="1"/>
  <c r="BL114" i="1" s="1"/>
  <c r="CM181" i="1"/>
  <c r="EH31" i="1"/>
  <c r="EA31" i="1" s="1"/>
  <c r="BM31" i="1" s="1"/>
  <c r="BZ188" i="1"/>
  <c r="CS188" i="1"/>
  <c r="C72" i="1"/>
  <c r="CM72" i="1"/>
  <c r="BS72" i="1"/>
  <c r="CS156" i="1"/>
  <c r="BZ156" i="1"/>
  <c r="CA156" i="1" s="1"/>
  <c r="EG6" i="1"/>
  <c r="DZ6" i="1" s="1"/>
  <c r="BL6" i="1" s="1"/>
  <c r="CU33" i="1"/>
  <c r="EJ5" i="1"/>
  <c r="EC5" i="1" s="1"/>
  <c r="BO5" i="1" s="1"/>
  <c r="BD136" i="1"/>
  <c r="EH28" i="1"/>
  <c r="EA28" i="1" s="1"/>
  <c r="BM28" i="1" s="1"/>
  <c r="EH14" i="1"/>
  <c r="EA14" i="1" s="1"/>
  <c r="BM14" i="1" s="1"/>
  <c r="EH4" i="1"/>
  <c r="EA4" i="1" s="1"/>
  <c r="BM4" i="1" s="1"/>
  <c r="EO3" i="1"/>
  <c r="EH35" i="1"/>
  <c r="EA35" i="1" s="1"/>
  <c r="BM35" i="1" s="1"/>
  <c r="C58" i="1"/>
  <c r="BS58" i="1"/>
  <c r="EG32" i="1"/>
  <c r="DZ32" i="1" s="1"/>
  <c r="BL32" i="1" s="1"/>
  <c r="CM171" i="1"/>
  <c r="EG119" i="1"/>
  <c r="DZ119" i="1" s="1"/>
  <c r="BL119" i="1" s="1"/>
  <c r="CS141" i="1"/>
  <c r="BZ141" i="1"/>
  <c r="EG124" i="1"/>
  <c r="DZ124" i="1" s="1"/>
  <c r="BL124" i="1" s="1"/>
  <c r="EG86" i="1"/>
  <c r="CS158" i="1"/>
  <c r="BZ158" i="1"/>
  <c r="CA159" i="1" s="1"/>
  <c r="BZ137" i="1"/>
  <c r="BC136" i="1"/>
  <c r="CS137" i="1"/>
  <c r="CM144" i="1"/>
  <c r="EG103" i="1"/>
  <c r="DZ103" i="1" s="1"/>
  <c r="BL103" i="1" s="1"/>
  <c r="EH9" i="1"/>
  <c r="EA9" i="1" s="1"/>
  <c r="BM9" i="1" s="1"/>
  <c r="BZ58" i="1"/>
  <c r="CS58" i="1"/>
  <c r="EH100" i="1"/>
  <c r="EA100" i="1" s="1"/>
  <c r="BM100" i="1" s="1"/>
  <c r="EH108" i="1"/>
  <c r="EA108" i="1" s="1"/>
  <c r="BM108" i="1" s="1"/>
  <c r="BS61" i="1"/>
  <c r="C61" i="1"/>
  <c r="CM61" i="1"/>
  <c r="EG33" i="1"/>
  <c r="DZ33" i="1" s="1"/>
  <c r="BL33" i="1" s="1"/>
  <c r="EG96" i="1"/>
  <c r="DZ96" i="1" s="1"/>
  <c r="BL96" i="1" s="1"/>
  <c r="EH37" i="1"/>
  <c r="EA37" i="1" s="1"/>
  <c r="BM37" i="1" s="1"/>
  <c r="EH16" i="1"/>
  <c r="EA16" i="1" s="1"/>
  <c r="BM16" i="1" s="1"/>
  <c r="EG112" i="1"/>
  <c r="DZ112" i="1" s="1"/>
  <c r="BL112" i="1" s="1"/>
  <c r="EJ130" i="1"/>
  <c r="EC130" i="1" s="1"/>
  <c r="BO130" i="1" s="1"/>
  <c r="CB73" i="1"/>
  <c r="CU73" i="1"/>
  <c r="CU36" i="1"/>
  <c r="EI9" i="1"/>
  <c r="EB9" i="1" s="1"/>
  <c r="BN9" i="1" s="1"/>
  <c r="EH36" i="1"/>
  <c r="EA36" i="1" s="1"/>
  <c r="BM36" i="1" s="1"/>
  <c r="CS11" i="1"/>
  <c r="BZ139" i="1"/>
  <c r="CS139" i="1"/>
  <c r="CS6" i="1"/>
  <c r="BZ138" i="1"/>
  <c r="CS138" i="1"/>
  <c r="CM58" i="1"/>
  <c r="EH21" i="1"/>
  <c r="EA21" i="1" s="1"/>
  <c r="BM21" i="1" s="1"/>
  <c r="EG87" i="1"/>
  <c r="DZ87" i="1" s="1"/>
  <c r="BL87" i="1" s="1"/>
  <c r="EG91" i="1"/>
  <c r="DZ91" i="1" s="1"/>
  <c r="BL91" i="1" s="1"/>
  <c r="EH124" i="1"/>
  <c r="EA124" i="1" s="1"/>
  <c r="BM124" i="1" s="1"/>
  <c r="CM23" i="1"/>
  <c r="C23" i="1"/>
  <c r="EH13" i="1"/>
  <c r="EA13" i="1" s="1"/>
  <c r="BM13" i="1" s="1"/>
  <c r="BZ76" i="1"/>
  <c r="CS76" i="1"/>
  <c r="EH112" i="1"/>
  <c r="EA112" i="1" s="1"/>
  <c r="BM112" i="1" s="1"/>
  <c r="CM186" i="1"/>
  <c r="CM153" i="1"/>
  <c r="EH129" i="1"/>
  <c r="EA129" i="1" s="1"/>
  <c r="BM129" i="1" s="1"/>
  <c r="BZ149" i="1"/>
  <c r="CS149" i="1"/>
  <c r="CS59" i="1"/>
  <c r="BZ59" i="1"/>
  <c r="EG116" i="1"/>
  <c r="DZ116" i="1" s="1"/>
  <c r="BL116" i="1" s="1"/>
  <c r="CM175" i="1"/>
  <c r="CS30" i="1"/>
  <c r="CS28" i="1"/>
  <c r="D74" i="1"/>
  <c r="CO74" i="1"/>
  <c r="BU74" i="1"/>
  <c r="EJ13" i="1"/>
  <c r="EC13" i="1" s="1"/>
  <c r="BO13" i="1" s="1"/>
  <c r="CO57" i="1"/>
  <c r="D57" i="1"/>
  <c r="BU57" i="1"/>
  <c r="EI21" i="1"/>
  <c r="EB21" i="1" s="1"/>
  <c r="BN21" i="1" s="1"/>
  <c r="CO7" i="1"/>
  <c r="D7" i="1"/>
  <c r="EI94" i="1"/>
  <c r="EB94" i="1" s="1"/>
  <c r="BN94" i="1" s="1"/>
  <c r="BU94" i="1" s="1"/>
  <c r="CO75" i="1"/>
  <c r="D75" i="1"/>
  <c r="BU75" i="1"/>
  <c r="EJ124" i="1"/>
  <c r="EC124" i="1" s="1"/>
  <c r="BO124" i="1" s="1"/>
  <c r="D37" i="1"/>
  <c r="CO37" i="1"/>
  <c r="EI121" i="1"/>
  <c r="EB121" i="1" s="1"/>
  <c r="BN121" i="1" s="1"/>
  <c r="CU70" i="1"/>
  <c r="CB70" i="1"/>
  <c r="CC70" i="1" s="1"/>
  <c r="CO17" i="1"/>
  <c r="D17" i="1"/>
  <c r="CO188" i="1"/>
  <c r="EJ7" i="1"/>
  <c r="EC7" i="1" s="1"/>
  <c r="BO7" i="1" s="1"/>
  <c r="EI102" i="1"/>
  <c r="EB102" i="1" s="1"/>
  <c r="BN102" i="1" s="1"/>
  <c r="D19" i="1"/>
  <c r="CO19" i="1"/>
  <c r="EI30" i="1"/>
  <c r="EB30" i="1" s="1"/>
  <c r="BN30" i="1" s="1"/>
  <c r="CH44" i="1"/>
  <c r="EJ26" i="1"/>
  <c r="EC26" i="1" s="1"/>
  <c r="BO26" i="1" s="1"/>
  <c r="D9" i="1"/>
  <c r="CO9" i="1"/>
  <c r="EJ118" i="1"/>
  <c r="EC118" i="1" s="1"/>
  <c r="BO118" i="1" s="1"/>
  <c r="CO46" i="1"/>
  <c r="BU46" i="1"/>
  <c r="D46" i="1"/>
  <c r="EI126" i="1"/>
  <c r="EB126" i="1" s="1"/>
  <c r="BN126" i="1" s="1"/>
  <c r="EI89" i="1"/>
  <c r="EB89" i="1" s="1"/>
  <c r="BN89" i="1" s="1"/>
  <c r="EI98" i="1"/>
  <c r="EB98" i="1" s="1"/>
  <c r="BN98" i="1" s="1"/>
  <c r="CU188" i="1"/>
  <c r="CB188" i="1"/>
  <c r="CC189" i="1" s="1"/>
  <c r="CU11" i="1"/>
  <c r="CO143" i="1"/>
  <c r="CO172" i="1"/>
  <c r="CO158" i="1"/>
  <c r="BU77" i="1"/>
  <c r="D77" i="1"/>
  <c r="E77" i="1" s="1"/>
  <c r="CO77" i="1"/>
  <c r="CO60" i="1"/>
  <c r="D60" i="1"/>
  <c r="BU60" i="1"/>
  <c r="CI44" i="1"/>
  <c r="EJ114" i="1"/>
  <c r="EC114" i="1" s="1"/>
  <c r="BO114" i="1" s="1"/>
  <c r="CO73" i="1"/>
  <c r="BU73" i="1"/>
  <c r="D73" i="1"/>
  <c r="CB179" i="1"/>
  <c r="CU179" i="1"/>
  <c r="EJ88" i="1"/>
  <c r="EC88" i="1" s="1"/>
  <c r="BO88" i="1" s="1"/>
  <c r="EJ87" i="1"/>
  <c r="EC87" i="1" s="1"/>
  <c r="BO87" i="1" s="1"/>
  <c r="CO142" i="1"/>
  <c r="EJ15" i="1"/>
  <c r="EC15" i="1" s="1"/>
  <c r="BO15" i="1" s="1"/>
  <c r="EI25" i="1"/>
  <c r="EB25" i="1" s="1"/>
  <c r="BN25" i="1" s="1"/>
  <c r="CB178" i="1"/>
  <c r="CU178" i="1"/>
  <c r="EI125" i="1"/>
  <c r="EB125" i="1" s="1"/>
  <c r="BN125" i="1" s="1"/>
  <c r="CU37" i="1"/>
  <c r="EJ6" i="1"/>
  <c r="EC6" i="1" s="1"/>
  <c r="BO6" i="1" s="1"/>
  <c r="EJ23" i="1"/>
  <c r="EC23" i="1" s="1"/>
  <c r="BO23" i="1" s="1"/>
  <c r="EI129" i="1"/>
  <c r="EB129" i="1" s="1"/>
  <c r="BN129" i="1" s="1"/>
  <c r="EI120" i="1"/>
  <c r="EB120" i="1" s="1"/>
  <c r="BN120" i="1" s="1"/>
  <c r="EI4" i="1"/>
  <c r="EB4" i="1" s="1"/>
  <c r="BN4" i="1" s="1"/>
  <c r="EP3" i="1"/>
  <c r="CU31" i="1"/>
  <c r="CU155" i="1"/>
  <c r="CB155" i="1"/>
  <c r="CO182" i="1"/>
  <c r="CO31" i="1"/>
  <c r="D31" i="1"/>
  <c r="CU153" i="1"/>
  <c r="CB153" i="1"/>
  <c r="CC153" i="1" s="1"/>
  <c r="BU58" i="1"/>
  <c r="D58" i="1"/>
  <c r="CO58" i="1"/>
  <c r="EJ91" i="1"/>
  <c r="EC91" i="1" s="1"/>
  <c r="BO91" i="1" s="1"/>
  <c r="EI105" i="1"/>
  <c r="EB105" i="1" s="1"/>
  <c r="BN105" i="1" s="1"/>
  <c r="EI27" i="1"/>
  <c r="EB27" i="1" s="1"/>
  <c r="BN27" i="1" s="1"/>
  <c r="CO147" i="1"/>
  <c r="EJ34" i="1"/>
  <c r="EC34" i="1" s="1"/>
  <c r="BO34" i="1" s="1"/>
  <c r="CO178" i="1"/>
  <c r="EI5" i="1"/>
  <c r="EB5" i="1" s="1"/>
  <c r="BN5" i="1" s="1"/>
  <c r="BU5" i="1" s="1"/>
  <c r="EI19" i="1"/>
  <c r="EB19" i="1" s="1"/>
  <c r="BN19" i="1" s="1"/>
  <c r="CU137" i="1"/>
  <c r="BF136" i="1"/>
  <c r="CB137" i="1"/>
  <c r="CO171" i="1"/>
  <c r="CO32" i="1"/>
  <c r="D32" i="1"/>
  <c r="AX3" i="1"/>
  <c r="EI11" i="1"/>
  <c r="EB11" i="1" s="1"/>
  <c r="BN11" i="1" s="1"/>
  <c r="EI109" i="1"/>
  <c r="EB109" i="1" s="1"/>
  <c r="BN109" i="1" s="1"/>
  <c r="EJ106" i="1"/>
  <c r="EC106" i="1" s="1"/>
  <c r="BO106" i="1" s="1"/>
  <c r="EI128" i="1"/>
  <c r="EB128" i="1" s="1"/>
  <c r="BN128" i="1" s="1"/>
  <c r="EI97" i="1"/>
  <c r="EB97" i="1" s="1"/>
  <c r="BN97" i="1" s="1"/>
  <c r="CO23" i="1"/>
  <c r="D23" i="1"/>
  <c r="EJ29" i="1"/>
  <c r="EC29" i="1" s="1"/>
  <c r="BO29" i="1" s="1"/>
  <c r="CO140" i="1"/>
  <c r="EI91" i="1"/>
  <c r="EB91" i="1" s="1"/>
  <c r="BN91" i="1" s="1"/>
  <c r="BE136" i="1"/>
  <c r="CU138" i="1"/>
  <c r="CB138" i="1"/>
  <c r="CH3" i="1"/>
  <c r="CO187" i="1"/>
  <c r="CO167" i="1"/>
  <c r="CO159" i="1"/>
  <c r="EI33" i="1"/>
  <c r="EB33" i="1" s="1"/>
  <c r="BN33" i="1" s="1"/>
  <c r="CO180" i="1"/>
  <c r="CO70" i="1"/>
  <c r="BU70" i="1"/>
  <c r="D70" i="1"/>
  <c r="EJ37" i="1"/>
  <c r="EC37" i="1" s="1"/>
  <c r="BO37" i="1" s="1"/>
  <c r="CU7" i="1"/>
  <c r="EH30" i="1"/>
  <c r="EA30" i="1" s="1"/>
  <c r="BM30" i="1" s="1"/>
  <c r="CS144" i="1"/>
  <c r="BZ144" i="1"/>
  <c r="EG92" i="1"/>
  <c r="DZ92" i="1" s="1"/>
  <c r="BL92" i="1" s="1"/>
  <c r="EG104" i="1"/>
  <c r="DZ104" i="1" s="1"/>
  <c r="BL104" i="1" s="1"/>
  <c r="EG36" i="1"/>
  <c r="DZ36" i="1" s="1"/>
  <c r="BL36" i="1" s="1"/>
  <c r="AV136" i="1"/>
  <c r="EG117" i="1"/>
  <c r="DZ117" i="1" s="1"/>
  <c r="BL117" i="1" s="1"/>
  <c r="CU29" i="1"/>
  <c r="EG106" i="1"/>
  <c r="DZ106" i="1" s="1"/>
  <c r="BL106" i="1" s="1"/>
  <c r="CM71" i="1"/>
  <c r="BS71" i="1"/>
  <c r="BT71" i="1" s="1"/>
  <c r="C71" i="1"/>
  <c r="C8" i="1"/>
  <c r="CM8" i="1"/>
  <c r="EH102" i="1"/>
  <c r="EA102" i="1" s="1"/>
  <c r="BM102" i="1" s="1"/>
  <c r="CS174" i="1"/>
  <c r="BZ174" i="1"/>
  <c r="CS27" i="1"/>
  <c r="EH106" i="1"/>
  <c r="EA106" i="1" s="1"/>
  <c r="BM106" i="1" s="1"/>
  <c r="EH120" i="1"/>
  <c r="EA120" i="1" s="1"/>
  <c r="BM120" i="1" s="1"/>
  <c r="EG26" i="1"/>
  <c r="DZ26" i="1" s="1"/>
  <c r="BL26" i="1" s="1"/>
  <c r="CS10" i="1"/>
  <c r="EH32" i="1"/>
  <c r="EA32" i="1" s="1"/>
  <c r="BM32" i="1" s="1"/>
  <c r="C11" i="1"/>
  <c r="CM11" i="1"/>
  <c r="EG121" i="1"/>
  <c r="DZ121" i="1" s="1"/>
  <c r="BL121" i="1" s="1"/>
  <c r="EH88" i="1"/>
  <c r="EA88" i="1" s="1"/>
  <c r="BM88" i="1" s="1"/>
  <c r="CM169" i="1"/>
  <c r="BZ63" i="1"/>
  <c r="CA64" i="1" s="1"/>
  <c r="CS63" i="1"/>
  <c r="CM31" i="1"/>
  <c r="C31" i="1"/>
  <c r="CM151" i="1"/>
  <c r="EH94" i="1"/>
  <c r="EA94" i="1" s="1"/>
  <c r="BM94" i="1" s="1"/>
  <c r="CS25" i="1"/>
  <c r="CM159" i="1"/>
  <c r="CS5" i="1"/>
  <c r="CS77" i="1"/>
  <c r="BZ77" i="1"/>
  <c r="CA77" i="1" s="1"/>
  <c r="CS57" i="1"/>
  <c r="BZ57" i="1"/>
  <c r="CA57" i="1" s="1"/>
  <c r="D78" i="1"/>
  <c r="CO78" i="1"/>
  <c r="BU78" i="1"/>
  <c r="CO146" i="1"/>
  <c r="EI26" i="1"/>
  <c r="EB26" i="1" s="1"/>
  <c r="BN26" i="1" s="1"/>
  <c r="EJ125" i="1"/>
  <c r="EC125" i="1" s="1"/>
  <c r="BO125" i="1" s="1"/>
  <c r="EH34" i="1"/>
  <c r="EA34" i="1" s="1"/>
  <c r="BM34" i="1" s="1"/>
  <c r="EG118" i="1"/>
  <c r="DZ118" i="1" s="1"/>
  <c r="BL118" i="1" s="1"/>
  <c r="AU3" i="1"/>
  <c r="C4" i="1"/>
  <c r="CM4" i="1"/>
  <c r="CM18" i="1"/>
  <c r="C18" i="1"/>
  <c r="EH121" i="1"/>
  <c r="EA121" i="1" s="1"/>
  <c r="BM121" i="1" s="1"/>
  <c r="EH96" i="1"/>
  <c r="EA96" i="1" s="1"/>
  <c r="BM96" i="1" s="1"/>
  <c r="CM38" i="1"/>
  <c r="C38" i="1"/>
  <c r="CM35" i="1"/>
  <c r="C35" i="1"/>
  <c r="C37" i="1"/>
  <c r="CM37" i="1"/>
  <c r="EG22" i="1"/>
  <c r="DZ22" i="1" s="1"/>
  <c r="BL22" i="1" s="1"/>
  <c r="EG120" i="1"/>
  <c r="DZ120" i="1" s="1"/>
  <c r="BL120" i="1" s="1"/>
  <c r="CM155" i="1"/>
  <c r="CS45" i="1"/>
  <c r="BC44" i="1"/>
  <c r="BZ45" i="1"/>
  <c r="EG123" i="1"/>
  <c r="DZ123" i="1" s="1"/>
  <c r="BL123" i="1" s="1"/>
  <c r="CM180" i="1"/>
  <c r="CG44" i="1"/>
  <c r="CS37" i="1"/>
  <c r="EG110" i="1"/>
  <c r="DZ110" i="1" s="1"/>
  <c r="BL110" i="1" s="1"/>
  <c r="CG136" i="1"/>
  <c r="BD3" i="1"/>
  <c r="C12" i="1"/>
  <c r="CM12" i="1"/>
  <c r="EH107" i="1"/>
  <c r="EA107" i="1" s="1"/>
  <c r="BM107" i="1" s="1"/>
  <c r="EG109" i="1"/>
  <c r="DZ109" i="1" s="1"/>
  <c r="BL109" i="1" s="1"/>
  <c r="EG18" i="1"/>
  <c r="DZ18" i="1" s="1"/>
  <c r="BL18" i="1" s="1"/>
  <c r="CS33" i="1"/>
  <c r="EH103" i="1"/>
  <c r="EA103" i="1" s="1"/>
  <c r="BM103" i="1" s="1"/>
  <c r="BS78" i="1"/>
  <c r="C78" i="1"/>
  <c r="CM78" i="1"/>
  <c r="EI104" i="1"/>
  <c r="EB104" i="1" s="1"/>
  <c r="BN104" i="1" s="1"/>
  <c r="CO152" i="1"/>
  <c r="CU182" i="1"/>
  <c r="CB182" i="1"/>
  <c r="EJ122" i="1"/>
  <c r="EC122" i="1" s="1"/>
  <c r="BO122" i="1" s="1"/>
  <c r="EI13" i="1"/>
  <c r="EB13" i="1" s="1"/>
  <c r="BN13" i="1" s="1"/>
  <c r="EJ36" i="1"/>
  <c r="EC36" i="1" s="1"/>
  <c r="BO36" i="1" s="1"/>
  <c r="CB36" i="1" s="1"/>
  <c r="CU27" i="1"/>
  <c r="D10" i="1"/>
  <c r="CO10" i="1"/>
  <c r="EJ95" i="1"/>
  <c r="EC95" i="1" s="1"/>
  <c r="BO95" i="1" s="1"/>
  <c r="EJ30" i="1"/>
  <c r="EC30" i="1" s="1"/>
  <c r="BO30" i="1" s="1"/>
  <c r="EJ25" i="1"/>
  <c r="EC25" i="1" s="1"/>
  <c r="BO25" i="1" s="1"/>
  <c r="EI38" i="1"/>
  <c r="EB38" i="1" s="1"/>
  <c r="BN38" i="1" s="1"/>
  <c r="EI93" i="1"/>
  <c r="EB93" i="1" s="1"/>
  <c r="BN93" i="1" s="1"/>
  <c r="CO179" i="1"/>
  <c r="CO176" i="1"/>
  <c r="CO169" i="1"/>
  <c r="CO149" i="1"/>
  <c r="EI10" i="1"/>
  <c r="EB10" i="1" s="1"/>
  <c r="BN10" i="1" s="1"/>
  <c r="EI116" i="1"/>
  <c r="EB116" i="1" s="1"/>
  <c r="BN116" i="1" s="1"/>
  <c r="CB46" i="1"/>
  <c r="CC47" i="1" s="1"/>
  <c r="CU46" i="1"/>
  <c r="CB145" i="1"/>
  <c r="CU145" i="1"/>
  <c r="EJ128" i="1"/>
  <c r="EC128" i="1" s="1"/>
  <c r="BO128" i="1" s="1"/>
  <c r="CI3" i="1"/>
  <c r="CO79" i="1"/>
  <c r="D79" i="1"/>
  <c r="BU79" i="1"/>
  <c r="EI100" i="1"/>
  <c r="EB100" i="1" s="1"/>
  <c r="BN100" i="1" s="1"/>
  <c r="CO28" i="1"/>
  <c r="D28" i="1"/>
  <c r="EJ120" i="1"/>
  <c r="EC120" i="1" s="1"/>
  <c r="BO120" i="1" s="1"/>
  <c r="CB120" i="1" s="1"/>
  <c r="EI99" i="1"/>
  <c r="EB99" i="1" s="1"/>
  <c r="BN99" i="1" s="1"/>
  <c r="CO141" i="1"/>
  <c r="EI34" i="1"/>
  <c r="EB34" i="1" s="1"/>
  <c r="BN34" i="1" s="1"/>
  <c r="CU148" i="1"/>
  <c r="CB148" i="1"/>
  <c r="CU78" i="1"/>
  <c r="CB78" i="1"/>
  <c r="CU10" i="1"/>
  <c r="EJ90" i="1"/>
  <c r="EC90" i="1" s="1"/>
  <c r="BO90" i="1" s="1"/>
  <c r="EI20" i="1"/>
  <c r="EB20" i="1" s="1"/>
  <c r="BN20" i="1" s="1"/>
  <c r="EJ31" i="1"/>
  <c r="EC31" i="1" s="1"/>
  <c r="BO31" i="1" s="1"/>
  <c r="D62" i="1"/>
  <c r="CO62" i="1"/>
  <c r="BU62" i="1"/>
  <c r="EI106" i="1"/>
  <c r="EB106" i="1" s="1"/>
  <c r="BN106" i="1" s="1"/>
  <c r="EJ89" i="1"/>
  <c r="EC89" i="1" s="1"/>
  <c r="BO89" i="1" s="1"/>
  <c r="CO33" i="1"/>
  <c r="D33" i="1"/>
  <c r="EJ96" i="1"/>
  <c r="EC96" i="1" s="1"/>
  <c r="BO96" i="1" s="1"/>
  <c r="CO151" i="1"/>
  <c r="EJ12" i="1"/>
  <c r="EC12" i="1" s="1"/>
  <c r="BO12" i="1" s="1"/>
  <c r="D48" i="1"/>
  <c r="BU48" i="1"/>
  <c r="CO48" i="1"/>
  <c r="CU22" i="1"/>
  <c r="CO21" i="1"/>
  <c r="D21" i="1"/>
  <c r="EJ108" i="1"/>
  <c r="EC108" i="1" s="1"/>
  <c r="BO108" i="1" s="1"/>
  <c r="EJ18" i="1"/>
  <c r="EC18" i="1" s="1"/>
  <c r="BO18" i="1" s="1"/>
  <c r="EI117" i="1"/>
  <c r="EB117" i="1" s="1"/>
  <c r="BN117" i="1" s="1"/>
  <c r="EI23" i="1"/>
  <c r="EB23" i="1" s="1"/>
  <c r="BN23" i="1" s="1"/>
  <c r="CU144" i="1"/>
  <c r="CB144" i="1"/>
  <c r="CO29" i="1"/>
  <c r="D29" i="1"/>
  <c r="EI22" i="1"/>
  <c r="EB22" i="1" s="1"/>
  <c r="BN22" i="1" s="1"/>
  <c r="D11" i="1"/>
  <c r="CO11" i="1"/>
  <c r="CO177" i="1"/>
  <c r="CO166" i="1"/>
  <c r="EJ113" i="1"/>
  <c r="EC113" i="1" s="1"/>
  <c r="BO113" i="1" s="1"/>
  <c r="CO154" i="1"/>
  <c r="CH136" i="1"/>
  <c r="CB74" i="1"/>
  <c r="CU74" i="1"/>
  <c r="CB181" i="1"/>
  <c r="CU181" i="1"/>
  <c r="EI16" i="1"/>
  <c r="EB16" i="1" s="1"/>
  <c r="BN16" i="1" s="1"/>
  <c r="EJ123" i="1"/>
  <c r="EC123" i="1" s="1"/>
  <c r="BO123" i="1" s="1"/>
  <c r="CU71" i="1"/>
  <c r="CB71" i="1"/>
  <c r="CU160" i="1"/>
  <c r="CB160" i="1"/>
  <c r="CO16" i="1"/>
  <c r="D16" i="1"/>
  <c r="CU6" i="1"/>
  <c r="EJ126" i="1"/>
  <c r="EC126" i="1" s="1"/>
  <c r="BO126" i="1" s="1"/>
  <c r="CO30" i="1"/>
  <c r="D30" i="1"/>
  <c r="CU20" i="1"/>
  <c r="D72" i="1"/>
  <c r="BU72" i="1"/>
  <c r="CO72" i="1"/>
  <c r="CO181" i="1"/>
  <c r="EJ9" i="1"/>
  <c r="EC9" i="1" s="1"/>
  <c r="BO9" i="1" s="1"/>
  <c r="EJ19" i="1"/>
  <c r="EC19" i="1" s="1"/>
  <c r="BO19" i="1" s="1"/>
  <c r="EI87" i="1"/>
  <c r="EB87" i="1" s="1"/>
  <c r="BN87" i="1" s="1"/>
  <c r="EI112" i="1"/>
  <c r="EB112" i="1" s="1"/>
  <c r="BN112" i="1" s="1"/>
  <c r="CB184" i="1"/>
  <c r="CU184" i="1"/>
  <c r="EH104" i="1"/>
  <c r="EA104" i="1" s="1"/>
  <c r="BM104" i="1" s="1"/>
  <c r="CM178" i="1"/>
  <c r="CS162" i="1"/>
  <c r="BZ162" i="1"/>
  <c r="CA163" i="1" s="1"/>
  <c r="EH111" i="1"/>
  <c r="EA111" i="1" s="1"/>
  <c r="BM111" i="1" s="1"/>
  <c r="BD44" i="1"/>
  <c r="C46" i="1"/>
  <c r="E46" i="1" s="1"/>
  <c r="CM46" i="1"/>
  <c r="BS46" i="1"/>
  <c r="CM182" i="1"/>
  <c r="BZ151" i="1"/>
  <c r="CS151" i="1"/>
  <c r="CS175" i="1"/>
  <c r="BZ175" i="1"/>
  <c r="EG88" i="1"/>
  <c r="DZ88" i="1" s="1"/>
  <c r="BL88" i="1" s="1"/>
  <c r="CS26" i="1"/>
  <c r="CS61" i="1"/>
  <c r="BZ61" i="1"/>
  <c r="CM140" i="1"/>
  <c r="CP140" i="1" s="1"/>
  <c r="C62" i="1"/>
  <c r="BS62" i="1"/>
  <c r="BT63" i="1" s="1"/>
  <c r="CM62" i="1"/>
  <c r="EG25" i="1"/>
  <c r="DZ25" i="1" s="1"/>
  <c r="BL25" i="1" s="1"/>
  <c r="EJ4" i="1"/>
  <c r="EC4" i="1" s="1"/>
  <c r="BO4" i="1" s="1"/>
  <c r="EQ3" i="1"/>
  <c r="CU19" i="1"/>
  <c r="CM188" i="1"/>
  <c r="BS188" i="1"/>
  <c r="BT188" i="1" s="1"/>
  <c r="C188" i="1"/>
  <c r="E188" i="1" s="1"/>
  <c r="AY188" i="1"/>
  <c r="EG38" i="1"/>
  <c r="DZ38" i="1" s="1"/>
  <c r="BL38" i="1" s="1"/>
  <c r="CS148" i="1"/>
  <c r="BZ148" i="1"/>
  <c r="EG9" i="1"/>
  <c r="DZ9" i="1" s="1"/>
  <c r="BL9" i="1" s="1"/>
  <c r="CS180" i="1"/>
  <c r="BZ180" i="1"/>
  <c r="EH113" i="1"/>
  <c r="EA113" i="1" s="1"/>
  <c r="BM113" i="1" s="1"/>
  <c r="CM143" i="1"/>
  <c r="CS7" i="1"/>
  <c r="EH130" i="1"/>
  <c r="EA130" i="1" s="1"/>
  <c r="BM130" i="1" s="1"/>
  <c r="CM20" i="1"/>
  <c r="C20" i="1"/>
  <c r="CS173" i="1"/>
  <c r="BZ173" i="1"/>
  <c r="CM145" i="1"/>
  <c r="C189" i="1"/>
  <c r="E189" i="1" s="1"/>
  <c r="AY189" i="1"/>
  <c r="BS189" i="1"/>
  <c r="CM189" i="1"/>
  <c r="CM9" i="1"/>
  <c r="C9" i="1"/>
  <c r="BZ60" i="1"/>
  <c r="CS60" i="1"/>
  <c r="EH91" i="1"/>
  <c r="EA91" i="1" s="1"/>
  <c r="BM91" i="1" s="1"/>
  <c r="EG28" i="1"/>
  <c r="DZ28" i="1" s="1"/>
  <c r="BL28" i="1" s="1"/>
  <c r="CS147" i="1"/>
  <c r="BZ147" i="1"/>
  <c r="EH109" i="1"/>
  <c r="EA109" i="1" s="1"/>
  <c r="BM109" i="1" s="1"/>
  <c r="BZ109" i="1" s="1"/>
  <c r="EH17" i="1"/>
  <c r="EA17" i="1" s="1"/>
  <c r="BM17" i="1" s="1"/>
  <c r="CS14" i="1"/>
  <c r="EN3" i="1"/>
  <c r="EG4" i="1"/>
  <c r="DZ4" i="1" s="1"/>
  <c r="BL4" i="1" s="1"/>
  <c r="BS4" i="1" s="1"/>
  <c r="CS13" i="1"/>
  <c r="EG107" i="1"/>
  <c r="DZ107" i="1" s="1"/>
  <c r="BL107" i="1" s="1"/>
  <c r="D14" i="1"/>
  <c r="CO14" i="1"/>
  <c r="CB62" i="1"/>
  <c r="CC63" i="1" s="1"/>
  <c r="CU62" i="1"/>
  <c r="EJ121" i="1"/>
  <c r="EC121" i="1" s="1"/>
  <c r="BO121" i="1" s="1"/>
  <c r="CO4" i="1"/>
  <c r="D4" i="1"/>
  <c r="AW3" i="1"/>
  <c r="CS187" i="1"/>
  <c r="BZ187" i="1"/>
  <c r="CA187" i="1" s="1"/>
  <c r="EG105" i="1"/>
  <c r="DZ105" i="1" s="1"/>
  <c r="BL105" i="1" s="1"/>
  <c r="EG31" i="1"/>
  <c r="DZ31" i="1" s="1"/>
  <c r="BL31" i="1" s="1"/>
  <c r="C79" i="1"/>
  <c r="BS79" i="1"/>
  <c r="BT79" i="1" s="1"/>
  <c r="CM79" i="1"/>
  <c r="C30" i="1"/>
  <c r="CM30" i="1"/>
  <c r="C25" i="1"/>
  <c r="CM25" i="1"/>
  <c r="EH114" i="1"/>
  <c r="EA114" i="1" s="1"/>
  <c r="BM114" i="1" s="1"/>
  <c r="EH25" i="1"/>
  <c r="EA25" i="1" s="1"/>
  <c r="BM25" i="1" s="1"/>
  <c r="CM177" i="1"/>
  <c r="EH99" i="1"/>
  <c r="EA99" i="1" s="1"/>
  <c r="BM99" i="1" s="1"/>
  <c r="BS45" i="1"/>
  <c r="CM45" i="1"/>
  <c r="AU44" i="1"/>
  <c r="C44" i="1" s="1"/>
  <c r="C45" i="1"/>
  <c r="CM185" i="1"/>
  <c r="BZ167" i="1"/>
  <c r="CS167" i="1"/>
  <c r="CS184" i="1"/>
  <c r="BZ184" i="1"/>
  <c r="BS76" i="1"/>
  <c r="C76" i="1"/>
  <c r="CM76" i="1"/>
  <c r="CM142" i="1"/>
  <c r="EG102" i="1"/>
  <c r="DZ102" i="1" s="1"/>
  <c r="BL102" i="1" s="1"/>
  <c r="EG99" i="1"/>
  <c r="DZ99" i="1" s="1"/>
  <c r="BL99" i="1" s="1"/>
  <c r="CS62" i="1"/>
  <c r="BZ62" i="1"/>
  <c r="EH6" i="1"/>
  <c r="EA6" i="1" s="1"/>
  <c r="BM6" i="1" s="1"/>
  <c r="CS35" i="1"/>
  <c r="EG35" i="1"/>
  <c r="DZ35" i="1" s="1"/>
  <c r="BL35" i="1" s="1"/>
  <c r="EJ35" i="1"/>
  <c r="EC35" i="1" s="1"/>
  <c r="BO35" i="1" s="1"/>
  <c r="EJ22" i="1"/>
  <c r="EC22" i="1" s="1"/>
  <c r="BO22" i="1" s="1"/>
  <c r="EJ103" i="1"/>
  <c r="EC103" i="1" s="1"/>
  <c r="BO103" i="1" s="1"/>
  <c r="EJ17" i="1"/>
  <c r="EC17" i="1" s="1"/>
  <c r="BO17" i="1" s="1"/>
  <c r="CU143" i="1"/>
  <c r="CB143" i="1"/>
  <c r="EI101" i="1"/>
  <c r="EB101" i="1" s="1"/>
  <c r="BN101" i="1" s="1"/>
  <c r="EJ92" i="1"/>
  <c r="EC92" i="1" s="1"/>
  <c r="BO92" i="1" s="1"/>
  <c r="CO13" i="1"/>
  <c r="D13" i="1"/>
  <c r="EJ115" i="1"/>
  <c r="EC115" i="1" s="1"/>
  <c r="BO115" i="1" s="1"/>
  <c r="CU32" i="1"/>
  <c r="CV32" i="1" s="1"/>
  <c r="CU9" i="1"/>
  <c r="EJ127" i="1"/>
  <c r="EC127" i="1" s="1"/>
  <c r="BO127" i="1" s="1"/>
  <c r="CO5" i="1"/>
  <c r="D5" i="1"/>
  <c r="EI95" i="1"/>
  <c r="EB95" i="1" s="1"/>
  <c r="BN95" i="1" s="1"/>
  <c r="CU30" i="1"/>
  <c r="CO153" i="1"/>
  <c r="CU8" i="1"/>
  <c r="D27" i="1"/>
  <c r="CO27" i="1"/>
  <c r="EI90" i="1"/>
  <c r="EB90" i="1" s="1"/>
  <c r="BN90" i="1" s="1"/>
  <c r="EI124" i="1"/>
  <c r="EB124" i="1" s="1"/>
  <c r="BN124" i="1" s="1"/>
  <c r="CO71" i="1"/>
  <c r="D71" i="1"/>
  <c r="BU71" i="1"/>
  <c r="CU18" i="1"/>
  <c r="CU142" i="1"/>
  <c r="CB142" i="1"/>
  <c r="CU23" i="1"/>
  <c r="CO185" i="1"/>
  <c r="CB59" i="1"/>
  <c r="CU59" i="1"/>
  <c r="CO145" i="1"/>
  <c r="EI85" i="1"/>
  <c r="EB85" i="1" s="1"/>
  <c r="BN85" i="1" s="1"/>
  <c r="EP84" i="1"/>
  <c r="CB186" i="1"/>
  <c r="CU186" i="1"/>
  <c r="CU14" i="1"/>
  <c r="CU38" i="1"/>
  <c r="CB146" i="1"/>
  <c r="CU146" i="1"/>
  <c r="BU63" i="1"/>
  <c r="D63" i="1"/>
  <c r="CO63" i="1"/>
  <c r="EI92" i="1"/>
  <c r="EB92" i="1" s="1"/>
  <c r="BN92" i="1" s="1"/>
  <c r="EI24" i="1"/>
  <c r="EB24" i="1" s="1"/>
  <c r="BN24" i="1" s="1"/>
  <c r="CO157" i="1"/>
  <c r="CO170" i="1"/>
  <c r="EI114" i="1"/>
  <c r="EB114" i="1" s="1"/>
  <c r="BN114" i="1" s="1"/>
  <c r="EI130" i="1"/>
  <c r="EB130" i="1" s="1"/>
  <c r="BN130" i="1" s="1"/>
  <c r="CB157" i="1"/>
  <c r="CU157" i="1"/>
  <c r="CO148" i="1"/>
  <c r="CU58" i="1"/>
  <c r="CB58" i="1"/>
  <c r="EJ93" i="1"/>
  <c r="EC93" i="1" s="1"/>
  <c r="BO93" i="1" s="1"/>
  <c r="CU28" i="1"/>
  <c r="EJ116" i="1"/>
  <c r="EC116" i="1" s="1"/>
  <c r="BO116" i="1" s="1"/>
  <c r="CU24" i="1"/>
  <c r="EI96" i="1"/>
  <c r="EB96" i="1" s="1"/>
  <c r="BN96" i="1" s="1"/>
  <c r="AW44" i="1"/>
  <c r="BU45" i="1"/>
  <c r="CO45" i="1"/>
  <c r="D45" i="1"/>
  <c r="EI35" i="1"/>
  <c r="EB35" i="1" s="1"/>
  <c r="BN35" i="1" s="1"/>
  <c r="EJ33" i="1"/>
  <c r="EC33" i="1" s="1"/>
  <c r="BO33" i="1" s="1"/>
  <c r="CO137" i="1"/>
  <c r="CU154" i="1"/>
  <c r="CB154" i="1"/>
  <c r="EJ16" i="1"/>
  <c r="EC16" i="1" s="1"/>
  <c r="BO16" i="1" s="1"/>
  <c r="CO160" i="1"/>
  <c r="EJ32" i="1"/>
  <c r="EC32" i="1" s="1"/>
  <c r="BO32" i="1" s="1"/>
  <c r="EI12" i="1"/>
  <c r="EB12" i="1" s="1"/>
  <c r="BN12" i="1" s="1"/>
  <c r="CO138" i="1"/>
  <c r="CB187" i="1"/>
  <c r="CU187" i="1"/>
  <c r="EI32" i="1"/>
  <c r="EB32" i="1" s="1"/>
  <c r="BN32" i="1" s="1"/>
  <c r="CU16" i="1"/>
  <c r="CO6" i="1"/>
  <c r="D6" i="1"/>
  <c r="D22" i="1"/>
  <c r="CO22" i="1"/>
  <c r="CU5" i="1"/>
  <c r="CU17" i="1"/>
  <c r="BU61" i="1"/>
  <c r="D61" i="1"/>
  <c r="CO61" i="1"/>
  <c r="EJ112" i="1"/>
  <c r="EC112" i="1" s="1"/>
  <c r="BO112" i="1" s="1"/>
  <c r="CU156" i="1"/>
  <c r="CB156" i="1"/>
  <c r="CO155" i="1"/>
  <c r="EI18" i="1"/>
  <c r="EB18" i="1" s="1"/>
  <c r="BN18" i="1" s="1"/>
  <c r="EJ27" i="1"/>
  <c r="EC27" i="1" s="1"/>
  <c r="BO27" i="1" s="1"/>
  <c r="DW187" i="1"/>
  <c r="DQ26" i="1"/>
  <c r="DL20" i="1"/>
  <c r="ET181" i="1"/>
  <c r="ET184" i="1"/>
  <c r="CP70" i="1" l="1"/>
  <c r="DM139" i="1"/>
  <c r="DL141" i="1"/>
  <c r="DL177" i="1"/>
  <c r="DW183" i="1"/>
  <c r="ED183" i="1" s="1"/>
  <c r="DW14" i="1"/>
  <c r="DV78" i="1"/>
  <c r="DW8" i="1"/>
  <c r="DW188" i="1"/>
  <c r="ED188" i="1" s="1"/>
  <c r="DV37" i="1"/>
  <c r="DP29" i="1"/>
  <c r="DW22" i="1"/>
  <c r="BU21" i="1"/>
  <c r="DV172" i="1"/>
  <c r="EK172" i="1" s="1"/>
  <c r="DV173" i="1"/>
  <c r="DW10" i="1"/>
  <c r="DV28" i="1"/>
  <c r="ED28" i="1" s="1"/>
  <c r="DW5" i="1"/>
  <c r="CP147" i="1"/>
  <c r="CC156" i="1"/>
  <c r="BQ37" i="1"/>
  <c r="DW154" i="1"/>
  <c r="DW173" i="1"/>
  <c r="DM34" i="1"/>
  <c r="DW177" i="1"/>
  <c r="EK177" i="1" s="1"/>
  <c r="ET177" i="1" s="1"/>
  <c r="DW176" i="1"/>
  <c r="ED176" i="1" s="1"/>
  <c r="DW4" i="1"/>
  <c r="DW147" i="1"/>
  <c r="DS71" i="1"/>
  <c r="DS12" i="1"/>
  <c r="BU15" i="1"/>
  <c r="DV142" i="1"/>
  <c r="EK142" i="1" s="1"/>
  <c r="ET142" i="1" s="1"/>
  <c r="DW174" i="1"/>
  <c r="ED174" i="1" s="1"/>
  <c r="CC61" i="1"/>
  <c r="DP139" i="1"/>
  <c r="DW179" i="1"/>
  <c r="EK179" i="1" s="1"/>
  <c r="ET179" i="1" s="1"/>
  <c r="DS61" i="1"/>
  <c r="DP78" i="1"/>
  <c r="DV35" i="1"/>
  <c r="BT73" i="1"/>
  <c r="CA75" i="1"/>
  <c r="BI143" i="1"/>
  <c r="DW149" i="1"/>
  <c r="DW47" i="1"/>
  <c r="DS36" i="1"/>
  <c r="DL176" i="1"/>
  <c r="CP180" i="1"/>
  <c r="BI37" i="1"/>
  <c r="DW46" i="1"/>
  <c r="BS11" i="1"/>
  <c r="BT60" i="1"/>
  <c r="E79" i="1"/>
  <c r="BS130" i="1"/>
  <c r="DW148" i="1"/>
  <c r="EK148" i="1" s="1"/>
  <c r="BZ33" i="1"/>
  <c r="DL184" i="1"/>
  <c r="DW78" i="1"/>
  <c r="DV144" i="1"/>
  <c r="ED144" i="1" s="1"/>
  <c r="DV70" i="1"/>
  <c r="DW153" i="1"/>
  <c r="DR167" i="1"/>
  <c r="CB27" i="1"/>
  <c r="DW185" i="1"/>
  <c r="ES185" i="1" s="1"/>
  <c r="DW150" i="1"/>
  <c r="DV79" i="1"/>
  <c r="DW157" i="1"/>
  <c r="DW27" i="1"/>
  <c r="DM27" i="1"/>
  <c r="DV36" i="1"/>
  <c r="CA153" i="1"/>
  <c r="DL36" i="1"/>
  <c r="DV76" i="1"/>
  <c r="DW151" i="1"/>
  <c r="DP4" i="1"/>
  <c r="DV138" i="1"/>
  <c r="ES138" i="1" s="1"/>
  <c r="DV158" i="1"/>
  <c r="BX99" i="1"/>
  <c r="DV74" i="1"/>
  <c r="BI75" i="1"/>
  <c r="BX165" i="1"/>
  <c r="CY165" i="1" s="1"/>
  <c r="BX58" i="1"/>
  <c r="CY58" i="1" s="1"/>
  <c r="BX72" i="1"/>
  <c r="CY72" i="1" s="1"/>
  <c r="BX74" i="1"/>
  <c r="CY74" i="1" s="1"/>
  <c r="BI181" i="1"/>
  <c r="DQ62" i="1"/>
  <c r="BX185" i="1"/>
  <c r="CY185" i="1" s="1"/>
  <c r="DV146" i="1"/>
  <c r="EK146" i="1" s="1"/>
  <c r="DV34" i="1"/>
  <c r="CB106" i="1"/>
  <c r="DV71" i="1"/>
  <c r="DW75" i="1"/>
  <c r="ES75" i="1" s="1"/>
  <c r="E18" i="1"/>
  <c r="DW32" i="1"/>
  <c r="DS10" i="1"/>
  <c r="DQ10" i="1"/>
  <c r="BZ87" i="1"/>
  <c r="DV150" i="1"/>
  <c r="CP20" i="1"/>
  <c r="DW6" i="1"/>
  <c r="DL10" i="1"/>
  <c r="BI139" i="1"/>
  <c r="BY143" i="1"/>
  <c r="DP188" i="1"/>
  <c r="BI71" i="1"/>
  <c r="DV38" i="1"/>
  <c r="DW161" i="1"/>
  <c r="ES161" i="1" s="1"/>
  <c r="BQ31" i="1"/>
  <c r="DW155" i="1"/>
  <c r="BQ19" i="1"/>
  <c r="BS30" i="1"/>
  <c r="CB26" i="1"/>
  <c r="DW76" i="1"/>
  <c r="DQ145" i="1"/>
  <c r="DS187" i="1"/>
  <c r="BQ16" i="1"/>
  <c r="DV18" i="1"/>
  <c r="DW30" i="1"/>
  <c r="DW73" i="1"/>
  <c r="DW164" i="1"/>
  <c r="ES164" i="1" s="1"/>
  <c r="DW70" i="1"/>
  <c r="BX7" i="1"/>
  <c r="DR122" i="1"/>
  <c r="DV73" i="1"/>
  <c r="DP73" i="1"/>
  <c r="DV7" i="1"/>
  <c r="ED7" i="1" s="1"/>
  <c r="CC184" i="1"/>
  <c r="CP33" i="1"/>
  <c r="CP159" i="1"/>
  <c r="BZ21" i="1"/>
  <c r="CP36" i="1"/>
  <c r="DP5" i="1"/>
  <c r="DS142" i="1"/>
  <c r="DQ74" i="1"/>
  <c r="DM152" i="1"/>
  <c r="DV151" i="1"/>
  <c r="CB130" i="1"/>
  <c r="CV34" i="1"/>
  <c r="BQ95" i="1"/>
  <c r="DL57" i="1"/>
  <c r="BI21" i="1"/>
  <c r="DW25" i="1"/>
  <c r="DQ75" i="1"/>
  <c r="DV24" i="1"/>
  <c r="BX153" i="1"/>
  <c r="CY153" i="1" s="1"/>
  <c r="DL19" i="1"/>
  <c r="DL158" i="1"/>
  <c r="DL169" i="1"/>
  <c r="DV48" i="1"/>
  <c r="ED48" i="1" s="1"/>
  <c r="DW166" i="1"/>
  <c r="ED166" i="1" s="1"/>
  <c r="DM141" i="1"/>
  <c r="DV175" i="1"/>
  <c r="DP170" i="1"/>
  <c r="BU16" i="1"/>
  <c r="BU124" i="1"/>
  <c r="CP188" i="1"/>
  <c r="BZ88" i="1"/>
  <c r="CB113" i="1"/>
  <c r="CB100" i="1"/>
  <c r="CP149" i="1"/>
  <c r="BS96" i="1"/>
  <c r="CA141" i="1"/>
  <c r="BQ90" i="1"/>
  <c r="B84" i="1"/>
  <c r="DL171" i="1"/>
  <c r="BQ30" i="1"/>
  <c r="CB96" i="1"/>
  <c r="DL139" i="1"/>
  <c r="BX37" i="1"/>
  <c r="DW29" i="1"/>
  <c r="EK29" i="1" s="1"/>
  <c r="DV141" i="1"/>
  <c r="ES141" i="1" s="1"/>
  <c r="DV8" i="1"/>
  <c r="DV152" i="1"/>
  <c r="EK152" i="1" s="1"/>
  <c r="DV147" i="1"/>
  <c r="DW57" i="1"/>
  <c r="BI79" i="1"/>
  <c r="DV45" i="1"/>
  <c r="DW171" i="1"/>
  <c r="EK171" i="1" s="1"/>
  <c r="DV47" i="1"/>
  <c r="DS171" i="1"/>
  <c r="DP47" i="1"/>
  <c r="DP11" i="1"/>
  <c r="DQ182" i="1"/>
  <c r="DS148" i="1"/>
  <c r="DP155" i="1"/>
  <c r="DL34" i="1"/>
  <c r="DM70" i="1"/>
  <c r="DV46" i="1"/>
  <c r="DV154" i="1"/>
  <c r="DW169" i="1"/>
  <c r="ED169" i="1" s="1"/>
  <c r="DM148" i="1"/>
  <c r="E31" i="1"/>
  <c r="DV139" i="1"/>
  <c r="ED139" i="1" s="1"/>
  <c r="DV143" i="1"/>
  <c r="ED143" i="1" s="1"/>
  <c r="DQ170" i="1"/>
  <c r="DW62" i="1"/>
  <c r="DV10" i="1"/>
  <c r="BX25" i="1"/>
  <c r="BQ63" i="1"/>
  <c r="CW63" i="1" s="1"/>
  <c r="EK120" i="1"/>
  <c r="DW38" i="1"/>
  <c r="DS48" i="1"/>
  <c r="DM24" i="1"/>
  <c r="BX123" i="1"/>
  <c r="DW37" i="1"/>
  <c r="DW36" i="1"/>
  <c r="DR144" i="1"/>
  <c r="BQ175" i="1"/>
  <c r="CW175" i="1" s="1"/>
  <c r="BY140" i="1"/>
  <c r="DS161" i="1"/>
  <c r="DQ71" i="1"/>
  <c r="DL143" i="1"/>
  <c r="DS139" i="1"/>
  <c r="DV157" i="1"/>
  <c r="BX33" i="1"/>
  <c r="BX28" i="1"/>
  <c r="DV27" i="1"/>
  <c r="BQ28" i="1"/>
  <c r="DM12" i="1"/>
  <c r="B3" i="1"/>
  <c r="DL72" i="1"/>
  <c r="DP77" i="1"/>
  <c r="DQ27" i="1"/>
  <c r="DR139" i="1"/>
  <c r="DV153" i="1"/>
  <c r="BK120" i="1"/>
  <c r="BQ120" i="1" s="1"/>
  <c r="DP10" i="1"/>
  <c r="DQ61" i="1"/>
  <c r="DS62" i="1"/>
  <c r="CP79" i="1"/>
  <c r="DV32" i="1"/>
  <c r="DV6" i="1"/>
  <c r="DW175" i="1"/>
  <c r="DL159" i="1"/>
  <c r="DV149" i="1"/>
  <c r="DW35" i="1"/>
  <c r="DW60" i="1"/>
  <c r="DV145" i="1"/>
  <c r="ED145" i="1" s="1"/>
  <c r="DV23" i="1"/>
  <c r="DV72" i="1"/>
  <c r="DW13" i="1"/>
  <c r="DV5" i="1"/>
  <c r="DV11" i="1"/>
  <c r="ES11" i="1" s="1"/>
  <c r="DV19" i="1"/>
  <c r="DW59" i="1"/>
  <c r="DL4" i="1"/>
  <c r="BX115" i="1"/>
  <c r="DS183" i="1"/>
  <c r="DM144" i="1"/>
  <c r="BI15" i="1"/>
  <c r="DS20" i="1"/>
  <c r="DQ141" i="1"/>
  <c r="DW12" i="1"/>
  <c r="DW167" i="1"/>
  <c r="ED167" i="1" s="1"/>
  <c r="DV30" i="1"/>
  <c r="BQ160" i="1"/>
  <c r="ET160" i="1" s="1"/>
  <c r="DM71" i="1"/>
  <c r="BX16" i="1"/>
  <c r="DM61" i="1"/>
  <c r="DW79" i="1"/>
  <c r="DS150" i="1"/>
  <c r="DW165" i="1"/>
  <c r="ED165" i="1" s="1"/>
  <c r="DR21" i="1"/>
  <c r="DW162" i="1"/>
  <c r="ED162" i="1" s="1"/>
  <c r="DV4" i="1"/>
  <c r="DW63" i="1"/>
  <c r="DW159" i="1"/>
  <c r="DV63" i="1"/>
  <c r="DL187" i="1"/>
  <c r="DV156" i="1"/>
  <c r="DV77" i="1"/>
  <c r="DS141" i="1"/>
  <c r="DM137" i="1"/>
  <c r="DP164" i="1"/>
  <c r="DQ144" i="1"/>
  <c r="DM187" i="1"/>
  <c r="DS27" i="1"/>
  <c r="DM62" i="1"/>
  <c r="DP72" i="1"/>
  <c r="DS144" i="1"/>
  <c r="DQ139" i="1"/>
  <c r="DQ183" i="1"/>
  <c r="CP155" i="1"/>
  <c r="CP6" i="1"/>
  <c r="CV24" i="1"/>
  <c r="CP13" i="1"/>
  <c r="CA173" i="1"/>
  <c r="CP46" i="1"/>
  <c r="CP78" i="1"/>
  <c r="BQ99" i="1"/>
  <c r="DR141" i="1"/>
  <c r="DQ137" i="1"/>
  <c r="DQ142" i="1"/>
  <c r="DR142" i="1"/>
  <c r="DQ187" i="1"/>
  <c r="DL29" i="1"/>
  <c r="EK99" i="1"/>
  <c r="DQ12" i="1"/>
  <c r="DQ20" i="1"/>
  <c r="DM20" i="1"/>
  <c r="DL77" i="1"/>
  <c r="DM183" i="1"/>
  <c r="DR183" i="1"/>
  <c r="CP22" i="1"/>
  <c r="CV16" i="1"/>
  <c r="CV18" i="1"/>
  <c r="E9" i="1"/>
  <c r="CV7" i="1"/>
  <c r="E72" i="1"/>
  <c r="CV22" i="1"/>
  <c r="CV15" i="1"/>
  <c r="BT74" i="1"/>
  <c r="BZ125" i="1"/>
  <c r="DR177" i="1"/>
  <c r="BI154" i="1"/>
  <c r="BQ77" i="1"/>
  <c r="CW77" i="1" s="1"/>
  <c r="DM17" i="1"/>
  <c r="DW31" i="1"/>
  <c r="EK31" i="1" s="1"/>
  <c r="DS173" i="1"/>
  <c r="DM143" i="1"/>
  <c r="DM4" i="1"/>
  <c r="BI10" i="1"/>
  <c r="DP30" i="1"/>
  <c r="BI171" i="1"/>
  <c r="BI172" i="1"/>
  <c r="BQ12" i="1"/>
  <c r="DW74" i="1"/>
  <c r="DP15" i="1"/>
  <c r="BI23" i="1"/>
  <c r="DP151" i="1"/>
  <c r="BI180" i="1"/>
  <c r="BI26" i="1"/>
  <c r="DP26" i="1"/>
  <c r="DL180" i="1"/>
  <c r="DS186" i="1"/>
  <c r="DW61" i="1"/>
  <c r="BX175" i="1"/>
  <c r="CY175" i="1" s="1"/>
  <c r="BX19" i="1"/>
  <c r="DR99" i="1"/>
  <c r="BQ101" i="1"/>
  <c r="DM161" i="1"/>
  <c r="DR137" i="1"/>
  <c r="CP5" i="1"/>
  <c r="BU29" i="1"/>
  <c r="BZ15" i="1"/>
  <c r="DL46" i="1"/>
  <c r="BI153" i="1"/>
  <c r="BI148" i="1"/>
  <c r="DP34" i="1"/>
  <c r="DP149" i="1"/>
  <c r="BQ169" i="1"/>
  <c r="BR170" i="1" s="1"/>
  <c r="BI31" i="1"/>
  <c r="BX189" i="1"/>
  <c r="CY189" i="1" s="1"/>
  <c r="DM6" i="1"/>
  <c r="DP173" i="1"/>
  <c r="DL11" i="1"/>
  <c r="DL22" i="1"/>
  <c r="DS70" i="1"/>
  <c r="DM171" i="1"/>
  <c r="BI159" i="1"/>
  <c r="DM48" i="1"/>
  <c r="BX18" i="1"/>
  <c r="DR182" i="1"/>
  <c r="BI38" i="1"/>
  <c r="DR123" i="1"/>
  <c r="DQ24" i="1"/>
  <c r="BX5" i="1"/>
  <c r="BI150" i="1"/>
  <c r="DS19" i="1"/>
  <c r="DP183" i="1"/>
  <c r="BQ102" i="1"/>
  <c r="BQ71" i="1"/>
  <c r="CW71" i="1" s="1"/>
  <c r="BY141" i="1"/>
  <c r="DL155" i="1"/>
  <c r="BI13" i="1"/>
  <c r="E58" i="1"/>
  <c r="E75" i="1"/>
  <c r="E45" i="1"/>
  <c r="CV6" i="1"/>
  <c r="E60" i="1"/>
  <c r="DL32" i="1"/>
  <c r="DQ8" i="1"/>
  <c r="CP73" i="1"/>
  <c r="DS159" i="1"/>
  <c r="DP174" i="1"/>
  <c r="DV17" i="1"/>
  <c r="ED17" i="1" s="1"/>
  <c r="DL172" i="1"/>
  <c r="DQ57" i="1"/>
  <c r="DP189" i="1"/>
  <c r="DP45" i="1"/>
  <c r="E17" i="1"/>
  <c r="E73" i="1"/>
  <c r="DL62" i="1"/>
  <c r="DS185" i="1"/>
  <c r="DL24" i="1"/>
  <c r="CP58" i="1"/>
  <c r="DP145" i="1"/>
  <c r="DM46" i="1"/>
  <c r="DQ18" i="1"/>
  <c r="E15" i="1"/>
  <c r="DL35" i="1"/>
  <c r="CP63" i="1"/>
  <c r="DM77" i="1"/>
  <c r="DQ158" i="1"/>
  <c r="E70" i="1"/>
  <c r="DM73" i="1"/>
  <c r="DP157" i="1"/>
  <c r="DW21" i="1"/>
  <c r="DL14" i="1"/>
  <c r="DL142" i="1"/>
  <c r="DS155" i="1"/>
  <c r="DR138" i="1"/>
  <c r="DW23" i="1"/>
  <c r="DW156" i="1"/>
  <c r="BI11" i="1"/>
  <c r="DV62" i="1"/>
  <c r="DQ148" i="1"/>
  <c r="BZ127" i="1"/>
  <c r="BX91" i="1"/>
  <c r="BX122" i="1"/>
  <c r="DR127" i="1"/>
  <c r="DL5" i="1"/>
  <c r="BQ38" i="1"/>
  <c r="DW160" i="1"/>
  <c r="EK160" i="1" s="1"/>
  <c r="DW58" i="1"/>
  <c r="BY142" i="1"/>
  <c r="BX154" i="1"/>
  <c r="BQ78" i="1"/>
  <c r="CW78" i="1" s="1"/>
  <c r="EK122" i="1"/>
  <c r="EK127" i="1"/>
  <c r="BX170" i="1"/>
  <c r="CY170" i="1" s="1"/>
  <c r="EK102" i="1"/>
  <c r="BI14" i="1"/>
  <c r="CC144" i="1"/>
  <c r="CB12" i="1"/>
  <c r="CB7" i="1"/>
  <c r="CA59" i="1"/>
  <c r="BS32" i="1"/>
  <c r="BS119" i="1"/>
  <c r="BZ101" i="1"/>
  <c r="CA183" i="1"/>
  <c r="CB98" i="1"/>
  <c r="BX59" i="1"/>
  <c r="CA177" i="1"/>
  <c r="BQ172" i="1"/>
  <c r="ET172" i="1" s="1"/>
  <c r="BQ156" i="1"/>
  <c r="CW156" i="1" s="1"/>
  <c r="BX13" i="1"/>
  <c r="BX157" i="1"/>
  <c r="CY157" i="1" s="1"/>
  <c r="BX26" i="1"/>
  <c r="BI18" i="1"/>
  <c r="BQ85" i="1"/>
  <c r="BX75" i="1"/>
  <c r="CY75" i="1" s="1"/>
  <c r="EK89" i="1"/>
  <c r="BX35" i="1"/>
  <c r="BY180" i="1"/>
  <c r="BX104" i="1"/>
  <c r="BI74" i="1"/>
  <c r="BI187" i="1"/>
  <c r="BQ186" i="1"/>
  <c r="CW186" i="1" s="1"/>
  <c r="BI144" i="1"/>
  <c r="BI7" i="1"/>
  <c r="BX17" i="1"/>
  <c r="DR9" i="1"/>
  <c r="BX148" i="1"/>
  <c r="CY148" i="1" s="1"/>
  <c r="BI16" i="1"/>
  <c r="BI58" i="1"/>
  <c r="BQ36" i="1"/>
  <c r="DS9" i="1"/>
  <c r="DM145" i="1"/>
  <c r="DS35" i="1"/>
  <c r="DL73" i="1"/>
  <c r="DM26" i="1"/>
  <c r="DM142" i="1"/>
  <c r="DS169" i="1"/>
  <c r="BS127" i="1"/>
  <c r="DM16" i="1"/>
  <c r="DP33" i="1"/>
  <c r="BQ91" i="1"/>
  <c r="CA179" i="1"/>
  <c r="BX171" i="1"/>
  <c r="CY171" i="1" s="1"/>
  <c r="DS15" i="1"/>
  <c r="BQ11" i="1"/>
  <c r="BQ72" i="1"/>
  <c r="BX38" i="1"/>
  <c r="EK101" i="1"/>
  <c r="BI157" i="1"/>
  <c r="BQ154" i="1"/>
  <c r="CW154" i="1" s="1"/>
  <c r="BX78" i="1"/>
  <c r="CY78" i="1" s="1"/>
  <c r="BI188" i="1"/>
  <c r="BQ32" i="1"/>
  <c r="DS60" i="1"/>
  <c r="BI12" i="1"/>
  <c r="DL175" i="1"/>
  <c r="BQ5" i="1"/>
  <c r="BI167" i="1"/>
  <c r="BI158" i="1"/>
  <c r="DQ151" i="1"/>
  <c r="BS15" i="1"/>
  <c r="BX32" i="1"/>
  <c r="BX71" i="1"/>
  <c r="BX151" i="1"/>
  <c r="CY151" i="1" s="1"/>
  <c r="DQ70" i="1"/>
  <c r="DL17" i="1"/>
  <c r="DM165" i="1"/>
  <c r="DL183" i="1"/>
  <c r="DS182" i="1"/>
  <c r="DM15" i="1"/>
  <c r="DQ19" i="1"/>
  <c r="DS26" i="1"/>
  <c r="DR171" i="1"/>
  <c r="EK123" i="1"/>
  <c r="EK128" i="1"/>
  <c r="DM169" i="1"/>
  <c r="DP22" i="1"/>
  <c r="DL173" i="1"/>
  <c r="DP36" i="1"/>
  <c r="DM19" i="1"/>
  <c r="DQ169" i="1"/>
  <c r="CP61" i="1"/>
  <c r="BS118" i="1"/>
  <c r="BS12" i="1"/>
  <c r="BS8" i="1"/>
  <c r="DW34" i="1"/>
  <c r="BI175" i="1"/>
  <c r="B44" i="1"/>
  <c r="DW19" i="1"/>
  <c r="BI32" i="1"/>
  <c r="BY182" i="1"/>
  <c r="DL47" i="1"/>
  <c r="DV159" i="1"/>
  <c r="BQ25" i="1"/>
  <c r="DV57" i="1"/>
  <c r="BQ158" i="1"/>
  <c r="CW158" i="1" s="1"/>
  <c r="BI27" i="1"/>
  <c r="CA140" i="1"/>
  <c r="DW72" i="1"/>
  <c r="DQ16" i="1"/>
  <c r="DL33" i="1"/>
  <c r="DQ9" i="1"/>
  <c r="DR91" i="1"/>
  <c r="BS7" i="1"/>
  <c r="BQ122" i="1"/>
  <c r="BI62" i="1"/>
  <c r="BQ7" i="1"/>
  <c r="DL48" i="1"/>
  <c r="DW15" i="1"/>
  <c r="BQ171" i="1"/>
  <c r="BR171" i="1" s="1"/>
  <c r="DQ15" i="1"/>
  <c r="BX145" i="1"/>
  <c r="BY145" i="1" s="1"/>
  <c r="BQ74" i="1"/>
  <c r="ET74" i="1" s="1"/>
  <c r="DM35" i="1"/>
  <c r="BX11" i="1"/>
  <c r="DW158" i="1"/>
  <c r="EK106" i="1"/>
  <c r="EK112" i="1"/>
  <c r="DQ165" i="1"/>
  <c r="DP46" i="1"/>
  <c r="DM182" i="1"/>
  <c r="DL18" i="1"/>
  <c r="DL144" i="1"/>
  <c r="DM9" i="1"/>
  <c r="DR151" i="1"/>
  <c r="BQ18" i="1"/>
  <c r="EK91" i="1"/>
  <c r="CB129" i="1"/>
  <c r="DP177" i="1"/>
  <c r="DR71" i="1"/>
  <c r="DR19" i="1"/>
  <c r="BX102" i="1"/>
  <c r="BX166" i="1"/>
  <c r="CY166" i="1" s="1"/>
  <c r="DR102" i="1"/>
  <c r="BQ128" i="1"/>
  <c r="DL59" i="1"/>
  <c r="DQ171" i="1"/>
  <c r="DQ35" i="1"/>
  <c r="DS24" i="1"/>
  <c r="BX88" i="1"/>
  <c r="DR145" i="1"/>
  <c r="DM151" i="1"/>
  <c r="DL149" i="1"/>
  <c r="BZ4" i="1"/>
  <c r="DR16" i="1"/>
  <c r="BQ145" i="1"/>
  <c r="ET145" i="1" s="1"/>
  <c r="BQ189" i="1"/>
  <c r="CW189" i="1" s="1"/>
  <c r="BQ106" i="1"/>
  <c r="DS6" i="1"/>
  <c r="DS16" i="1"/>
  <c r="DP48" i="1"/>
  <c r="EK88" i="1"/>
  <c r="DQ48" i="1"/>
  <c r="CB5" i="1"/>
  <c r="CV9" i="1"/>
  <c r="CP15" i="1"/>
  <c r="DW18" i="1"/>
  <c r="DP182" i="1"/>
  <c r="BQ27" i="1"/>
  <c r="DR140" i="1"/>
  <c r="BJ89" i="1"/>
  <c r="DR89" i="1" s="1"/>
  <c r="DM75" i="1"/>
  <c r="DP180" i="1"/>
  <c r="EK95" i="1"/>
  <c r="DM186" i="1"/>
  <c r="DM159" i="1"/>
  <c r="DR34" i="1"/>
  <c r="DQ4" i="1"/>
  <c r="DV9" i="1"/>
  <c r="ED9" i="1" s="1"/>
  <c r="DP57" i="1"/>
  <c r="DM60" i="1"/>
  <c r="BI176" i="1"/>
  <c r="BS87" i="1"/>
  <c r="BX164" i="1"/>
  <c r="BS21" i="1"/>
  <c r="CQ44" i="1"/>
  <c r="BY138" i="1"/>
  <c r="DR104" i="1"/>
  <c r="EK86" i="1"/>
  <c r="DQ73" i="1"/>
  <c r="DM57" i="1"/>
  <c r="CB119" i="1"/>
  <c r="CC120" i="1" s="1"/>
  <c r="CC159" i="1"/>
  <c r="DQ60" i="1"/>
  <c r="DR174" i="1"/>
  <c r="BQ59" i="1"/>
  <c r="ET59" i="1" s="1"/>
  <c r="BX27" i="1"/>
  <c r="BI48" i="1"/>
  <c r="BI155" i="1"/>
  <c r="DL25" i="1"/>
  <c r="BX77" i="1"/>
  <c r="CY77" i="1" s="1"/>
  <c r="BS101" i="1"/>
  <c r="CB16" i="1"/>
  <c r="DR85" i="1"/>
  <c r="EK121" i="1"/>
  <c r="DL137" i="1"/>
  <c r="EK119" i="1"/>
  <c r="DM155" i="1"/>
  <c r="DL30" i="1"/>
  <c r="BI22" i="1"/>
  <c r="BX31" i="1"/>
  <c r="DV60" i="1"/>
  <c r="DV12" i="1"/>
  <c r="DL178" i="1"/>
  <c r="E5" i="1"/>
  <c r="DR75" i="1"/>
  <c r="E59" i="1"/>
  <c r="BI24" i="1"/>
  <c r="BQ105" i="1"/>
  <c r="BX79" i="1"/>
  <c r="BX36" i="1"/>
  <c r="BX186" i="1"/>
  <c r="BX114" i="1"/>
  <c r="DS138" i="1"/>
  <c r="BI25" i="1"/>
  <c r="DL151" i="1"/>
  <c r="DS170" i="1"/>
  <c r="BX172" i="1"/>
  <c r="CY172" i="1" s="1"/>
  <c r="DR148" i="1"/>
  <c r="EK117" i="1"/>
  <c r="DQ185" i="1"/>
  <c r="DS147" i="1"/>
  <c r="DL157" i="1"/>
  <c r="DM170" i="1"/>
  <c r="DM173" i="1"/>
  <c r="DS34" i="1"/>
  <c r="DH136" i="1"/>
  <c r="DH191" i="1" s="1"/>
  <c r="BI170" i="1"/>
  <c r="BI47" i="1"/>
  <c r="DL63" i="1"/>
  <c r="CW138" i="1"/>
  <c r="BT138" i="1"/>
  <c r="DQ140" i="1"/>
  <c r="DP58" i="1"/>
  <c r="DR18" i="1"/>
  <c r="BQ157" i="1"/>
  <c r="CW157" i="1" s="1"/>
  <c r="DR90" i="1"/>
  <c r="BX121" i="1"/>
  <c r="DS158" i="1"/>
  <c r="DS57" i="1"/>
  <c r="DP24" i="1"/>
  <c r="DM138" i="1"/>
  <c r="DR27" i="1"/>
  <c r="BQ35" i="1"/>
  <c r="DM8" i="1"/>
  <c r="CB9" i="1"/>
  <c r="CP26" i="1"/>
  <c r="BS24" i="1"/>
  <c r="DL45" i="1"/>
  <c r="DQ45" i="1"/>
  <c r="DS45" i="1"/>
  <c r="DQ159" i="1"/>
  <c r="DL162" i="1"/>
  <c r="DP162" i="1"/>
  <c r="BZ89" i="1"/>
  <c r="CV13" i="1"/>
  <c r="DM180" i="1"/>
  <c r="DR180" i="1"/>
  <c r="DV20" i="1"/>
  <c r="EK20" i="1" s="1"/>
  <c r="DV26" i="1"/>
  <c r="DR77" i="1"/>
  <c r="BQ75" i="1"/>
  <c r="CW75" i="1" s="1"/>
  <c r="BX156" i="1"/>
  <c r="BQ104" i="1"/>
  <c r="BX90" i="1"/>
  <c r="EK104" i="1"/>
  <c r="BY181" i="1"/>
  <c r="DR86" i="1"/>
  <c r="DM185" i="1"/>
  <c r="DP169" i="1"/>
  <c r="DQ138" i="1"/>
  <c r="DS4" i="1"/>
  <c r="DS8" i="1"/>
  <c r="DR36" i="1"/>
  <c r="DP172" i="1"/>
  <c r="DS75" i="1"/>
  <c r="DQ34" i="1"/>
  <c r="DQ36" i="1"/>
  <c r="DQ155" i="1"/>
  <c r="DP178" i="1"/>
  <c r="BY144" i="1"/>
  <c r="BU128" i="1"/>
  <c r="BU27" i="1"/>
  <c r="CB28" i="1"/>
  <c r="BQ79" i="1"/>
  <c r="CW79" i="1" s="1"/>
  <c r="BQ153" i="1"/>
  <c r="ET153" i="1" s="1"/>
  <c r="DP176" i="1"/>
  <c r="EK105" i="1"/>
  <c r="BQ112" i="1"/>
  <c r="DM36" i="1"/>
  <c r="DQ46" i="1"/>
  <c r="DM158" i="1"/>
  <c r="DQ147" i="1"/>
  <c r="DS18" i="1"/>
  <c r="DR170" i="1"/>
  <c r="BI6" i="1"/>
  <c r="DL28" i="1"/>
  <c r="DQ177" i="1"/>
  <c r="DM140" i="1"/>
  <c r="DQ173" i="1"/>
  <c r="BX97" i="1"/>
  <c r="EK107" i="1"/>
  <c r="BK163" i="1"/>
  <c r="BX163" i="1" s="1"/>
  <c r="CY163" i="1" s="1"/>
  <c r="DL26" i="1"/>
  <c r="DL154" i="1"/>
  <c r="BJ92" i="1"/>
  <c r="BQ92" i="1" s="1"/>
  <c r="DP63" i="1"/>
  <c r="DQ162" i="1"/>
  <c r="DS177" i="1"/>
  <c r="DS143" i="1"/>
  <c r="DL188" i="1"/>
  <c r="EK168" i="1"/>
  <c r="DQ6" i="1"/>
  <c r="DM18" i="1"/>
  <c r="DL78" i="1"/>
  <c r="DP62" i="1"/>
  <c r="DS17" i="1"/>
  <c r="BI17" i="1"/>
  <c r="BZ30" i="1"/>
  <c r="CB29" i="1"/>
  <c r="BU28" i="1"/>
  <c r="BS89" i="1"/>
  <c r="DS180" i="1"/>
  <c r="BZ24" i="1"/>
  <c r="DQ180" i="1"/>
  <c r="BI179" i="1"/>
  <c r="BZ105" i="1"/>
  <c r="BS105" i="1"/>
  <c r="CA166" i="1"/>
  <c r="CA165" i="1"/>
  <c r="DP165" i="1"/>
  <c r="DL165" i="1"/>
  <c r="CP9" i="1"/>
  <c r="DL182" i="1"/>
  <c r="BQ13" i="1"/>
  <c r="BX85" i="1"/>
  <c r="DR35" i="1"/>
  <c r="DR117" i="1"/>
  <c r="BI165" i="1"/>
  <c r="EK97" i="1"/>
  <c r="DP35" i="1"/>
  <c r="DM162" i="1"/>
  <c r="DS73" i="1"/>
  <c r="DQ143" i="1"/>
  <c r="DL167" i="1"/>
  <c r="DP141" i="1"/>
  <c r="BI156" i="1"/>
  <c r="DQ77" i="1"/>
  <c r="EK90" i="1"/>
  <c r="DP158" i="1"/>
  <c r="CC145" i="1"/>
  <c r="BU98" i="1"/>
  <c r="DR17" i="1"/>
  <c r="BX152" i="1"/>
  <c r="DR26" i="1"/>
  <c r="BQ148" i="1"/>
  <c r="CW148" i="1" s="1"/>
  <c r="DR186" i="1"/>
  <c r="DR95" i="1"/>
  <c r="DR158" i="1"/>
  <c r="BQ17" i="1"/>
  <c r="EK96" i="1"/>
  <c r="BX12" i="1"/>
  <c r="DR165" i="1"/>
  <c r="BQ26" i="1"/>
  <c r="BX30" i="1"/>
  <c r="BX95" i="1"/>
  <c r="EK114" i="1"/>
  <c r="BQ96" i="1"/>
  <c r="DP166" i="1"/>
  <c r="DP160" i="1"/>
  <c r="DS140" i="1"/>
  <c r="DR107" i="1"/>
  <c r="BI19" i="1"/>
  <c r="DL15" i="1"/>
  <c r="DM177" i="1"/>
  <c r="DR143" i="1"/>
  <c r="DS77" i="1"/>
  <c r="DQ186" i="1"/>
  <c r="EK85" i="1"/>
  <c r="DP19" i="1"/>
  <c r="DL58" i="1"/>
  <c r="BI145" i="1"/>
  <c r="BZ19" i="1"/>
  <c r="BS125" i="1"/>
  <c r="CC62" i="1"/>
  <c r="CB94" i="1"/>
  <c r="ED140" i="1"/>
  <c r="CV17" i="1"/>
  <c r="E6" i="1"/>
  <c r="CB32" i="1"/>
  <c r="CV30" i="1"/>
  <c r="CB127" i="1"/>
  <c r="BZ102" i="1"/>
  <c r="BT76" i="1"/>
  <c r="E14" i="1"/>
  <c r="CA147" i="1"/>
  <c r="BS113" i="1"/>
  <c r="BZ111" i="1"/>
  <c r="E16" i="1"/>
  <c r="E29" i="1"/>
  <c r="E21" i="1"/>
  <c r="E28" i="1"/>
  <c r="CP176" i="1"/>
  <c r="CB25" i="1"/>
  <c r="BS121" i="1"/>
  <c r="CP71" i="1"/>
  <c r="CP187" i="1"/>
  <c r="E32" i="1"/>
  <c r="CV31" i="1"/>
  <c r="E7" i="1"/>
  <c r="E57" i="1"/>
  <c r="CV36" i="1"/>
  <c r="BZ108" i="1"/>
  <c r="CA109" i="1" s="1"/>
  <c r="CP184" i="1"/>
  <c r="CC158" i="1"/>
  <c r="CC60" i="1"/>
  <c r="CA62" i="1"/>
  <c r="CP142" i="1"/>
  <c r="CY184" i="1"/>
  <c r="BZ114" i="1"/>
  <c r="CV14" i="1"/>
  <c r="CA60" i="1"/>
  <c r="CY180" i="1"/>
  <c r="E62" i="1"/>
  <c r="CV26" i="1"/>
  <c r="CP16" i="1"/>
  <c r="CC181" i="1"/>
  <c r="CP154" i="1"/>
  <c r="CP21" i="1"/>
  <c r="E33" i="1"/>
  <c r="CP141" i="1"/>
  <c r="CP179" i="1"/>
  <c r="CB30" i="1"/>
  <c r="CC183" i="1"/>
  <c r="CP12" i="1"/>
  <c r="BZ123" i="1"/>
  <c r="E37" i="1"/>
  <c r="CP38" i="1"/>
  <c r="E8" i="1"/>
  <c r="BZ106" i="1"/>
  <c r="BZ36" i="1"/>
  <c r="CB33" i="1"/>
  <c r="BU109" i="1"/>
  <c r="CB114" i="1"/>
  <c r="CP158" i="1"/>
  <c r="CP17" i="1"/>
  <c r="CP7" i="1"/>
  <c r="CP57" i="1"/>
  <c r="E23" i="1"/>
  <c r="BZ16" i="1"/>
  <c r="BS124" i="1"/>
  <c r="BZ35" i="1"/>
  <c r="BZ28" i="1"/>
  <c r="CA146" i="1"/>
  <c r="BU111" i="1"/>
  <c r="CP150" i="1"/>
  <c r="BU7" i="1"/>
  <c r="CC185" i="1"/>
  <c r="BU104" i="1"/>
  <c r="CP34" i="1"/>
  <c r="E20" i="1"/>
  <c r="CP152" i="1"/>
  <c r="CB107" i="1"/>
  <c r="BS93" i="1"/>
  <c r="DS46" i="1"/>
  <c r="DL150" i="1"/>
  <c r="DL189" i="1"/>
  <c r="BI166" i="1"/>
  <c r="BI162" i="1"/>
  <c r="DP38" i="1"/>
  <c r="BY139" i="1"/>
  <c r="DL145" i="1"/>
  <c r="CP74" i="1"/>
  <c r="E36" i="1"/>
  <c r="BZ117" i="1"/>
  <c r="BZ98" i="1"/>
  <c r="BZ90" i="1"/>
  <c r="CP48" i="1"/>
  <c r="CP144" i="1"/>
  <c r="CP19" i="1"/>
  <c r="CR42" i="1"/>
  <c r="DK44" i="1"/>
  <c r="DL12" i="1"/>
  <c r="DV21" i="1"/>
  <c r="CM1" i="1"/>
  <c r="DL79" i="1"/>
  <c r="CA46" i="1"/>
  <c r="CV29" i="1"/>
  <c r="BT59" i="1"/>
  <c r="BU37" i="1"/>
  <c r="CY140" i="1"/>
  <c r="CA142" i="1"/>
  <c r="CV8" i="1"/>
  <c r="CP178" i="1"/>
  <c r="DR116" i="1"/>
  <c r="E10" i="1"/>
  <c r="BI46" i="1"/>
  <c r="EK111" i="1"/>
  <c r="ED178" i="1"/>
  <c r="BQ98" i="1"/>
  <c r="BI184" i="1"/>
  <c r="DV14" i="1"/>
  <c r="EK184" i="1"/>
  <c r="EK182" i="1"/>
  <c r="ET182" i="1" s="1"/>
  <c r="DQ47" i="1"/>
  <c r="CA72" i="1"/>
  <c r="CV35" i="1"/>
  <c r="CP47" i="1"/>
  <c r="BZ128" i="1"/>
  <c r="CV12" i="1"/>
  <c r="BT48" i="1"/>
  <c r="DP159" i="1"/>
  <c r="DQ63" i="1"/>
  <c r="DW24" i="1"/>
  <c r="DV61" i="1"/>
  <c r="BX174" i="1"/>
  <c r="E12" i="1"/>
  <c r="BX188" i="1"/>
  <c r="CY188" i="1" s="1"/>
  <c r="DW16" i="1"/>
  <c r="DW71" i="1"/>
  <c r="CV23" i="1"/>
  <c r="BX20" i="1"/>
  <c r="DW33" i="1"/>
  <c r="ES33" i="1" s="1"/>
  <c r="DR15" i="1"/>
  <c r="BX146" i="1"/>
  <c r="CY146" i="1" s="1"/>
  <c r="E22" i="1"/>
  <c r="BX14" i="1"/>
  <c r="DR25" i="1"/>
  <c r="BI186" i="1"/>
  <c r="DR154" i="1"/>
  <c r="DV15" i="1"/>
  <c r="DV59" i="1"/>
  <c r="BI59" i="1"/>
  <c r="CP59" i="1"/>
  <c r="DW77" i="1"/>
  <c r="BX147" i="1"/>
  <c r="DL152" i="1"/>
  <c r="DL140" i="1"/>
  <c r="CP60" i="1"/>
  <c r="DV13" i="1"/>
  <c r="DR5" i="1"/>
  <c r="DS28" i="1"/>
  <c r="CP173" i="1"/>
  <c r="E47" i="1"/>
  <c r="BQ76" i="1"/>
  <c r="ET76" i="1" s="1"/>
  <c r="E61" i="1"/>
  <c r="DS160" i="1"/>
  <c r="DL61" i="1"/>
  <c r="DV155" i="1"/>
  <c r="DL138" i="1"/>
  <c r="DP187" i="1"/>
  <c r="DV58" i="1"/>
  <c r="DR185" i="1"/>
  <c r="DL70" i="1"/>
  <c r="BU126" i="1"/>
  <c r="CB126" i="1"/>
  <c r="BS5" i="1"/>
  <c r="BT5" i="1" s="1"/>
  <c r="BZ5" i="1"/>
  <c r="BZ129" i="1"/>
  <c r="BS129" i="1"/>
  <c r="DQ31" i="1"/>
  <c r="DR31" i="1"/>
  <c r="DM176" i="1"/>
  <c r="DQ176" i="1"/>
  <c r="DS176" i="1"/>
  <c r="BQ10" i="1"/>
  <c r="DR10" i="1"/>
  <c r="BQ149" i="1"/>
  <c r="ET149" i="1" s="1"/>
  <c r="BX149" i="1"/>
  <c r="CY149" i="1" s="1"/>
  <c r="BT77" i="1"/>
  <c r="BT78" i="1"/>
  <c r="DM175" i="1"/>
  <c r="DQ175" i="1"/>
  <c r="DQ29" i="1"/>
  <c r="DS29" i="1"/>
  <c r="DL16" i="1"/>
  <c r="DP16" i="1"/>
  <c r="DR184" i="1"/>
  <c r="DQ184" i="1"/>
  <c r="DM184" i="1"/>
  <c r="DS184" i="1"/>
  <c r="BQ22" i="1"/>
  <c r="DR22" i="1"/>
  <c r="BX22" i="1"/>
  <c r="DR155" i="1"/>
  <c r="BX155" i="1"/>
  <c r="CY155" i="1" s="1"/>
  <c r="DL71" i="1"/>
  <c r="DP71" i="1"/>
  <c r="DP74" i="1"/>
  <c r="DL74" i="1"/>
  <c r="BJ87" i="1"/>
  <c r="BX87" i="1" s="1"/>
  <c r="EK87" i="1"/>
  <c r="BJ124" i="1"/>
  <c r="EK124" i="1"/>
  <c r="DM74" i="1"/>
  <c r="DS74" i="1"/>
  <c r="DR74" i="1"/>
  <c r="BX159" i="1"/>
  <c r="CY159" i="1" s="1"/>
  <c r="DR159" i="1"/>
  <c r="DS149" i="1"/>
  <c r="DQ149" i="1"/>
  <c r="DM149" i="1"/>
  <c r="DJ191" i="1"/>
  <c r="DJ136" i="1"/>
  <c r="DM156" i="1"/>
  <c r="DR156" i="1"/>
  <c r="DS156" i="1"/>
  <c r="DX150" i="1"/>
  <c r="BJ150" i="1" s="1"/>
  <c r="BJ136" i="1" s="1"/>
  <c r="EE136" i="1"/>
  <c r="EK125" i="1"/>
  <c r="BJ125" i="1"/>
  <c r="BQ125" i="1" s="1"/>
  <c r="DX46" i="1"/>
  <c r="BJ46" i="1" s="1"/>
  <c r="BJ44" i="1" s="1"/>
  <c r="EE44" i="1"/>
  <c r="DR38" i="1"/>
  <c r="DM38" i="1"/>
  <c r="DQ38" i="1"/>
  <c r="DL179" i="1"/>
  <c r="DP179" i="1"/>
  <c r="DL76" i="1"/>
  <c r="DP76" i="1"/>
  <c r="BI35" i="1"/>
  <c r="BI36" i="1"/>
  <c r="BQ173" i="1"/>
  <c r="CW173" i="1" s="1"/>
  <c r="BX173" i="1"/>
  <c r="CY173" i="1" s="1"/>
  <c r="DR173" i="1"/>
  <c r="BQ60" i="1"/>
  <c r="ET60" i="1" s="1"/>
  <c r="DR60" i="1"/>
  <c r="DM72" i="1"/>
  <c r="DS72" i="1"/>
  <c r="DR72" i="1"/>
  <c r="BI73" i="1"/>
  <c r="BI72" i="1"/>
  <c r="DL75" i="1"/>
  <c r="DP75" i="1"/>
  <c r="DR37" i="1"/>
  <c r="DI136" i="1"/>
  <c r="DI190" i="1" s="1"/>
  <c r="BQ21" i="1"/>
  <c r="BX21" i="1"/>
  <c r="DQ7" i="1"/>
  <c r="DM7" i="1"/>
  <c r="DS7" i="1"/>
  <c r="DR7" i="1"/>
  <c r="DR11" i="1"/>
  <c r="DQ11" i="1"/>
  <c r="DM11" i="1"/>
  <c r="DS11" i="1"/>
  <c r="DQ59" i="1"/>
  <c r="DS59" i="1"/>
  <c r="DM59" i="1"/>
  <c r="DR59" i="1"/>
  <c r="ES180" i="1"/>
  <c r="DP21" i="1"/>
  <c r="DL21" i="1"/>
  <c r="BI39" i="1"/>
  <c r="BI8" i="1"/>
  <c r="BI9" i="1"/>
  <c r="BH3" i="1"/>
  <c r="BI1" i="1"/>
  <c r="BH39" i="1"/>
  <c r="BH1" i="1"/>
  <c r="DQ76" i="1"/>
  <c r="DS76" i="1"/>
  <c r="EK94" i="1"/>
  <c r="EK126" i="1"/>
  <c r="DP79" i="1"/>
  <c r="DP61" i="1"/>
  <c r="DQ72" i="1"/>
  <c r="DM28" i="1"/>
  <c r="BT61" i="1"/>
  <c r="CP25" i="1"/>
  <c r="BS28" i="1"/>
  <c r="BU99" i="1"/>
  <c r="BS18" i="1"/>
  <c r="BT19" i="1" s="1"/>
  <c r="CB95" i="1"/>
  <c r="BU95" i="1"/>
  <c r="BZ31" i="1"/>
  <c r="BS31" i="1"/>
  <c r="BU19" i="1"/>
  <c r="CB19" i="1"/>
  <c r="CV5" i="1"/>
  <c r="CP11" i="1"/>
  <c r="BU91" i="1"/>
  <c r="CB91" i="1"/>
  <c r="CC179" i="1"/>
  <c r="CC180" i="1"/>
  <c r="CY179" i="1"/>
  <c r="CA172" i="1"/>
  <c r="CA171" i="1"/>
  <c r="CP28" i="1"/>
  <c r="DQ32" i="1"/>
  <c r="DR32" i="1"/>
  <c r="DS78" i="1"/>
  <c r="DQ78" i="1"/>
  <c r="DP60" i="1"/>
  <c r="DL60" i="1"/>
  <c r="DS164" i="1"/>
  <c r="DR164" i="1"/>
  <c r="BH190" i="1"/>
  <c r="BI161" i="1"/>
  <c r="BI160" i="1"/>
  <c r="BQ162" i="1"/>
  <c r="CW162" i="1" s="1"/>
  <c r="BX162" i="1"/>
  <c r="CY162" i="1" s="1"/>
  <c r="DR162" i="1"/>
  <c r="DX6" i="1"/>
  <c r="BJ6" i="1" s="1"/>
  <c r="EE3" i="1"/>
  <c r="BX29" i="1"/>
  <c r="DR29" i="1"/>
  <c r="DR70" i="1"/>
  <c r="BQ70" i="1"/>
  <c r="BR70" i="1" s="1"/>
  <c r="BX70" i="1"/>
  <c r="BY70" i="1" s="1"/>
  <c r="DY47" i="1"/>
  <c r="BK47" i="1" s="1"/>
  <c r="BQ47" i="1" s="1"/>
  <c r="ET47" i="1" s="1"/>
  <c r="EF44" i="1"/>
  <c r="BX98" i="1"/>
  <c r="DR98" i="1"/>
  <c r="BX161" i="1"/>
  <c r="CY161" i="1" s="1"/>
  <c r="DR161" i="1"/>
  <c r="DP143" i="1"/>
  <c r="CY178" i="1"/>
  <c r="BY179" i="1"/>
  <c r="BY178" i="1"/>
  <c r="DS178" i="1"/>
  <c r="DR178" i="1"/>
  <c r="DM178" i="1"/>
  <c r="DQ178" i="1"/>
  <c r="DS188" i="1"/>
  <c r="DQ188" i="1"/>
  <c r="DS33" i="1"/>
  <c r="DM33" i="1"/>
  <c r="DQ22" i="1"/>
  <c r="DM22" i="1"/>
  <c r="DK3" i="1"/>
  <c r="DK39" i="1"/>
  <c r="CV4" i="1"/>
  <c r="CS1" i="1"/>
  <c r="CR1" i="1"/>
  <c r="DS30" i="1"/>
  <c r="DM30" i="1"/>
  <c r="DQ30" i="1"/>
  <c r="DR30" i="1"/>
  <c r="DQ13" i="1"/>
  <c r="DM13" i="1"/>
  <c r="DS13" i="1"/>
  <c r="DR13" i="1"/>
  <c r="DQ172" i="1"/>
  <c r="DS172" i="1"/>
  <c r="DR172" i="1"/>
  <c r="DM172" i="1"/>
  <c r="DP8" i="1"/>
  <c r="DL8" i="1"/>
  <c r="DL153" i="1"/>
  <c r="DP153" i="1"/>
  <c r="DY4" i="1"/>
  <c r="BK4" i="1" s="1"/>
  <c r="EF3" i="1"/>
  <c r="DJ81" i="1"/>
  <c r="DM47" i="1"/>
  <c r="DS47" i="1"/>
  <c r="EK93" i="1"/>
  <c r="BJ93" i="1"/>
  <c r="BQ93" i="1" s="1"/>
  <c r="DM174" i="1"/>
  <c r="DQ174" i="1"/>
  <c r="DS174" i="1"/>
  <c r="DR109" i="1"/>
  <c r="BQ167" i="1"/>
  <c r="BR167" i="1" s="1"/>
  <c r="BX167" i="1"/>
  <c r="CY167" i="1" s="1"/>
  <c r="BI173" i="1"/>
  <c r="BI174" i="1"/>
  <c r="BX57" i="1"/>
  <c r="BY57" i="1" s="1"/>
  <c r="BQ57" i="1"/>
  <c r="BR57" i="1" s="1"/>
  <c r="CS42" i="1"/>
  <c r="DR189" i="1"/>
  <c r="DQ189" i="1"/>
  <c r="BX176" i="1"/>
  <c r="BY177" i="1" s="1"/>
  <c r="DR176" i="1"/>
  <c r="BS126" i="1"/>
  <c r="BZ126" i="1"/>
  <c r="BS122" i="1"/>
  <c r="BZ122" i="1"/>
  <c r="BS23" i="1"/>
  <c r="BZ23" i="1"/>
  <c r="CP32" i="1"/>
  <c r="DQ146" i="1"/>
  <c r="DS146" i="1"/>
  <c r="DK191" i="1"/>
  <c r="DP185" i="1"/>
  <c r="DL185" i="1"/>
  <c r="BQ62" i="1"/>
  <c r="ET62" i="1" s="1"/>
  <c r="DR62" i="1"/>
  <c r="AY44" i="1"/>
  <c r="DR73" i="1"/>
  <c r="BX73" i="1"/>
  <c r="BQ48" i="1"/>
  <c r="ET48" i="1" s="1"/>
  <c r="BX48" i="1"/>
  <c r="BY49" i="1" s="1"/>
  <c r="DM166" i="1"/>
  <c r="DQ166" i="1"/>
  <c r="DS166" i="1"/>
  <c r="DR166" i="1"/>
  <c r="BQ33" i="1"/>
  <c r="DR33" i="1"/>
  <c r="DQ23" i="1"/>
  <c r="DM23" i="1"/>
  <c r="DS23" i="1"/>
  <c r="BQ61" i="1"/>
  <c r="CW61" i="1" s="1"/>
  <c r="BX61" i="1"/>
  <c r="CY61" i="1" s="1"/>
  <c r="DR61" i="1"/>
  <c r="DL23" i="1"/>
  <c r="DP23" i="1"/>
  <c r="BI141" i="1"/>
  <c r="BH136" i="1"/>
  <c r="BI134" i="1"/>
  <c r="BI190" i="1"/>
  <c r="BI140" i="1"/>
  <c r="BQ58" i="1"/>
  <c r="CW58" i="1" s="1"/>
  <c r="DR58" i="1"/>
  <c r="DM150" i="1"/>
  <c r="DQ150" i="1"/>
  <c r="DQ37" i="1"/>
  <c r="DM37" i="1"/>
  <c r="BI33" i="1"/>
  <c r="BI34" i="1"/>
  <c r="BK110" i="1"/>
  <c r="EK110" i="1"/>
  <c r="DL161" i="1"/>
  <c r="DP161" i="1"/>
  <c r="DM58" i="1"/>
  <c r="DK81" i="1"/>
  <c r="DK80" i="1"/>
  <c r="DQ58" i="1"/>
  <c r="DS58" i="1"/>
  <c r="BK100" i="1"/>
  <c r="DR100" i="1" s="1"/>
  <c r="EK100" i="1"/>
  <c r="DP181" i="1"/>
  <c r="DL181" i="1"/>
  <c r="DS181" i="1"/>
  <c r="DQ181" i="1"/>
  <c r="DM181" i="1"/>
  <c r="DR181" i="1"/>
  <c r="BX158" i="1"/>
  <c r="BQ159" i="1"/>
  <c r="DR152" i="1"/>
  <c r="BX10" i="1"/>
  <c r="BQ161" i="1"/>
  <c r="CW161" i="1" s="1"/>
  <c r="BQ185" i="1"/>
  <c r="BX60" i="1"/>
  <c r="CY60" i="1" s="1"/>
  <c r="BQ73" i="1"/>
  <c r="CW73" i="1" s="1"/>
  <c r="BQ176" i="1"/>
  <c r="BX15" i="1"/>
  <c r="BX62" i="1"/>
  <c r="CY62" i="1" s="1"/>
  <c r="BQ147" i="1"/>
  <c r="CW147" i="1" s="1"/>
  <c r="DR57" i="1"/>
  <c r="DR149" i="1"/>
  <c r="BQ14" i="1"/>
  <c r="DR28" i="1"/>
  <c r="DK136" i="1"/>
  <c r="BQ29" i="1"/>
  <c r="DR175" i="1"/>
  <c r="DM154" i="1"/>
  <c r="DM76" i="1"/>
  <c r="DQ156" i="1"/>
  <c r="DS38" i="1"/>
  <c r="BK111" i="1"/>
  <c r="BX111" i="1" s="1"/>
  <c r="BI185" i="1"/>
  <c r="EF84" i="1"/>
  <c r="DM188" i="1"/>
  <c r="DM146" i="1"/>
  <c r="BI28" i="1"/>
  <c r="BS36" i="1"/>
  <c r="DM189" i="1"/>
  <c r="CC59" i="1"/>
  <c r="BU10" i="1"/>
  <c r="CB10" i="1"/>
  <c r="BS110" i="1"/>
  <c r="BZ110" i="1"/>
  <c r="CA110" i="1" s="1"/>
  <c r="BS26" i="1"/>
  <c r="BZ26" i="1"/>
  <c r="CA174" i="1"/>
  <c r="CB118" i="1"/>
  <c r="BU118" i="1"/>
  <c r="CA138" i="1"/>
  <c r="CY138" i="1"/>
  <c r="CB17" i="1"/>
  <c r="BU17" i="1"/>
  <c r="CC76" i="1"/>
  <c r="CC77" i="1"/>
  <c r="BZ85" i="1"/>
  <c r="BS85" i="1"/>
  <c r="CA155" i="1"/>
  <c r="CA154" i="1"/>
  <c r="BS17" i="1"/>
  <c r="BZ17" i="1"/>
  <c r="CP137" i="1"/>
  <c r="BJ118" i="1"/>
  <c r="EK118" i="1"/>
  <c r="DS152" i="1"/>
  <c r="DQ152" i="1"/>
  <c r="DM79" i="1"/>
  <c r="DQ79" i="1"/>
  <c r="DS79" i="1"/>
  <c r="DR79" i="1"/>
  <c r="BK108" i="1"/>
  <c r="EK108" i="1"/>
  <c r="DP9" i="1"/>
  <c r="DL9" i="1"/>
  <c r="BQ9" i="1"/>
  <c r="BX9" i="1"/>
  <c r="DL147" i="1"/>
  <c r="DP147" i="1"/>
  <c r="BQ187" i="1"/>
  <c r="ET187" i="1" s="1"/>
  <c r="BX187" i="1"/>
  <c r="CY187" i="1" s="1"/>
  <c r="CM42" i="1"/>
  <c r="CK44" i="1"/>
  <c r="CK81" i="1" s="1"/>
  <c r="CL42" i="1"/>
  <c r="CM82" i="1"/>
  <c r="CK84" i="1"/>
  <c r="CK131" i="1" s="1"/>
  <c r="CJ131" i="1" s="1"/>
  <c r="CL82" i="1"/>
  <c r="CP85" i="1"/>
  <c r="CP132" i="1" s="1"/>
  <c r="BJ103" i="1"/>
  <c r="DR103" i="1" s="1"/>
  <c r="EK103" i="1"/>
  <c r="CL1" i="1"/>
  <c r="CK3" i="1"/>
  <c r="CK39" i="1" s="1"/>
  <c r="CL134" i="1"/>
  <c r="BH42" i="1"/>
  <c r="BH80" i="1"/>
  <c r="BH44" i="1"/>
  <c r="BI42" i="1"/>
  <c r="BI80" i="1"/>
  <c r="CP29" i="1"/>
  <c r="BS20" i="1"/>
  <c r="BT20" i="1" s="1"/>
  <c r="BZ20" i="1"/>
  <c r="DM63" i="1"/>
  <c r="DS63" i="1"/>
  <c r="BJ113" i="1"/>
  <c r="EK113" i="1"/>
  <c r="BQ188" i="1"/>
  <c r="ET188" i="1" s="1"/>
  <c r="DR188" i="1"/>
  <c r="BX63" i="1"/>
  <c r="CY63" i="1" s="1"/>
  <c r="DR63" i="1"/>
  <c r="DR20" i="1"/>
  <c r="BQ20" i="1"/>
  <c r="BI152" i="1"/>
  <c r="BI151" i="1"/>
  <c r="DR179" i="1"/>
  <c r="DM179" i="1"/>
  <c r="DQ179" i="1"/>
  <c r="DS179" i="1"/>
  <c r="BQ23" i="1"/>
  <c r="BX23" i="1"/>
  <c r="DR23" i="1"/>
  <c r="BQ34" i="1"/>
  <c r="BX34" i="1"/>
  <c r="DM25" i="1"/>
  <c r="DQ25" i="1"/>
  <c r="DS25" i="1"/>
  <c r="DP146" i="1"/>
  <c r="DL146" i="1"/>
  <c r="BI147" i="1"/>
  <c r="BI146" i="1"/>
  <c r="DR94" i="1"/>
  <c r="BQ94" i="1"/>
  <c r="DP6" i="1"/>
  <c r="DL6" i="1"/>
  <c r="DP37" i="1"/>
  <c r="DL37" i="1"/>
  <c r="BK129" i="1"/>
  <c r="EK129" i="1"/>
  <c r="CR134" i="1"/>
  <c r="BY183" i="1"/>
  <c r="CY183" i="1"/>
  <c r="DM21" i="1"/>
  <c r="DQ21" i="1"/>
  <c r="DS21" i="1"/>
  <c r="DL7" i="1"/>
  <c r="DP7" i="1"/>
  <c r="DR24" i="1"/>
  <c r="BQ24" i="1"/>
  <c r="BX24" i="1"/>
  <c r="BQ8" i="1"/>
  <c r="DR8" i="1"/>
  <c r="BX8" i="1"/>
  <c r="BI77" i="1"/>
  <c r="BI78" i="1"/>
  <c r="BI30" i="1"/>
  <c r="BI29" i="1"/>
  <c r="DL13" i="1"/>
  <c r="DP13" i="1"/>
  <c r="DQ5" i="1"/>
  <c r="DJ39" i="1"/>
  <c r="DM5" i="1"/>
  <c r="DJ3" i="1"/>
  <c r="DP148" i="1"/>
  <c r="DL148" i="1"/>
  <c r="DQ153" i="1"/>
  <c r="DM153" i="1"/>
  <c r="DR153" i="1"/>
  <c r="DR76" i="1"/>
  <c r="BX76" i="1"/>
  <c r="AY3" i="1"/>
  <c r="EK130" i="1"/>
  <c r="BJ130" i="1"/>
  <c r="BQ130" i="1" s="1"/>
  <c r="DM157" i="1"/>
  <c r="DS157" i="1"/>
  <c r="DQ157" i="1"/>
  <c r="DR157" i="1"/>
  <c r="DL186" i="1"/>
  <c r="DP186" i="1"/>
  <c r="DS14" i="1"/>
  <c r="DM14" i="1"/>
  <c r="DQ14" i="1"/>
  <c r="BI177" i="1"/>
  <c r="BI178" i="1"/>
  <c r="DP31" i="1"/>
  <c r="DL31" i="1"/>
  <c r="DP27" i="1"/>
  <c r="DL27" i="1"/>
  <c r="DL156" i="1"/>
  <c r="DP156" i="1"/>
  <c r="DQ167" i="1"/>
  <c r="DS167" i="1"/>
  <c r="DM167" i="1"/>
  <c r="BQ15" i="1"/>
  <c r="DR14" i="1"/>
  <c r="DR78" i="1"/>
  <c r="DR48" i="1"/>
  <c r="EK98" i="1"/>
  <c r="BY184" i="1"/>
  <c r="CY181" i="1"/>
  <c r="DS22" i="1"/>
  <c r="BQ174" i="1"/>
  <c r="BX94" i="1"/>
  <c r="DQ28" i="1"/>
  <c r="BQ155" i="1"/>
  <c r="CW155" i="1" s="1"/>
  <c r="DR147" i="1"/>
  <c r="DS153" i="1"/>
  <c r="DS154" i="1"/>
  <c r="DS5" i="1"/>
  <c r="DL170" i="1"/>
  <c r="DP138" i="1"/>
  <c r="DS32" i="1"/>
  <c r="DM29" i="1"/>
  <c r="DI3" i="1"/>
  <c r="DI40" i="1" s="1"/>
  <c r="DK40" i="1"/>
  <c r="BI63" i="1"/>
  <c r="ES189" i="1"/>
  <c r="CB111" i="1"/>
  <c r="BS38" i="1"/>
  <c r="BZ38" i="1"/>
  <c r="E78" i="1"/>
  <c r="CV37" i="1"/>
  <c r="BQ126" i="1"/>
  <c r="CB123" i="1"/>
  <c r="BU123" i="1"/>
  <c r="CB99" i="1"/>
  <c r="CB124" i="1"/>
  <c r="BZ96" i="1"/>
  <c r="DR64" i="1"/>
  <c r="CB85" i="1"/>
  <c r="BU85" i="1"/>
  <c r="CY160" i="1"/>
  <c r="ES186" i="1"/>
  <c r="BS88" i="1"/>
  <c r="BU12" i="1"/>
  <c r="CC139" i="1"/>
  <c r="CC138" i="1"/>
  <c r="CP77" i="1"/>
  <c r="CB21" i="1"/>
  <c r="CP153" i="1"/>
  <c r="CB18" i="1"/>
  <c r="CB93" i="1"/>
  <c r="CC146" i="1"/>
  <c r="CC186" i="1"/>
  <c r="CY142" i="1"/>
  <c r="E13" i="1"/>
  <c r="CC143" i="1"/>
  <c r="CM44" i="1"/>
  <c r="CM81" i="1" s="1"/>
  <c r="BS25" i="1"/>
  <c r="CP30" i="1"/>
  <c r="CA149" i="1"/>
  <c r="BS104" i="1"/>
  <c r="CB87" i="1"/>
  <c r="CP72" i="1"/>
  <c r="E30" i="1"/>
  <c r="CC71" i="1"/>
  <c r="CB23" i="1"/>
  <c r="BV42" i="1"/>
  <c r="CB31" i="1"/>
  <c r="CC78" i="1"/>
  <c r="CB34" i="1"/>
  <c r="BU116" i="1"/>
  <c r="CB104" i="1"/>
  <c r="BZ103" i="1"/>
  <c r="CP37" i="1"/>
  <c r="E38" i="1"/>
  <c r="C3" i="1"/>
  <c r="BZ94" i="1"/>
  <c r="CV27" i="1"/>
  <c r="CP8" i="1"/>
  <c r="CB37" i="1"/>
  <c r="CC37" i="1" s="1"/>
  <c r="CB105" i="1"/>
  <c r="CP31" i="1"/>
  <c r="CB125" i="1"/>
  <c r="CV11" i="1"/>
  <c r="CB89" i="1"/>
  <c r="CP175" i="1"/>
  <c r="CP186" i="1"/>
  <c r="BS13" i="1"/>
  <c r="BZ119" i="1"/>
  <c r="BZ14" i="1"/>
  <c r="CP174" i="1"/>
  <c r="CV25" i="1"/>
  <c r="CB97" i="1"/>
  <c r="E34" i="1"/>
  <c r="CU44" i="1"/>
  <c r="CB103" i="1"/>
  <c r="CB38" i="1"/>
  <c r="CA157" i="1"/>
  <c r="E74" i="1"/>
  <c r="CP24" i="1"/>
  <c r="CA78" i="1"/>
  <c r="BS97" i="1"/>
  <c r="DR119" i="1"/>
  <c r="DP32" i="1"/>
  <c r="BI60" i="1"/>
  <c r="DP152" i="1"/>
  <c r="DQ154" i="1"/>
  <c r="DM160" i="1"/>
  <c r="DS175" i="1"/>
  <c r="DL174" i="1"/>
  <c r="DP140" i="1"/>
  <c r="DI44" i="1"/>
  <c r="DI80" i="1" s="1"/>
  <c r="CB108" i="1"/>
  <c r="CA73" i="1"/>
  <c r="DV22" i="1"/>
  <c r="DP70" i="1"/>
  <c r="CP139" i="1"/>
  <c r="BU110" i="1"/>
  <c r="DW26" i="1"/>
  <c r="CA139" i="1"/>
  <c r="BZ29" i="1"/>
  <c r="CQ136" i="1"/>
  <c r="DR187" i="1"/>
  <c r="E24" i="1"/>
  <c r="BU87" i="1"/>
  <c r="BU8" i="1"/>
  <c r="DJ44" i="1"/>
  <c r="DM31" i="1"/>
  <c r="CY139" i="1"/>
  <c r="DJ190" i="1"/>
  <c r="EF136" i="1"/>
  <c r="DS31" i="1"/>
  <c r="DM78" i="1"/>
  <c r="DM32" i="1"/>
  <c r="DP12" i="1"/>
  <c r="DM164" i="1"/>
  <c r="EK109" i="1"/>
  <c r="EK115" i="1"/>
  <c r="BU44" i="1"/>
  <c r="BU81" i="1" s="1"/>
  <c r="CB109" i="1"/>
  <c r="CC188" i="1"/>
  <c r="CA184" i="1"/>
  <c r="CA170" i="1"/>
  <c r="BS90" i="1"/>
  <c r="CC182" i="1"/>
  <c r="CA162" i="1"/>
  <c r="BS29" i="1"/>
  <c r="CA58" i="1"/>
  <c r="CA180" i="1"/>
  <c r="BS123" i="1"/>
  <c r="BS35" i="1"/>
  <c r="CA151" i="1"/>
  <c r="BU93" i="1"/>
  <c r="BV94" i="1" s="1"/>
  <c r="BZ18" i="1"/>
  <c r="E71" i="1"/>
  <c r="BZ104" i="1"/>
  <c r="BU97" i="1"/>
  <c r="BU30" i="1"/>
  <c r="BU13" i="1"/>
  <c r="BZ37" i="1"/>
  <c r="BS128" i="1"/>
  <c r="BT75" i="1"/>
  <c r="DS189" i="1"/>
  <c r="DV16" i="1"/>
  <c r="BI142" i="1"/>
  <c r="DH44" i="1"/>
  <c r="DH81" i="1" s="1"/>
  <c r="EE84" i="1"/>
  <c r="DQ164" i="1"/>
  <c r="DK190" i="1"/>
  <c r="CY182" i="1"/>
  <c r="BS114" i="1"/>
  <c r="BZ8" i="1"/>
  <c r="CA8" i="1" s="1"/>
  <c r="BU106" i="1"/>
  <c r="BV43" i="1"/>
  <c r="BU33" i="1"/>
  <c r="BU31" i="1"/>
  <c r="BS98" i="1"/>
  <c r="CA63" i="1"/>
  <c r="BZ12" i="1"/>
  <c r="CB15" i="1"/>
  <c r="BU26" i="1"/>
  <c r="CV20" i="1"/>
  <c r="BS44" i="1"/>
  <c r="BS80" i="1" s="1"/>
  <c r="BZ107" i="1"/>
  <c r="CS44" i="1"/>
  <c r="CS3" i="1"/>
  <c r="CB121" i="1"/>
  <c r="CS136" i="1"/>
  <c r="BS112" i="1"/>
  <c r="BZ112" i="1"/>
  <c r="CV33" i="1"/>
  <c r="CA188" i="1"/>
  <c r="CA189" i="1"/>
  <c r="CB44" i="1"/>
  <c r="CB81" i="1" s="1"/>
  <c r="CC79" i="1"/>
  <c r="CB117" i="1"/>
  <c r="CB24" i="1"/>
  <c r="CY143" i="1"/>
  <c r="BZ118" i="1"/>
  <c r="BZ34" i="1"/>
  <c r="CP170" i="1"/>
  <c r="BZ116" i="1"/>
  <c r="C136" i="1"/>
  <c r="E19" i="1"/>
  <c r="CK136" i="1"/>
  <c r="CK191" i="1" s="1"/>
  <c r="CV21" i="1"/>
  <c r="BS100" i="1"/>
  <c r="CA181" i="1"/>
  <c r="CP160" i="1"/>
  <c r="BZ11" i="1"/>
  <c r="CC147" i="1"/>
  <c r="BU102" i="1"/>
  <c r="CB102" i="1"/>
  <c r="CB6" i="1"/>
  <c r="CP146" i="1"/>
  <c r="E27" i="1"/>
  <c r="BZ25" i="1"/>
  <c r="BU96" i="1"/>
  <c r="CC161" i="1"/>
  <c r="CC160" i="1"/>
  <c r="CC149" i="1"/>
  <c r="CC148" i="1"/>
  <c r="BS120" i="1"/>
  <c r="BZ120" i="1"/>
  <c r="E11" i="1"/>
  <c r="CB11" i="1"/>
  <c r="BU11" i="1"/>
  <c r="CP23" i="1"/>
  <c r="CP156" i="1"/>
  <c r="BU6" i="1"/>
  <c r="BV6" i="1" s="1"/>
  <c r="BU89" i="1"/>
  <c r="BS37" i="1"/>
  <c r="CA143" i="1"/>
  <c r="CC46" i="1"/>
  <c r="BU121" i="1"/>
  <c r="BU113" i="1"/>
  <c r="CB8" i="1"/>
  <c r="CY141" i="1"/>
  <c r="BS33" i="1"/>
  <c r="CA185" i="1"/>
  <c r="BU130" i="1"/>
  <c r="BS16" i="1"/>
  <c r="CA150" i="1"/>
  <c r="E35" i="1"/>
  <c r="CP171" i="1"/>
  <c r="CP75" i="1"/>
  <c r="DQ17" i="1"/>
  <c r="CC154" i="1"/>
  <c r="BU35" i="1"/>
  <c r="D44" i="1"/>
  <c r="CP148" i="1"/>
  <c r="BU114" i="1"/>
  <c r="CB92" i="1"/>
  <c r="CB90" i="1"/>
  <c r="BU115" i="1"/>
  <c r="CB101" i="1"/>
  <c r="BS99" i="1"/>
  <c r="CP4" i="1"/>
  <c r="CP14" i="1"/>
  <c r="AY136" i="1"/>
  <c r="CV19" i="1"/>
  <c r="CP62" i="1"/>
  <c r="CP182" i="1"/>
  <c r="BU22" i="1"/>
  <c r="CP151" i="1"/>
  <c r="CP169" i="1"/>
  <c r="CB13" i="1"/>
  <c r="BZ32" i="1"/>
  <c r="BS106" i="1"/>
  <c r="BS117" i="1"/>
  <c r="CP167" i="1"/>
  <c r="D3" i="1"/>
  <c r="CY137" i="1"/>
  <c r="BU88" i="1"/>
  <c r="CA76" i="1"/>
  <c r="BZ124" i="1"/>
  <c r="CC141" i="1"/>
  <c r="BU100" i="1"/>
  <c r="CC140" i="1"/>
  <c r="BU119" i="1"/>
  <c r="DP14" i="1"/>
  <c r="BQ123" i="1"/>
  <c r="BI149" i="1"/>
  <c r="DV25" i="1"/>
  <c r="DS37" i="1"/>
  <c r="DP142" i="1"/>
  <c r="CA145" i="1"/>
  <c r="CY144" i="1"/>
  <c r="BN84" i="1"/>
  <c r="BZ95" i="1"/>
  <c r="BS95" i="1"/>
  <c r="BO3" i="1"/>
  <c r="CA161" i="1"/>
  <c r="CA160" i="1"/>
  <c r="CP189" i="1"/>
  <c r="E26" i="1"/>
  <c r="CW139" i="1"/>
  <c r="BT139" i="1"/>
  <c r="BT140" i="1"/>
  <c r="CA47" i="1"/>
  <c r="CA48" i="1"/>
  <c r="CP27" i="1"/>
  <c r="CP172" i="1"/>
  <c r="CP166" i="1"/>
  <c r="ED170" i="1"/>
  <c r="CA168" i="1"/>
  <c r="CA167" i="1"/>
  <c r="CB122" i="1"/>
  <c r="BU122" i="1"/>
  <c r="DZ86" i="1"/>
  <c r="BL86" i="1" s="1"/>
  <c r="EG84" i="1"/>
  <c r="BU20" i="1"/>
  <c r="CB20" i="1"/>
  <c r="CC72" i="1"/>
  <c r="EC86" i="1"/>
  <c r="BO86" i="1" s="1"/>
  <c r="BO84" i="1" s="1"/>
  <c r="EJ84" i="1"/>
  <c r="BZ115" i="1"/>
  <c r="BS115" i="1"/>
  <c r="BS27" i="1"/>
  <c r="BZ27" i="1"/>
  <c r="EK116" i="1"/>
  <c r="DR12" i="1"/>
  <c r="CM134" i="1"/>
  <c r="DH3" i="1"/>
  <c r="DH39" i="1" s="1"/>
  <c r="DJ40" i="1"/>
  <c r="CQ3" i="1"/>
  <c r="BH134" i="1"/>
  <c r="CS134" i="1"/>
  <c r="DJ80" i="1"/>
  <c r="BI61" i="1"/>
  <c r="BI163" i="1"/>
  <c r="EK187" i="1"/>
  <c r="BU34" i="1"/>
  <c r="BT46" i="1"/>
  <c r="BZ100" i="1"/>
  <c r="BU14" i="1"/>
  <c r="EG3" i="1"/>
  <c r="BS108" i="1"/>
  <c r="BS111" i="1"/>
  <c r="CC73" i="1"/>
  <c r="BT43" i="1"/>
  <c r="BS136" i="1"/>
  <c r="BT137" i="1" s="1"/>
  <c r="EH3" i="1"/>
  <c r="EI3" i="1"/>
  <c r="CA152" i="1"/>
  <c r="BZ93" i="1"/>
  <c r="BT42" i="1"/>
  <c r="BS102" i="1"/>
  <c r="BU105" i="1"/>
  <c r="BU23" i="1"/>
  <c r="CC142" i="1"/>
  <c r="BS116" i="1"/>
  <c r="CA144" i="1"/>
  <c r="BU120" i="1"/>
  <c r="BU18" i="1"/>
  <c r="BU127" i="1"/>
  <c r="BT62" i="1"/>
  <c r="BZ13" i="1"/>
  <c r="CB110" i="1"/>
  <c r="BS14" i="1"/>
  <c r="BU107" i="1"/>
  <c r="DR160" i="1"/>
  <c r="EI84" i="1"/>
  <c r="CA148" i="1"/>
  <c r="BT47" i="1"/>
  <c r="BL3" i="1"/>
  <c r="BU38" i="1"/>
  <c r="BS34" i="1"/>
  <c r="CA158" i="1"/>
  <c r="BU24" i="1"/>
  <c r="BZ44" i="1"/>
  <c r="BZ81" i="1" s="1"/>
  <c r="CB14" i="1"/>
  <c r="BZ113" i="1"/>
  <c r="EJ3" i="1"/>
  <c r="CC178" i="1"/>
  <c r="BU129" i="1"/>
  <c r="BS94" i="1"/>
  <c r="CA182" i="1"/>
  <c r="DQ160" i="1"/>
  <c r="DP150" i="1"/>
  <c r="CV10" i="1"/>
  <c r="BZ97" i="1"/>
  <c r="BU117" i="1"/>
  <c r="CA79" i="1"/>
  <c r="BT72" i="1"/>
  <c r="CC48" i="1"/>
  <c r="BU125" i="1"/>
  <c r="BS107" i="1"/>
  <c r="BS103" i="1"/>
  <c r="CP145" i="1"/>
  <c r="BU103" i="1"/>
  <c r="CP177" i="1"/>
  <c r="BZ91" i="1"/>
  <c r="CM3" i="1"/>
  <c r="CM40" i="1" s="1"/>
  <c r="BZ9" i="1"/>
  <c r="CA176" i="1"/>
  <c r="CA175" i="1"/>
  <c r="CP181" i="1"/>
  <c r="CC75" i="1"/>
  <c r="CC74" i="1"/>
  <c r="CB22" i="1"/>
  <c r="BU108" i="1"/>
  <c r="CP10" i="1"/>
  <c r="BS109" i="1"/>
  <c r="BZ22" i="1"/>
  <c r="BS22" i="1"/>
  <c r="BM84" i="1"/>
  <c r="BS92" i="1"/>
  <c r="BZ92" i="1"/>
  <c r="CB128" i="1"/>
  <c r="BU25" i="1"/>
  <c r="BT58" i="1"/>
  <c r="CC187" i="1"/>
  <c r="CO44" i="1"/>
  <c r="CO81" i="1" s="1"/>
  <c r="CC58" i="1"/>
  <c r="CP157" i="1"/>
  <c r="CV38" i="1"/>
  <c r="CP185" i="1"/>
  <c r="CB116" i="1"/>
  <c r="DP171" i="1"/>
  <c r="CB35" i="1"/>
  <c r="CC36" i="1" s="1"/>
  <c r="BU32" i="1"/>
  <c r="BZ136" i="1"/>
  <c r="BZ190" i="1" s="1"/>
  <c r="CM136" i="1"/>
  <c r="CM190" i="1" s="1"/>
  <c r="CA61" i="1"/>
  <c r="CB112" i="1"/>
  <c r="CU136" i="1"/>
  <c r="BZ121" i="1"/>
  <c r="E4" i="1"/>
  <c r="BU101" i="1"/>
  <c r="EH84" i="1"/>
  <c r="BZ99" i="1"/>
  <c r="BU90" i="1"/>
  <c r="CC155" i="1"/>
  <c r="BS9" i="1"/>
  <c r="CP143" i="1"/>
  <c r="CU3" i="1"/>
  <c r="CO3" i="1"/>
  <c r="CO39" i="1" s="1"/>
  <c r="CO136" i="1"/>
  <c r="CO190" i="1" s="1"/>
  <c r="CB88" i="1"/>
  <c r="BU112" i="1"/>
  <c r="BU92" i="1"/>
  <c r="CB115" i="1"/>
  <c r="BU9" i="1"/>
  <c r="BZ130" i="1"/>
  <c r="E48" i="1"/>
  <c r="DW45" i="1"/>
  <c r="E63" i="1"/>
  <c r="CB136" i="1"/>
  <c r="CB191" i="1" s="1"/>
  <c r="BU36" i="1"/>
  <c r="CP183" i="1"/>
  <c r="CP35" i="1"/>
  <c r="CA178" i="1"/>
  <c r="CP18" i="1"/>
  <c r="DQ33" i="1"/>
  <c r="BI5" i="1"/>
  <c r="CA74" i="1"/>
  <c r="DL38" i="1"/>
  <c r="E76" i="1"/>
  <c r="CC157" i="1"/>
  <c r="CP45" i="1"/>
  <c r="E25" i="1"/>
  <c r="CA186" i="1"/>
  <c r="CY177" i="1"/>
  <c r="BS91" i="1"/>
  <c r="CP76" i="1"/>
  <c r="CP138" i="1"/>
  <c r="CV28" i="1"/>
  <c r="ED182" i="1"/>
  <c r="ES182" i="1"/>
  <c r="EK178" i="1"/>
  <c r="ET178" i="1" s="1"/>
  <c r="ES178" i="1"/>
  <c r="ED180" i="1"/>
  <c r="EK180" i="1"/>
  <c r="ET180" i="1" s="1"/>
  <c r="EK170" i="1"/>
  <c r="ES170" i="1"/>
  <c r="EK181" i="1"/>
  <c r="BM3" i="1"/>
  <c r="BZ6" i="1"/>
  <c r="BS6" i="1"/>
  <c r="BZ10" i="1"/>
  <c r="BS10" i="1"/>
  <c r="BU4" i="1"/>
  <c r="CB4" i="1"/>
  <c r="BN3" i="1"/>
  <c r="EK140" i="1"/>
  <c r="ET140" i="1" s="1"/>
  <c r="ED189" i="1"/>
  <c r="EK189" i="1"/>
  <c r="ED137" i="1"/>
  <c r="EK137" i="1"/>
  <c r="ET137" i="1" s="1"/>
  <c r="ED184" i="1"/>
  <c r="ES184" i="1"/>
  <c r="ES140" i="1"/>
  <c r="ED187" i="1"/>
  <c r="ES187" i="1"/>
  <c r="ED181" i="1"/>
  <c r="ED186" i="1"/>
  <c r="DR105" i="1"/>
  <c r="EK186" i="1"/>
  <c r="BX168" i="1"/>
  <c r="BQ107" i="1"/>
  <c r="BQ88" i="1"/>
  <c r="BX107" i="1"/>
  <c r="DR106" i="1"/>
  <c r="BQ168" i="1"/>
  <c r="BX64" i="1"/>
  <c r="DR88" i="1"/>
  <c r="BQ64" i="1"/>
  <c r="DR121" i="1"/>
  <c r="BX106" i="1"/>
  <c r="BQ121" i="1"/>
  <c r="DR112" i="1"/>
  <c r="BX127" i="1"/>
  <c r="BQ86" i="1"/>
  <c r="BX112" i="1"/>
  <c r="BQ127" i="1"/>
  <c r="BX86" i="1"/>
  <c r="BX96" i="1"/>
  <c r="BQ117" i="1"/>
  <c r="ES181" i="1"/>
  <c r="BQ109" i="1"/>
  <c r="DR126" i="1"/>
  <c r="EK64" i="1"/>
  <c r="DR146" i="1"/>
  <c r="DR97" i="1"/>
  <c r="BX117" i="1"/>
  <c r="BX45" i="1"/>
  <c r="CY45" i="1" s="1"/>
  <c r="BX109" i="1"/>
  <c r="BX126" i="1"/>
  <c r="BQ146" i="1"/>
  <c r="BQ115" i="1"/>
  <c r="BX128" i="1"/>
  <c r="DR115" i="1"/>
  <c r="DR45" i="1"/>
  <c r="BQ97" i="1"/>
  <c r="BX105" i="1"/>
  <c r="BX119" i="1"/>
  <c r="BX116" i="1"/>
  <c r="DR114" i="1"/>
  <c r="BQ119" i="1"/>
  <c r="BX101" i="1"/>
  <c r="DR101" i="1"/>
  <c r="DR128" i="1"/>
  <c r="BQ116" i="1"/>
  <c r="DR96" i="1"/>
  <c r="BQ114" i="1"/>
  <c r="ET166" i="1"/>
  <c r="ET152" i="1"/>
  <c r="ET164" i="1"/>
  <c r="ET165" i="1"/>
  <c r="CW151" i="1"/>
  <c r="ET151" i="1"/>
  <c r="CW170" i="1"/>
  <c r="ET170" i="1"/>
  <c r="CW45" i="1"/>
  <c r="BR152" i="1"/>
  <c r="BX169" i="1"/>
  <c r="DR169" i="1"/>
  <c r="CW165" i="1"/>
  <c r="BR166" i="1"/>
  <c r="BR165" i="1"/>
  <c r="ES183" i="1" l="1"/>
  <c r="EK183" i="1"/>
  <c r="ET183" i="1" s="1"/>
  <c r="EK14" i="1"/>
  <c r="EK78" i="1"/>
  <c r="ED8" i="1"/>
  <c r="ES188" i="1"/>
  <c r="EK188" i="1"/>
  <c r="EK37" i="1"/>
  <c r="BV22" i="1"/>
  <c r="ED22" i="1"/>
  <c r="ES172" i="1"/>
  <c r="ED172" i="1"/>
  <c r="ED173" i="1"/>
  <c r="EK28" i="1"/>
  <c r="ES10" i="1"/>
  <c r="ES28" i="1"/>
  <c r="EK5" i="1"/>
  <c r="BR37" i="1"/>
  <c r="BR38" i="1"/>
  <c r="ES173" i="1"/>
  <c r="EK173" i="1"/>
  <c r="ES154" i="1"/>
  <c r="ED177" i="1"/>
  <c r="ES177" i="1"/>
  <c r="EK176" i="1"/>
  <c r="ES176" i="1"/>
  <c r="ED4" i="1"/>
  <c r="ES147" i="1"/>
  <c r="BV15" i="1"/>
  <c r="CC116" i="1"/>
  <c r="ES142" i="1"/>
  <c r="ED142" i="1"/>
  <c r="BV16" i="1"/>
  <c r="ES174" i="1"/>
  <c r="EK174" i="1"/>
  <c r="ES179" i="1"/>
  <c r="ED179" i="1"/>
  <c r="EK35" i="1"/>
  <c r="CZ62" i="1"/>
  <c r="ED149" i="1"/>
  <c r="ES47" i="1"/>
  <c r="ED46" i="1"/>
  <c r="BT12" i="1"/>
  <c r="BT130" i="1"/>
  <c r="ED148" i="1"/>
  <c r="ES148" i="1"/>
  <c r="CA33" i="1"/>
  <c r="CA34" i="1"/>
  <c r="ES78" i="1"/>
  <c r="ED78" i="1"/>
  <c r="EK144" i="1"/>
  <c r="ET144" i="1" s="1"/>
  <c r="ES144" i="1"/>
  <c r="EK153" i="1"/>
  <c r="ES36" i="1"/>
  <c r="EK70" i="1"/>
  <c r="CC28" i="1"/>
  <c r="ED185" i="1"/>
  <c r="EK185" i="1"/>
  <c r="CC27" i="1"/>
  <c r="ED79" i="1"/>
  <c r="ED150" i="1"/>
  <c r="EK157" i="1"/>
  <c r="ES27" i="1"/>
  <c r="ED138" i="1"/>
  <c r="EK76" i="1"/>
  <c r="CA129" i="1"/>
  <c r="EK138" i="1"/>
  <c r="ET138" i="1" s="1"/>
  <c r="ES151" i="1"/>
  <c r="ED158" i="1"/>
  <c r="ES150" i="1"/>
  <c r="ED74" i="1"/>
  <c r="ES146" i="1"/>
  <c r="BY165" i="1"/>
  <c r="BY72" i="1"/>
  <c r="BR26" i="1"/>
  <c r="BY59" i="1"/>
  <c r="EK7" i="1"/>
  <c r="BY185" i="1"/>
  <c r="BY74" i="1"/>
  <c r="CC96" i="1"/>
  <c r="BY186" i="1"/>
  <c r="ED146" i="1"/>
  <c r="EK34" i="1"/>
  <c r="ES71" i="1"/>
  <c r="CC107" i="1"/>
  <c r="EK75" i="1"/>
  <c r="ED75" i="1"/>
  <c r="CA88" i="1"/>
  <c r="EK32" i="1"/>
  <c r="EK161" i="1"/>
  <c r="ES6" i="1"/>
  <c r="BR32" i="1"/>
  <c r="EK38" i="1"/>
  <c r="ED161" i="1"/>
  <c r="ED155" i="1"/>
  <c r="BR31" i="1"/>
  <c r="BR19" i="1"/>
  <c r="BR20" i="1"/>
  <c r="ET19" i="1"/>
  <c r="CA92" i="1"/>
  <c r="BT31" i="1"/>
  <c r="CC26" i="1"/>
  <c r="ED76" i="1"/>
  <c r="ES76" i="1"/>
  <c r="BR17" i="1"/>
  <c r="ES18" i="1"/>
  <c r="ES7" i="1"/>
  <c r="ED164" i="1"/>
  <c r="EK30" i="1"/>
  <c r="EK164" i="1"/>
  <c r="CY7" i="1"/>
  <c r="ED70" i="1"/>
  <c r="ES70" i="1"/>
  <c r="CA22" i="1"/>
  <c r="ES73" i="1"/>
  <c r="ED73" i="1"/>
  <c r="EK73" i="1"/>
  <c r="EK48" i="1"/>
  <c r="ES48" i="1"/>
  <c r="EK151" i="1"/>
  <c r="ES8" i="1"/>
  <c r="ED151" i="1"/>
  <c r="ES166" i="1"/>
  <c r="EK166" i="1"/>
  <c r="CC130" i="1"/>
  <c r="BY154" i="1"/>
  <c r="ED25" i="1"/>
  <c r="BR95" i="1"/>
  <c r="ED24" i="1"/>
  <c r="EK175" i="1"/>
  <c r="BV126" i="1"/>
  <c r="CC114" i="1"/>
  <c r="BR49" i="1"/>
  <c r="ES79" i="1"/>
  <c r="ED6" i="1"/>
  <c r="CW16" i="1"/>
  <c r="CW30" i="1"/>
  <c r="BR30" i="1"/>
  <c r="CC113" i="1"/>
  <c r="ED171" i="1"/>
  <c r="ED11" i="1"/>
  <c r="EK149" i="1"/>
  <c r="ES32" i="1"/>
  <c r="ED32" i="1"/>
  <c r="ED30" i="1"/>
  <c r="ET175" i="1"/>
  <c r="EK79" i="1"/>
  <c r="EK8" i="1"/>
  <c r="BY29" i="1"/>
  <c r="CA90" i="1"/>
  <c r="BY28" i="1"/>
  <c r="EK72" i="1"/>
  <c r="CW172" i="1"/>
  <c r="ES46" i="1"/>
  <c r="ES30" i="1"/>
  <c r="EK141" i="1"/>
  <c r="ET141" i="1" s="1"/>
  <c r="ES149" i="1"/>
  <c r="ES162" i="1"/>
  <c r="CC101" i="1"/>
  <c r="CC97" i="1"/>
  <c r="BV17" i="1"/>
  <c r="BR176" i="1"/>
  <c r="EK77" i="1"/>
  <c r="BY115" i="1"/>
  <c r="ED23" i="1"/>
  <c r="CY71" i="1"/>
  <c r="CZ72" i="1" s="1"/>
  <c r="BY116" i="1"/>
  <c r="BX125" i="1"/>
  <c r="BY126" i="1" s="1"/>
  <c r="ES31" i="1"/>
  <c r="ED47" i="1"/>
  <c r="EK11" i="1"/>
  <c r="ES35" i="1"/>
  <c r="ED159" i="1"/>
  <c r="BR91" i="1"/>
  <c r="BY123" i="1"/>
  <c r="ED62" i="1"/>
  <c r="ED38" i="1"/>
  <c r="ES152" i="1"/>
  <c r="ED45" i="1"/>
  <c r="BR14" i="1"/>
  <c r="CA89" i="1"/>
  <c r="BT97" i="1"/>
  <c r="ED154" i="1"/>
  <c r="ES156" i="1"/>
  <c r="ED63" i="1"/>
  <c r="ES29" i="1"/>
  <c r="ED153" i="1"/>
  <c r="ES145" i="1"/>
  <c r="ED36" i="1"/>
  <c r="EK167" i="1"/>
  <c r="ED152" i="1"/>
  <c r="ES171" i="1"/>
  <c r="ED147" i="1"/>
  <c r="ED29" i="1"/>
  <c r="EK156" i="1"/>
  <c r="EK27" i="1"/>
  <c r="ED27" i="1"/>
  <c r="ES157" i="1"/>
  <c r="ES34" i="1"/>
  <c r="EK154" i="1"/>
  <c r="EK139" i="1"/>
  <c r="ET139" i="1" s="1"/>
  <c r="BX120" i="1"/>
  <c r="CY120" i="1" s="1"/>
  <c r="DR120" i="1"/>
  <c r="EK23" i="1"/>
  <c r="ES5" i="1"/>
  <c r="EK145" i="1"/>
  <c r="CA15" i="1"/>
  <c r="BY77" i="1"/>
  <c r="CA126" i="1"/>
  <c r="CA16" i="1"/>
  <c r="CY33" i="1"/>
  <c r="ET63" i="1"/>
  <c r="DR125" i="1"/>
  <c r="EK165" i="1"/>
  <c r="EK147" i="1"/>
  <c r="CA125" i="1"/>
  <c r="BR174" i="1"/>
  <c r="BY16" i="1"/>
  <c r="BY175" i="1"/>
  <c r="EK21" i="1"/>
  <c r="ED57" i="1"/>
  <c r="EK63" i="1"/>
  <c r="ED5" i="1"/>
  <c r="ES74" i="1"/>
  <c r="ED37" i="1"/>
  <c r="ED141" i="1"/>
  <c r="ES165" i="1"/>
  <c r="ES167" i="1"/>
  <c r="CY154" i="1"/>
  <c r="CZ154" i="1" s="1"/>
  <c r="BY35" i="1"/>
  <c r="CW21" i="1"/>
  <c r="ED61" i="1"/>
  <c r="EK74" i="1"/>
  <c r="BY33" i="1"/>
  <c r="BY38" i="1"/>
  <c r="ED156" i="1"/>
  <c r="ET78" i="1"/>
  <c r="BR86" i="1"/>
  <c r="EK62" i="1"/>
  <c r="EK143" i="1"/>
  <c r="ET143" i="1" s="1"/>
  <c r="BY14" i="1"/>
  <c r="BV29" i="1"/>
  <c r="BR92" i="1"/>
  <c r="BR28" i="1"/>
  <c r="CW169" i="1"/>
  <c r="ED10" i="1"/>
  <c r="ES63" i="1"/>
  <c r="ES62" i="1"/>
  <c r="ES160" i="1"/>
  <c r="ED160" i="1"/>
  <c r="EK10" i="1"/>
  <c r="CY59" i="1"/>
  <c r="CZ60" i="1" s="1"/>
  <c r="BY122" i="1"/>
  <c r="CW160" i="1"/>
  <c r="BR145" i="1"/>
  <c r="BR169" i="1"/>
  <c r="BR13" i="1"/>
  <c r="ED60" i="1"/>
  <c r="ES4" i="1"/>
  <c r="EK36" i="1"/>
  <c r="EK169" i="1"/>
  <c r="ES143" i="1"/>
  <c r="EK12" i="1"/>
  <c r="BR172" i="1"/>
  <c r="ET156" i="1"/>
  <c r="ET171" i="1"/>
  <c r="ES38" i="1"/>
  <c r="ES17" i="1"/>
  <c r="EK17" i="1"/>
  <c r="EK60" i="1"/>
  <c r="ES14" i="1"/>
  <c r="ES175" i="1"/>
  <c r="ES153" i="1"/>
  <c r="ES169" i="1"/>
  <c r="ES139" i="1"/>
  <c r="BY25" i="1"/>
  <c r="CA128" i="1"/>
  <c r="BY79" i="1"/>
  <c r="ES60" i="1"/>
  <c r="EK19" i="1"/>
  <c r="CW188" i="1"/>
  <c r="ES72" i="1"/>
  <c r="ED157" i="1"/>
  <c r="BY26" i="1"/>
  <c r="ET71" i="1"/>
  <c r="CW149" i="1"/>
  <c r="CW171" i="1"/>
  <c r="ES37" i="1"/>
  <c r="ED34" i="1"/>
  <c r="ED35" i="1"/>
  <c r="ED175" i="1"/>
  <c r="EK162" i="1"/>
  <c r="ES13" i="1"/>
  <c r="ES59" i="1"/>
  <c r="BR102" i="1"/>
  <c r="CA115" i="1"/>
  <c r="CC99" i="1"/>
  <c r="BR72" i="1"/>
  <c r="BR78" i="1"/>
  <c r="ET77" i="1"/>
  <c r="BR77" i="1"/>
  <c r="BY19" i="1"/>
  <c r="ED31" i="1"/>
  <c r="BT115" i="1"/>
  <c r="CC7" i="1"/>
  <c r="CA112" i="1"/>
  <c r="CA19" i="1"/>
  <c r="CC32" i="1"/>
  <c r="CK1" i="1"/>
  <c r="BT127" i="1"/>
  <c r="BY157" i="1"/>
  <c r="BR12" i="1"/>
  <c r="BY18" i="1"/>
  <c r="BR173" i="1"/>
  <c r="ES23" i="1"/>
  <c r="CZ78" i="1"/>
  <c r="CZ138" i="1"/>
  <c r="ED26" i="1"/>
  <c r="BT88" i="1"/>
  <c r="BY78" i="1"/>
  <c r="ET173" i="1"/>
  <c r="CY79" i="1"/>
  <c r="CZ79" i="1" s="1"/>
  <c r="CA20" i="1"/>
  <c r="CZ173" i="1"/>
  <c r="BY20" i="1"/>
  <c r="BT107" i="1"/>
  <c r="BY91" i="1"/>
  <c r="BY36" i="1"/>
  <c r="CZ75" i="1"/>
  <c r="EK58" i="1"/>
  <c r="BY105" i="1"/>
  <c r="BY75" i="1"/>
  <c r="CA113" i="1"/>
  <c r="CC8" i="1"/>
  <c r="BY158" i="1"/>
  <c r="BT119" i="1"/>
  <c r="ED58" i="1"/>
  <c r="CZ184" i="1"/>
  <c r="CC6" i="1"/>
  <c r="CY164" i="1"/>
  <c r="CZ165" i="1" s="1"/>
  <c r="ET158" i="1"/>
  <c r="CW32" i="1"/>
  <c r="BT33" i="1"/>
  <c r="CW11" i="1"/>
  <c r="BT120" i="1"/>
  <c r="CZ172" i="1"/>
  <c r="BY17" i="1"/>
  <c r="ES158" i="1"/>
  <c r="CC17" i="1"/>
  <c r="BY10" i="1"/>
  <c r="BY171" i="1"/>
  <c r="ET186" i="1"/>
  <c r="ED12" i="1"/>
  <c r="ED14" i="1"/>
  <c r="BT118" i="1"/>
  <c r="BR186" i="1"/>
  <c r="BR159" i="1"/>
  <c r="BR11" i="1"/>
  <c r="BY172" i="1"/>
  <c r="CW145" i="1"/>
  <c r="BQ87" i="1"/>
  <c r="ET87" i="1" s="1"/>
  <c r="DR87" i="1"/>
  <c r="CA127" i="1"/>
  <c r="CA105" i="1"/>
  <c r="CC34" i="1"/>
  <c r="BR25" i="1"/>
  <c r="CY26" i="1"/>
  <c r="CY5" i="1"/>
  <c r="BY32" i="1"/>
  <c r="CC33" i="1"/>
  <c r="CA130" i="1"/>
  <c r="BV127" i="1"/>
  <c r="CA96" i="1"/>
  <c r="CA30" i="1"/>
  <c r="CA17" i="1"/>
  <c r="CA106" i="1"/>
  <c r="BX93" i="1"/>
  <c r="CY93" i="1" s="1"/>
  <c r="ED18" i="1"/>
  <c r="ES159" i="1"/>
  <c r="EK18" i="1"/>
  <c r="EK159" i="1"/>
  <c r="CW74" i="1"/>
  <c r="CZ179" i="1"/>
  <c r="CW91" i="1"/>
  <c r="BV91" i="1"/>
  <c r="BT36" i="1"/>
  <c r="CW126" i="1"/>
  <c r="BR29" i="1"/>
  <c r="CZ166" i="1"/>
  <c r="CY73" i="1"/>
  <c r="CZ74" i="1" s="1"/>
  <c r="BY71" i="1"/>
  <c r="CW62" i="1"/>
  <c r="CW159" i="1"/>
  <c r="CW19" i="1"/>
  <c r="ET25" i="1"/>
  <c r="BY73" i="1"/>
  <c r="CW185" i="1"/>
  <c r="ET72" i="1"/>
  <c r="ET185" i="1"/>
  <c r="ET159" i="1"/>
  <c r="ET61" i="1"/>
  <c r="DR93" i="1"/>
  <c r="ES19" i="1"/>
  <c r="ED19" i="1"/>
  <c r="CC98" i="1"/>
  <c r="CZ178" i="1"/>
  <c r="BV19" i="1"/>
  <c r="CC11" i="1"/>
  <c r="CA116" i="1"/>
  <c r="CY174" i="1"/>
  <c r="CZ174" i="1" s="1"/>
  <c r="BT8" i="1"/>
  <c r="BR63" i="1"/>
  <c r="BR62" i="1"/>
  <c r="CY70" i="1"/>
  <c r="CZ70" i="1" s="1"/>
  <c r="BY166" i="1"/>
  <c r="CW72" i="1"/>
  <c r="BR185" i="1"/>
  <c r="ET154" i="1"/>
  <c r="CK80" i="1"/>
  <c r="BT9" i="1"/>
  <c r="CA27" i="1"/>
  <c r="BV123" i="1"/>
  <c r="CZ183" i="1"/>
  <c r="BR160" i="1"/>
  <c r="BV92" i="1"/>
  <c r="BT23" i="1"/>
  <c r="BT37" i="1"/>
  <c r="CW8" i="1"/>
  <c r="BR9" i="1"/>
  <c r="CQ1" i="1"/>
  <c r="BR155" i="1"/>
  <c r="BV124" i="1"/>
  <c r="BV30" i="1"/>
  <c r="CB80" i="1"/>
  <c r="BT16" i="1"/>
  <c r="EK6" i="1"/>
  <c r="EK158" i="1"/>
  <c r="BV97" i="1"/>
  <c r="CY76" i="1"/>
  <c r="CZ77" i="1" s="1"/>
  <c r="BT13" i="1"/>
  <c r="CC21" i="1"/>
  <c r="CC92" i="1"/>
  <c r="CC19" i="1"/>
  <c r="BV96" i="1"/>
  <c r="CC127" i="1"/>
  <c r="CA117" i="1"/>
  <c r="BV111" i="1"/>
  <c r="BT124" i="1"/>
  <c r="BV110" i="1"/>
  <c r="CZ180" i="1"/>
  <c r="CW96" i="1"/>
  <c r="BT105" i="1"/>
  <c r="CY29" i="1"/>
  <c r="CC10" i="1"/>
  <c r="CY11" i="1"/>
  <c r="BY76" i="1"/>
  <c r="BY146" i="1"/>
  <c r="ET16" i="1"/>
  <c r="ET30" i="1"/>
  <c r="DH80" i="1"/>
  <c r="CO191" i="1"/>
  <c r="ED77" i="1"/>
  <c r="ET12" i="1"/>
  <c r="CY145" i="1"/>
  <c r="CZ145" i="1" s="1"/>
  <c r="BR156" i="1"/>
  <c r="ET155" i="1"/>
  <c r="CC90" i="1"/>
  <c r="BY147" i="1"/>
  <c r="CY28" i="1"/>
  <c r="BY152" i="1"/>
  <c r="CZ61" i="1"/>
  <c r="BT125" i="1"/>
  <c r="ES45" i="1"/>
  <c r="ES12" i="1"/>
  <c r="BV125" i="1"/>
  <c r="BV95" i="1"/>
  <c r="BV35" i="1"/>
  <c r="BV31" i="1"/>
  <c r="CC109" i="1"/>
  <c r="BR27" i="1"/>
  <c r="BR18" i="1"/>
  <c r="ED72" i="1"/>
  <c r="ES24" i="1"/>
  <c r="BT106" i="1"/>
  <c r="CY115" i="1"/>
  <c r="ES58" i="1"/>
  <c r="BT102" i="1"/>
  <c r="BT101" i="1"/>
  <c r="CA118" i="1"/>
  <c r="BT29" i="1"/>
  <c r="CW25" i="1"/>
  <c r="CZ142" i="1"/>
  <c r="CY18" i="1"/>
  <c r="BR8" i="1"/>
  <c r="ET85" i="1"/>
  <c r="BV26" i="1"/>
  <c r="BV104" i="1"/>
  <c r="CA24" i="1"/>
  <c r="CW167" i="1"/>
  <c r="BY62" i="1"/>
  <c r="BR187" i="1"/>
  <c r="BR128" i="1"/>
  <c r="EK46" i="1"/>
  <c r="EK24" i="1"/>
  <c r="CC29" i="1"/>
  <c r="BZ191" i="1"/>
  <c r="ES57" i="1"/>
  <c r="CW9" i="1"/>
  <c r="BT110" i="1"/>
  <c r="BR79" i="1"/>
  <c r="BY60" i="1"/>
  <c r="BR149" i="1"/>
  <c r="CZ185" i="1"/>
  <c r="BY162" i="1"/>
  <c r="BY161" i="1"/>
  <c r="BR175" i="1"/>
  <c r="ET148" i="1"/>
  <c r="ET189" i="1"/>
  <c r="ET167" i="1"/>
  <c r="ET174" i="1"/>
  <c r="CY126" i="1"/>
  <c r="CW59" i="1"/>
  <c r="BK44" i="1"/>
  <c r="EK150" i="1"/>
  <c r="EK57" i="1"/>
  <c r="ES155" i="1"/>
  <c r="BV37" i="1"/>
  <c r="CW76" i="1"/>
  <c r="CC111" i="1"/>
  <c r="BT111" i="1"/>
  <c r="CC108" i="1"/>
  <c r="BY58" i="1"/>
  <c r="CY19" i="1"/>
  <c r="CW174" i="1"/>
  <c r="EK45" i="1"/>
  <c r="BR96" i="1"/>
  <c r="CZ143" i="1"/>
  <c r="DI191" i="1"/>
  <c r="BT126" i="1"/>
  <c r="CC20" i="1"/>
  <c r="BV101" i="1"/>
  <c r="CA97" i="1"/>
  <c r="BV38" i="1"/>
  <c r="CA14" i="1"/>
  <c r="CW20" i="1"/>
  <c r="CA25" i="1"/>
  <c r="CY24" i="1"/>
  <c r="BT98" i="1"/>
  <c r="DN190" i="1"/>
  <c r="BT129" i="1"/>
  <c r="CZ139" i="1"/>
  <c r="CY87" i="1"/>
  <c r="BR15" i="1"/>
  <c r="BY23" i="1"/>
  <c r="DR47" i="1"/>
  <c r="CK42" i="1"/>
  <c r="BY98" i="1"/>
  <c r="BY21" i="1"/>
  <c r="ET7" i="1"/>
  <c r="BY12" i="1"/>
  <c r="BY173" i="1"/>
  <c r="BR48" i="1"/>
  <c r="CW47" i="1"/>
  <c r="BY37" i="1"/>
  <c r="BY189" i="1"/>
  <c r="BR188" i="1"/>
  <c r="CW48" i="1"/>
  <c r="BY61" i="1"/>
  <c r="ET79" i="1"/>
  <c r="CY57" i="1"/>
  <c r="CZ57" i="1" s="1"/>
  <c r="CW187" i="1"/>
  <c r="CK40" i="1"/>
  <c r="CP131" i="1"/>
  <c r="DI39" i="1"/>
  <c r="CW125" i="1"/>
  <c r="EK155" i="1"/>
  <c r="EK47" i="1"/>
  <c r="BV112" i="1"/>
  <c r="CC23" i="1"/>
  <c r="BV105" i="1"/>
  <c r="BT28" i="1"/>
  <c r="CW95" i="1"/>
  <c r="CC126" i="1"/>
  <c r="CZ181" i="1"/>
  <c r="BX47" i="1"/>
  <c r="CY47" i="1" s="1"/>
  <c r="BY11" i="1"/>
  <c r="CW24" i="1"/>
  <c r="ES15" i="1"/>
  <c r="BT21" i="1"/>
  <c r="BR123" i="1"/>
  <c r="ET28" i="1"/>
  <c r="CY22" i="1"/>
  <c r="CY88" i="1"/>
  <c r="BR58" i="1"/>
  <c r="ES25" i="1"/>
  <c r="BY64" i="1"/>
  <c r="CY107" i="1"/>
  <c r="CW5" i="1"/>
  <c r="CC129" i="1"/>
  <c r="ET23" i="1"/>
  <c r="CW106" i="1"/>
  <c r="CW33" i="1"/>
  <c r="BR106" i="1"/>
  <c r="BT113" i="1"/>
  <c r="BX100" i="1"/>
  <c r="BY101" i="1" s="1"/>
  <c r="CA18" i="1"/>
  <c r="BV103" i="1"/>
  <c r="BU42" i="1"/>
  <c r="CC93" i="1"/>
  <c r="ET176" i="1"/>
  <c r="CB190" i="1"/>
  <c r="CZ171" i="1"/>
  <c r="BZ80" i="1"/>
  <c r="CA26" i="1"/>
  <c r="BV98" i="1"/>
  <c r="BY87" i="1"/>
  <c r="CY21" i="1"/>
  <c r="CC25" i="1"/>
  <c r="CZ144" i="1"/>
  <c r="CY27" i="1"/>
  <c r="EK25" i="1"/>
  <c r="BV24" i="1"/>
  <c r="BV107" i="1"/>
  <c r="ET90" i="1"/>
  <c r="CZ161" i="1"/>
  <c r="CZ189" i="1"/>
  <c r="ET91" i="1"/>
  <c r="BX89" i="1"/>
  <c r="BY90" i="1" s="1"/>
  <c r="CP136" i="1"/>
  <c r="BY88" i="1"/>
  <c r="EK9" i="1"/>
  <c r="BS191" i="1"/>
  <c r="ES9" i="1"/>
  <c r="CY99" i="1"/>
  <c r="BT108" i="1"/>
  <c r="BT95" i="1"/>
  <c r="ET70" i="1"/>
  <c r="BQ89" i="1"/>
  <c r="ET89" i="1" s="1"/>
  <c r="BY99" i="1"/>
  <c r="CW101" i="1"/>
  <c r="BT128" i="1"/>
  <c r="CC100" i="1"/>
  <c r="BS190" i="1"/>
  <c r="BV21" i="1"/>
  <c r="EK33" i="1"/>
  <c r="ED33" i="1"/>
  <c r="BU86" i="1"/>
  <c r="BV86" i="1" s="1"/>
  <c r="CZ149" i="1"/>
  <c r="BR153" i="1"/>
  <c r="CW36" i="1"/>
  <c r="CW153" i="1"/>
  <c r="CW102" i="1"/>
  <c r="CW37" i="1"/>
  <c r="CC125" i="1"/>
  <c r="BT96" i="1"/>
  <c r="CY104" i="1"/>
  <c r="CY34" i="1"/>
  <c r="CC102" i="1"/>
  <c r="CC103" i="1"/>
  <c r="CC104" i="1"/>
  <c r="CY123" i="1"/>
  <c r="CA122" i="1"/>
  <c r="BT114" i="1"/>
  <c r="BT89" i="1"/>
  <c r="CJ191" i="1"/>
  <c r="CY32" i="1"/>
  <c r="CA29" i="1"/>
  <c r="BV106" i="1"/>
  <c r="CW105" i="1"/>
  <c r="BV23" i="1"/>
  <c r="BT99" i="1"/>
  <c r="CM191" i="1"/>
  <c r="BT14" i="1"/>
  <c r="BV117" i="1"/>
  <c r="CZ160" i="1"/>
  <c r="BT38" i="1"/>
  <c r="CK134" i="1"/>
  <c r="ED16" i="1"/>
  <c r="CZ141" i="1"/>
  <c r="CA98" i="1"/>
  <c r="BT93" i="1"/>
  <c r="CA124" i="1"/>
  <c r="CY114" i="1"/>
  <c r="CY25" i="1"/>
  <c r="BY31" i="1"/>
  <c r="BV128" i="1"/>
  <c r="CY16" i="1"/>
  <c r="CW130" i="1"/>
  <c r="CY101" i="1"/>
  <c r="CW15" i="1"/>
  <c r="CW60" i="1"/>
  <c r="BR105" i="1"/>
  <c r="ET20" i="1"/>
  <c r="ET9" i="1"/>
  <c r="ET93" i="1"/>
  <c r="DI81" i="1"/>
  <c r="CA28" i="1"/>
  <c r="BT109" i="1"/>
  <c r="CA108" i="1"/>
  <c r="CC24" i="1"/>
  <c r="CC9" i="1"/>
  <c r="BV20" i="1"/>
  <c r="CY98" i="1"/>
  <c r="BV108" i="1"/>
  <c r="BV130" i="1"/>
  <c r="ET34" i="1"/>
  <c r="BS42" i="1"/>
  <c r="CA100" i="1"/>
  <c r="CY152" i="1"/>
  <c r="CZ153" i="1" s="1"/>
  <c r="BV122" i="1"/>
  <c r="CC122" i="1"/>
  <c r="CA13" i="1"/>
  <c r="BV14" i="1"/>
  <c r="CC123" i="1"/>
  <c r="CW7" i="1"/>
  <c r="ET24" i="1"/>
  <c r="BY27" i="1"/>
  <c r="CY37" i="1"/>
  <c r="CY158" i="1"/>
  <c r="CZ159" i="1" s="1"/>
  <c r="CZ163" i="1"/>
  <c r="BY155" i="1"/>
  <c r="ET36" i="1"/>
  <c r="ET162" i="1"/>
  <c r="CK132" i="1"/>
  <c r="CJ132" i="1" s="1"/>
  <c r="CW119" i="1"/>
  <c r="BY22" i="1"/>
  <c r="CK190" i="1"/>
  <c r="CJ190" i="1" s="1"/>
  <c r="CW121" i="1"/>
  <c r="BV25" i="1"/>
  <c r="CW85" i="1"/>
  <c r="BV120" i="1"/>
  <c r="BV89" i="1"/>
  <c r="BV33" i="1"/>
  <c r="CW38" i="1"/>
  <c r="BY30" i="1"/>
  <c r="CW28" i="1"/>
  <c r="ET123" i="1"/>
  <c r="BX92" i="1"/>
  <c r="CY92" i="1" s="1"/>
  <c r="CY48" i="1"/>
  <c r="CZ49" i="1" s="1"/>
  <c r="ES61" i="1"/>
  <c r="EK15" i="1"/>
  <c r="CY14" i="1"/>
  <c r="BV12" i="1"/>
  <c r="CO40" i="1"/>
  <c r="BV109" i="1"/>
  <c r="CZ140" i="1"/>
  <c r="CW18" i="1"/>
  <c r="CZ182" i="1"/>
  <c r="EK61" i="1"/>
  <c r="CA12" i="1"/>
  <c r="BT103" i="1"/>
  <c r="CY186" i="1"/>
  <c r="CZ187" i="1" s="1"/>
  <c r="BT35" i="1"/>
  <c r="BR154" i="1"/>
  <c r="BY187" i="1"/>
  <c r="BY15" i="1"/>
  <c r="BR21" i="1"/>
  <c r="BR76" i="1"/>
  <c r="BR75" i="1"/>
  <c r="ET75" i="1"/>
  <c r="ET5" i="1"/>
  <c r="BR93" i="1"/>
  <c r="DH190" i="1"/>
  <c r="DR92" i="1"/>
  <c r="CY127" i="1"/>
  <c r="CY106" i="1"/>
  <c r="ES77" i="1"/>
  <c r="BY149" i="1"/>
  <c r="BR59" i="1"/>
  <c r="ED15" i="1"/>
  <c r="CW93" i="1"/>
  <c r="CC94" i="1"/>
  <c r="BT94" i="1"/>
  <c r="CW128" i="1"/>
  <c r="CA111" i="1"/>
  <c r="CC91" i="1"/>
  <c r="ES22" i="1"/>
  <c r="EK22" i="1"/>
  <c r="CA99" i="1"/>
  <c r="CC105" i="1"/>
  <c r="BR22" i="1"/>
  <c r="BY167" i="1"/>
  <c r="CW34" i="1"/>
  <c r="ET13" i="1"/>
  <c r="CW12" i="1"/>
  <c r="DR111" i="1"/>
  <c r="CW29" i="1"/>
  <c r="BT30" i="1"/>
  <c r="BV129" i="1"/>
  <c r="CC115" i="1"/>
  <c r="CY121" i="1"/>
  <c r="CC121" i="1"/>
  <c r="CA35" i="1"/>
  <c r="CA107" i="1"/>
  <c r="EK16" i="1"/>
  <c r="DN39" i="1"/>
  <c r="CY8" i="1"/>
  <c r="ET94" i="1"/>
  <c r="DP3" i="1"/>
  <c r="DP39" i="1" s="1"/>
  <c r="BV118" i="1"/>
  <c r="BT26" i="1"/>
  <c r="BR34" i="1"/>
  <c r="CA123" i="1"/>
  <c r="BT18" i="1"/>
  <c r="CW22" i="1"/>
  <c r="DL44" i="1"/>
  <c r="DL80" i="1" s="1"/>
  <c r="CP80" i="1"/>
  <c r="CW98" i="1"/>
  <c r="CQ42" i="1"/>
  <c r="CA36" i="1"/>
  <c r="CC31" i="1"/>
  <c r="BT121" i="1"/>
  <c r="CA103" i="1"/>
  <c r="CC95" i="1"/>
  <c r="CY95" i="1"/>
  <c r="DP44" i="1"/>
  <c r="DP81" i="1" s="1"/>
  <c r="DM136" i="1"/>
  <c r="DM191" i="1" s="1"/>
  <c r="ET27" i="1"/>
  <c r="BT25" i="1"/>
  <c r="CW35" i="1"/>
  <c r="BR61" i="1"/>
  <c r="CY36" i="1"/>
  <c r="BY24" i="1"/>
  <c r="CY23" i="1"/>
  <c r="BR33" i="1"/>
  <c r="BY156" i="1"/>
  <c r="ET98" i="1"/>
  <c r="CW176" i="1"/>
  <c r="ET26" i="1"/>
  <c r="ET8" i="1"/>
  <c r="ET32" i="1"/>
  <c r="ET114" i="1"/>
  <c r="DR163" i="1"/>
  <c r="CY128" i="1"/>
  <c r="BQ163" i="1"/>
  <c r="ET163" i="1" s="1"/>
  <c r="BX130" i="1"/>
  <c r="ET130" i="1" s="1"/>
  <c r="EK71" i="1"/>
  <c r="EK59" i="1"/>
  <c r="CA101" i="1"/>
  <c r="CY90" i="1"/>
  <c r="CC124" i="1"/>
  <c r="BV28" i="1"/>
  <c r="CY12" i="1"/>
  <c r="BU80" i="1"/>
  <c r="CY102" i="1"/>
  <c r="BV11" i="1"/>
  <c r="CW120" i="1"/>
  <c r="BV18" i="1"/>
  <c r="BT32" i="1"/>
  <c r="CW92" i="1"/>
  <c r="CO80" i="1"/>
  <c r="BV8" i="1"/>
  <c r="BT27" i="1"/>
  <c r="BV34" i="1"/>
  <c r="CC112" i="1"/>
  <c r="ED21" i="1"/>
  <c r="CP190" i="1"/>
  <c r="CA91" i="1"/>
  <c r="CP81" i="1"/>
  <c r="BQ100" i="1"/>
  <c r="CW100" i="1" s="1"/>
  <c r="ET38" i="1"/>
  <c r="DP136" i="1"/>
  <c r="DP191" i="1" s="1"/>
  <c r="DS136" i="1"/>
  <c r="CY94" i="1"/>
  <c r="DL136" i="1"/>
  <c r="DL191" i="1" s="1"/>
  <c r="DQ136" i="1"/>
  <c r="DQ191" i="1" s="1"/>
  <c r="DQ3" i="1"/>
  <c r="DQ40" i="1" s="1"/>
  <c r="CQ134" i="1"/>
  <c r="BR24" i="1"/>
  <c r="CY9" i="1"/>
  <c r="EK84" i="1"/>
  <c r="CW17" i="1"/>
  <c r="CY85" i="1"/>
  <c r="CC118" i="1"/>
  <c r="DM44" i="1"/>
  <c r="DM81" i="1" s="1"/>
  <c r="CW122" i="1"/>
  <c r="DS44" i="1"/>
  <c r="CA32" i="1"/>
  <c r="ET99" i="1"/>
  <c r="DQ44" i="1"/>
  <c r="DQ81" i="1" s="1"/>
  <c r="DL3" i="1"/>
  <c r="DL39" i="1" s="1"/>
  <c r="DM3" i="1"/>
  <c r="DM39" i="1" s="1"/>
  <c r="DS3" i="1"/>
  <c r="DS39" i="1" s="1"/>
  <c r="BY13" i="1"/>
  <c r="BR60" i="1"/>
  <c r="CW26" i="1"/>
  <c r="BY153" i="1"/>
  <c r="BR94" i="1"/>
  <c r="CY30" i="1"/>
  <c r="CW13" i="1"/>
  <c r="BY174" i="1"/>
  <c r="BR157" i="1"/>
  <c r="BY163" i="1"/>
  <c r="ET157" i="1"/>
  <c r="ET161" i="1"/>
  <c r="ET33" i="1"/>
  <c r="ET11" i="1"/>
  <c r="ET18" i="1"/>
  <c r="ET29" i="1"/>
  <c r="BR98" i="1"/>
  <c r="ET115" i="1"/>
  <c r="CW117" i="1"/>
  <c r="CY112" i="1"/>
  <c r="CW70" i="1"/>
  <c r="ED71" i="1"/>
  <c r="EK13" i="1"/>
  <c r="ED59" i="1"/>
  <c r="ED13" i="1"/>
  <c r="BT112" i="1"/>
  <c r="CA102" i="1"/>
  <c r="BV7" i="1"/>
  <c r="BS81" i="1"/>
  <c r="CC30" i="1"/>
  <c r="BV90" i="1"/>
  <c r="BT100" i="1"/>
  <c r="BT34" i="1"/>
  <c r="BT22" i="1"/>
  <c r="CY122" i="1"/>
  <c r="BV27" i="1"/>
  <c r="ES20" i="1"/>
  <c r="CC128" i="1"/>
  <c r="EK26" i="1"/>
  <c r="ES21" i="1"/>
  <c r="BV13" i="1"/>
  <c r="BV10" i="1"/>
  <c r="BV119" i="1"/>
  <c r="BV88" i="1"/>
  <c r="CY38" i="1"/>
  <c r="CA119" i="1"/>
  <c r="CA95" i="1"/>
  <c r="BT104" i="1"/>
  <c r="ET22" i="1"/>
  <c r="BR16" i="1"/>
  <c r="BR36" i="1"/>
  <c r="BR177" i="1"/>
  <c r="CY147" i="1"/>
  <c r="CZ147" i="1" s="1"/>
  <c r="BR71" i="1"/>
  <c r="BR162" i="1"/>
  <c r="BR161" i="1"/>
  <c r="ET15" i="1"/>
  <c r="BR99" i="1"/>
  <c r="BY8" i="1"/>
  <c r="CY156" i="1"/>
  <c r="CZ156" i="1" s="1"/>
  <c r="BR158" i="1"/>
  <c r="BR35" i="1"/>
  <c r="BY148" i="1"/>
  <c r="CW94" i="1"/>
  <c r="BY164" i="1"/>
  <c r="BK136" i="1"/>
  <c r="DH40" i="1"/>
  <c r="DR130" i="1"/>
  <c r="ET35" i="1"/>
  <c r="CW123" i="1"/>
  <c r="BV121" i="1"/>
  <c r="CM39" i="1"/>
  <c r="CJ39" i="1" s="1"/>
  <c r="BV93" i="1"/>
  <c r="BT24" i="1"/>
  <c r="ED20" i="1"/>
  <c r="ES26" i="1"/>
  <c r="BT117" i="1"/>
  <c r="DN80" i="1"/>
  <c r="CC14" i="1"/>
  <c r="CP40" i="1"/>
  <c r="BV115" i="1"/>
  <c r="BV114" i="1"/>
  <c r="CA121" i="1"/>
  <c r="BV102" i="1"/>
  <c r="CC15" i="1"/>
  <c r="CW31" i="1"/>
  <c r="CA9" i="1"/>
  <c r="CA38" i="1"/>
  <c r="CW90" i="1"/>
  <c r="CC110" i="1"/>
  <c r="CZ188" i="1"/>
  <c r="ET147" i="1"/>
  <c r="ET73" i="1"/>
  <c r="ET58" i="1"/>
  <c r="BQ111" i="1"/>
  <c r="CW111" i="1" s="1"/>
  <c r="BR147" i="1"/>
  <c r="CY109" i="1"/>
  <c r="BY95" i="1"/>
  <c r="BQ103" i="1"/>
  <c r="CW103" i="1" s="1"/>
  <c r="CW88" i="1"/>
  <c r="ES16" i="1"/>
  <c r="BR126" i="1"/>
  <c r="CW99" i="1"/>
  <c r="CA94" i="1"/>
  <c r="CY97" i="1"/>
  <c r="CW112" i="1"/>
  <c r="CC119" i="1"/>
  <c r="BV32" i="1"/>
  <c r="CA114" i="1"/>
  <c r="BT90" i="1"/>
  <c r="CW23" i="1"/>
  <c r="CC16" i="1"/>
  <c r="BT17" i="1"/>
  <c r="BV100" i="1"/>
  <c r="BT123" i="1"/>
  <c r="CA23" i="1"/>
  <c r="BT122" i="1"/>
  <c r="CC89" i="1"/>
  <c r="BX113" i="1"/>
  <c r="BY113" i="1" s="1"/>
  <c r="BQ113" i="1"/>
  <c r="BR114" i="1" s="1"/>
  <c r="DR113" i="1"/>
  <c r="BQ108" i="1"/>
  <c r="BR109" i="1" s="1"/>
  <c r="BX108" i="1"/>
  <c r="CY108" i="1" s="1"/>
  <c r="DR108" i="1"/>
  <c r="BQ118" i="1"/>
  <c r="BR118" i="1" s="1"/>
  <c r="DR118" i="1"/>
  <c r="BX118" i="1"/>
  <c r="CY118" i="1" s="1"/>
  <c r="BQ46" i="1"/>
  <c r="BR42" i="1" s="1"/>
  <c r="BX46" i="1"/>
  <c r="CY46" i="1" s="1"/>
  <c r="DR46" i="1"/>
  <c r="DR150" i="1"/>
  <c r="BX150" i="1"/>
  <c r="BY134" i="1" s="1"/>
  <c r="BQ150" i="1"/>
  <c r="BX103" i="1"/>
  <c r="DR124" i="1"/>
  <c r="BX124" i="1"/>
  <c r="BQ124" i="1"/>
  <c r="DR110" i="1"/>
  <c r="BQ110" i="1"/>
  <c r="BR110" i="1" s="1"/>
  <c r="BX110" i="1"/>
  <c r="CY110" i="1" s="1"/>
  <c r="BQ4" i="1"/>
  <c r="CW4" i="1" s="1"/>
  <c r="BK3" i="1"/>
  <c r="DR4" i="1"/>
  <c r="BX4" i="1"/>
  <c r="CY4" i="1" s="1"/>
  <c r="DR6" i="1"/>
  <c r="BQ6" i="1"/>
  <c r="CW6" i="1" s="1"/>
  <c r="BJ3" i="1"/>
  <c r="BX6" i="1"/>
  <c r="BR23" i="1"/>
  <c r="BR148" i="1"/>
  <c r="BY34" i="1"/>
  <c r="CY17" i="1"/>
  <c r="BR10" i="1"/>
  <c r="BR73" i="1"/>
  <c r="CW27" i="1"/>
  <c r="CY111" i="1"/>
  <c r="BY160" i="1"/>
  <c r="ET21" i="1"/>
  <c r="ET31" i="1"/>
  <c r="ET104" i="1"/>
  <c r="CY13" i="1"/>
  <c r="CY35" i="1"/>
  <c r="BR74" i="1"/>
  <c r="BY188" i="1"/>
  <c r="CW104" i="1"/>
  <c r="ET14" i="1"/>
  <c r="ET17" i="1"/>
  <c r="ET102" i="1"/>
  <c r="ET122" i="1"/>
  <c r="BJ84" i="1"/>
  <c r="CJ81" i="1"/>
  <c r="CY96" i="1"/>
  <c r="CP44" i="1"/>
  <c r="CW57" i="1"/>
  <c r="BY63" i="1"/>
  <c r="CY20" i="1"/>
  <c r="CP39" i="1"/>
  <c r="BV99" i="1"/>
  <c r="CC18" i="1"/>
  <c r="CC106" i="1"/>
  <c r="CA37" i="1"/>
  <c r="CA104" i="1"/>
  <c r="BT91" i="1"/>
  <c r="CA31" i="1"/>
  <c r="CC13" i="1"/>
  <c r="CM80" i="1"/>
  <c r="CJ80" i="1" s="1"/>
  <c r="CA5" i="1"/>
  <c r="CA93" i="1"/>
  <c r="BT15" i="1"/>
  <c r="EK4" i="1"/>
  <c r="BT116" i="1"/>
  <c r="CA21" i="1"/>
  <c r="BV116" i="1"/>
  <c r="CC117" i="1"/>
  <c r="DR129" i="1"/>
  <c r="BX129" i="1"/>
  <c r="CY129" i="1" s="1"/>
  <c r="BQ129" i="1"/>
  <c r="CK82" i="1"/>
  <c r="CY15" i="1"/>
  <c r="BY9" i="1"/>
  <c r="BY176" i="1"/>
  <c r="CY176" i="1"/>
  <c r="CZ177" i="1" s="1"/>
  <c r="CY91" i="1"/>
  <c r="ET57" i="1"/>
  <c r="ET37" i="1"/>
  <c r="ET95" i="1"/>
  <c r="BK84" i="1"/>
  <c r="CY119" i="1"/>
  <c r="CP191" i="1"/>
  <c r="CY31" i="1"/>
  <c r="CW14" i="1"/>
  <c r="CC38" i="1"/>
  <c r="BV113" i="1"/>
  <c r="CC22" i="1"/>
  <c r="CA120" i="1"/>
  <c r="CC35" i="1"/>
  <c r="BY159" i="1"/>
  <c r="CC12" i="1"/>
  <c r="BS86" i="1"/>
  <c r="BL84" i="1"/>
  <c r="BZ86" i="1"/>
  <c r="CB86" i="1"/>
  <c r="CC88" i="1"/>
  <c r="BV9" i="1"/>
  <c r="BV36" i="1"/>
  <c r="BT92" i="1"/>
  <c r="BZ3" i="1"/>
  <c r="BZ40" i="1" s="1"/>
  <c r="CY10" i="1"/>
  <c r="BT11" i="1"/>
  <c r="BT10" i="1"/>
  <c r="ET10" i="1"/>
  <c r="CA10" i="1"/>
  <c r="CA11" i="1"/>
  <c r="BS3" i="1"/>
  <c r="BT1" i="1"/>
  <c r="BT6" i="1"/>
  <c r="BT7" i="1"/>
  <c r="BT2" i="1"/>
  <c r="CC5" i="1"/>
  <c r="CB3" i="1"/>
  <c r="CA6" i="1"/>
  <c r="CA7" i="1"/>
  <c r="CW10" i="1"/>
  <c r="BV2" i="1"/>
  <c r="BV1" i="1"/>
  <c r="BV5" i="1"/>
  <c r="BU3" i="1"/>
  <c r="ET97" i="1"/>
  <c r="ET121" i="1"/>
  <c r="ET88" i="1"/>
  <c r="ET146" i="1"/>
  <c r="ET117" i="1"/>
  <c r="ET168" i="1"/>
  <c r="ET116" i="1"/>
  <c r="ET120" i="1"/>
  <c r="BR117" i="1"/>
  <c r="BY97" i="1"/>
  <c r="BR107" i="1"/>
  <c r="BY168" i="1"/>
  <c r="CY168" i="1"/>
  <c r="CZ168" i="1" s="1"/>
  <c r="BY86" i="1"/>
  <c r="BY169" i="1"/>
  <c r="BR168" i="1"/>
  <c r="CW168" i="1"/>
  <c r="BY96" i="1"/>
  <c r="CW107" i="1"/>
  <c r="CW97" i="1"/>
  <c r="BR122" i="1"/>
  <c r="BR121" i="1"/>
  <c r="ET106" i="1"/>
  <c r="CY64" i="1"/>
  <c r="CZ65" i="1" s="1"/>
  <c r="BY107" i="1"/>
  <c r="ET107" i="1"/>
  <c r="BY65" i="1"/>
  <c r="BR146" i="1"/>
  <c r="ET64" i="1"/>
  <c r="BR65" i="1"/>
  <c r="BR64" i="1"/>
  <c r="CW64" i="1"/>
  <c r="CW109" i="1"/>
  <c r="ET127" i="1"/>
  <c r="ET112" i="1"/>
  <c r="CW127" i="1"/>
  <c r="BR127" i="1"/>
  <c r="ET96" i="1"/>
  <c r="BY106" i="1"/>
  <c r="CY105" i="1"/>
  <c r="BY112" i="1"/>
  <c r="ET92" i="1"/>
  <c r="CY117" i="1"/>
  <c r="CW115" i="1"/>
  <c r="BR115" i="1"/>
  <c r="BY117" i="1"/>
  <c r="CY116" i="1"/>
  <c r="CW146" i="1"/>
  <c r="CW114" i="1"/>
  <c r="ET126" i="1"/>
  <c r="BY127" i="1"/>
  <c r="ET45" i="1"/>
  <c r="ET105" i="1"/>
  <c r="ET101" i="1"/>
  <c r="ET109" i="1"/>
  <c r="ET119" i="1"/>
  <c r="ET125" i="1"/>
  <c r="BR120" i="1"/>
  <c r="BR97" i="1"/>
  <c r="ET128" i="1"/>
  <c r="BY128" i="1"/>
  <c r="BY102" i="1"/>
  <c r="BR116" i="1"/>
  <c r="CW116" i="1"/>
  <c r="ET169" i="1"/>
  <c r="BY170" i="1"/>
  <c r="CZ63" i="1"/>
  <c r="CZ162" i="1"/>
  <c r="CY169" i="1"/>
  <c r="CZ167" i="1"/>
  <c r="CJ40" i="1" l="1"/>
  <c r="CX17" i="1"/>
  <c r="CZ8" i="1"/>
  <c r="CZ59" i="1"/>
  <c r="CX16" i="1"/>
  <c r="BY121" i="1"/>
  <c r="BY120" i="1"/>
  <c r="CX21" i="1"/>
  <c r="CX22" i="1"/>
  <c r="CX13" i="1"/>
  <c r="CZ34" i="1"/>
  <c r="CY125" i="1"/>
  <c r="CZ126" i="1" s="1"/>
  <c r="BR87" i="1"/>
  <c r="CW87" i="1"/>
  <c r="CZ33" i="1"/>
  <c r="CZ164" i="1"/>
  <c r="ET100" i="1"/>
  <c r="ED190" i="1"/>
  <c r="CZ99" i="1"/>
  <c r="BR88" i="1"/>
  <c r="CZ155" i="1"/>
  <c r="ED191" i="1"/>
  <c r="CX12" i="1"/>
  <c r="BY89" i="1"/>
  <c r="CZ76" i="1"/>
  <c r="CY89" i="1"/>
  <c r="CZ90" i="1" s="1"/>
  <c r="CZ5" i="1"/>
  <c r="BV87" i="1"/>
  <c r="BY94" i="1"/>
  <c r="CZ26" i="1"/>
  <c r="CZ27" i="1"/>
  <c r="BY109" i="1"/>
  <c r="BY108" i="1"/>
  <c r="CX5" i="1"/>
  <c r="CZ157" i="1"/>
  <c r="CW163" i="1"/>
  <c r="CZ176" i="1"/>
  <c r="CW89" i="1"/>
  <c r="CX32" i="1"/>
  <c r="CZ73" i="1"/>
  <c r="CX33" i="1"/>
  <c r="BR104" i="1"/>
  <c r="CZ18" i="1"/>
  <c r="CZ24" i="1"/>
  <c r="BR112" i="1"/>
  <c r="CX8" i="1"/>
  <c r="CZ13" i="1"/>
  <c r="CZ88" i="1"/>
  <c r="CX9" i="1"/>
  <c r="CZ28" i="1"/>
  <c r="CZ58" i="1"/>
  <c r="BY48" i="1"/>
  <c r="CZ9" i="1"/>
  <c r="CZ116" i="1"/>
  <c r="CX10" i="1"/>
  <c r="DR44" i="1"/>
  <c r="DR81" i="1" s="1"/>
  <c r="CZ175" i="1"/>
  <c r="CZ25" i="1"/>
  <c r="CX20" i="1"/>
  <c r="CZ71" i="1"/>
  <c r="CX14" i="1"/>
  <c r="CZ47" i="1"/>
  <c r="CZ115" i="1"/>
  <c r="CZ22" i="1"/>
  <c r="CZ19" i="1"/>
  <c r="CZ12" i="1"/>
  <c r="CZ38" i="1"/>
  <c r="CZ29" i="1"/>
  <c r="EK136" i="1"/>
  <c r="CX25" i="1"/>
  <c r="DR136" i="1"/>
  <c r="DR191" i="1" s="1"/>
  <c r="CZ108" i="1"/>
  <c r="CZ146" i="1"/>
  <c r="BR89" i="1"/>
  <c r="CZ35" i="1"/>
  <c r="BY47" i="1"/>
  <c r="CX26" i="1"/>
  <c r="BY129" i="1"/>
  <c r="CX24" i="1"/>
  <c r="CZ30" i="1"/>
  <c r="ET103" i="1"/>
  <c r="CZ127" i="1"/>
  <c r="CY100" i="1"/>
  <c r="CZ101" i="1" s="1"/>
  <c r="BY93" i="1"/>
  <c r="CZ107" i="1"/>
  <c r="CZ20" i="1"/>
  <c r="BY92" i="1"/>
  <c r="BX136" i="1"/>
  <c r="BX191" i="1" s="1"/>
  <c r="CZ17" i="1"/>
  <c r="DM190" i="1"/>
  <c r="CZ15" i="1"/>
  <c r="CZ95" i="1"/>
  <c r="BY100" i="1"/>
  <c r="CZ106" i="1"/>
  <c r="DQ80" i="1"/>
  <c r="ED80" i="1"/>
  <c r="CZ37" i="1"/>
  <c r="CX38" i="1"/>
  <c r="ED81" i="1"/>
  <c r="CX31" i="1"/>
  <c r="CZ112" i="1"/>
  <c r="BR90" i="1"/>
  <c r="BR119" i="1"/>
  <c r="CZ92" i="1"/>
  <c r="CX28" i="1"/>
  <c r="CZ102" i="1"/>
  <c r="CX37" i="1"/>
  <c r="CZ93" i="1"/>
  <c r="BR103" i="1"/>
  <c r="CZ14" i="1"/>
  <c r="BS134" i="1"/>
  <c r="CZ96" i="1"/>
  <c r="BQ136" i="1"/>
  <c r="BQ191" i="1" s="1"/>
  <c r="BP191" i="1" s="1"/>
  <c r="BR164" i="1"/>
  <c r="CZ21" i="1"/>
  <c r="CX29" i="1"/>
  <c r="BY46" i="1"/>
  <c r="DP40" i="1"/>
  <c r="CZ186" i="1"/>
  <c r="BR134" i="1"/>
  <c r="BZ42" i="1"/>
  <c r="BY42" i="1"/>
  <c r="DQ190" i="1"/>
  <c r="DP190" i="1"/>
  <c r="BR163" i="1"/>
  <c r="ET4" i="1"/>
  <c r="BX44" i="1"/>
  <c r="BX81" i="1" s="1"/>
  <c r="DM40" i="1"/>
  <c r="CZ10" i="1"/>
  <c r="CZ46" i="1"/>
  <c r="CX36" i="1"/>
  <c r="BZ134" i="1"/>
  <c r="BX134" i="1" s="1"/>
  <c r="DP80" i="1"/>
  <c r="BQ44" i="1"/>
  <c r="BQ81" i="1" s="1"/>
  <c r="BP81" i="1" s="1"/>
  <c r="ET86" i="1"/>
  <c r="CZ152" i="1"/>
  <c r="CZ111" i="1"/>
  <c r="BY110" i="1"/>
  <c r="CZ23" i="1"/>
  <c r="BU84" i="1"/>
  <c r="BU131" i="1" s="1"/>
  <c r="EK44" i="1"/>
  <c r="CZ128" i="1"/>
  <c r="EK3" i="1"/>
  <c r="CX35" i="1"/>
  <c r="CX18" i="1"/>
  <c r="CW86" i="1"/>
  <c r="CZ32" i="1"/>
  <c r="CZ97" i="1"/>
  <c r="CZ98" i="1"/>
  <c r="ET6" i="1"/>
  <c r="BR108" i="1"/>
  <c r="CZ158" i="1"/>
  <c r="CZ148" i="1"/>
  <c r="DL40" i="1"/>
  <c r="CX19" i="1"/>
  <c r="CX6" i="1"/>
  <c r="CX7" i="1"/>
  <c r="CZ48" i="1"/>
  <c r="CX30" i="1"/>
  <c r="CX34" i="1"/>
  <c r="CZ36" i="1"/>
  <c r="CZ121" i="1"/>
  <c r="DL81" i="1"/>
  <c r="CZ31" i="1"/>
  <c r="ED39" i="1"/>
  <c r="CZ122" i="1"/>
  <c r="CZ91" i="1"/>
  <c r="DL190" i="1"/>
  <c r="CY86" i="1"/>
  <c r="CZ86" i="1" s="1"/>
  <c r="CZ129" i="1"/>
  <c r="BQ84" i="1"/>
  <c r="BQ132" i="1" s="1"/>
  <c r="DR131" i="1"/>
  <c r="CZ119" i="1"/>
  <c r="CZ109" i="1"/>
  <c r="DM80" i="1"/>
  <c r="BY119" i="1"/>
  <c r="CX15" i="1"/>
  <c r="CZ123" i="1"/>
  <c r="DR84" i="1"/>
  <c r="DR132" i="1"/>
  <c r="BY82" i="1"/>
  <c r="CX27" i="1"/>
  <c r="BR82" i="1"/>
  <c r="CY130" i="1"/>
  <c r="CZ130" i="1" s="1"/>
  <c r="BY118" i="1"/>
  <c r="DS40" i="1"/>
  <c r="BY111" i="1"/>
  <c r="CZ110" i="1"/>
  <c r="ED40" i="1"/>
  <c r="CZ16" i="1"/>
  <c r="DQ39" i="1"/>
  <c r="BY130" i="1"/>
  <c r="CZ118" i="1"/>
  <c r="BR101" i="1"/>
  <c r="BR100" i="1"/>
  <c r="BR6" i="1"/>
  <c r="BR7" i="1"/>
  <c r="BS82" i="1"/>
  <c r="ET111" i="1"/>
  <c r="CX23" i="1"/>
  <c r="BR2" i="1"/>
  <c r="BQ3" i="1"/>
  <c r="BR1" i="1"/>
  <c r="BR5" i="1"/>
  <c r="ET124" i="1"/>
  <c r="CW124" i="1"/>
  <c r="BR124" i="1"/>
  <c r="BR125" i="1"/>
  <c r="ET150" i="1"/>
  <c r="BR150" i="1"/>
  <c r="CW150" i="1"/>
  <c r="BR151" i="1"/>
  <c r="ET118" i="1"/>
  <c r="CW118" i="1"/>
  <c r="BY104" i="1"/>
  <c r="BY103" i="1"/>
  <c r="CY103" i="1"/>
  <c r="CW108" i="1"/>
  <c r="ET108" i="1"/>
  <c r="BX84" i="1"/>
  <c r="BX132" i="1" s="1"/>
  <c r="ET129" i="1"/>
  <c r="CW129" i="1"/>
  <c r="BR130" i="1"/>
  <c r="BR129" i="1"/>
  <c r="BY7" i="1"/>
  <c r="BY6" i="1"/>
  <c r="BY1" i="1"/>
  <c r="BY5" i="1"/>
  <c r="BZ1" i="1"/>
  <c r="BX3" i="1"/>
  <c r="CY124" i="1"/>
  <c r="CZ124" i="1" s="1"/>
  <c r="BY124" i="1"/>
  <c r="CY150" i="1"/>
  <c r="CY136" i="1" s="1"/>
  <c r="CY191" i="1" s="1"/>
  <c r="BY151" i="1"/>
  <c r="BY150" i="1"/>
  <c r="CW46" i="1"/>
  <c r="CX42" i="1" s="1"/>
  <c r="BR46" i="1"/>
  <c r="BR47" i="1"/>
  <c r="ET46" i="1"/>
  <c r="ET113" i="1"/>
  <c r="BR113" i="1"/>
  <c r="CW113" i="1"/>
  <c r="CY6" i="1"/>
  <c r="CY3" i="1" s="1"/>
  <c r="CY40" i="1" s="1"/>
  <c r="BR111" i="1"/>
  <c r="BZ82" i="1"/>
  <c r="DR3" i="1"/>
  <c r="CW110" i="1"/>
  <c r="ET110" i="1"/>
  <c r="BY114" i="1"/>
  <c r="CY113" i="1"/>
  <c r="BR43" i="1"/>
  <c r="BQ42" i="1" s="1"/>
  <c r="BY125" i="1"/>
  <c r="CC87" i="1"/>
  <c r="CC86" i="1"/>
  <c r="CB84" i="1"/>
  <c r="CA87" i="1"/>
  <c r="BZ84" i="1"/>
  <c r="CA86" i="1"/>
  <c r="BT86" i="1"/>
  <c r="BS84" i="1"/>
  <c r="BT87" i="1"/>
  <c r="CZ11" i="1"/>
  <c r="CX11" i="1"/>
  <c r="BZ39" i="1"/>
  <c r="BS1" i="1"/>
  <c r="BU39" i="1"/>
  <c r="BU40" i="1"/>
  <c r="CX1" i="1"/>
  <c r="CW3" i="1"/>
  <c r="CW39" i="1" s="1"/>
  <c r="BU1" i="1"/>
  <c r="BS40" i="1"/>
  <c r="BS39" i="1"/>
  <c r="CY1" i="1"/>
  <c r="CB40" i="1"/>
  <c r="CB39" i="1"/>
  <c r="CY80" i="1"/>
  <c r="CY81" i="1"/>
  <c r="CY44" i="1"/>
  <c r="CZ64" i="1"/>
  <c r="CZ94" i="1"/>
  <c r="CZ117" i="1"/>
  <c r="CZ105" i="1"/>
  <c r="CZ120" i="1"/>
  <c r="CZ170" i="1"/>
  <c r="CZ169" i="1"/>
  <c r="BX82" i="1" l="1"/>
  <c r="CX134" i="1"/>
  <c r="CZ89" i="1"/>
  <c r="DN191" i="1"/>
  <c r="DR190" i="1"/>
  <c r="DN40" i="1"/>
  <c r="CZ100" i="1"/>
  <c r="BW191" i="1"/>
  <c r="DR80" i="1"/>
  <c r="BY80" i="1"/>
  <c r="DN81" i="1"/>
  <c r="BX80" i="1"/>
  <c r="BW80" i="1" s="1"/>
  <c r="BQ190" i="1"/>
  <c r="BP190" i="1" s="1"/>
  <c r="BX190" i="1"/>
  <c r="BW190" i="1" s="1"/>
  <c r="BW81" i="1"/>
  <c r="BR137" i="1"/>
  <c r="BY81" i="1"/>
  <c r="BU132" i="1"/>
  <c r="CZ87" i="1"/>
  <c r="BX42" i="1"/>
  <c r="BQ134" i="1"/>
  <c r="CW44" i="1"/>
  <c r="FD4" i="1" s="1"/>
  <c r="CY42" i="1"/>
  <c r="CW42" i="1" s="1"/>
  <c r="BP80" i="1"/>
  <c r="BQ80" i="1"/>
  <c r="CY132" i="1"/>
  <c r="CW84" i="1"/>
  <c r="BY131" i="1"/>
  <c r="CY134" i="1"/>
  <c r="BY132" i="1"/>
  <c r="CW136" i="1"/>
  <c r="CW190" i="1" s="1"/>
  <c r="BQ131" i="1"/>
  <c r="BP131" i="1" s="1"/>
  <c r="BQ82" i="1"/>
  <c r="CW80" i="1"/>
  <c r="CW81" i="1"/>
  <c r="CW132" i="1"/>
  <c r="BY191" i="1"/>
  <c r="CY82" i="1"/>
  <c r="DR40" i="1"/>
  <c r="DR39" i="1"/>
  <c r="BX40" i="1"/>
  <c r="BW40" i="1" s="1"/>
  <c r="BX39" i="1"/>
  <c r="BW39" i="1" s="1"/>
  <c r="CZ104" i="1"/>
  <c r="CZ103" i="1"/>
  <c r="BY190" i="1"/>
  <c r="CZ150" i="1"/>
  <c r="CZ151" i="1"/>
  <c r="CX82" i="1"/>
  <c r="BY39" i="1"/>
  <c r="BY40" i="1"/>
  <c r="BQ1" i="1"/>
  <c r="CZ113" i="1"/>
  <c r="CZ114" i="1"/>
  <c r="CW131" i="1"/>
  <c r="CY84" i="1"/>
  <c r="CY131" i="1"/>
  <c r="BX131" i="1"/>
  <c r="CZ6" i="1"/>
  <c r="CZ7" i="1"/>
  <c r="BX1" i="1"/>
  <c r="BQ40" i="1"/>
  <c r="BP40" i="1" s="1"/>
  <c r="BQ39" i="1"/>
  <c r="BP39" i="1" s="1"/>
  <c r="CZ125" i="1"/>
  <c r="BS132" i="1"/>
  <c r="BP132" i="1" s="1"/>
  <c r="BS131" i="1"/>
  <c r="CB131" i="1"/>
  <c r="CB132" i="1"/>
  <c r="BZ132" i="1"/>
  <c r="BW132" i="1" s="1"/>
  <c r="BZ131" i="1"/>
  <c r="CY39" i="1"/>
  <c r="FC4" i="1"/>
  <c r="CW1" i="1"/>
  <c r="CW40" i="1"/>
  <c r="CY190" i="1"/>
  <c r="CW134" i="1" l="1"/>
  <c r="BW131" i="1"/>
  <c r="CW82" i="1"/>
  <c r="CC42" i="1"/>
  <c r="EX4" i="1" s="1"/>
  <c r="CC134" i="1"/>
  <c r="CC82" i="1"/>
  <c r="EZ4" i="1" s="1"/>
  <c r="FE4" i="1"/>
  <c r="FF4" i="1"/>
  <c r="CW191" i="1"/>
  <c r="CC1" i="1"/>
  <c r="EV4" i="1" s="1"/>
  <c r="FB4" i="1" l="1"/>
</calcChain>
</file>

<file path=xl/sharedStrings.xml><?xml version="1.0" encoding="utf-8"?>
<sst xmlns="http://schemas.openxmlformats.org/spreadsheetml/2006/main" count="8085" uniqueCount="7844">
  <si>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</si>
  <si>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</si>
  <si>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</si>
  <si>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</si>
  <si>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</si>
  <si>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</si>
  <si>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</si>
  <si>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</si>
  <si>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</si>
  <si>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</si>
  <si>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</si>
  <si>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</si>
  <si>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</si>
  <si>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</si>
  <si>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</si>
  <si>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</si>
  <si>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</si>
  <si>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</si>
  <si>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</si>
  <si>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</si>
  <si>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</si>
  <si>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</si>
  <si>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</si>
  <si>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</si>
  <si>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</si>
  <si>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</si>
  <si>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</si>
  <si>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</si>
  <si>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</si>
  <si>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</si>
  <si>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</si>
  <si>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</si>
  <si>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</si>
  <si>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</si>
  <si>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</si>
  <si>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</si>
  <si>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</si>
  <si>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</si>
  <si>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</si>
  <si>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</si>
  <si>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</si>
  <si>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</si>
  <si>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</si>
  <si>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</si>
  <si>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</si>
  <si>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</si>
  <si>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</si>
  <si>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</si>
  <si>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</si>
  <si>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</si>
  <si>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</si>
  <si>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</si>
  <si>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</si>
  <si>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</si>
  <si>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</si>
  <si>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</si>
  <si>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</si>
  <si>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</si>
  <si>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</si>
  <si>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2025-05-08 21:55:00,580,,570,,580,,563.5,,,,,570,560,,</t>
  </si>
  <si>
    <t>2025-05-08 21:55:00,500,,495,,470,,488,,489,,,500,480,,0</t>
  </si>
  <si>
    <t>2025-05-08 21:55:00,,5500,,5650,,5800,5660,,,,,5700,5560,,</t>
  </si>
  <si>
    <t>2025-05-08 21:55:00,20500,,20050,,19500,,20225,,,,,20500,19600,,</t>
  </si>
  <si>
    <t>2025-05-08 21:55:00,1888414917.59805,2984165459.90035,1127772.07488966,1093281,2527713.50398158,2332907.05,-5157.7276540973,432836.4</t>
  </si>
  <si>
    <t>2025-05-08 21:55:00,1114099755.51817,724566876.171591,301183.316443974,377005,427546.860783292,559380.93,2909.08504315049,115600.61</t>
  </si>
  <si>
    <t>2025-05-08 21:55:00,7323774.4468744,-344594.753354916,,-616,,-9278.16,7.85031494860315,-201.68</t>
  </si>
  <si>
    <t>2025-05-08 21:55:00,37260638.0850084,97880.561447334,6683.11224035154,1418,823566.954010827,150679.95,0.811302355974505,494.62</t>
  </si>
  <si>
    <t>2025-05-08 21:56:00,580,,570,,580,,563.5,,,,,570,560,,</t>
  </si>
  <si>
    <t>2025-05-08 21:56:00,500,,495,,470,,488,,,,,500,480,,</t>
  </si>
  <si>
    <t>2025-05-08 21:56:00,,5500,,5650,,5800,5660,,,,,5700,5560,5700,5610</t>
  </si>
  <si>
    <t>2025-05-08 21:56:00,20500,,20050,,19500,,20225,,,,,20500,19600,,</t>
  </si>
  <si>
    <t>2025-05-08 21:56:00,1826287786.08542,2771143223.84273,0,0,0,0,0,0</t>
  </si>
  <si>
    <t>2025-05-08 21:56:00,1090152562.68948,583076240.334399,0,0,0,0,0,0</t>
  </si>
  <si>
    <t>2025-05-08 21:56:00,9924791.19827997,-326208.386000577,,-11,,-51.36,0.0670000416650202,-1.33</t>
  </si>
  <si>
    <t>2025-05-08 21:56:00,37259493.7276769,97826.003721317,0,0,0,0,0,0</t>
  </si>
  <si>
    <t>2025-05-08 21:57:00,580,,570,,580,,563.5,,,,,570,560,,</t>
  </si>
  <si>
    <t>2025-05-08 21:57:00,500,,495,,470,,488,,,,,500,480,,</t>
  </si>
  <si>
    <t>2025-05-08 21:57:00,,5500,,5650,,5800,5660,,,,,5750,5560,5750,5590</t>
  </si>
  <si>
    <t>2025-05-08 21:57:00,20500,,20050,,19500,,20225,,,,,20500,19600,,</t>
  </si>
  <si>
    <t>2025-05-08 21:57:00,1816747242.64819,2571456038.5311,0,0,0,0,0,0</t>
  </si>
  <si>
    <t>2025-05-08 21:57:00,1084361765.34709,557416223.370523,0,0,0,0,0,0</t>
  </si>
  <si>
    <t>2025-05-08 21:57:00,10605563.9283676,-309742.226356871,,24,,41.71,0.0766120706908471,1.31</t>
  </si>
  <si>
    <t>2025-05-08 21:57:00,37264681.9978623,97840.9445601405,0,0,0,0,0,0</t>
  </si>
  <si>
    <t>2025-05-08 21:58:00,580,,570,,580,,564.5,,,,,570,560,,</t>
  </si>
  <si>
    <t>2025-05-08 21:58:00,500,,495,,470,,488,,,,,500,480,,</t>
  </si>
  <si>
    <t>2025-05-08 21:58:00,,5500,5700,,,5800,5660,,,,,5700,5560,5750,5590</t>
  </si>
  <si>
    <t>2025-05-08 21:58:00,20500,,20050,,19500,,20225,,,,,20500,19600,,</t>
  </si>
  <si>
    <t>2025-05-08 21:58:00,1709116375.91985,1612776617.99925,0,0,0,0,0,0</t>
  </si>
  <si>
    <t>2025-05-08 21:58:00,1000888232.60042,215373239.667079,0,0,0,0,0,0</t>
  </si>
  <si>
    <t>2025-05-08 21:58:00,20095131.1373668,-227641.321473148,,1,,39.65,0.143734120247018,0.72</t>
  </si>
  <si>
    <t>2025-05-08 21:58:00,37259510.8921812,97694.3399035092,0,0,0,0,0,0</t>
  </si>
  <si>
    <t>2025-05-08 21:59:00,580,,570,,580,,564.5,,,,,570,560,,</t>
  </si>
  <si>
    <t>2025-05-08 21:59:00,500,,495,,470,,488,,,,,500,480,,</t>
  </si>
  <si>
    <t>2025-05-08 21:59:00,,5500,5700,,,5800,5660,,,,,5750,5560,5750,5590</t>
  </si>
  <si>
    <t>2025-05-08 21:59:00,20500,,20050,,19500,,20225,,,,,20500,19600,,</t>
  </si>
  <si>
    <t>2025-05-08 21:59:00,1734907483.10749,1811264919.23273,0,0,0,0,0,0</t>
  </si>
  <si>
    <t>2025-05-08 21:59:00,1010269542.44543,252746514.868203,0,0,0,0,0,0</t>
  </si>
  <si>
    <t>2025-05-08 21:59:00,19360823.25259,-227730.921865374,,13,,35.81,0.0312442550946597,0.9</t>
  </si>
  <si>
    <t>2025-05-08 21:59:00,37255157.7300754,97689.6477606526,0,0,0,0,0,0</t>
  </si>
  <si>
    <t>2025-05-08 22:00:00,580,,570,,580,,564.5,,,,,570,560,,</t>
  </si>
  <si>
    <t>2025-05-08 22:00:00,500,,495,,470,,488,,,,,500,480,,</t>
  </si>
  <si>
    <t>2025-05-08 22:00:00,,5500,5700,,,5800,5660,,,,,5700,5560,5750,5600</t>
  </si>
  <si>
    <t>2025-05-08 22:00:00,20500,,20050,,19500,,20225,,,,,20500,19600,,</t>
  </si>
  <si>
    <t>2025-05-08 22:00:00,1734986308.12261,1810909065.51453,0,0,0,0,0,0</t>
  </si>
  <si>
    <t>2025-05-08 22:00:00,1035602737.3462,353575353.307129,0,0,0,0,0,0</t>
  </si>
  <si>
    <t>2025-05-08 22:00:00,18536504.3349077,-239570.890652052,,-9,,-24.05,0.0763889641425499,-1.07</t>
  </si>
  <si>
    <t>2025-05-08 22:00:00,37260259.8677722,97744.2286443322,0,0,0,0,0,0</t>
  </si>
  <si>
    <t>2025-05-08 22:01:00,580,,570,,580,,564.5,,,,,570,560,,</t>
  </si>
  <si>
    <t>2025-05-08 22:01:00,500,,495,,470,,488,,,,,500,480,,</t>
  </si>
  <si>
    <t>2025-05-08 22:01:00,,5500,5700,,,5800,5660,,,,,5700,5560,5750,5600</t>
  </si>
  <si>
    <t>2025-05-08 22:01:00,20500,,20050,,19500,,20225,,,,,20500,19600,,</t>
  </si>
  <si>
    <t>2025-05-08 22:01:00,1734818308.65628,1810926190.73941,0,0,0,0,0,0</t>
  </si>
  <si>
    <t>2025-05-08 22:01:00,1038573420.13611,365783006.753326,0,0,0,0,0,0</t>
  </si>
  <si>
    <t>2025-05-08 22:01:00,18534721.41027,-240828.226187229,,-2,,-32.6,0.0115776436336504,-0.8</t>
  </si>
  <si>
    <t>2025-05-08 22:01:00,37251868.8275863,97704.9079318243,0,0,0,0,0,0</t>
  </si>
  <si>
    <t>2025-05-08 22:02:00,580,,570,,580,,567.5,,,,,570,560,,</t>
  </si>
  <si>
    <t>2025-05-08 22:02:00,500,,495,,470,,489,,,,,500,480,,</t>
  </si>
  <si>
    <t>2025-05-08 22:02:00,5700,,5700,,,5800,5660,,,,,5700,5560,5750,5550</t>
  </si>
  <si>
    <t>2025-05-08 22:02:00,20500,,20050,,19500,,20225,,,,,20500,19600,,</t>
  </si>
  <si>
    <t>2025-05-08 22:02:00,1485220579.21942,205474125.652828,0,0,0,0,0,0</t>
  </si>
  <si>
    <t>2025-05-08 22:02:00,943424972.912774,-4360235.49599709,0,0,0,0,0,0</t>
  </si>
  <si>
    <t>2025-05-08 22:02:00,27860632.969106,-175662.47770328,,88,,967.38,-0.018261626197309,23.08</t>
  </si>
  <si>
    <t>2025-05-08 22:02:00,37256961.0378853,97611.4071465918,0,0,0,0,0,0</t>
  </si>
  <si>
    <t>2025-05-08 22:03:00,580,,570,,580,,564.5,,,,,570,560,,</t>
  </si>
  <si>
    <t>2025-05-08 22:03:00,500,,495,,470,,488,,,,,500,480,,</t>
  </si>
  <si>
    <t>2025-05-08 22:03:00,5700,,5700,,,5800,5660,,,,,5700,5560,5750,5550</t>
  </si>
  <si>
    <t>2025-05-08 22:03:00,20500,,20050,,19500,,20225,,,,,20500,19600,,</t>
  </si>
  <si>
    <t>2025-05-08 22:03:00,1623636570.43079,1017214754.03987,0,0,0,0,0,0</t>
  </si>
  <si>
    <t>2025-05-08 22:03:00,1000895026.43279,215219527.234802,0,0,0,0,0,0</t>
  </si>
  <si>
    <t>2025-05-08 22:03:00,23156290.820534,-214581.173012338,,16,,233.15,-0.000803748074222837,4.97</t>
  </si>
  <si>
    <t>2025-05-08 22:03:00,37252226.0595173,97662.0898047207,0,0,0,0,0,0</t>
  </si>
  <si>
    <t>2025-05-08 22:04:00,580,,570,,580,,564.5,,,,,570,560,,</t>
  </si>
  <si>
    <t>2025-05-08 22:04:00,500,,495,,470,,488,,,,,500,480,,</t>
  </si>
  <si>
    <t>2025-05-08 22:04:00,5700,,5700,,,5800,5660,,,,,5700,5560,5750,5550</t>
  </si>
  <si>
    <t>2025-05-08 22:04:00,20500,,20050,,19500,,20225,,,,,20500,19600,,</t>
  </si>
  <si>
    <t>2025-05-08 22:04:00,1637295028.37789,1131074785.75106,0,0,0,0,0,0</t>
  </si>
  <si>
    <t>2025-05-08 22:04:00,984851730.467631,153432288.083136,0,0,0,0,0,0</t>
  </si>
  <si>
    <t>2025-05-08 22:04:00,22602113.6653256,-217509.462554131,,6,,89.41,0.0151148714517902,1.95</t>
  </si>
  <si>
    <t>2025-05-08 22:04:00,37248814.5010478,97627.1818912306,0,0,0,0,0,0</t>
  </si>
  <si>
    <t>2025-05-08 22:05:00,580,,570,,580,,564.5,,,,,570,560,,</t>
  </si>
  <si>
    <t>2025-05-08 22:05:00,500,,495,,470,,488,,,,,500,480,,</t>
  </si>
  <si>
    <t>2025-05-08 22:05:00,,5500,5700,,,5800,5660,,,,,5700,5560,5660,5550</t>
  </si>
  <si>
    <t>2025-05-08 22:05:00,20500,,20050,,19500,,20225,,,,,20500,19600,,</t>
  </si>
  <si>
    <t>2025-05-08 22:05:00,1724734396.99578,1730310187.68631,0,0,0,0,0,0</t>
  </si>
  <si>
    <t>2025-05-08 22:05:00,1010147252.32284,252285331.15025,0,0,0,0,0,0</t>
  </si>
  <si>
    <t>2025-05-08 22:05:00,19153941.9568327,-280498.141357263,,16,,293.55,-0.0895492186415206,6.89</t>
  </si>
  <si>
    <t>2025-05-08 22:05:00,37253941.9876667,97681.8682255104,0,0,0,0,0,0</t>
  </si>
  <si>
    <t>2025-05-08 22:06:00,580,,570,,580,,564.5,,,,,570,560,,</t>
  </si>
  <si>
    <t>2025-05-08 22:06:00,500,,495,,470,,488,,,,,500,480,,</t>
  </si>
  <si>
    <t>2025-05-08 22:06:00,,5500,5700,,,5800,5660,,,,,5700,5560,5660,5550</t>
  </si>
  <si>
    <t>2025-05-08 22:06:00,20500,,20050,,19500,,20225,,,,,20500,19600,,</t>
  </si>
  <si>
    <t>2025-05-08 22:06:00,1748074813.04871,1930479832.77445,0,0,0,0,0,0</t>
  </si>
  <si>
    <t>2025-05-08 22:06:00,1029375584.23524,328267112.76483,0,0,0,0,0,0</t>
  </si>
  <si>
    <t>2025-05-08 22:06:00,17619410.7010147,-288709.327057832,,3,,101.54,0.0574015835260193,1.96</t>
  </si>
  <si>
    <t>2025-05-08 22:06:00,37252071.928493,97679.6121771142,0,0,0,0,0,0</t>
  </si>
  <si>
    <t>2025-05-08 22:07:00,580,,570,,580,,564.5,,,,,570,560,,</t>
  </si>
  <si>
    <t>2025-05-08 22:07:00,500,,495,,470,,488,,,,,500,480,,</t>
  </si>
  <si>
    <t>2025-05-08 22:07:00,,5500,5700,,,5800,5660,,,,,5700,5560,5750,5550</t>
  </si>
  <si>
    <t>2025-05-08 22:07:00,20500,,20050,,19500,,20225,,,,,20500,19600,,</t>
  </si>
  <si>
    <t>2025-05-08 22:07:00,1756840272.87254,2088565884.78706,0,0,0,0,0,0</t>
  </si>
  <si>
    <t>2025-05-08 22:07:00,1075305743.35821,518151280.23257,0,0,0,0,0,0</t>
  </si>
  <si>
    <t>2025-05-08 22:07:00,13481795.8403694,-331560.9607319,,-2,,-38.86,0.0405475152255672,-0.88</t>
  </si>
  <si>
    <t>2025-05-08 22:07:00,37257199.766793,97762.3418071765,0,0,0,0,0,0</t>
  </si>
  <si>
    <t>2025-05-08 22:08:00,580,,570,,580,,564.5,,,,,570,560,,</t>
  </si>
  <si>
    <t>2025-05-08 22:08:00,500,,495,,470,,488,,,,,500,480,,</t>
  </si>
  <si>
    <t>2025-05-08 22:08:00,,5500,5700,,,5800,5660,,,,,5700,5560,5750,5550</t>
  </si>
  <si>
    <t>2025-05-08 22:08:00,20500,,20050,,19500,,20225,,,,,20500,19600,,</t>
  </si>
  <si>
    <t>2025-05-08 22:08:00,1805602419.87186,2489602301.45122,0,0,0,0,0,0</t>
  </si>
  <si>
    <t>2025-05-08 22:08:00,1095440168.20487,608198349.50382,0,0,0,0,0,0</t>
  </si>
  <si>
    <t>2025-05-08 22:08:00,11548856.1578926,-339720.929469929,,5,,35.35,0.029394779958698,0.86</t>
  </si>
  <si>
    <t>2025-05-08 22:08:00,37254132.9336789,97769.5823429363,0,0,0,0,0,0</t>
  </si>
  <si>
    <t>2025-05-08 22:09:00,580,,570,,580,,563.5,,,,,570,560,,</t>
  </si>
  <si>
    <t>2025-05-08 22:09:00,500,,495,,470,,488,,,,,500,480,,</t>
  </si>
  <si>
    <t>2025-05-08 22:09:00,,5500,5700,,,5800,5660,,,,,5700,5560,5750,5550</t>
  </si>
  <si>
    <t>2025-05-08 22:09:00,20500,,20050,,19500,,20225,,,,,20500,19600,,</t>
  </si>
  <si>
    <t>2025-05-08 22:09:00,1816492973.52789,2569983413.50508,0,0,0,0,0,0</t>
  </si>
  <si>
    <t>2025-05-08 22:09:00,1109164109.55017,685164074.646192,0,0,0,0,0,0</t>
  </si>
  <si>
    <t>2025-05-08 22:09:00,10992826.5576517,-329225.067137265,,-4,,-154.45,-0.00302056580327686,-3.09</t>
  </si>
  <si>
    <t>2025-05-08 22:09:00,37249800.3800633,97769.0785314897,0,0,0,0,0,0</t>
  </si>
  <si>
    <t>2025-05-08 22:10:00,580,,570,,580,,563.5,,,,,570,560,,</t>
  </si>
  <si>
    <t>2025-05-08 22:10:00,500,,495,,470,,488,,,,,500,480,,</t>
  </si>
  <si>
    <t>2025-05-08 22:10:00,,5500,,5650,,5800,5660,,,,,5700,5560,5750,5550</t>
  </si>
  <si>
    <t>2025-05-08 22:10:00,20500,,20050,,19500,,20225,,,,,20500,19600,,</t>
  </si>
  <si>
    <t>2025-05-08 22:10:00,1824526025.55212,2688015327.54436,0,0,0,0,0,0</t>
  </si>
  <si>
    <t>2025-05-08 22:10:00,1114036964.4359,723912835.547238,0,0,0,0,0,0</t>
  </si>
  <si>
    <t>2025-05-08 22:10:00,10268610.0263921,-335622.026313827,,0,,0.64,0.0134640366538244,0.03</t>
  </si>
  <si>
    <t>2025-05-08 22:10:00,37254942.5439388,97803.882686088,0,0,0,0,0,0</t>
  </si>
  <si>
    <t>2025-05-08 22:11:00,580,,570,,580,,563.5,,,,,570,560,,</t>
  </si>
  <si>
    <t>2025-05-08 22:11:00,500,,495,,470,,488,,,,,500,480,,</t>
  </si>
  <si>
    <t>2025-05-08 22:11:00,,5500,5700,,,5800,5660,,,,,5700,5560,5750,5550</t>
  </si>
  <si>
    <t>2025-05-08 22:11:00,20500,,20050,,19500,,20225,,,,,20500,19600,,</t>
  </si>
  <si>
    <t>2025-05-08 22:11:00,1816378743.5769,2568546371.83535,0,0,0,0,0,0</t>
  </si>
  <si>
    <t>2025-05-08 22:11:00,1107786494.83335,672352769.910507,0,0,0,0,0,0</t>
  </si>
  <si>
    <t>2025-05-08 22:11:00,10983112.6863822,-329060.45505433,,0,,-0.980000000000001,0.0322053077737023,-0.01</t>
  </si>
  <si>
    <t>2025-05-08 22:11:00,37251802.085529,97775.4798412364,0,0,0,0,0,0</t>
  </si>
  <si>
    <t>2025-05-08 22:12:00,580,,570,,580,,563.5,,,,,570,560,,</t>
  </si>
  <si>
    <t>2025-05-08 22:12:00,500,,495,,470,,488,,,,,500,480,,</t>
  </si>
  <si>
    <t>2025-05-08 22:12:00,,5500,,5650,,5800,5660,,,,,5700,5560,5750,5550</t>
  </si>
  <si>
    <t>2025-05-08 22:12:00,20500,,20050,,19500,,20225,,,,,20500,19600,,</t>
  </si>
  <si>
    <t>2025-05-08 22:12:00,1948820209.05647,3390943441.45657,0,0,0,0,0,0</t>
  </si>
  <si>
    <t>2025-05-08 22:12:00,1157012006.46242,1017030944.72814,0,0,0,0,0,0</t>
  </si>
  <si>
    <t>2025-05-08 22:12:00,5845730.67826756,-374654.586295489,,-2,,-75.32,0.0411557436216399,-1.44</t>
  </si>
  <si>
    <t>2025-05-08 22:12:00,37256950.0701765,97906.4234293837,0,0,0,0,0,0</t>
  </si>
  <si>
    <t>2025-05-08 22:13:00,580,,570,,580,,563.5,,,,,570,560,,</t>
  </si>
  <si>
    <t>2025-05-08 22:13:00,500,,495,,470,,488,,,,,500,480,,</t>
  </si>
  <si>
    <t>2025-05-08 22:13:00,,5500,5700,,,5800,5660,,,,,5700,5560,5750,5550</t>
  </si>
  <si>
    <t>2025-05-08 22:13:00,20500,,20050,,19500,,20225,,,,,20500,19600,,</t>
  </si>
  <si>
    <t>2025-05-08 22:13:00,1897170991.0122,3099763220.86901,0,0,0,0,0,0</t>
  </si>
  <si>
    <t>2025-05-08 22:13:00,1128408808.46438,826491152.736475,0,0,0,0,0,0</t>
  </si>
  <si>
    <t>2025-05-08 22:13:00,8031929.20886101,-334288.981714475,,10,,104.77,0.0642338474220871,2.59</t>
  </si>
  <si>
    <t>2025-05-08 22:13:00,37251642.4995591,97812.0580222508,0,0,0,0,0,0</t>
  </si>
  <si>
    <t>2025-05-08 22:14:00,580,,570,,580,,563.5,,,,,570,560,,</t>
  </si>
  <si>
    <t>2025-05-08 22:14:00,500,,495,,470,,488,,,,,500,480,,</t>
  </si>
  <si>
    <t>2025-05-08 22:14:00,,5500,5700,,,5800,5660,,,,,5700,5560,5750,5550</t>
  </si>
  <si>
    <t>2025-05-08 22:14:00,20500,,20050,,19500,,20225,,,,,20500,19600,,</t>
  </si>
  <si>
    <t>2025-05-08 22:14:00,1887044070.9051,2980942736.36122,0,0,0,0,0,0</t>
  </si>
  <si>
    <t>2025-05-08 22:14:00,1133176109.64703,877966540.547457,0,0,0,0,0,0</t>
  </si>
  <si>
    <t>2025-05-08 22:14:00,7991318.54548563,-334633.574968619,,-6,,-97.2,0.00665960125355229,-2.1</t>
  </si>
  <si>
    <t>2025-05-08 22:14:00,37249045.0271764,97815.6282414602,0,0,0,0,0,0</t>
  </si>
  <si>
    <t>2025-05-08 22:15:00,580,,570,,580,,563.5,,,,,570,560,,</t>
  </si>
  <si>
    <t>2025-05-08 22:15:00,500,,495,,470,,488,,,,,500,480,,</t>
  </si>
  <si>
    <t>2025-05-08 22:15:00,,5500,5700,,,5800,5660,,,,,5700,5560,5750,5550</t>
  </si>
  <si>
    <t>2025-05-08 22:15:00,20500,,20050,,19500,,20225,,,,,20500,19600,,</t>
  </si>
  <si>
    <t>2025-05-08 22:15:00,1908957449.00833,3181799330.99736,0,0,0,0,0,0</t>
  </si>
  <si>
    <t>2025-05-08 22:15:00,1130156766.65659,839150854.983083,0,0,0,0,0,0</t>
  </si>
  <si>
    <t>2025-05-08 22:15:00,7032177.29865383,-340562.86436004,,1,,1.82,0.00964143265614205,0.08</t>
  </si>
  <si>
    <t>2025-05-08 22:15:00,37254207.9736086,97826.5504149031,0,0,0,0,0,0</t>
  </si>
  <si>
    <t>2025-05-08 22:16:00,580,,570,,580,,563.5,,,,,570,560,,</t>
  </si>
  <si>
    <t>2025-05-08 22:16:00,500,,495,,470,,488,,,,,500,480,,</t>
  </si>
  <si>
    <t>2025-05-08 22:16:00,,5500,5700,,,5800,5660,,,,,5700,5560,5750,5550</t>
  </si>
  <si>
    <t>2025-05-08 22:16:00,20500,,20050,,19500,,20225,,,,,20500,19600,,</t>
  </si>
  <si>
    <t>2025-05-08 22:16:00,1908706518.42637,3180659042.58244,0,0,0,0,0,0</t>
  </si>
  <si>
    <t>2025-05-08 22:16:00,1127036982.65691,813308205.823719,0,0,0,0,0,0</t>
  </si>
  <si>
    <t>2025-05-08 22:16:00,7535310.63553995,-340201.978092543,,-1,,-4.63,0.00831030873025601,-0.12</t>
  </si>
  <si>
    <t>2025-05-08 22:16:00,37249292.4375257,97784.4191951007,0,0,0,0,0,0</t>
  </si>
  <si>
    <t>2025-05-08 22:17:00,580,,570,,580,,563.5,,,,,570,560,,</t>
  </si>
  <si>
    <t>2025-05-08 22:17:00,500,,495,,470,,488,,,,,500,480,,</t>
  </si>
  <si>
    <t>2025-05-08 22:17:00,,5500,5700,,,5800,5660,,,,,5700,5560,5750,5550</t>
  </si>
  <si>
    <t>2025-05-08 22:17:00,20500,,20050,,19500,,20225,,,,,20500,19600,,</t>
  </si>
  <si>
    <t>2025-05-08 22:17:00,1825910033.73956,2768129114.43553,0,0,0,0,0,0</t>
  </si>
  <si>
    <t>2025-05-08 22:17:00,1117900546.69301,748964513.278014,0,0,0,0,0,0</t>
  </si>
  <si>
    <t>2025-05-08 22:17:00,9283920.87951351,-316034.273696121,,3,,-11.04,0.00637626609554736,-0.13</t>
  </si>
  <si>
    <t>2025-05-08 22:17:00,37254512.6294389,97787.592056814,0,0,0,0,0,0</t>
  </si>
  <si>
    <t>2025-05-08 22:18:00,580,,570,,580,,563.5,,,,,570,560,,</t>
  </si>
  <si>
    <t>2025-05-08 22:18:00,500,,495,,470,,488,,,,,500,480,,</t>
  </si>
  <si>
    <t>2025-05-08 22:18:00,,5500,5700,,,5800,5660,,,,,5700,5560,5750,5550</t>
  </si>
  <si>
    <t>2025-05-08 22:18:00,20500,,20050,,19500,,20225,,,,,20500,19600,,</t>
  </si>
  <si>
    <t>2025-05-08 22:18:00,1818893006.45349,2924165734.78901,0,0,0,0,0,0</t>
  </si>
  <si>
    <t>2025-05-08 22:18:00,1130101630.60832,838992377.218785,0,0,0,0,0,0</t>
  </si>
  <si>
    <t>2025-05-08 22:18:00,8456829.76103372,-327818.976900736,,-2,,-21.3,0.00970676734008801,-0.53</t>
  </si>
  <si>
    <t>2025-05-08 22:18:00,37251328.4952679,97792.5972763509,0,0,0,0,0,0</t>
  </si>
  <si>
    <t>2025-05-08 22:19:00,580,,570,,580,,563.5,,,,,570,560,,</t>
  </si>
  <si>
    <t>2025-05-08 22:19:00,500,,495,,470,,488,,,,,500,480,,</t>
  </si>
  <si>
    <t>2025-05-08 22:19:00,,5500,5700,,,5800,5660,,,,,5700,5560,5750,5550</t>
  </si>
  <si>
    <t>2025-05-08 22:19:00,20500,,20050,,19500,,20225,,,,,20500,19600,,</t>
  </si>
  <si>
    <t>2025-05-08 22:19:00,1818464184.82406,2607220639.0796,0,0,0,0,0,0</t>
  </si>
  <si>
    <t>2025-05-08 22:19:00,1112553194.90804,710096615.130421,0,0,0,0,0,0</t>
  </si>
  <si>
    <t>2025-05-08 22:19:00,10428007.1608921,-308203.893947395,,1,,6.78,0.0097906751065081,0.2</t>
  </si>
  <si>
    <t>2025-05-08 22:19:00,37256509.4868381,97775.5905498531,0,0,0,0,0,0</t>
  </si>
  <si>
    <t>2025-05-08 22:20:00,580,,570,,580,,564.5,,,,,570,560,,</t>
  </si>
  <si>
    <t>2025-05-08 22:20:00,500,,495,,470,,488,,,,,500,480,,</t>
  </si>
  <si>
    <t>2025-05-08 22:20:00,,5500,5700,,,5800,5660,,,,,5700,5560,5750,5550</t>
  </si>
  <si>
    <t>2025-05-08 22:20:00,20500,,20050,,19500,,20225,,,,,20500,19600,,</t>
  </si>
  <si>
    <t>2025-05-08 22:20:00,1791100598.19894,2367058803.82614,0,0,0,0,0,0</t>
  </si>
  <si>
    <t>2025-05-08 22:20:00,1107607790.81861,671840923.226519,0,0,0,0,0,0</t>
  </si>
  <si>
    <t>2025-05-08 22:20:00,11545933.0272045,-297195.680206312,,1,,24.25,0.0108817056369332,0.54</t>
  </si>
  <si>
    <t>2025-05-08 22:20:00,37246536.4214533,97743.6384013969,0,0,0,0,0,0</t>
  </si>
  <si>
    <t>2025-05-08 22:21:00,580,,570,,580,,564.5,,,,,570,560,,</t>
  </si>
  <si>
    <t>2025-05-08 22:21:00,500,,495,,470,,488,,,,,500,480,,</t>
  </si>
  <si>
    <t>2025-05-08 22:21:00,,5500,5700,,,5800,5660,,,,,5700,5560,5750,5550</t>
  </si>
  <si>
    <t>2025-05-08 22:21:00,20500,,20050,,19500,,20225,,,,,20500,19600,,</t>
  </si>
  <si>
    <t>2025-05-08 22:21:00,1791061588.66886,2367400828.41174,0,0,0,0,0,0</t>
  </si>
  <si>
    <t>2025-05-08 22:21:00,1097860293.20254,620218840.529206,0,0,0,0,0,0</t>
  </si>
  <si>
    <t>2025-05-08 22:21:00,11711801.2889669,-291890.95871432,,3,,17.11,0.00993807416884325,0.44</t>
  </si>
  <si>
    <t>2025-05-08 22:21:00,37243811.7331789,97692.66074475,0,0,0,0,0,0</t>
  </si>
  <si>
    <t>2025-05-08 22:22:00,580,,570,,580,,564.5,,,,,570,560,,</t>
  </si>
  <si>
    <t>2025-05-08 22:22:00,500,,495,,470,,488,,,,,500,480,,</t>
  </si>
  <si>
    <t>2025-05-08 22:22:00,,5500,5700,,,5800,5660,,,,,5700,5560,5750,5550</t>
  </si>
  <si>
    <t>2025-05-08 22:22:00,20500,,20050,,19500,,20225,,,,,20500,19600,,</t>
  </si>
  <si>
    <t>2025-05-08 22:22:00,1804614174.1321,2486897032.2798,0,0,0,0,0,0</t>
  </si>
  <si>
    <t>2025-05-08 22:22:00,1105434616.89751,658824790.852249,0,0,0,0,0,0</t>
  </si>
  <si>
    <t>2025-05-08 22:22:00,11142329.2462239,-295740.577680162,,-1,,4.9,0.00990050035762962,0.13</t>
  </si>
  <si>
    <t>2025-05-08 22:22:00,37249005.2031303,97727.7282719337,0,0,0,0,0,0</t>
  </si>
  <si>
    <t>2025-05-08 22:23:00,580,,570,,580,,564.5,,,,,570,560,,</t>
  </si>
  <si>
    <t>2025-05-08 22:23:00,500,,495,,470,,488,,,,,500,480,,</t>
  </si>
  <si>
    <t>2025-05-08 22:23:00,,5500,5700,,,5800,5660,,,,,5700,5560,5750,5550</t>
  </si>
  <si>
    <t>2025-05-08 22:23:00,20500,,20050,,19500,,20225,,,,,20500,19600,,</t>
  </si>
  <si>
    <t>2025-05-08 22:23:00,1804647775.65842,2487296786.5888,0,0,0,0,0,0</t>
  </si>
  <si>
    <t>2025-05-08 22:23:00,1107473326.10664,671542453.868731,0,0,0,0,0,0</t>
  </si>
  <si>
    <t>2025-05-08 22:23:00,10993101.4790458,-297655.561960087,,-1,,-13.1,0.00900711648152205,-0.35</t>
  </si>
  <si>
    <t>2025-05-08 22:23:00,37245639.9286924,97716.0076856044,0,0,0,0,0,0</t>
  </si>
  <si>
    <t>2025-05-08 22:24:00,580,,570,,580,,564.5,,,,,570,560,,</t>
  </si>
  <si>
    <t>2025-05-08 22:24:00,500,,495,,470,,488,,,,,500,480,,</t>
  </si>
  <si>
    <t>2025-05-08 22:24:00,,5500,5700,,,5800,5660,,,,,5700,5560,5750,5550</t>
  </si>
  <si>
    <t>2025-05-08 22:24:00,20500,,20050,,19500,,20225,,,,,20500,19600,,</t>
  </si>
  <si>
    <t>2025-05-08 22:24:00,1804506446.1961,2486812588.18076,0,0,0,0,0,0</t>
  </si>
  <si>
    <t>2025-05-08 22:24:00,1107516025.72823,671514014.119273,0,0,0,0,0,0</t>
  </si>
  <si>
    <t>2025-05-08 22:24:00,10929552.2276212,-297856.56819433,,2,,16.94,0.0169867766029735,0.29</t>
  </si>
  <si>
    <t>2025-05-08 22:24:00,37250840.2222636,97739.112505488,0,0,0,0,0,0</t>
  </si>
  <si>
    <t>2025-05-08 22:25:00,580,,570,,580,,564.5,,,,,570,560,,</t>
  </si>
  <si>
    <t>2025-05-08 22:25:00,500,,495,,470,,488,,,,,500,480,,</t>
  </si>
  <si>
    <t>2025-05-08 22:25:00,,5500,5700,,,5800,5660,,,,,5700,5560,5750,5550</t>
  </si>
  <si>
    <t>2025-05-08 22:25:00,20500,,20050,,19500,,20225,,,,,20500,19600,,</t>
  </si>
  <si>
    <t>2025-05-08 22:25:00,1761343962.14075,2284408263.05671,0,0,0,0,0,0</t>
  </si>
  <si>
    <t>2025-05-08 22:25:00,1105468560.48053,658934455.351197,0,0,0,0,0,0</t>
  </si>
  <si>
    <t>2025-05-08 22:25:00,11697861.1094261,-286817.186671854,,2,,44.97,0.0213430201945348,0.98</t>
  </si>
  <si>
    <t>2025-05-08 22:25:00,37247400.2507109,97707.8653274255,0,0,0,0,0,0</t>
  </si>
  <si>
    <t>2025-05-08 22:26:00,580,,570,,580,,564.5,,,,,570,560,,</t>
  </si>
  <si>
    <t>2025-05-08 22:26:00,500,,495,,470,,488,,,,,500,480,,</t>
  </si>
  <si>
    <t>2025-05-08 22:26:00,,5500,5700,,,5800,5660,,,,,5700,5560,5750,5550</t>
  </si>
  <si>
    <t>2025-05-08 22:26:00,20500,,20050,,19500,,20225,,,,,20500,19600,,</t>
  </si>
  <si>
    <t>2025-05-08 22:26:00,1750187300.95084,2203851943.3328,0,0,0,0,0,0</t>
  </si>
  <si>
    <t>2025-05-08 22:26:00,1097727743.90996,620131886.264377,0,0,0,0,0,0</t>
  </si>
  <si>
    <t>2025-05-08 22:26:00,11707189.7528408,-288157.444525004,,-3,,-11.67,0.0137070365650433,-0.32</t>
  </si>
  <si>
    <t>2025-05-08 22:26:00,37246698.503438,97675.8409000301,0,0,0,0,0,0</t>
  </si>
  <si>
    <t>2025-05-08 22:27:00,580,,570,,580,,564.5,,,,,570,560,,</t>
  </si>
  <si>
    <t>2025-05-08 22:27:00,500,,495,,470,,488,,,,,500,480,,</t>
  </si>
  <si>
    <t>2025-05-08 22:27:00,,5500,5700,,,5800,5660,,,,,5700,5560,5750,5550</t>
  </si>
  <si>
    <t>2025-05-08 22:27:00,20500,,20050,,19500,,20225,,,,,20500,19600,,</t>
  </si>
  <si>
    <t>2025-05-08 22:27:00,1747587878.87216,1927314580.32104,0,0,0,0,0,0</t>
  </si>
  <si>
    <t>2025-05-08 22:27:00,1047269220.50374,402563379.043687,0,0,0,0,0,0</t>
  </si>
  <si>
    <t>2025-05-08 22:27:00,16330113.7951442,-251881.867784071,,1,,3.9,0.00374284135235535,0.12</t>
  </si>
  <si>
    <t>2025-05-08 22:27:00,37251912.1649077,97631.0431517655,0,0,0,0,0,0</t>
  </si>
  <si>
    <t>2025-05-08 22:28:00,580,,570,,580,,564.5,,,,,570,560,,</t>
  </si>
  <si>
    <t>2025-05-08 22:28:00,500,,495,,470,,488,,,,,500,480,,</t>
  </si>
  <si>
    <t>2025-05-08 22:28:00,,5500,5700,,,5800,5660,,,,,5700,5560,5750,5550</t>
  </si>
  <si>
    <t>2025-05-08 22:28:00,20500,,20050,,19500,,20225,,,,,20500,19600,,</t>
  </si>
  <si>
    <t>2025-05-08 22:28:00,1747567719.23609,1926857855.81664,0,0,0,0,0,0</t>
  </si>
  <si>
    <t>2025-05-08 22:28:00,1041025225.49204,377057882.446042,0,0,0,0,0,0</t>
  </si>
  <si>
    <t>2025-05-08 22:28:00,15684322.3362779,-251477.138361651,,2,,10.6,0.0202103999046407,0.28</t>
  </si>
  <si>
    <t>2025-05-08 22:28:00,37246060.5746129,97594.9129766501,0,0,0,0,0,0</t>
  </si>
  <si>
    <t>2025-05-08 22:29:00,580,,570,,580,,564.5,,,,,570,560,,</t>
  </si>
  <si>
    <t>2025-05-08 22:29:00,500,,495,,470,,488,,,,,500,480,,</t>
  </si>
  <si>
    <t>2025-05-08 22:29:00,,5500,5700,,,5800,5660,,,,,5700,5560,5750,5550</t>
  </si>
  <si>
    <t>2025-05-08 22:29:00,20500,,20050,,19500,,20225,,,,,20500,19600,,</t>
  </si>
  <si>
    <t>2025-05-08 22:29:00,1747470769.86539,1926110722.98884,0,0,0,0,0,0</t>
  </si>
  <si>
    <t>2025-05-08 22:29:00,1059630575.50445,453292092.511393,0,0,0,0,0,0</t>
  </si>
  <si>
    <t>2025-05-08 22:29:00,15770657.9924692,-251111.169754618,,2,,31.31,0.00861164239517059,0.61</t>
  </si>
  <si>
    <t>2025-05-08 22:29:00,37251283.0040488,97642.1029067451,0,0,0,0,0,0</t>
  </si>
  <si>
    <t>2025-05-08 22:30:00,580,,570,,580,,564.5,,,,,570,560,,</t>
  </si>
  <si>
    <t>2025-05-08 22:30:00,500,,495,,470,,488,,,,,500,480,,</t>
  </si>
  <si>
    <t>2025-05-08 22:30:00,,5500,5700,,,5800,5660,,,,,5700,5560,5700,5550</t>
  </si>
  <si>
    <t>2025-05-08 22:30:00,20500,,20050,,19500,,20225,,,,,20500,19600,,</t>
  </si>
  <si>
    <t>2025-05-08 22:30:00,1747590676.01851,1926653473.34825,0,0,0,0,0,0</t>
  </si>
  <si>
    <t>2025-05-08 22:30:00,1041067014.68311,376940084.501121,0,0,0,0,0,0</t>
  </si>
  <si>
    <t>2025-05-08 22:30:00,16646877.9674836,-198667.969410264,,34,,420.6,0.19861774044445,10.08</t>
  </si>
  <si>
    <t>2025-05-08 22:30:00,37248426.9252078,97597.4821590622,0,0,0,0,0,0</t>
  </si>
  <si>
    <t>2025-05-08 22:31:00,580,,570,,580,,564.5,,,,,570,560,,</t>
  </si>
  <si>
    <t>2025-05-08 22:31:00,500,,495,,470,,488,,,,,500,480,,</t>
  </si>
  <si>
    <t>2025-05-08 22:31:00,,5500,5700,,,5800,5660,,,,,5700,5560,5660,5550</t>
  </si>
  <si>
    <t>2025-05-08 22:31:00,20500,,20050,,19500,,20225,,,,,20500,19600,,</t>
  </si>
  <si>
    <t>2025-05-08 22:31:00,1747646502.35005,1926608536.49969,0,0,0,0,0,0</t>
  </si>
  <si>
    <t>2025-05-08 22:31:00,1040834536.31387,376936259.907391,0,0,0,0,0,0</t>
  </si>
  <si>
    <t>2025-05-08 22:31:00,16470779.8017183,-72103.9627421491,,98,,3054.4,0.538121516449432,54.87</t>
  </si>
  <si>
    <t>2025-05-08 22:31:00,37244085.2282915,97570.6757807606,0,0,0,0,0,0</t>
  </si>
  <si>
    <t>2025-05-08 22:32:00,580,,570,,580,,564.5,,,,,570,560,,</t>
  </si>
  <si>
    <t>2025-05-08 22:32:00,500,,495,,470,,488,,,,,500,480,,</t>
  </si>
  <si>
    <t>2025-05-08 22:32:00,,5500,5700,,,5800,5660,,,,,5700,5560,5660,5550</t>
  </si>
  <si>
    <t>2025-05-08 22:32:00,20500,,20050,,19500,,20225,,,,,20500,19600,,</t>
  </si>
  <si>
    <t>2025-05-08 22:32:00,1747596836.3752,1926100457.61843,0,0,0,0,0,0</t>
  </si>
  <si>
    <t>2025-05-08 22:32:00,1044080673.14185,389551537.31216,0,0,0,0,0,0</t>
  </si>
  <si>
    <t>2025-05-08 22:32:00,15227541.3462688,-85723.900545564,,2,,6.61,0.00692669371892178,0.2</t>
  </si>
  <si>
    <t>2025-05-08 22:32:00,37249322.8220194,97597.9546345606,0,0,0,0,0,0</t>
  </si>
  <si>
    <t>2025-05-08 22:33:00,580,,570,,580,,564.5,,,,,570,560,,</t>
  </si>
  <si>
    <t>2025-05-08 22:33:00,500,,495,,470,,488,,,,,500,480,,</t>
  </si>
  <si>
    <t>2025-05-08 22:33:00,,5500,5700,,,5800,5660,,,,,5700,5560,5660,5550</t>
  </si>
  <si>
    <t>2025-05-08 22:33:00,20500,,20050,,19500,,20225,,,,,20500,19600,,</t>
  </si>
  <si>
    <t>2025-05-08 22:33:00,1747549182.84732,1926160661.71209,0,0,0,0,0,0</t>
  </si>
  <si>
    <t>2025-05-08 22:33:00,1031443429.00937,338948608.034432,0,0,0,0,0,0</t>
  </si>
  <si>
    <t>2025-05-08 22:33:00,16831311.8385791,-66524.1110724747,,21,,291.74,0.0160221948292246,7.04</t>
  </si>
  <si>
    <t>2025-05-08 22:33:00,37244539.6321821,97554.5421124285,0,0,0,0,0,0</t>
  </si>
  <si>
    <t>2025-05-08 22:34:00,580,,570,,580,,564.5,,,,,570,560,,</t>
  </si>
  <si>
    <t>2025-05-08 22:34:00,500,,495,,470,,488,,,,,500,480,,</t>
  </si>
  <si>
    <t>2025-05-08 22:34:00,,5500,5700,,,5800,5660,,,,,5700,5560,5660,5550</t>
  </si>
  <si>
    <t>2025-05-08 22:34:00,20500,,20050,,19500,,20225,,,,,20500,19600,,</t>
  </si>
  <si>
    <t>2025-05-08 22:34:00,1747652614.57478,1926069287.54491,0,0,0,0,0,0</t>
  </si>
  <si>
    <t>2025-05-08 22:34:00,1062574557.18958,465949353.399352,0,0,0,0,0,0</t>
  </si>
  <si>
    <t>2025-05-08 22:34:00,15064606.5393237,36078.8249166169,,97,,2542.4,0.57332143403217,49.6</t>
  </si>
  <si>
    <t>2025-05-08 22:34:00,37249785.8808802,97617.8232268255,0,0,0,0,0,0</t>
  </si>
  <si>
    <t>2025-05-08 22:35:00,580,,570,,580,,564.5,,,,,570,560,,</t>
  </si>
  <si>
    <t>2025-05-08 22:35:00,500,,495,,470,,488,,,,,500,480,,</t>
  </si>
  <si>
    <t>2025-05-08 22:35:00,,5500,5700,,,5800,5660,,,,,5700,5560,5660,5550</t>
  </si>
  <si>
    <t>2025-05-08 22:35:00,20500,,20050,,19500,,20225,,,,,20500,19600,,</t>
  </si>
  <si>
    <t>2025-05-08 22:35:00,1751252731.75472,2202924604.89661,0,0,0,0,0,0</t>
  </si>
  <si>
    <t>2025-05-08 22:35:00,1097360306.49105,619534533.680483,0,0,0,0,0,0</t>
  </si>
  <si>
    <t>2025-05-08 22:35:00,12928492.9582027,6050.62115132363,,-5,,-34.88,0.0182450326408364,-0.89</t>
  </si>
  <si>
    <t>2025-05-08 22:35:00,37245719.1365793,97651.280973728,0,0,0,0,0,0</t>
  </si>
  <si>
    <t>2025-05-08 22:36:00,580,,570,,580,,564.5,,,,,570,560,,</t>
  </si>
  <si>
    <t>2025-05-08 22:36:00,500,,495,,470,,488,,,,,500,480,,</t>
  </si>
  <si>
    <t>2025-05-08 22:36:00,,5500,5700,,,5800,5660,,,,,5700,5560,5660,5550</t>
  </si>
  <si>
    <t>2025-05-08 22:36:00,20500,,20050,,19500,,20225,,,,,20500,19600,,</t>
  </si>
  <si>
    <t>2025-05-08 22:36:00,1761349337.05701,2282570323.99748,0,0,0,0,0,0</t>
  </si>
  <si>
    <t>2025-05-08 22:36:00,1094640820.35707,606534804.877037,0,0,0,0,0,0</t>
  </si>
  <si>
    <t>2025-05-08 22:36:00,12379606.3284427,-608.457211969988,,-2,,5.11,0.0281797035767769,0.13</t>
  </si>
  <si>
    <t>2025-05-08 22:36:00,37243868.4601183,97616.4507877661,0,0,0,0,0,0</t>
  </si>
  <si>
    <t>2025-05-08 22:37:00,580,,570,,580,,564.5,,,,,570,560,,</t>
  </si>
  <si>
    <t>2025-05-08 22:37:00,500,,495,,470,,488,,,,,500,480,,</t>
  </si>
  <si>
    <t>2025-05-08 22:37:00,,5500,5700,,,5800,5660,,,,,5700,5560,5660,5550</t>
  </si>
  <si>
    <t>2025-05-08 22:37:00,20500,,20050,,19500,,20225,,,,,20500,19600,,</t>
  </si>
  <si>
    <t>2025-05-08 22:37:00,1761329210.37246,2282584206.43561,0,0,0,0,0,0</t>
  </si>
  <si>
    <t>2025-05-08 22:37:00,1092010900.92406,593666917.145659,0,0,0,0,0,0</t>
  </si>
  <si>
    <t>2025-05-08 22:37:00,12443640.679545,6083.50798843148,,0,,-13.59,0.00911353318586752,-0.3</t>
  </si>
  <si>
    <t>2025-05-08 22:37:00,37249129.9495359,97635.8883116696,0,0,0,0,0,0</t>
  </si>
  <si>
    <t>2025-05-08 22:38:00,580,,570,,580,,564.5,,,,,570,560,,</t>
  </si>
  <si>
    <t>2025-05-08 22:38:00,500,,495,,470,,488,,,,,500,480,,</t>
  </si>
  <si>
    <t>2025-05-08 22:38:00,,5500,5700,,,5800,5660,,,,,5700,5560,5660,5550</t>
  </si>
  <si>
    <t>2025-05-08 22:38:00,20500,,20050,,19500,,20225,,,,,20500,19600,,</t>
  </si>
  <si>
    <t>2025-05-08 22:38:00,1803923117.76343,2485206205.54323,0,0,0,0,0,0</t>
  </si>
  <si>
    <t>2025-05-08 22:38:00,1097475038.83736,619516141.500398,0,0,0,0,0,0</t>
  </si>
  <si>
    <t>2025-05-08 22:38:00,12143643.5811646,-5102.06198867709,,1,,1.93,0.00267792208736242,0.06</t>
  </si>
  <si>
    <t>2025-05-08 22:38:00,37246964.9992988,97621.9196579514,0,0,0,0,0,0</t>
  </si>
  <si>
    <t>2025-05-08 22:39:00,580,,570,,580,,564.5,,,,,570,560,,</t>
  </si>
  <si>
    <t>2025-05-08 22:39:00,500,,495,,470,,488,,,,,500,480,,</t>
  </si>
  <si>
    <t>2025-05-08 22:39:00,,5500,5700,,,5800,5660,,,,,5700,5560,5660,5550</t>
  </si>
  <si>
    <t>2025-05-08 22:39:00,20500,,20050,,19500,,20225,,,,,20500,19600,,</t>
  </si>
  <si>
    <t>2025-05-08 22:39:00,1808050212.83055,2524646765.05654,0,0,0,0,0,0</t>
  </si>
  <si>
    <t>2025-05-08 22:39:00,1097501152.41543,619209042.107031,0,0,0,0,0,0</t>
  </si>
  <si>
    <t>2025-05-08 22:39:00,11449327.4632128,-11756.1092212675,,0,,0,0,0</t>
  </si>
  <si>
    <t>2025-05-08 22:39:00,37252233.5209328,97645.3811945477,0,0,0,0,0,0</t>
  </si>
  <si>
    <t>2025-05-08 22:40:00,580,,570,,580,,564.5,,,,,570,560,,</t>
  </si>
  <si>
    <t>2025-05-08 22:40:00,500,,495,,470,,488,,,,,500,480,,</t>
  </si>
  <si>
    <t>2025-05-08 22:40:00,,5500,5700,,,5800,5660,,,,,5700,5560,5660,5550</t>
  </si>
  <si>
    <t>2025-05-08 22:40:00,20500,,20050,,19500,,20225,,,,,20500,19600,,</t>
  </si>
  <si>
    <t>2025-05-08 22:40:00,1803916657.27216,2484327673.1808,0,0,0,0,0,0</t>
  </si>
  <si>
    <t>2025-05-08 22:40:00,1094708494.5612,606240522.745151,0,0,0,0,0,0</t>
  </si>
  <si>
    <t>2025-05-08 22:40:00,10756483.518132,-13190.7869416135,,2,,18.05,0.0283494999295166,0.58</t>
  </si>
  <si>
    <t>2025-05-08 22:40:00,37248787.5492311,97611.123487041,0,0,0,0,0,0</t>
  </si>
  <si>
    <t>2025-05-08 22:41:00,580,,570,,580,,564.5,,,,,570,560,,</t>
  </si>
  <si>
    <t>2025-05-08 22:41:00,500,,495,,470,,488,,,,,500,480,,</t>
  </si>
  <si>
    <t>2025-05-08 22:41:00,,5500,5700,,,5800,5660,,,,,5700,5560,5660,5550</t>
  </si>
  <si>
    <t>2025-05-08 22:41:00,20500,,20050,,19500,,20225,,,,,20500,19600,,</t>
  </si>
  <si>
    <t>2025-05-08 22:41:00,1794370462.82588,2404324277.39981,0,0,0,0,0,0</t>
  </si>
  <si>
    <t>2025-05-08 22:41:00,1094596646.27054,606328178.805453,0,0,0,0,0,0</t>
  </si>
  <si>
    <t>2025-05-08 22:41:00,12382028.5611422,-972.684031734594,,-5,,-57.12,0.0350196784885255,-1.27</t>
  </si>
  <si>
    <t>2025-05-08 22:41:00,37254084.4712302,97634.7170455885,0,0,0,0,0,0</t>
  </si>
  <si>
    <t>2025-05-08 22:42:00,580,,570,,580,,564.5,,,,,570,560,,</t>
  </si>
  <si>
    <t>2025-05-08 22:42:00,500,,495,,470,,488,,,,,500,480,,</t>
  </si>
  <si>
    <t>2025-05-08 22:42:00,,5500,5700,,,5800,5660,,,,,5700,5560,5660,5550</t>
  </si>
  <si>
    <t>2025-05-08 22:42:00,20500,,20050,,19500,,20225,,,,,20500,19600,,</t>
  </si>
  <si>
    <t>2025-05-08 22:42:00,1757517884.49867,2084105115.96894,0,0,0,0,0,0</t>
  </si>
  <si>
    <t>2025-05-08 22:42:00,1080380784.02587,542134355.91313,0,0,0,0,0,0</t>
  </si>
  <si>
    <t>2025-05-08 22:42:00,13568429.4140121,19975.788320787,,1,,13.6,0.00538825827224756,0.33</t>
  </si>
  <si>
    <t>2025-05-08 22:42:00,37247265.6553572,97597.2474005283,0,0,0,0,0,0</t>
  </si>
  <si>
    <t>2025-05-08 22:43:00,580,,570,,580,,564.5,,,,,570,560,,</t>
  </si>
  <si>
    <t>2025-05-08 22:43:00,500,,495,,470,,488,,,,,500,480,,</t>
  </si>
  <si>
    <t>2025-05-08 22:43:00,,5500,5700,,,5800,5660,,,,,5700,5560,5660,5550</t>
  </si>
  <si>
    <t>2025-05-08 22:43:00,20500,,20050,,19500,,20225,,,,,20500,19600,,</t>
  </si>
  <si>
    <t>2025-05-08 22:43:00,1747475666.49881,1924510761.15398,0,0,0,0,0,0</t>
  </si>
  <si>
    <t>2025-05-08 22:43:00,1065260673.31631,477943642.887129,0,0,0,0,0,0</t>
  </si>
  <si>
    <t>2025-05-08 22:43:00,14979041.0090139,38291.1022135779,,0,,0,0,0</t>
  </si>
  <si>
    <t>2025-05-08 22:43:00,37242691.3559791,97533.3479697471,0,0,0,0,0,0</t>
  </si>
  <si>
    <t>2025-05-08 22:44:00,580,,570,,580,,564.5,,,,,570,560,,</t>
  </si>
  <si>
    <t>2025-05-08 22:44:00,500,,495,,470,,488,,,,,500,480,,</t>
  </si>
  <si>
    <t>2025-05-08 22:44:00,,5500,5700,,,5800,5660,,,,,5700,5560,5660,5550</t>
  </si>
  <si>
    <t>2025-05-08 22:44:00,20500,,20050,,19500,,20225,,,,,20500,19600,,</t>
  </si>
  <si>
    <t>2025-05-08 22:44:00,1757492367.91644,2083986956.5672,0,0,0,0,0,0</t>
  </si>
  <si>
    <t>2025-05-08 22:44:00,1077103323.33707,528776629.826393,0,0,0,0,0,0</t>
  </si>
  <si>
    <t>2025-05-08 22:44:00,13791849.557182,25159.6175779959,,-1,,-0.85,0.000962429850277032,-0.02</t>
  </si>
  <si>
    <t>2025-05-08 22:44:00,37247983.9832595,97572.8964461335,0,0,0,0,0,0</t>
  </si>
  <si>
    <t>2025-05-08 22:45:00,580,,570,,580,,564.5,,,,,570,560,,</t>
  </si>
  <si>
    <t>2025-05-08 22:45:00,500,,495,,470,,488,,,,,500,480,,</t>
  </si>
  <si>
    <t>2025-05-08 22:45:00,,5500,5700,,,5800,5660,,,,,5700,5560,5660,5550</t>
  </si>
  <si>
    <t>2025-05-08 22:45:00,20500,,20050,,19500,,20225,,,,,20500,19600,,</t>
  </si>
  <si>
    <t>2025-05-08 22:45:00,1794248954.98687,2403185123.15515,0,0,0,0,0,0</t>
  </si>
  <si>
    <t>2025-05-08 22:45:00,1113184980.63753,721572685.300897,0,0,0,0,0,0</t>
  </si>
  <si>
    <t>2025-05-08 22:45:00,11933378.2174917,-7506.35225020033,,-1,,-18.56,0.0105895144577614,-0.39</t>
  </si>
  <si>
    <t>2025-05-08 22:45:00,37243479.0959234,97614.5452655398,0,0,0,0,0,0</t>
  </si>
  <si>
    <t>2025-05-08 22:46:00,580,,570,,580,,563.5,,,,,570,560,,</t>
  </si>
  <si>
    <t>2025-05-08 22:46:00,500,,495,,470,,488,,,,,500,480,,</t>
  </si>
  <si>
    <t>2025-05-08 22:46:00,,5500,5700,,,5800,5660,,,,,5700,5560,5660,5550</t>
  </si>
  <si>
    <t>2025-05-08 22:46:00,20500,,20050,,19500,,20225,,,,,20500,19600,,</t>
  </si>
  <si>
    <t>2025-05-08 22:46:00,1924855931.8467,3221875984.37129,0,0,0,0,0,0</t>
  </si>
  <si>
    <t>2025-05-08 22:46:00,1148905982.34187,928189051.976902,0,0,0,0,0,0</t>
  </si>
  <si>
    <t>2025-05-08 22:46:00,7235561.32568007,-71989.6104513097,,-2,,-61.76,0.0320139192355458,-1.32</t>
  </si>
  <si>
    <t>2025-05-08 22:46:00,37248779.5182207,97702.1252079939,0,0,0,0,0,0</t>
  </si>
  <si>
    <t>2025-05-08 22:47:00,580,,570,,580,,563.5,,,,,570,560,,</t>
  </si>
  <si>
    <t>2025-05-08 22:47:00,500,,495,,470,,488,,,,,500,480,,</t>
  </si>
  <si>
    <t>2025-05-08 22:47:00,,5500,5700,,,5800,5660,,,,,5700,5560,5660,5550</t>
  </si>
  <si>
    <t>2025-05-08 22:47:00,20500,,20050,,19500,,20225,,,,,20500,19600,,</t>
  </si>
  <si>
    <t>2025-05-08 22:47:00,1906133552.03402,3176316003.7692,0,0,0,0,0,0</t>
  </si>
  <si>
    <t>2025-05-08 22:47:00,1154505159.46288,966325832.554742,0,0,0,0,0,0</t>
  </si>
  <si>
    <t>2025-05-08 22:47:00,7196694.82054004,-67768.0604563621,,1,,10.08,0.0375635639580799,0.36</t>
  </si>
  <si>
    <t>2025-05-08 22:47:00,37244036.3736064,97689.2549233945,0,0,0,0,0,0</t>
  </si>
  <si>
    <t>2025-05-08 22:48:00,580,,570,,580,,563.5,,,,,570,560,,</t>
  </si>
  <si>
    <t>2025-05-08 22:48:00,500,,495,,470,,488,,,,,500,480,,</t>
  </si>
  <si>
    <t>2025-05-08 22:48:00,,5500,5700,,,5800,5660,,,,,5700,5560,5660,5550</t>
  </si>
  <si>
    <t>2025-05-08 22:48:00,20500,,20050,,19500,,20225,,,,,20500,19600,,</t>
  </si>
  <si>
    <t>2025-05-08 22:48:00,1936037383.50852,3303458865.36087,0,0,0,0,0,0</t>
  </si>
  <si>
    <t>2025-05-08 22:48:00,1155543234.97572,990938143.802483,0,0,0,0,0,0</t>
  </si>
  <si>
    <t>2025-05-08 22:48:00,6772346.14458416,-71535.755845805,,-2,,-40.96,0.00522614791084968,-0.85</t>
  </si>
  <si>
    <t>2025-05-08 22:48:00,37239705.7216737,97684.3579894464,0,0,0,0,0,0</t>
  </si>
  <si>
    <t>2025-05-08 22:49:00,580,,570,,580,,563.5,,,,,570,560,,</t>
  </si>
  <si>
    <t>2025-05-08 22:49:00,500,,495,,470,,488,,,,,500,480,,</t>
  </si>
  <si>
    <t>2025-05-08 22:49:00,,5500,5700,,,5800,5660,,,,,5700,5560,5660,5550</t>
  </si>
  <si>
    <t>2025-05-08 22:49:00,20500,,20050,,19500,,20225,,,,,20500,19600,,</t>
  </si>
  <si>
    <t>2025-05-08 22:49:00,1899947332.25286,3133155831.61414,0,0,0,0,0,0</t>
  </si>
  <si>
    <t>2025-05-08 22:49:00,1148734965.18393,927941053.559037,0,0,0,0,0,0</t>
  </si>
  <si>
    <t>2025-05-08 22:49:00,7602624.4989581,-58889.8729833168,,2,,4.64,0.00590920171816087,0.15</t>
  </si>
  <si>
    <t>2025-05-08 22:49:00,37245023.3155877,97688.1306401792,0,0,0,0,0,0</t>
  </si>
  <si>
    <t>2025-05-08 22:50:00,580,,570,,580,,563.5,,,,,570,560,,</t>
  </si>
  <si>
    <t>2025-05-08 22:50:00,500,,495,,470,,488,,,,,500,480,,</t>
  </si>
  <si>
    <t>2025-05-08 22:50:00,,5500,5700,,,5800,5660,,,,,5700,5560,5660,5550</t>
  </si>
  <si>
    <t>2025-05-08 22:50:00,20500,,20050,,19500,,20225,,,,,20500,19600,,</t>
  </si>
  <si>
    <t>2025-05-08 22:50:00,1812097790.36275,2799816423.25312,0,0,0,0,0,0</t>
  </si>
  <si>
    <t>2025-05-08 22:50:00,1148658946.0612,927801315.118498,0,0,0,0,0,0</t>
  </si>
  <si>
    <t>2025-05-08 22:50:00,9554086.11869728,-31607.0322544814,,-4,,-61.9,-0.00318512283711398,-1.44</t>
  </si>
  <si>
    <t>2025-05-08 22:50:00,37240830.9192262,97654.2460652639,0,0,0,0,0,0</t>
  </si>
  <si>
    <t>2025-05-08 22:51:00,580,,570,,580,,563.5,,,,,570,560,,</t>
  </si>
  <si>
    <t>2025-05-08 22:51:00,500,,495,,470,,488,,,,,500,480,,</t>
  </si>
  <si>
    <t>2025-05-08 22:51:00,,5500,5700,,,5800,5660,,,,,5700,5560,5660,5550</t>
  </si>
  <si>
    <t>2025-05-08 22:51:00,20500,,20050,,19500,,20225,,,,,20500,19600,,</t>
  </si>
  <si>
    <t>2025-05-08 22:51:00,1893651364.53112,3092903179.82443,0,0,0,0,0,0</t>
  </si>
  <si>
    <t>2025-05-08 22:51:00,1150984797.35523,940594967.178821,0,0,0,0,0,0</t>
  </si>
  <si>
    <t>2025-05-08 22:51:00,7972720.0027727,-55667.6968837356,,20,,5,0.0101121545065534,0.1</t>
  </si>
  <si>
    <t>2025-05-08 22:51:00,37246231.2437644,97682.3585097915,0,0,0,0,0,0</t>
  </si>
  <si>
    <t>2025-05-08 22:52:00,580,,570,,580,,562.5,,,,,570,560,,</t>
  </si>
  <si>
    <t>2025-05-08 22:52:00,500,,495,,470,,488,,,,,500,480,,</t>
  </si>
  <si>
    <t>2025-05-08 22:52:00,,5500,5700,,,5800,5660,,,,,5700,5560,5660,5550</t>
  </si>
  <si>
    <t>2025-05-08 22:52:00,20500,,20050,,19500,,20225,,,,,20500,19600,,</t>
  </si>
  <si>
    <t>2025-05-08 22:52:00,1980758616.62737,3593864768.16501,0,0,0,0,0,0</t>
  </si>
  <si>
    <t>2025-05-08 22:52:00,1190316492.63877,1099017078.04651,0,0,0,0,0,0</t>
  </si>
  <si>
    <t>2025-05-08 22:52:00,5970198.28267985,-76751.7080270441,,-4,,-102.37,-0.0114455398141811,-2.21</t>
  </si>
  <si>
    <t>2025-05-08 22:52:00,37239766.2322422,97695.6483622828,0,0,0,0,0,0</t>
  </si>
  <si>
    <t>2025-05-08 22:53:00,580,,570,,580,,562.5,,,,,570,560,,</t>
  </si>
  <si>
    <t>2025-05-08 22:53:00,500,,495,,470,,488,,,,,500,480,,</t>
  </si>
  <si>
    <t>2025-05-08 22:53:00,,5500,5700,,,5800,5660,,,,,5700,5560,5660,5550</t>
  </si>
  <si>
    <t>2025-05-08 22:53:00,20500,,20050,,19500,,20225,,,,,20500,19600,,</t>
  </si>
  <si>
    <t>2025-05-08 22:53:00,1991444123.03634,3676423926.54676,0,0,0,0,0,0</t>
  </si>
  <si>
    <t>2025-05-08 22:53:00,1198973580.06154,1138310839.57625,0,0,0,0,0,0</t>
  </si>
  <si>
    <t>2025-05-08 22:53:00,5348391.94266441,-84047.6758621961,,1,,1.93,0.00270836649703817,0.06</t>
  </si>
  <si>
    <t>2025-05-08 22:53:00,37229522.7239533,97694.1143157359,0,0,0,0,0,0</t>
  </si>
  <si>
    <t>2025-05-08 22:54:00,580,,570,,580,,562.5,,,,,570,560,,</t>
  </si>
  <si>
    <t>2025-05-08 22:54:00,500,,495,,470,,488,,,,,500,480,,</t>
  </si>
  <si>
    <t>2025-05-08 22:54:00,,5500,5700,,,5800,5660,,,,,5700,5560,5660,5550</t>
  </si>
  <si>
    <t>2025-05-08 22:54:00,20500,,20050,,19500,,20225,,,,,20500,19600,,</t>
  </si>
  <si>
    <t>2025-05-08 22:54:00,1980464955.62581,3593154190.72132,0,0,0,0,0,0</t>
  </si>
  <si>
    <t>2025-05-08 22:54:00,1193325904.48452,1112111652.5516,0,0,0,0,0,0</t>
  </si>
  <si>
    <t>2025-05-08 22:54:00,4916108.18055377,-84673.9426253826,,-12,,-226.34,0.0314328171327345,-5.29</t>
  </si>
  <si>
    <t>2025-05-08 22:54:00,37234863.5700428,97710.0037384635,0,0,0,0,0,0</t>
  </si>
  <si>
    <t>2025-05-08 22:55:00,580,,570,,580,,562.5,,,,,570,560,,</t>
  </si>
  <si>
    <t>2025-05-08 22:55:00,500,,495,,470,,486,,,,,500,480,,</t>
  </si>
  <si>
    <t>2025-05-08 22:55:00,,5500,5700,,,5800,5660,,,,,5700,5560,5660,5550</t>
  </si>
  <si>
    <t>2025-05-08 22:55:00,20500,,20050,,19500,,20225,,,,,20500,19600,,</t>
  </si>
  <si>
    <t>2025-05-08 22:55:00,2004937577.55973,3798356208.51848,0,0,0,0,0,0</t>
  </si>
  <si>
    <t>2025-05-08 22:55:00,1216072570.07677,1227464653.96714,0,0,0,0,0,0</t>
  </si>
  <si>
    <t>2025-05-08 22:55:00,3720220.36401702,-99213.5158741239,,-4,,-78.62,-0.00965227783754762,-1.88</t>
  </si>
  <si>
    <t>2025-05-08 22:55:00,37229148.0723462,97706.0642281521,0,0,0,0,0,0</t>
  </si>
  <si>
    <t>2025-05-08 22:56:00,580,,570,,580,,562.5,,,,,570,560,,</t>
  </si>
  <si>
    <t>2025-05-08 22:56:00,500,,495,,470,,486,,,,,500,480,,</t>
  </si>
  <si>
    <t>2025-05-08 22:56:00,,5500,5700,,,5800,5660,,,,,5700,5560,5660,5550</t>
  </si>
  <si>
    <t>2025-05-08 22:56:00,20500,,20050,,19500,,20225,,,,,20500,19600,,</t>
  </si>
  <si>
    <t>2025-05-08 22:56:00,2043164640.29782,4011464648.66018,0,0,0,0,0,0</t>
  </si>
  <si>
    <t>2025-05-08 22:56:00,1206978971.56129,1294849638.75758,0,0,0,0,0,0</t>
  </si>
  <si>
    <t>2025-05-08 22:56:00,2562505.44767344,-108163.464870042,,-5,,-107.07,-0.0200732975454432,-2.24</t>
  </si>
  <si>
    <t>2025-05-08 22:56:00,37234399.8278567,97757.5329832909,0,0,0,0,0,0</t>
  </si>
  <si>
    <t>2025-05-08 22:57:00,580,,570,,580,,562.5,,,,,570,560,,</t>
  </si>
  <si>
    <t>2025-05-08 22:57:00,500,,495,,470,,486,,,,,500,480,,</t>
  </si>
  <si>
    <t>2025-05-08 22:57:00,,5500,5700,,,5800,5660,,,,,5700,5560,5660,5550</t>
  </si>
  <si>
    <t>2025-05-08 22:57:00,20500,,20050,,19500,,20225,,,,,20500,19600,,</t>
  </si>
  <si>
    <t>2025-05-08 22:57:00,2004160379.63696,3875653565.86736,0,0,0,0,0,0</t>
  </si>
  <si>
    <t>2025-05-08 22:57:00,1252545870.2996,1365042489.775,0,0,0,0,0,0</t>
  </si>
  <si>
    <t>2025-05-08 22:57:00,2733544.33979508,-106952.38186723,,-1,,-6.5,0.00418095707852596,-0.17</t>
  </si>
  <si>
    <t>2025-05-08 22:57:00,37231776.2103983,97757.6747846621,0,0,0,0,0,0</t>
  </si>
  <si>
    <t>2025-05-08 22:58:00,580,,570,,580,,562.5,,,,,570,560,,</t>
  </si>
  <si>
    <t>2025-05-08 22:58:00,500,,495,,470,,486,,,,,500,480,,</t>
  </si>
  <si>
    <t>2025-05-08 22:58:00,,5500,5700,,,5800,5660,,,,,5700,5560,5660,5550</t>
  </si>
  <si>
    <t>2025-05-08 22:58:00,20500,,20050,,19500,,20225,,,,,20500,19600,,</t>
  </si>
  <si>
    <t>2025-05-08 22:58:00,2063354681.1736,4177418694.45808,0,0,0,0,0,0</t>
  </si>
  <si>
    <t>2025-05-08 22:58:00,1260570953.05859,1404070821.50977,0,0,0,0,0,0</t>
  </si>
  <si>
    <t>2025-05-08 22:58:00,1574468.5321322,-118221.422417506,,-1,,-60.71,-0.00881708414663105,-1.23</t>
  </si>
  <si>
    <t>2025-05-08 22:58:00,37237133.8493237,97793.6471172779,0,0,0,0,0,0</t>
  </si>
  <si>
    <t>2025-05-08 22:59:00,580,,570,,580,,562.5,,,,,570,560,,</t>
  </si>
  <si>
    <t>2025-05-08 22:59:00,500,,495,,470,,486,,,,,500,480,,</t>
  </si>
  <si>
    <t>2025-05-08 22:59:00,,5500,5700,,,5800,5660,,,,,5700,5560,5660,5550</t>
  </si>
  <si>
    <t>2025-05-08 22:59:00,20500,,20050,,19500,,20225,,,,,20500,19600,,</t>
  </si>
  <si>
    <t>2025-05-08 22:59:00,2003850261.43548,3874982579.22553,0,0,0,0,0,0</t>
  </si>
  <si>
    <t>2025-05-08 22:59:00,1218614508.06333,1273107346.66544,0,0,0,0,0,0</t>
  </si>
  <si>
    <t>2025-05-08 22:59:00,3324557.01700622,-90902.8896445347,,-2,,-16.97,0.0055823520309726,-0.44</t>
  </si>
  <si>
    <t>2025-05-08 22:59:00,37232587.2515113,97734.5131014671,0,0,0,0,0,0</t>
  </si>
  <si>
    <t>2025-05-08 23:00:00,580,,570,,580,,562.5,,,,,570,560,,</t>
  </si>
  <si>
    <t>2025-05-08 23:00:00,500,,495,,470,,486,,,,,500,480,,</t>
  </si>
  <si>
    <t>2025-05-08 23:00:00,,5500,5700,,,5800,5660,,,,,5700,5560,5660,5550</t>
  </si>
  <si>
    <t>2025-05-08 23:00:00,20500,,20050,,19500,,20225,,,,,20500,19600,,</t>
  </si>
  <si>
    <t>2025-05-08 23:00:00,2048471230.20332,4052373825.67276,0,0,0,0,0,0</t>
  </si>
  <si>
    <t>2025-05-08 23:00:00,1252375651.49199,1365038673.86754,0,0,0,0,0,0</t>
  </si>
  <si>
    <t>2025-05-08 23:00:00,1970006.78082962,-109026.398172721,,2,,5.83,0.006445259420837,0.2</t>
  </si>
  <si>
    <t>2025-05-08 23:00:00,37229604.329362,97726.0120911812,0,0,0,0,0,0</t>
  </si>
  <si>
    <t>2025-05-08 23:01:00,580,,570,,580,,562.5,,,,,570,560,,</t>
  </si>
  <si>
    <t>2025-05-08 23:01:00,500,,495,,470,,486,,,,,500,480,,</t>
  </si>
  <si>
    <t>2025-05-08 23:01:00,,5500,5700,,,5800,5660,,,,,5700,5560,5660,5550</t>
  </si>
  <si>
    <t>2025-05-08 23:01:00,20500,,20050,,19500,,20225,,,,,20500,19600,,</t>
  </si>
  <si>
    <t>2025-05-08 23:01:00,2003737514.80336,3875907760.49401,0,0,0,0,0,0</t>
  </si>
  <si>
    <t>2025-05-08 23:01:00,1209538710.08083,1307683594.06086,0,0,0,0,0,0</t>
  </si>
  <si>
    <t>2025-05-08 23:01:00,3046294.35342034,-95290.9596740674,,-2,,-50.07,0.0214299239941805,-1.08</t>
  </si>
  <si>
    <t>2025-05-08 23:01:00,37234976.9869783,97742.0840656579,0,0,0,0,0,0</t>
  </si>
  <si>
    <t>2025-05-08 23:02:00,580,,570,,580,,562.5,,,,,570,560,,</t>
  </si>
  <si>
    <t>2025-05-08 23:02:00,500,,495,,470,,486,,,,,500,480,,</t>
  </si>
  <si>
    <t>2025-05-08 23:02:00,,5500,5700,,,5800,5660,,,,,5700,5560,5660,5600</t>
  </si>
  <si>
    <t>2025-05-08 23:02:00,20500,,20050,,19500,,20225,,,,,20500,19600,,</t>
  </si>
  <si>
    <t>2025-05-08 23:02:00,1990628765.29021,3673980096.59216,0,0,0,0,0,0</t>
  </si>
  <si>
    <t>2025-05-08 23:02:00,1215807113.72552,1226956668.22351,0,0,0,0,0,0</t>
  </si>
  <si>
    <t>2025-05-08 23:02:00,4337931.90139552,-55086.8941964395,,-16,,-358.14,-0.0680886645558732,-7.66</t>
  </si>
  <si>
    <t>2025-05-08 23:02:00,37233057.9479562,97685.1188591076,0,0,0,0,0,0</t>
  </si>
  <si>
    <t>2025-05-08 23:03:00,580,,570,,580,,562.5,,,,,570,560,,</t>
  </si>
  <si>
    <t>2025-05-08 23:03:00,500,,495,,470,,486,,,,,500,480,,</t>
  </si>
  <si>
    <t>2025-05-08 23:03:00,,5500,5700,,,5800,5660,,,,,5700,5560,5660,5600</t>
  </si>
  <si>
    <t>2025-05-08 23:03:00,20500,,20050,,19500,,20225,,,,,20500,19600,,</t>
  </si>
  <si>
    <t>2025-05-08 23:03:00,1979810296.3929,3591536956.73549,0,0,0,0,0,0</t>
  </si>
  <si>
    <t>2025-05-08 23:03:00,1213733397.79314,1214500231.34594,0,0,0,0,0,0</t>
  </si>
  <si>
    <t>2025-05-08 23:03:00,4816370.38072054,-48486.2047118464,,-1,,-22,-0.00507232737031451,-0.47</t>
  </si>
  <si>
    <t>2025-05-08 23:03:00,37238439.9725803,97705.2332121548,0,0,0,0,0,0</t>
  </si>
  <si>
    <t>2025-05-08 23:04:00,580,,570,,580,,562.5,,,,,570,560,,</t>
  </si>
  <si>
    <t>2025-05-08 23:04:00,500,,495,,470,,486,,,,,500,480,,</t>
  </si>
  <si>
    <t>2025-05-08 23:04:00,,5500,5700,,,5800,5660,,,,,5700,5560,5660,5600</t>
  </si>
  <si>
    <t>2025-05-08 23:04:00,20500,,20050,,19500,,20225,,,,,20500,19600,,</t>
  </si>
  <si>
    <t>2025-05-08 23:04:00,2003269817.00869,3873295923.72005,0,0,0,0,0,0</t>
  </si>
  <si>
    <t>2025-05-08 23:04:00,1206490174.65354,1294423532.88167,0,0,0,0,0,0</t>
  </si>
  <si>
    <t>2025-05-08 23:04:00,3279272.12929586,-71235.4057378903,,-2,,-25.3,0.00346613232609387,-0.54</t>
  </si>
  <si>
    <t>2025-05-08 23:04:00,37233523.4354984,97714.2418265903,0,0,0,0,0,0</t>
  </si>
  <si>
    <t>2025-05-08 23:05:00,580,,570,,580,,562.5,,,,,570,560,,</t>
  </si>
  <si>
    <t>2025-05-08 23:05:00,500,,495,,470,,486,,,,,500,480,,</t>
  </si>
  <si>
    <t>2025-05-08 23:05:00,,5500,5700,,,5800,5660,,,,,5700,5560,5660,5600</t>
  </si>
  <si>
    <t>2025-05-08 23:05:00,20500,,20050,,19500,,20225,,,,,20500,19600,,</t>
  </si>
  <si>
    <t>2025-05-08 23:05:00,2042371472.18121,4009198863.9908,0,0,0,0,0,0</t>
  </si>
  <si>
    <t>2025-05-08 23:05:00,1208748428.36118,1301630275.30818,0,0,0,0,0,0</t>
  </si>
  <si>
    <t>2025-05-08 23:05:00,2918626.23354434,-69826.7178812941,,8,,31.2,0.029824036803053,1.04</t>
  </si>
  <si>
    <t>2025-05-08 23:05:00,37228754.6021904,97672.0719399602,0,0,0,0,0,0</t>
  </si>
  <si>
    <t>2025-05-08 23:06:00,580,,570,,580,,562.5,,,,,570,560,,</t>
  </si>
  <si>
    <t>2025-05-08 23:06:00,500,,495,,470,,486,,,,,500,480,,</t>
  </si>
  <si>
    <t>2025-05-08 23:06:00,,5500,5700,,,5800,5660,,,,,5700,5560,5660,5600</t>
  </si>
  <si>
    <t>2025-05-08 23:06:00,20500,,20050,,19500,,20225,,,,,20500,19600,,</t>
  </si>
  <si>
    <t>2025-05-08 23:06:00,2003121448.39343,3874242550.97836,0,0,0,0,0,0</t>
  </si>
  <si>
    <t>2025-05-08 23:06:00,1231447382.06929,1329600950.23686,0,0,0,0,0,0</t>
  </si>
  <si>
    <t>2025-05-08 23:06:00,2963717.78197306,-66306.9234992868,,1,,0.22,0.000449846815325092,0</t>
  </si>
  <si>
    <t>2025-05-08 23:06:00,37234151.6757725,97704.2477906035,0,0,0,0,0,0</t>
  </si>
  <si>
    <t>2025-05-08 23:07:00,580,,570,,580,,562.5,,,,,570,560,,</t>
  </si>
  <si>
    <t>2025-05-08 23:07:00,500,,495,,470,,486,,,,,500,480,,</t>
  </si>
  <si>
    <t>2025-05-08 23:07:00,,5500,5700,,,5800,5660,,,,,5700,5560,5660,5600</t>
  </si>
  <si>
    <t>2025-05-08 23:07:00,20500,,20050,,19500,,20225,,,,,20500,19600,,</t>
  </si>
  <si>
    <t>2025-05-08 23:07:00,2047294308.67288,4050167824.19595,0,0,0,0,0,0</t>
  </si>
  <si>
    <t>2025-05-08 23:07:00,1254711675.60974,1377225597.99764,0,0,0,0,0,0</t>
  </si>
  <si>
    <t>2025-05-08 23:07:00,2228105.54179441,-79651.0693912726,,-2,,-17.35,0.00289480735660185,-0.45</t>
  </si>
  <si>
    <t>2025-05-08 23:07:00,37229577.7578695,97688.2263944331,0,0,0,0,0,0</t>
  </si>
  <si>
    <t>2025-05-08 23:08:00,580,,570,,580,,562.5,,,,,570,560,,</t>
  </si>
  <si>
    <t>2025-05-08 23:08:00,500,,495,,470,,486,,,,,500,480,,</t>
  </si>
  <si>
    <t>2025-05-08 23:08:00,,5500,5700,,,5800,5660,,,,,5700,5560,5660,5600</t>
  </si>
  <si>
    <t>2025-05-08 23:08:00,20500,,20050,,19500,,20225,,,,,20500,19600,,</t>
  </si>
  <si>
    <t>2025-05-08 23:08:00,2047386642.22299,4050345478.87119,0,0,0,0,0,0</t>
  </si>
  <si>
    <t>2025-05-08 23:08:00,1267684370.44012,1442349689.13436,0,0,0,0,0,0</t>
  </si>
  <si>
    <t>2025-05-08 23:08:00,2168655.98774812,-85518.0580822255,,-1,,-5,0.00367303744877991,-0.14</t>
  </si>
  <si>
    <t>2025-05-08 23:08:00,37234984.4003378,97732.4433305569,0,0,0,0,0,0</t>
  </si>
  <si>
    <t>2025-05-08 23:09:00,580,,570,,580,,562.5,,,,,570,560,,</t>
  </si>
  <si>
    <t>2025-05-08 23:09:00,500,,495,,470,,486,,,,,500,480,,</t>
  </si>
  <si>
    <t>2025-05-08 23:09:00,,5500,5700,,,5800,5660,,,,,5700,5560,5660,5600</t>
  </si>
  <si>
    <t>2025-05-08 23:09:00,20500,,20050,,19500,,20225,,,,,20500,19600,,</t>
  </si>
  <si>
    <t>2025-05-08 23:09:00,2047398164.83162,4050732749.09703,0,0,0,0,0,0</t>
  </si>
  <si>
    <t>2025-05-08 23:09:00,1257405811.38904,1390431875.73566,0,0,0,0,0,0</t>
  </si>
  <si>
    <t>2025-05-08 23:09:00,2298563.55792856,-79583.0033846552,,0,,-15.68,0.00197099680130248,-0.34</t>
  </si>
  <si>
    <t>2025-05-08 23:09:00,37235320.3562446,97709.3285178567,0,0,0,0,0,0</t>
  </si>
  <si>
    <t>2025-05-08 23:10:00,580,,570,,580,,562.5,,,,,570,560,,</t>
  </si>
  <si>
    <t>2025-05-08 23:10:00,500,,495,,470,,486,,,,,500,480,,</t>
  </si>
  <si>
    <t>2025-05-08 23:10:00,,5500,5700,,,5800,5660,,,,,5700,5560,5660,5600</t>
  </si>
  <si>
    <t>2025-05-08 23:10:00,20500,,20050,,19500,,20225,,,,,20500,19600,,</t>
  </si>
  <si>
    <t>2025-05-08 23:10:00,2047196320.35794,4050478370.99543,0,0,0,0,0,0</t>
  </si>
  <si>
    <t>2025-05-08 23:10:00,1254515475.67405,1377106107.38407,0,0,0,0,0,0</t>
  </si>
  <si>
    <t>2025-05-08 23:10:00,2591910.59306134,-70437.5593769472,,0,,0,0,0</t>
  </si>
  <si>
    <t>2025-05-08 23:10:00,37230342.2369673,97666.4009619204,0,0,0,0,0,0</t>
  </si>
  <si>
    <t>2025-05-08 23:11:00,580,,570,,580,,562.5,,,,,570,560,,</t>
  </si>
  <si>
    <t>2025-05-08 23:11:00,500,,495,,470,,486,,,,,500,480,,</t>
  </si>
  <si>
    <t>2025-05-08 23:11:00,,5500,5700,,,5800,5660,,,,,5700,5560,5660,5600</t>
  </si>
  <si>
    <t>2025-05-08 23:11:00,20500,,20050,,19500,,20225,,,,,20500,19600,,</t>
  </si>
  <si>
    <t>2025-05-08 23:11:00,2047100195.38325,4049573937.35301,0,0,0,0,0,0</t>
  </si>
  <si>
    <t>2025-05-08 23:11:00,1231098231.80576,1329282441.94572,0,0,0,0,0,0</t>
  </si>
  <si>
    <t>2025-05-08 23:11:00,2676583.79054676,-69299.3702047505,,1,,1.93,0.00271901518521032,0.07</t>
  </si>
  <si>
    <t>2025-05-08 23:11:00,37235763.2908461,97682.7321575939,0,0,0,0,0,0</t>
  </si>
  <si>
    <t>2025-05-08 23:12:00,580,,570,,580,,562.5,,,,,570,560,,</t>
  </si>
  <si>
    <t>2025-05-08 23:12:00,500,,495,,470,,486,,,,,500,480,,</t>
  </si>
  <si>
    <t>2025-05-08 23:12:00,,5500,5700,,,5800,5660,,,,,5700,5560,5660,5600</t>
  </si>
  <si>
    <t>2025-05-08 23:12:00,20500,,20050,,19500,,20225,,,,,20500,19600,,</t>
  </si>
  <si>
    <t>2025-05-08 23:12:00,2047049099.44695,4050006498.54799,0,0,0,0,0,0</t>
  </si>
  <si>
    <t>2025-05-08 23:12:00,1218197187.55948,1272326927.89309,0,0,0,0,0,0</t>
  </si>
  <si>
    <t>2025-05-08 23:12:00,3475955.45245343,-58448.0656670099,,-1,,-10,-0.00489648629594637,-0.28</t>
  </si>
  <si>
    <t>2025-05-08 23:12:00,37232146.4672653,97638.4829476417,0,0,0,0,0,0</t>
  </si>
  <si>
    <t>2025-05-08 23:13:00,580,,570,,580,,562.5,,,,,570,560,,</t>
  </si>
  <si>
    <t>2025-05-08 23:13:00,500,,495,,470,,486,,,,,500,480,,</t>
  </si>
  <si>
    <t>2025-05-08 23:13:00,,5500,5700,,,5800,5660,,,,,5700,5560,5660,5600</t>
  </si>
  <si>
    <t>2025-05-08 23:13:00,20500,,20050,,19500,,20225,,,,,20500,19600,,</t>
  </si>
  <si>
    <t>2025-05-08 23:13:00,2008455211.3942,3913861723.19704,0,0,0,0,0,0</t>
  </si>
  <si>
    <t>2025-05-08 23:13:00,1206297659.89754,1284331745.36758,0,0,0,0,0,0</t>
  </si>
  <si>
    <t>2025-05-08 23:13:00,3046945.08711464,-64975.8885830473,,-2,,-27,-0.00131541576109743,-0.61</t>
  </si>
  <si>
    <t>2025-05-08 23:13:00,37237582.4340661,97670.848360067,0,0,0,0,0,0</t>
  </si>
  <si>
    <t>2025-05-08 23:14:00,580,,570,,580,,562.5,,,,,570,560,,</t>
  </si>
  <si>
    <t>2025-05-08 23:14:00,500,,495,,470,,486,,,,,500,480,,</t>
  </si>
  <si>
    <t>2025-05-08 23:14:00,,5500,5700,,,5800,5660,,,,,5700,5560,5660,5600</t>
  </si>
  <si>
    <t>2025-05-08 23:14:00,20500,,20050,,19500,,20225,,,,,20500,19600,,</t>
  </si>
  <si>
    <t>2025-05-08 23:14:00,2046779633.99977,4049171667.00462,0,0,0,0,0,0</t>
  </si>
  <si>
    <t>2025-05-08 23:14:00,1208902793.9901,1306801331.80547,0,0,0,0,0,0</t>
  </si>
  <si>
    <t>2025-05-08 23:14:00,2554307.2268943,-70244.5595563003,,3,,-16.9,4.13432763414294E-05,-0.5</t>
  </si>
  <si>
    <t>2025-05-08 23:14:00,37233165.7539328,97670.3460746812,0,0,0,0,0,0</t>
  </si>
  <si>
    <t>2025-05-08 23:15:00,580,,570,,580,,562.5,,,,,570,560,,</t>
  </si>
  <si>
    <t>2025-05-08 23:15:00,500,,495,,470,,486,,,,,500,480,,</t>
  </si>
  <si>
    <t>2025-05-08 23:15:00,,5500,5700,,,5800,5660,,,,,5700,5560,5660,5600</t>
  </si>
  <si>
    <t>2025-05-08 23:15:00,20500,,20050,,19500,,20225,,,,,20500,19600,,</t>
  </si>
  <si>
    <t>2025-05-08 23:15:00,2065940195.93048,4215903134.89223,0,0,0,0,0,0</t>
  </si>
  <si>
    <t>2025-05-08 23:15:00,1264718918.12552,1428702048.65644,0,0,0,0,0,0</t>
  </si>
  <si>
    <t>2025-05-08 23:15:00,1303305.15588887,-80114.1236967573,,-3,,-164.82,-0.0136862061142355,-3.43</t>
  </si>
  <si>
    <t>2025-05-08 23:15:00,37228322.4083658,97669.854625009,0,0,0,0,0,0</t>
  </si>
  <si>
    <t>2025-05-08 23:16:00,580,,570,,580,,562.5,,,,,570,560,,</t>
  </si>
  <si>
    <t>2025-05-08 23:16:00,500,,495,,470,,486,,,,,500,480,,</t>
  </si>
  <si>
    <t>2025-05-08 23:16:00,,5500,5700,,,5800,5660,,,,,5700,5560,5660,5600</t>
  </si>
  <si>
    <t>2025-05-08 23:16:00,20500,,20050,,19500,,20225,,,,,20500,19600,,</t>
  </si>
  <si>
    <t>2025-05-08 23:16:00,2046421391.43649,4049210484.81082,0,0,0,0,0,0</t>
  </si>
  <si>
    <t>2025-05-08 23:16:00,1254189490.40108,1376659663.26676,0,0,0,0,0,0</t>
  </si>
  <si>
    <t>2025-05-08 23:16:00,2178869.17092575,-65755.1048833286,,-29,,-733.2,0.0445375930405191,-16.18</t>
  </si>
  <si>
    <t>2025-05-08 23:16:00,37233768.0557476,97678.3320858979,0,0,0,0,0,0</t>
  </si>
  <si>
    <t>2025-05-08 23:17:00,580,,570,,580,,562.5,,,,,570,560,,</t>
  </si>
  <si>
    <t>2025-05-08 23:17:00,500,,495,,470,,486,,,,,500,480,,</t>
  </si>
  <si>
    <t>2025-05-08 23:17:00,,5500,5700,,,5800,5660,,,,,5700,5560,5660,5600</t>
  </si>
  <si>
    <t>2025-05-08 23:17:00,20500,,20050,,19500,,20225,,,,,20500,19600,,</t>
  </si>
  <si>
    <t>2025-05-08 23:17:00,2002037115.42794,3871486305.54862,0,0,0,0,0,0</t>
  </si>
  <si>
    <t>2025-05-08 23:17:00,1218681760.64376,1261366913.13966,0,0,0,0,0,0</t>
  </si>
  <si>
    <t>2025-05-08 23:17:00,3161247.08830851,-29297.7629280085,,-10,,-319.57,-0.0604949024911375,-6.68</t>
  </si>
  <si>
    <t>2025-05-08 23:17:00,37230303.9599851,97626.2536514568,0,0,0,0,0,0</t>
  </si>
  <si>
    <t>2025-05-08 23:18:00,580,,570,,580,,563.5,,,,,570,560,,</t>
  </si>
  <si>
    <t>2025-05-08 23:18:00,500,,495,,470,,488,,,,,500,480,,</t>
  </si>
  <si>
    <t>2025-05-08 23:18:00,,5500,5700,,,5800,5660,,,,,5700,5560,5660,5670</t>
  </si>
  <si>
    <t>2025-05-08 23:18:00,20500,,20050,,19500,,20225,,,,,20500,19600,,</t>
  </si>
  <si>
    <t>2025-05-08 23:18:00,1927514189.58091,3257108295.06495,0,0,0,0,0,0</t>
  </si>
  <si>
    <t>2025-05-08 23:18:00,1176659323.22809,1057410137.14083,0,0,0,0,0,0</t>
  </si>
  <si>
    <t>2025-05-08 23:18:00,6334745.60521912,927.093106492393,,-10,,-240.64,0.072630471035997,-5.35</t>
  </si>
  <si>
    <t>2025-05-08 23:18:00,37235758.8054381,97586.8677906781,0,0,0,0,0,0</t>
  </si>
  <si>
    <t>2025-05-08 23:19:00,580,,570,,580,,563.5,,,,,570,560,,</t>
  </si>
  <si>
    <t>2025-05-08 23:19:00,500,,495,,470,,488,,,,,500,480,,</t>
  </si>
  <si>
    <t>2025-05-08 23:19:00,,5500,5700,,,5800,5660,,,,,5700,5560,5660,5670</t>
  </si>
  <si>
    <t>2025-05-08 23:19:00,20500,,20050,,19500,,20225,,,,,20500,19600,,</t>
  </si>
  <si>
    <t>2025-05-08 23:19:00,1927335268.10585,3256807372.14841,0,0,0,0,0,0</t>
  </si>
  <si>
    <t>2025-05-08 23:19:00,1182988267.96419,1071093361.57925,0,0,0,0,0,0</t>
  </si>
  <si>
    <t>2025-05-08 23:19:00,6273907.83878206,-7525.97670733158,,-4,,-46.26,0.0180511085231243,-1.07</t>
  </si>
  <si>
    <t>2025-05-08 23:19:00,37230794.8954659,97559.4950733241,0,0,0,0,0,0</t>
  </si>
  <si>
    <t>2025-05-08 23:20:00,580,,570,,580,,563.5,,,,,570,560,,</t>
  </si>
  <si>
    <t>2025-05-08 23:20:00,500,,495,,470,,488,,,,,500,480,,</t>
  </si>
  <si>
    <t>2025-05-08 23:20:00,,5500,5700,,,5800,5660,,,,,5700,5560,5660,5670</t>
  </si>
  <si>
    <t>2025-05-08 23:20:00,20500,,20050,,19500,,20225,,,,,20500,19600,,</t>
  </si>
  <si>
    <t>2025-05-08 23:20:00,1814001178.56244,2795607662.29161,0,0,0,0,0,0</t>
  </si>
  <si>
    <t>2025-05-08 23:20:00,1149708463.05623,938612746.631942,0,0,0,0,0,0</t>
  </si>
  <si>
    <t>2025-05-08 23:20:00,8179421.32292391,16637.4836431256,,2,,-49.62,0.0330998159957878,-0.98</t>
  </si>
  <si>
    <t>2025-05-08 23:20:00,37227568.6118704,97497.8725804078,0,0,0,0,0,0</t>
  </si>
  <si>
    <t>2025-05-08 23:21:00,580,,570,,580,,563.5,,,,,570,560,,</t>
  </si>
  <si>
    <t>2025-05-08 23:21:00,500,,495,,470,,488,,,,,500,480,,</t>
  </si>
  <si>
    <t>2025-05-08 23:21:00,,5500,5700,,,5800,5660,,,,,5700,5560,5660,5670</t>
  </si>
  <si>
    <t>2025-05-08 23:21:00,20500,,20050,,19500,,20225,,,,,20500,19600,,</t>
  </si>
  <si>
    <t>2025-05-08 23:21:00,1825776381.44143,2718616901.36862,0,0,0,0,0,0</t>
  </si>
  <si>
    <t>2025-05-08 23:21:00,1147441485.70013,925891085.080854,0,0,0,0,0,0</t>
  </si>
  <si>
    <t>2025-05-08 23:21:00,8621647.31600365,26038.6722415532,,1,,-12.79,0.0184442583075632,-0.23</t>
  </si>
  <si>
    <t>2025-05-08 23:21:00,37233039.5911276,97518.4335583966,0,0,0,0,0,0</t>
  </si>
  <si>
    <t>2025-05-08 23:22:00,580,,570,,580,,563.5,,,,,570,560,,</t>
  </si>
  <si>
    <t>2025-05-08 23:22:00,500,,495,,470,,488,,,,,500,480,,</t>
  </si>
  <si>
    <t>2025-05-08 23:22:00,,5500,5700,,,5800,5660,,,,,5700,5560,5660,5670</t>
  </si>
  <si>
    <t>2025-05-08 23:22:00,20500,,20050,,19500,,20225,,,,,20500,19600,,</t>
  </si>
  <si>
    <t>2025-05-08 23:22:00,1825766858.88369,2718667389.61492,0,0,0,0,0,0</t>
  </si>
  <si>
    <t>2025-05-08 23:22:00,1147393868.06968,925632824.249858,0,0,0,0,0,0</t>
  </si>
  <si>
    <t>2025-05-08 23:22:00,9271287.20606682,38444.2548696728,,0,,-2.08,0.00587527195184734,-0.05</t>
  </si>
  <si>
    <t>2025-05-08 23:22:00,37229838.14799,97487.642986804,0,0,0,0,0,0</t>
  </si>
  <si>
    <t>2025-05-08 23:23:00,580,,570,,580,,563.5,,,,,570,560,,</t>
  </si>
  <si>
    <t>2025-05-08 23:23:00,500,,495,,470,,488,,,,,500,480,,</t>
  </si>
  <si>
    <t>2025-05-08 23:23:00,,5500,5700,,,5800,5660,,,,,5700,5560,5660,5670</t>
  </si>
  <si>
    <t>2025-05-08 23:23:00,20500,,20050,,19500,,20225,,,,,20500,19600,,</t>
  </si>
  <si>
    <t>2025-05-08 23:23:00,1937926450.15254,3337711402.10292,0,0,0,0,0,0</t>
  </si>
  <si>
    <t>2025-05-08 23:23:00,1176491727.65168,1057023369.75942,0,0,0,0,0,0</t>
  </si>
  <si>
    <t>2025-05-08 23:23:00,6697670.92674175,4240.02660620265,,3,,-35.69,0.0231111005170356,-0.63</t>
  </si>
  <si>
    <t>2025-05-08 23:23:00,37235344.2729895,97552.2558870754,0,0,0,0,0,0</t>
  </si>
  <si>
    <t>2025-05-08 23:24:00,580,,570,,580,,563.5,,,,,570,560,,</t>
  </si>
  <si>
    <t>2025-05-08 23:24:00,500,,495,,470,,488,,,,,500,480,,</t>
  </si>
  <si>
    <t>2025-05-08 23:24:00,,5500,5700,,,5800,5660,,,,,5700,5560,5660,5670</t>
  </si>
  <si>
    <t>2025-05-08 23:24:00,20500,,20050,,19500,,20225,,,,,20500,19600,,</t>
  </si>
  <si>
    <t>2025-05-08 23:24:00,1890778946.05436,3085643092.77858,0,0,0,0,0,0</t>
  </si>
  <si>
    <t>2025-05-08 23:24:00,1149677961.7066,938432067.499149,0,0,0,0,0,0</t>
  </si>
  <si>
    <t>2025-05-08 23:24:00,7886500.86512162,16009.5010333185,,-1,,-4.01,0.00320247948057274,-0.11</t>
  </si>
  <si>
    <t>2025-05-08 23:24:00,37230508.320661,97509.0908528859,0,0,0,0,0,0</t>
  </si>
  <si>
    <t>2025-05-08 23:25:00,580,,570,,580,,563.5,,,,,570,560,,</t>
  </si>
  <si>
    <t>2025-05-08 23:25:00,500,,495,,470,,488,,,,,500,480,,</t>
  </si>
  <si>
    <t>2025-05-08 23:25:00,,5500,5700,,,5800,5660,,,,,5700,5560,5660,5670</t>
  </si>
  <si>
    <t>2025-05-08 23:25:00,20500,,20050,,19500,,20225,,,,,20500,19600,,</t>
  </si>
  <si>
    <t>2025-05-08 23:25:00,1932291263.24133,3296072990.19998,0,0,0,0,0,0</t>
  </si>
  <si>
    <t>2025-05-08 23:25:00,1155462831.90231,1024707890.22614,0,0,0,0,0,0</t>
  </si>
  <si>
    <t>2025-05-08 23:25:00,6911238.11247076,-6142.27234317437,,-5,,-15.75,0.0139058202605166,-0.45</t>
  </si>
  <si>
    <t>2025-05-08 23:25:00,37224625.0126492,97502.9005728184,0,0,0,0,0,0</t>
  </si>
  <si>
    <t>2025-05-08 23:26:00,580,,570,,580,,563.5,,,,,570,560,,</t>
  </si>
  <si>
    <t>2025-05-08 23:26:00,500,,495,,470,,488,,,,,500,480,,</t>
  </si>
  <si>
    <t>2025-05-08 23:26:00,,5500,5700,,,5800,5660,,,,,5700,5560,5660,5670</t>
  </si>
  <si>
    <t>2025-05-08 23:26:00,20500,,20050,,19500,,20225,,,,,20500,19600,,</t>
  </si>
  <si>
    <t>2025-05-08 23:26:00,1902445061.1632,3168685650.92229,0,0,0,0,0,0</t>
  </si>
  <si>
    <t>2025-05-08 23:26:00,1152521495.00231,999663330.686491,0,0,0,0,0,0</t>
  </si>
  <si>
    <t>2025-05-08 23:26:00,7091103.53663108,1191.88512079334,,-1,,-1.65,0.0017611989280773,-0.04</t>
  </si>
  <si>
    <t>2025-05-08 23:26:00,37230176.155639,97519.8592152108,0,0,0,0,0,0</t>
  </si>
  <si>
    <t>2025-05-08 23:27:00,580,,570,,580,,563.5,,,,,570,560,,</t>
  </si>
  <si>
    <t>2025-05-08 23:27:00,500,,495,,470,,488,,,,,500,480,,</t>
  </si>
  <si>
    <t>2025-05-08 23:27:00,,5500,5700,,,5800,5660,,,,,5700,5560,5660,5670</t>
  </si>
  <si>
    <t>2025-05-08 23:27:00,20500,,20050,,19500,,20225,,,,,20500,19600,,</t>
  </si>
  <si>
    <t>2025-05-08 23:27:00,1890137365.63708,3085484174.33365,0,0,0,0,0,0</t>
  </si>
  <si>
    <t>2025-05-08 23:27:00,1176185358.14775,1056356848.72738,0,0,0,0,0,0</t>
  </si>
  <si>
    <t>2025-05-08 23:27:00,7407907.24199428,3696.50554713688,,-3,,-33.96,0.0158906584652499,-0.87</t>
  </si>
  <si>
    <t>2025-05-08 23:27:00,37228680.3651698,97520.552024645,0,0,0,0,0,0</t>
  </si>
  <si>
    <t>2025-05-08 23:28:00,580,,570,,580,,563.5,,,,,570,560,,</t>
  </si>
  <si>
    <t>2025-05-08 23:28:00,500,,495,,470,,488,,,,,500,480,,</t>
  </si>
  <si>
    <t>2025-05-08 23:28:00,,5500,5700,,,5800,5660,,,,,5700,5560,5660,5670</t>
  </si>
  <si>
    <t>2025-05-08 23:28:00,20500,,20050,,19500,,20225,,,,,20500,19600,,</t>
  </si>
  <si>
    <t>2025-05-08 23:28:00,1926320673.84006,3254315832.12816,0,0,0,0,0,0</t>
  </si>
  <si>
    <t>2025-05-08 23:28:00,1182380999.70947,1070342447.78464,0,0,0,0,0,0</t>
  </si>
  <si>
    <t>2025-05-08 23:28:00,6306440.15860273,-14291.9366191822,,-1,,-16.3,0.00614896002788961,-0.39</t>
  </si>
  <si>
    <t>2025-05-08 23:28:00,37234185.0391483,97549.2790383754,0,0,0,0,0,0</t>
  </si>
  <si>
    <t>2025-05-08 23:29:00,580,,570,,580,,563.5,,,,,570,560,,</t>
  </si>
  <si>
    <t>2025-05-08 23:29:00,500,,495,,470,,488,,,,,500,480,,</t>
  </si>
  <si>
    <t>2025-05-08 23:29:00,,5500,5700,,,5800,5660,,,,,5700,5560,5660,5670</t>
  </si>
  <si>
    <t>2025-05-08 23:29:00,20500,,20050,,19500,,20225,,,,,20500,19600,,</t>
  </si>
  <si>
    <t>2025-05-08 23:29:00,1937071173.49345,3335569960.71189,0,0,0,0,0,0</t>
  </si>
  <si>
    <t>2025-05-08 23:29:00,1188349942.23396,1096431259.1966,0,0,0,0,0,0</t>
  </si>
  <si>
    <t>2025-05-08 23:29:00,6226871.94649787,-16598.1709385616,,0,,0,0,0</t>
  </si>
  <si>
    <t>2025-05-08 23:29:00,37233250.6356025,97523.9130771586,0,0,0,0,0,0</t>
  </si>
  <si>
    <t>2025-05-08 23:30:00,580,,570,,580,,563.5,,,,,570,560,,</t>
  </si>
  <si>
    <t>2025-05-08 23:30:00,500,,495,,470,,488,,,,,500,480,,</t>
  </si>
  <si>
    <t>2025-05-08 23:30:00,,5500,5700,,,5800,5660,,,,,5700,5560,5660,5670</t>
  </si>
  <si>
    <t>2025-05-08 23:30:00,20500,,20050,,19500,,20225,,,,,20500,19600,,</t>
  </si>
  <si>
    <t>2025-05-08 23:30:00,1926050743.27275,3253905654.237,0,0,0,0,0,0</t>
  </si>
  <si>
    <t>2025-05-08 23:30:00,1188347234.3945,1096392657.89921,0,0,0,0,0,0</t>
  </si>
  <si>
    <t>2025-05-08 23:30:00,6479475.24384047,-9553.08130673607,,2,,7.8,0.00746675360834048,0.24</t>
  </si>
  <si>
    <t>2025-05-08 23:30:00,37227204.7963519,97487.6530004911,0,0,0,0,0,0</t>
  </si>
  <si>
    <t>2025-05-08 23:31:00,580,,570,,580,,563.5,,,,,570,560,,</t>
  </si>
  <si>
    <t>2025-05-08 23:31:00,500,,495,,470,,488,,,,,500,480,,</t>
  </si>
  <si>
    <t>2025-05-08 23:31:00,,5500,5700,,,5800,5660,,,,,5700,5560,5660,5670</t>
  </si>
  <si>
    <t>2025-05-08 23:31:00,20500,,20050,,19500,,20225,,,,,20500,19600,,</t>
  </si>
  <si>
    <t>2025-05-08 23:31:00,1925979713.04076,3254167658.35244,0,0,0,0,0,0</t>
  </si>
  <si>
    <t>2025-05-08 23:31:00,1188315745.37233,1096384930.55212,0,0,0,0,0,0</t>
  </si>
  <si>
    <t>2025-05-08 23:31:00,6408687.85864244,-8211.27301714322,,-2,,-21.2,0.0103451112445468,-0.54</t>
  </si>
  <si>
    <t>2025-05-08 23:31:00,37232723.1677089,97512.4676828941,0,0,0,0,0,0</t>
  </si>
  <si>
    <t>2025-05-08 23:32:00,580,,570,,580,,562.5,,,,,570,560,,</t>
  </si>
  <si>
    <t>2025-05-08 23:32:00,500,,495,,470,,486,,,,,500,480,,</t>
  </si>
  <si>
    <t>2025-05-08 23:32:00,,5500,5700,,,5800,5660,,,,,5700,5560,5660,5670</t>
  </si>
  <si>
    <t>2025-05-08 23:32:00,20500,,20050,,19500,,20225,,,,,20500,19600,,</t>
  </si>
  <si>
    <t>2025-05-08 23:32:00,1987724239.19403,3668388537.61636,0,0,0,0,0,0</t>
  </si>
  <si>
    <t>2025-05-08 23:32:00,1210061218.72433,1199762681.50895,0,0,0,0,0,0</t>
  </si>
  <si>
    <t>2025-05-08 23:32:00,4790102.8739173,-35830.7773151466,,3,,9.19,0.0146194310930453,0.32</t>
  </si>
  <si>
    <t>2025-05-08 23:32:00,37228573.4349127,97520.5550049999,0,0,0,0,0,0</t>
  </si>
  <si>
    <t>2025-05-08 23:33:00,580,,570,,580,,563.5,,,,,570,560,,</t>
  </si>
  <si>
    <t>2025-05-08 23:33:00,500,,495,,470,,488,,,,,500,480,,</t>
  </si>
  <si>
    <t>2025-05-08 23:33:00,,5500,5700,,,5800,5660,,,,,5700,5560,5660,5670</t>
  </si>
  <si>
    <t>2025-05-08 23:33:00,20500,,20050,,19500,,20225,,,,,20500,19600,,</t>
  </si>
  <si>
    <t>2025-05-08 23:33:00,1941574803.46879,3375864527.02703,0,0,0,0,0,0</t>
  </si>
  <si>
    <t>2025-05-08 23:33:00,1175766113.5066,1056222523.40828,0,0,0,0,0,0</t>
  </si>
  <si>
    <t>2025-05-08 23:33:00,6126841.24785918,-11740.995542639,,1,,3.9,0.00373455318378128,0.12</t>
  </si>
  <si>
    <t>2025-05-08 23:33:00,37234104.2632491,97501.5699071997,0,0,0,0,0,0</t>
  </si>
  <si>
    <t>2025-05-08 23:34:00,580,,570,,580,,563.5,,,,,570,560,,</t>
  </si>
  <si>
    <t>2025-05-08 23:34:00,500,,495,,470,,488,,,,,500,480,,</t>
  </si>
  <si>
    <t>2025-05-08 23:34:00,,5500,5700,,,5800,5660,,,,,5700,5560,5660,5670</t>
  </si>
  <si>
    <t>2025-05-08 23:34:00,20500,,20050,,19500,,20225,,,,,20500,19600,,</t>
  </si>
  <si>
    <t>2025-05-08 23:34:00,1944543722.16505,3414508356.38329,0,0,0,0,0,0</t>
  </si>
  <si>
    <t>2025-05-08 23:34:00,1188176987.83622,1095875636.71924,0,0,0,0,0,0</t>
  </si>
  <si>
    <t>2025-05-08 23:34:00,5800659.49388051,-13749.1881587375,,0,,0,0,0</t>
  </si>
  <si>
    <t>2025-05-08 23:34:00,37225585.4545268,97488.918885653,0,0,0,0,0,0</t>
  </si>
  <si>
    <t>2025-05-08 23:35:00,580,,570,,580,,562.5,,,,,570,560,,</t>
  </si>
  <si>
    <t>2025-05-08 23:35:00,500,,495,,470,,486,,,,,500,480,,</t>
  </si>
  <si>
    <t>2025-05-08 23:35:00,,5500,5700,,,5800,5660,,,,,5700,5560,5660,5670</t>
  </si>
  <si>
    <t>2025-05-08 23:35:00,20500,,20050,,19500,,20225,,,,,20500,19600,,</t>
  </si>
  <si>
    <t>2025-05-08 23:35:00,1958895447.48419,3536450276.55476,0,0,0,0,0,0</t>
  </si>
  <si>
    <t>2025-05-08 23:35:00,1209288274.79582,1193427134.82299,0,0,0,0,0,0</t>
  </si>
  <si>
    <t>2025-05-08 23:35:00,5206171.10277411,-29111.7237813107,,0,,0,0,0</t>
  </si>
  <si>
    <t>2025-05-08 23:35:00,37231179.6916619,97542.0022908898,0,0,0,0,0,0</t>
  </si>
  <si>
    <t>2025-05-08 23:36:00,580,,570,,580,,563.5,,,,,570,560,,</t>
  </si>
  <si>
    <t>2025-05-08 23:36:00,500,,495,,470,,488,,,,,500,480,,</t>
  </si>
  <si>
    <t>2025-05-08 23:36:00,,5500,5700,,,5800,5660,,,,,5700,5560,5660,5670</t>
  </si>
  <si>
    <t>2025-05-08 23:36:00,20500,,20050,,19500,,20225,,,,,20500,19600,,</t>
  </si>
  <si>
    <t>2025-05-08 23:36:00,1936261894.53267,3334758629.57996,0,0,0,0,0,0</t>
  </si>
  <si>
    <t>2025-05-08 23:36:00,1191153382.3992,1109089624.05606,0,0,0,0,0,0</t>
  </si>
  <si>
    <t>2025-05-08 23:36:00,5795459.5430648,-13930.691281605,,0,,-8.86,0.00941843842549189,-0.19</t>
  </si>
  <si>
    <t>2025-05-08 23:36:00,37229130.5386574,97510.7931332157,0,0,0,0,0,0</t>
  </si>
  <si>
    <t>2025-05-08 23:37:00,580,,570,,580,,563.5,,,,,570,560,,</t>
  </si>
  <si>
    <t>2025-05-08 23:37:00,500,,495,,470,,488,,,,,500,480,,</t>
  </si>
  <si>
    <t>2025-05-08 23:37:00,,5500,5700,,,5800,5660,,,,,5700,5560,5660,5670</t>
  </si>
  <si>
    <t>2025-05-08 23:37:00,20500,,20050,,19500,,20225,,,,,20500,19600,,</t>
  </si>
  <si>
    <t>2025-05-08 23:37:00,1936074381.13382,3333426455.52117,0,0,0,0,0,0</t>
  </si>
  <si>
    <t>2025-05-08 23:37:00,1187910138.90603,1095828815.07337,0,0,0,0,0,0</t>
  </si>
  <si>
    <t>2025-05-08 23:37:00,6199436.86877279,-12348.3360545057,,1,,1.93,0.00269760335664961,0.06</t>
  </si>
  <si>
    <t>2025-05-08 23:37:00,37223202.7709513,97458.526095296,0,0,0,0,0,0</t>
  </si>
  <si>
    <t>2025-05-08 23:38:00,580,,570,,580,,563.5,,,,,570,560,,</t>
  </si>
  <si>
    <t>2025-05-08 23:38:00,500,,495,,470,,488,,,,,500,480,,</t>
  </si>
  <si>
    <t>2025-05-08 23:38:00,,5500,5700,,,5800,5660,,,,,5700,5560,5660,5670</t>
  </si>
  <si>
    <t>2025-05-08 23:38:00,20500,,20050,,19500,,20225,,,,,20500,19600,,</t>
  </si>
  <si>
    <t>2025-05-08 23:38:00,1936080649.2836,3334314257.23357,0,0,0,0,0,0</t>
  </si>
  <si>
    <t>2025-05-08 23:38:00,1193783650.70556,1121793721.34183,0,0,0,0,0,0</t>
  </si>
  <si>
    <t>2025-05-08 23:38:00,6259667.09147201,-12282.3557275087,,0,,0,0,0</t>
  </si>
  <si>
    <t>2025-05-08 23:38:00,37228602.2796126,97490.8059446187,0,0,0,0,0,0</t>
  </si>
  <si>
    <t>2025-05-08 23:39:00,580,,570,,580,,562.5,,,,,570,560,,</t>
  </si>
  <si>
    <t>2025-05-08 23:39:00,500,,495,,470,,486,,,,,500,480,,</t>
  </si>
  <si>
    <t>2025-05-08 23:39:00,,5500,5700,,,5800,5660,,,,,5700,5560,5660,5670</t>
  </si>
  <si>
    <t>2025-05-08 23:39:00,20500,,20050,,19500,,20225,,,,,20500,19600,,</t>
  </si>
  <si>
    <t>2025-05-08 23:39:00,1992217758.04036,3708334139.28694,0,0,0,0,0,0</t>
  </si>
  <si>
    <t>2025-05-08 23:39:00,1217226311.28602,1248584625.87052,0,0,0,0,0,0</t>
  </si>
  <si>
    <t>2025-05-08 23:39:00,3975405.28216627,-42496.281079299,,3,,-5.6,-0.000757370946609956,-0.18</t>
  </si>
  <si>
    <t>2025-05-08 23:39:00,37221398.6763188,97512.3893441681,0,0,0,0,0,0</t>
  </si>
  <si>
    <t>2025-05-08 23:40:00,580,,570,,580,,563.5,,,,,570,560,,</t>
  </si>
  <si>
    <t>2025-05-08 23:40:00,500,,495,,470,,488,,,,,500,480,,</t>
  </si>
  <si>
    <t>2025-05-08 23:40:00,,5500,5700,,,5800,5660,,,,,5700,5560,5660,5670</t>
  </si>
  <si>
    <t>2025-05-08 23:40:00,20500,,20050,,19500,,20225,,,,,20500,19600,,</t>
  </si>
  <si>
    <t>2025-05-08 23:40:00,1940655790.51367,3373571493.15473,0,0,0,0,0,0</t>
  </si>
  <si>
    <t>2025-05-08 23:40:00,1196560248.91321,1134938601.56241,0,0,0,0,0,0</t>
  </si>
  <si>
    <t>2025-05-08 23:40:00,5666005.20913993,-17754.5059811573,,0,,0,0,0</t>
  </si>
  <si>
    <t>2025-05-08 23:40:00,37226964.8152627,97501.5759640096,0,0,0,0,0,0</t>
  </si>
  <si>
    <t>2025-05-08 23:41:00,580,,570,,580,,563.5,,,,,570,560,,</t>
  </si>
  <si>
    <t>2025-05-08 23:41:00,500,,495,,470,,488,,,,,500,480,,</t>
  </si>
  <si>
    <t>2025-05-08 23:41:00,,5500,5700,,,5800,5660,,,,,5700,5560,5660,5670</t>
  </si>
  <si>
    <t>2025-05-08 23:41:00,20500,,20050,,19500,,20225,,,,,20500,19600,,</t>
  </si>
  <si>
    <t>2025-05-08 23:41:00,1943773019.48209,3413426044.59715,0,0,0,0,0,0</t>
  </si>
  <si>
    <t>2025-05-08 23:41:00,1187739361.77849,1095232083.69295,0,0,0,0,0,0</t>
  </si>
  <si>
    <t>2025-05-08 23:41:00,5828273.3172188,-12464.7363683508,,-1,,-4.01,0.00320288748733243,-0.11</t>
  </si>
  <si>
    <t>2025-05-08 23:41:00,37221006.9705777,97458.4330127284,0,0,0,0,0,0</t>
  </si>
  <si>
    <t>2025-05-08 23:42:00,580,,570,,580,,562.5,,,,,570,560,,</t>
  </si>
  <si>
    <t>2025-05-08 23:42:00,500,,495,,470,,488,,,,,500,480,,</t>
  </si>
  <si>
    <t>2025-05-08 23:42:00,,5500,5700,,,5800,5660,,,,,5700,5560,5660,5670</t>
  </si>
  <si>
    <t>2025-05-08 23:42:00,20500,,20050,,19500,,20225,,,,,20500,19600,,</t>
  </si>
  <si>
    <t>2025-05-08 23:42:00,1975804689.41983,3584447143.29657,0,0,0,0,0,0</t>
  </si>
  <si>
    <t>2025-05-08 23:42:00,1204562562.96966,1173385521.61073,0,0,0,0,0,0</t>
  </si>
  <si>
    <t>2025-05-08 23:42:00,4613112.61003476,-29233.7464169678,,-1,,-22,-0.00503511387437444,-0.47</t>
  </si>
  <si>
    <t>2025-05-08 23:42:00,37216620.2731351,97447.0294304004,0,0,0,0,0,0</t>
  </si>
  <si>
    <t>2025-05-08 23:43:00,580,,570,,580,,562.5,,,,,570,560,,</t>
  </si>
  <si>
    <t>2025-05-08 23:43:00,500,,495,,470,,486,,,,,500,480,,</t>
  </si>
  <si>
    <t>2025-05-08 23:43:00,,5500,5700,,,5800,5660,,,,,5700,5560,5660,5670</t>
  </si>
  <si>
    <t>2025-05-08 23:43:00,20500,,20050,,19500,,20225,,,,,20500,19600,,</t>
  </si>
  <si>
    <t>2025-05-08 23:43:00,1991530311.7656,3707092717.46283,0,0,0,0,0,0</t>
  </si>
  <si>
    <t>2025-05-08 23:43:00,1209607114.7323,1198865719.66936,0,0,0,0,0,0</t>
  </si>
  <si>
    <t>2025-05-08 23:43:00,3978315.65083845,-44087.0438950177,,0,,0,0,0</t>
  </si>
  <si>
    <t>2025-05-08 23:43:00,37222199.8905504,97480.1451804288,0,0,0,0,0,0</t>
  </si>
  <si>
    <t>2025-05-08 23:44:00,580,,570,,580,,562.5,,,,,570,560,,</t>
  </si>
  <si>
    <t>2025-05-08 23:44:00,500,,495,,470,,486,,,,,500,480,,</t>
  </si>
  <si>
    <t>2025-05-08 23:44:00,,5500,5700,,,5800,5660,,,,,5700,5560,5660,5670</t>
  </si>
  <si>
    <t>2025-05-08 23:44:00,20500,,20050,,19500,,20225,,,,,20500,19600,,</t>
  </si>
  <si>
    <t>2025-05-08 23:44:00,1999557601.71135,3866640665.59124,0,0,0,0,0,0</t>
  </si>
  <si>
    <t>2025-05-08 23:44:00,1216785735.39109,1248044404.25208,0,0,0,0,0,0</t>
  </si>
  <si>
    <t>2025-05-08 23:44:00,3368282.68206734,-44337.0133955484,,1,,-43.89,-0.00196026783735461,-1.21</t>
  </si>
  <si>
    <t>2025-05-08 23:44:00,37219002.6433089,97492.0988741512,0,0,0,0,0,0</t>
  </si>
  <si>
    <t>2025-05-08 23:45:00,580,,570,,580,,562.5,,,,,570,560,,</t>
  </si>
  <si>
    <t>2025-05-08 23:45:00,500,,495,,470,,486,,,,,500,480,,</t>
  </si>
  <si>
    <t>2025-05-08 23:45:00,,5500,5700,,,5800,5660,,,,,5700,5560,5660,5670</t>
  </si>
  <si>
    <t>2025-05-08 23:45:00,20500,,20050,,19500,,20225,,,,,20500,19600,,</t>
  </si>
  <si>
    <t>2025-05-08 23:45:00,2038403387.73034,4001263534.36788,0,0,0,0,0,0</t>
  </si>
  <si>
    <t>2025-05-08 23:45:00,1204266481.05947,1290903505.09713,0,0,0,0,0,0</t>
  </si>
  <si>
    <t>2025-05-08 23:45:00,2285298.37398675,-61941.5805495315,,-1,,-28.91,0.00421594590203048,-0.69</t>
  </si>
  <si>
    <t>2025-05-08 23:45:00,37224595.7783629,97537.2537786102,0,0,0,0,0,0</t>
  </si>
  <si>
    <t>2025-05-08 23:46:00,580,,570,,580,,562.5,,,,,570,560,,</t>
  </si>
  <si>
    <t>2025-05-08 23:46:00,500,,495,,470,,486,,,,,500,480,,</t>
  </si>
  <si>
    <t>2025-05-08 23:46:00,,5500,5700,,,5800,5660,,,,,5700,5560,5660,5670</t>
  </si>
  <si>
    <t>2025-05-08 23:46:00,20500,,20050,,19500,,20225,,,,,20500,19600,,</t>
  </si>
  <si>
    <t>2025-05-08 23:46:00,2133748238.23141,4674234555.76007,0,0,0,0,0,0</t>
  </si>
  <si>
    <t>2025-05-08 23:46:00,1274269950.13822,1488933163.78853,0,0,0,0,0,0</t>
  </si>
  <si>
    <t>2025-05-08 23:46:00,-1151495.82490666,-100763.520942412,,-5,,-130.07,-0.0260407620459316,-2.75</t>
  </si>
  <si>
    <t>2025-05-08 23:46:00,37222144.8498096,97559.6184030912,0,0,0,0,0,0</t>
  </si>
  <si>
    <t>2025-05-08 23:47:00,580,,570,,580,,562.5,,,,,570,560,,</t>
  </si>
  <si>
    <t>2025-05-08 23:47:00,500,,495,,470,,486,,,,,500,480,,</t>
  </si>
  <si>
    <t>2025-05-08 23:47:00,,5500,5700,,,5800,5660,,,,,5700,5560,5660,5670</t>
  </si>
  <si>
    <t>2025-05-08 23:47:00,20500,,20050,,19500,,20225,,,,,20500,19600,,</t>
  </si>
  <si>
    <t>2025-05-08 23:47:00,2118436504.30268,4548654553.87318,0,0,0,0,0,0</t>
  </si>
  <si>
    <t>2025-05-08 23:47:00,1268071185.23661,1451850762.97242,0,0,0,0,0,0</t>
  </si>
  <si>
    <t>2025-05-08 23:47:00,-174398.770963954,-96299.6547721901,,-8,,-45.7,0.0248418987819708,-1.2</t>
  </si>
  <si>
    <t>2025-05-08 23:47:00,37216365.4044008,97505.8179253569,0,0,0,0,0,0</t>
  </si>
  <si>
    <t>2025-05-08 23:48:00,580,,570,,580,,562.5,,,,,570,560,,</t>
  </si>
  <si>
    <t>2025-05-08 23:48:00,500,,495,,470,,486,,,,,500,480,,</t>
  </si>
  <si>
    <t>2025-05-08 23:48:00,,5500,5700,,,5800,5660,,,,,5700,5560,5660,5670</t>
  </si>
  <si>
    <t>2025-05-08 23:48:00,20500,,20050,,19500,,20225,,,,,20500,19600,,</t>
  </si>
  <si>
    <t>2025-05-08 23:48:00,2138148500.48934,4714918275.36412,0,0,0,0,0,0</t>
  </si>
  <si>
    <t>2025-05-08 23:48:00,1267856192.6413,1451535200.68603,0,0,0,0,0,0</t>
  </si>
  <si>
    <t>2025-05-08 23:48:00,-541179.799305001,-94672.0257422709,,1,,-84.05,-0.00360900134620987,-1.73</t>
  </si>
  <si>
    <t>2025-05-08 23:48:00,37221972.2344767,97531.1270948599,0,0,0,0,0,0</t>
  </si>
  <si>
    <t>2025-05-08 23:49:00,580,,570,,580,,562.5,,,,,570,560,,</t>
  </si>
  <si>
    <t>2025-05-08 23:49:00,500,,495,,470,,486,,,,,500,480,,</t>
  </si>
  <si>
    <t>2025-05-08 23:49:00,,5500,5700,,,5800,5660,,,,,5700,5560,5660,5670</t>
  </si>
  <si>
    <t>2025-05-08 23:49:00,20500,,20050,,19500,,20225,,,,,20500,19600,,</t>
  </si>
  <si>
    <t>2025-05-08 23:49:00,2054435136.57026,4408011757.00211,0,0,0,0,0,0</t>
  </si>
  <si>
    <t>2025-05-08 23:49:00,1204160232.52427,1290554960.92423,0,0,0,0,0,0</t>
  </si>
  <si>
    <t>2025-05-08 23:49:00,1097368.51357543,-71823.4573280755,,-2,,-11.3,0.013779530896368,-0.28</t>
  </si>
  <si>
    <t>2025-05-08 23:49:00,37218087.3737731,97467.2013715933,0,0,0,0,0,0</t>
  </si>
  <si>
    <t>2025-05-08 23:50:00,580,,570,,580,,562.5,,,,,570,560,,</t>
  </si>
  <si>
    <t>2025-05-08 23:50:00,500,,495,,470,,486,,,,,500,480,,</t>
  </si>
  <si>
    <t>2025-05-08 23:50:00,,5500,5700,,,5800,5660,,,,,5700,5560,5660,5670</t>
  </si>
  <si>
    <t>2025-05-08 23:50:00,20500,,20050,,19500,,20225,,,,,20500,19600,,</t>
  </si>
  <si>
    <t>2025-05-08 23:50:00,2054220167.97945,4406830207.65627,0,0,0,0,0,0</t>
  </si>
  <si>
    <t>2025-05-08 23:50:00,1252601835.04369,1374226839.53997,0,0,0,0,0,0</t>
  </si>
  <si>
    <t>2025-05-08 23:50:00,899356.001568355,-73200.1139236101,,-1,,-2.55,0.00237780145381429,-0.07</t>
  </si>
  <si>
    <t>2025-05-08 23:50:00,37223706.4019502,97508.4993664563,0,0,0,0,0,0</t>
  </si>
  <si>
    <t>2025-05-08 23:51:00,580,,570,,580,,562.5,,,,,570,560,,</t>
  </si>
  <si>
    <t>2025-05-08 23:51:00,500,,495,,470,,486,,,,,500,480,,</t>
  </si>
  <si>
    <t>2025-05-08 23:51:00,,5500,5700,,,5800,5660,,,,,5700,5560,5660,5670</t>
  </si>
  <si>
    <t>2025-05-08 23:51:00,20500,,20050,,19500,,20225,,,,,20500,19600,,</t>
  </si>
  <si>
    <t>2025-05-08 23:51:00,2069493682.00857,4289998735.41573,0,0,0,0,0,0</t>
  </si>
  <si>
    <t>2025-05-08 23:51:00,1206050377.448,1283293979.69271,0,0,0,0,0,0</t>
  </si>
  <si>
    <t>2025-05-08 23:51:00,1147880.79984242,-70260.1671459974,,-6,,-12.26,0.0119003111146275,-0.31</t>
  </si>
  <si>
    <t>2025-05-08 23:51:00,37218993.8165866,97464.2123533967,0,0,0,0,0,0</t>
  </si>
  <si>
    <t>2025-05-08 23:52:00,580,,570,,580,,562.5,,,,,570,560,,</t>
  </si>
  <si>
    <t>2025-05-08 23:52:00,500,,495,,470,,486,,,,,500,480,,</t>
  </si>
  <si>
    <t>2025-05-08 23:52:00,,5500,5700,,,5800,5660,,,,,5700,5560,5660,5670</t>
  </si>
  <si>
    <t>2025-05-08 23:52:00,20500,,20050,,19500,,20225,,,,,20500,19600,,</t>
  </si>
  <si>
    <t>2025-05-08 23:52:00,2065170826.49075,4491556786.56063,0,0,0,0,0,0</t>
  </si>
  <si>
    <t>2025-05-08 23:52:00,1254883820.07033,1386623147.93626,0,0,0,0,0,0</t>
  </si>
  <si>
    <t>2025-05-08 23:52:00,465333.892428907,-88518.2090525593,,-3,,-15,0.011021324023446,-0.42</t>
  </si>
  <si>
    <t>2025-05-08 23:52:00,37214421.1690789,97470.1272278358,0,0,0,0,0,0</t>
  </si>
  <si>
    <t>2025-05-08 23:53:00,580,,570,,560,,562.5,,,,,570,560,,</t>
  </si>
  <si>
    <t>2025-05-08 23:53:00,500,,495,,470,,486,,,,,500,480,,</t>
  </si>
  <si>
    <t>2025-05-08 23:53:00,,5500,5700,,,5800,5660,,,,,5700,5560,5660,5670</t>
  </si>
  <si>
    <t>2025-05-08 23:53:00,20500,,20050,,19500,,20225,,,,,20500,19600,,</t>
  </si>
  <si>
    <t>2025-05-08 23:53:00,2145878393.38047,4797674475.88352,0,0,0,0,0,0</t>
  </si>
  <si>
    <t>2025-05-08 23:53:00,1277273490.56097,1512354525.75676,0,0,0,0,0,0</t>
  </si>
  <si>
    <t>2025-05-08 23:53:00,-1358164.56223387,-120940.375934956,,-2,,-34.89,0.0199866824282372,-0.79</t>
  </si>
  <si>
    <t>2025-05-08 23:53:00,37220103.9790239,97535.6575200462,0,0,0,0,0,0</t>
  </si>
  <si>
    <t>2025-05-08 23:54:00,580,,570,,580,,562.5,,,,,570,560,,</t>
  </si>
  <si>
    <t>2025-05-08 23:54:00,500,,495,,470,,486,,,,,500,480,,</t>
  </si>
  <si>
    <t>2025-05-08 23:54:00,,5500,5700,,,5800,5660,,,,,5700,5560,5660,5670</t>
  </si>
  <si>
    <t>2025-05-08 23:54:00,20500,,20050,,19500,,20225,,,,,20500,19600,,</t>
  </si>
  <si>
    <t>2025-05-08 23:54:00,2137555706.327,4714212528.64451,0,0,0,0,0,0</t>
  </si>
  <si>
    <t>2025-05-08 23:54:00,1271824231.61147,1476222308.69619,0,0,0,0,0,0</t>
  </si>
  <si>
    <t>2025-05-08 23:54:00,-1034893.32933368,-108921.797387115,,1,,1.93,0.00273979489674405,0.07</t>
  </si>
  <si>
    <t>2025-05-08 23:54:00,37215201.417964,97496.6347406455,0,0,0,0,0,0</t>
  </si>
  <si>
    <t>2025-05-08 23:55:00,580,,570,,580,,562.5,,,,,570,560,,</t>
  </si>
  <si>
    <t>2025-05-08 23:55:00,500,,495,,470,,486,,,,,500,480,,</t>
  </si>
  <si>
    <t>2025-05-08 23:55:00,,5500,5700,,,5800,5660,,,,,5700,5560,5660,5670</t>
  </si>
  <si>
    <t>2025-05-08 23:55:00,20500,,20050,,19500,,20225,,,,,20500,19600,,</t>
  </si>
  <si>
    <t>2025-05-08 23:55:00,2059048334.54625,4447470475.74105,0,0,0,0,0,0</t>
  </si>
  <si>
    <t>2025-05-08 23:55:00,1259993878.16856,1412504933.84224,0,0,0,0,0,0</t>
  </si>
  <si>
    <t>2025-05-08 23:55:00,-11847.6900190606,-92700.2476529105,,-2,,-58.33,0.00192085530864969,-1.3</t>
  </si>
  <si>
    <t>2025-05-08 23:55:00,37220847.1189497,97502.2127726067,0,0,0,0,0,0</t>
  </si>
  <si>
    <t>2025-05-08 23:56:00,580,,570,,580,,562.5,,,,,570,560,,</t>
  </si>
  <si>
    <t>2025-05-08 23:56:00,500,,495,,470,,486,,,,,500,480,,</t>
  </si>
  <si>
    <t>2025-05-08 23:56:00,,5500,5700,,,5800,5660,,,,,5700,5560,5660,5670</t>
  </si>
  <si>
    <t>2025-05-08 23:56:00,20500,,20050,,19500,,20225,,,,,20500,19600,,</t>
  </si>
  <si>
    <t>2025-05-08 23:56:00,2042766542.35642,4040201938.06157,0,0,0,0,0,0</t>
  </si>
  <si>
    <t>2025-05-08 23:56:00,1217140738.19666,1258649032.16135,0,0,0,0,0,0</t>
  </si>
  <si>
    <t>2025-05-08 23:56:00,2417872.38465896,-54986.4263655063,,0,,-16.22,0.00235914824185667,-0.4</t>
  </si>
  <si>
    <t>2025-05-08 23:56:00,37217650.6306287,97423.2913292339,0,0,0,0,0,0</t>
  </si>
  <si>
    <t>2025-05-08 23:57:00,580,,570,,580,,562.5,,,,,570,560,,</t>
  </si>
  <si>
    <t>2025-05-08 23:57:00,500,,495,,470,,486,,,,,500,480,,</t>
  </si>
  <si>
    <t>2025-05-08 23:57:00,,5500,5700,,,5800,5660,,,,,5700,5560,5660,5670</t>
  </si>
  <si>
    <t>2025-05-08 23:57:00,20500,,20050,,19500,,20225,,,,,20500,19600,,</t>
  </si>
  <si>
    <t>2025-05-08 23:57:00,2057675468.87434,4165355196.70053,0,0,0,0,0,0</t>
  </si>
  <si>
    <t>2025-05-08 23:57:00,1216848755.58048,1269468523.78076,0,0,0,0,0,0</t>
  </si>
  <si>
    <t>2025-05-08 23:57:00,1961624.01004798,-64183.7946787686,,-1,,-8.9,-0.000376206465101053,-0.26</t>
  </si>
  <si>
    <t>2025-05-08 23:57:00,37212761.1264753,97406.6835059327,0,0,0,0,0,0</t>
  </si>
  <si>
    <t>2025-05-08 23:58:00,580,,570,,580,,562.5,,,,,570,560,,</t>
  </si>
  <si>
    <t>2025-05-08 23:58:00,500,,495,,470,,488,,,,,500,480,,</t>
  </si>
  <si>
    <t>2025-05-08 23:58:00,,5500,5700,,,5800,5660,,,,,5700,5560,5660,5670</t>
  </si>
  <si>
    <t>2025-05-08 23:58:00,20500,,20050,,19500,,20225,,,,,20500,19600,,</t>
  </si>
  <si>
    <t>2025-05-08 23:58:00,2002163835.18037,3826241299.40059,0,0,0,0,0,0</t>
  </si>
  <si>
    <t>2025-05-08 23:58:00,1203662422.18679,1172128353.38105,0,0,0,0,0,0</t>
  </si>
  <si>
    <t>2025-05-08 23:58:00,3445941.56164489,-43829.4654017636,,-4,,-51.2,0.0112018540923467,-1.26</t>
  </si>
  <si>
    <t>2025-05-08 23:58:00,37218420.6213934,97400.385186254,0,0,0,0,0,0</t>
  </si>
  <si>
    <t>2025-05-08 23:59:00,580,,570,,580,,562.5,,,,,570,560,,</t>
  </si>
  <si>
    <t>2025-05-08 23:59:00,500,,495,,470,,486,,,,,500,480,,</t>
  </si>
  <si>
    <t>2025-05-08 23:59:00,,5500,5700,,,5800,5660,,,,,5700,5560,5660,5670</t>
  </si>
  <si>
    <t>2025-05-08 23:59:00,20500,,20050,,19500,,20225,,,,,20500,19600,,</t>
  </si>
  <si>
    <t>2025-05-08 23:59:00,2047590295.95414,4080868595.45928,0,0,0,0,0,0</t>
  </si>
  <si>
    <t>2025-05-08 23:59:00,1213025665.56479,1222872366.0369,0,0,0,0,0,0</t>
  </si>
  <si>
    <t>2025-05-08 23:59:00,1864050.3762629,-63934.7986997702,,-3,,-57.3,-0.0143640668007121,-1.2</t>
  </si>
  <si>
    <t>2025-05-08 23:59:00,37211309.6302401,97381.7837419641,0,0,0,0,0,0</t>
  </si>
  <si>
    <t>2025-05-09 00:00:00,580,,570,,580,,562.5,,,,,570,560,,</t>
  </si>
  <si>
    <t>2025-05-09 00:00:00,500,,495,,470,,486,,,,,500,480,,</t>
  </si>
  <si>
    <t>2025-05-09 00:00:00,,5500,5700,,,5800,5660,,,,,5700,5560,5660,5670</t>
  </si>
  <si>
    <t>2025-05-09 00:00:00,20500,,20050,,19500,,20225,,,,,20500,19600,,</t>
  </si>
  <si>
    <t>2025-05-09 00:00:00,2009210710.07988,3945274547.08428,0,0,0,0,0,0</t>
  </si>
  <si>
    <t>2025-05-09 00:00:00,1214807397.21933,1234684922.09942,0,0,0,0,0,0</t>
  </si>
  <si>
    <t>2025-05-09 00:00:00,2484810.00682582,-58835.3923600988,,0,,-10.83,0.00854379006459207,-0.25</t>
  </si>
  <si>
    <t>2025-05-09 00:00:00,37216979.2816707,97411.3839708907,0,0,0,0,0,0</t>
  </si>
  <si>
    <t>2025-05-09 00:01:00,580,,570,,580,,562.5,,,,,570,560,,</t>
  </si>
  <si>
    <t>2025-05-09 00:01:00,500,,495,,470,,488,,,,,500,480,,</t>
  </si>
  <si>
    <t>2025-05-09 00:01:00,,5500,5700,,,5800,5660,,,,,5700,5560,5660,5670</t>
  </si>
  <si>
    <t>2025-05-09 00:01:00,20500,,20050,,19500,,20225,,,,,20500,19600,,</t>
  </si>
  <si>
    <t>2025-05-09 00:01:00,1974056547.7558,3580033597.3895,0,0,0,0,0,0</t>
  </si>
  <si>
    <t>2025-05-09 00:01:00,1174374679.38565,1053919326.16158,0,0,0,0,0,0</t>
  </si>
  <si>
    <t>2025-05-09 00:01:00,4005070.56500737,-29777.0811002764,,-1,,-5,0.00366605282779488,-0.14</t>
  </si>
  <si>
    <t>2025-05-09 00:01:00,37211219.1291616,97331.9851067503,0,0,0,0,0,0</t>
  </si>
  <si>
    <t>2025-05-09 00:02:00,580,,570,,580,,563.5,,,,,570,560,,</t>
  </si>
  <si>
    <t>2025-05-09 00:02:00,500,,495,,470,,488,,,,,500,480,,</t>
  </si>
  <si>
    <t>2025-05-09 00:02:00,,5500,5700,,,5800,5660,,,,,5700,5560,5660,5530</t>
  </si>
  <si>
    <t>2025-05-09 00:02:00,20500,,20050,,19500,,20225,,,,,20500,19600,,</t>
  </si>
  <si>
    <t>2025-05-09 00:02:00,1928456843.22473,3289540124.88169,0,0,0,0,0,0</t>
  </si>
  <si>
    <t>2025-05-09 00:02:00,1151977634.48709,973458993.760635,0,0,0,0,0,0</t>
  </si>
  <si>
    <t>2025-05-09 00:02:00,6575737.99387749,-6992.9010201199,,-98,,-84.17,0.0948303426849606,-1.52</t>
  </si>
  <si>
    <t>2025-05-09 00:02:00,37208203.9869342,97288.137954858,0,0,0,0,0,0</t>
  </si>
  <si>
    <t>2025-05-09 00:03:00,580,,570,,580,,562.5,,,,,570,560,,</t>
  </si>
  <si>
    <t>2025-05-09 00:03:00,500,,495,,470,,488,,,,,500,480,,</t>
  </si>
  <si>
    <t>2025-05-09 00:03:00,,5500,5700,,,5800,5660,,,,,5700,5560,5660,5530</t>
  </si>
  <si>
    <t>2025-05-09 00:03:00,20500,,20050,,19500,,20225,,,,,20500,19600,,</t>
  </si>
  <si>
    <t>2025-05-09 00:03:00,1944136507.71235,3448512803.87076,0,0,0,0,0,0</t>
  </si>
  <si>
    <t>2025-05-09 00:03:00,1174328602.49701,1053684934.75805,0,0,0,0,0,0</t>
  </si>
  <si>
    <t>2025-05-09 00:03:00,5645826.94266507,-27424.6511845893,,-3,,-12.03,0.00961007877160468,-0.33</t>
  </si>
  <si>
    <t>2025-05-09 00:03:00,37213892.8427474,97337.7258952168,0,0,0,0,0,0</t>
  </si>
  <si>
    <t>2025-05-09 00:04:00,580,,570,,580,,563.5,,,,,570,560,,</t>
  </si>
  <si>
    <t>2025-05-09 00:04:00,500,,495,,470,,488,,,,,500,480,,</t>
  </si>
  <si>
    <t>2025-05-09 00:04:00,,5500,5700,,,5800,5660,,,,,5700,5560,5660,5530</t>
  </si>
  <si>
    <t>2025-05-09 00:04:00,20500,,20050,,19500,,20225,,,,,20500,19600,,</t>
  </si>
  <si>
    <t>2025-05-09 00:04:00,1938251494.12106,3369175878.37568,0,0,0,0,0,0</t>
  </si>
  <si>
    <t>2025-05-09 00:04:00,1180530341.94831,1067668651.99072,0,0,0,0,0,0</t>
  </si>
  <si>
    <t>2025-05-09 00:04:00,5886947.66805095,-23342.2219807664,,-2,,-20,-0.0098692779829349,-0.56</t>
  </si>
  <si>
    <t>2025-05-09 00:04:00,37213333.6226946,97327.5856591891,0,0,0,0,0,0</t>
  </si>
  <si>
    <t>2025-05-09 00:05:00,580,,570,,580,,563.5,,,,,570,560,,</t>
  </si>
  <si>
    <t>2025-05-09 00:05:00,500,,495,,470,,488,,,,,500,480,,</t>
  </si>
  <si>
    <t>2025-05-09 00:05:00,,5500,5700,,,5800,5660,,,,,5700,5560,5660,5530</t>
  </si>
  <si>
    <t>2025-05-09 00:05:00,20500,,20050,,19500,,20225,,,,,20500,19600,,</t>
  </si>
  <si>
    <t>2025-05-09 00:05:00,1876809616.00754,2959895036.53577,0,0,0,0,0,0</t>
  </si>
  <si>
    <t>2025-05-09 00:05:00,1145683591.37745,922699281.035145,0,0,0,0,0,0</t>
  </si>
  <si>
    <t>2025-05-09 00:05:00,7948098.01383723,10033.3327046291,,-2,,-62.4,-0.00047973566770687,-1.34</t>
  </si>
  <si>
    <t>2025-05-09 00:05:00,37219031.7017915,97309.5429397478,0,0,0,0,0,0</t>
  </si>
  <si>
    <t>2025-05-09 00:06:00,580,,570,,580,,563.5,,,,,570,560,,</t>
  </si>
  <si>
    <t>2025-05-09 00:06:00,500,,495,,470,,488,,,,,500,480,,</t>
  </si>
  <si>
    <t>2025-05-09 00:06:00,,5500,5700,,,5800,5660,,,,,5700,5560,5660,5530</t>
  </si>
  <si>
    <t>2025-05-09 00:06:00,20500,,20050,,19500,,20225,,,,,20500,19600,,</t>
  </si>
  <si>
    <t>2025-05-09 00:06:00,1938152140.87229,3369142428.90884,0,0,0,0,0,0</t>
  </si>
  <si>
    <t>2025-05-09 00:06:00,1186364853.89465,1093636056.9582,0,0,0,0,0,0</t>
  </si>
  <si>
    <t>2025-05-09 00:06:00,5730410.60819767,-30006.2766791603,,-2,,-4.89,0.0233308392092724,-0.09</t>
  </si>
  <si>
    <t>2025-05-09 00:06:00,37213282.9653681,97333.8306108491,0,0,0,0,0,0</t>
  </si>
  <si>
    <t>2025-05-09 00:07:00,580,,570,,580,,563.5,,,,,570,560,,</t>
  </si>
  <si>
    <t>2025-05-09 00:07:00,500,,495,,470,,488,,,,,500,480,,</t>
  </si>
  <si>
    <t>2025-05-09 00:07:00,,5500,5700,,,5800,5660,,,,,5700,5560,5660,5530</t>
  </si>
  <si>
    <t>2025-05-09 00:07:00,20500,,20050,,19500,,20225,,,,,20500,19600,,</t>
  </si>
  <si>
    <t>2025-05-09 00:07:00,1922567381.30219,3246887757.94448,0,0,0,0,0,0</t>
  </si>
  <si>
    <t>2025-05-09 00:07:00,1174211708.20016,1053378720.74883,0,0,0,0,0,0</t>
  </si>
  <si>
    <t>2025-05-09 00:07:00,7046526.12679126,-2276.68404477624,,0,,0,0,0</t>
  </si>
  <si>
    <t>2025-05-09 00:07:00,37213142.0815485,97296.1335767187,0,0,0,0,0,0</t>
  </si>
  <si>
    <t>2025-05-09 00:08:00,580,,570,,580,,563.5,,,,,570,560,,</t>
  </si>
  <si>
    <t>2025-05-09 00:08:00,500,,495,,470,,488,,,,,500,480,,</t>
  </si>
  <si>
    <t>2025-05-09 00:08:00,,5500,5700,,,5800,5660,,,,,5700,5560,5660,5530</t>
  </si>
  <si>
    <t>2025-05-09 00:08:00,20500,,20050,,19500,,20225,,,,,20500,19600,,</t>
  </si>
  <si>
    <t>2025-05-09 00:08:00,1898399384.53051,3160393159.53859,0,0,0,0,0,0</t>
  </si>
  <si>
    <t>2025-05-09 00:08:00,1174271771.85888,1053524522.46242,0,0,0,0,0,0</t>
  </si>
  <si>
    <t>2025-05-09 00:08:00,7489361.62218616,147.144740210146,,-2,,-10,0.00730946530546594,-0.28</t>
  </si>
  <si>
    <t>2025-05-09 00:08:00,37218857.1438017,97321.983627768,0,0,0,0,0,0</t>
  </si>
  <si>
    <t>2025-05-09 00:09:00,580,,570,,580,,563.5,,,,,570,560,,</t>
  </si>
  <si>
    <t>2025-05-09 00:09:00,500,,495,,470,,488,,,,,500,480,,</t>
  </si>
  <si>
    <t>2025-05-09 00:09:00,,5500,5700,,,5800,5660,,,,,5700,5560,5660,5530</t>
  </si>
  <si>
    <t>2025-05-09 00:09:00,20500,,20050,,19500,,20225,,,,,20500,19600,,</t>
  </si>
  <si>
    <t>2025-05-09 00:09:00,1881641242.65422,3031928942.07325,0,0,0,0,0,0</t>
  </si>
  <si>
    <t>2025-05-09 00:09:00,1152158371.43982,978848495.326147,0,0,0,0,0,0</t>
  </si>
  <si>
    <t>2025-05-09 00:09:00,8250282.3104947,14862.5597609384,,5,,4,0.00706619621375379,0.1</t>
  </si>
  <si>
    <t>2025-05-09 00:09:00,37212343.717733,97266.4320718832,0,0,0,0,0,0</t>
  </si>
  <si>
    <t>2025-05-09 00:10:00,580,,570,,580,,563.5,,,,,570,560,,</t>
  </si>
  <si>
    <t>2025-05-09 00:10:00,500,,495,,470,,488,,,,,500,480,,</t>
  </si>
  <si>
    <t>2025-05-09 00:10:00,,5500,5700,,,5800,5660,,,,,5700,5560,5660,5530</t>
  </si>
  <si>
    <t>2025-05-09 00:10:00,20500,,20050,,19500,,20225,,,,,20500,19600,,</t>
  </si>
  <si>
    <t>2025-05-09 00:10:00,1918699522.34037,3212600803.8992,0,0,0,0,0,0</t>
  </si>
  <si>
    <t>2025-05-09 00:10:00,1150763765.73917,988590001.699982,0,0,0,0,0,0</t>
  </si>
  <si>
    <t>2025-05-09 00:10:00,7822998.46217805,680.898336636151,,-1,,-4.58,0.00695686575528321,-0.12</t>
  </si>
  <si>
    <t>2025-05-09 00:10:00,37218070.170463,97284.3784271069,0,0,0,0,0,0</t>
  </si>
  <si>
    <t>2025-05-09 00:11:00,580,,570,,580,,563.5,,,,,570,560,,</t>
  </si>
  <si>
    <t>2025-05-09 00:11:00,500,,495,,470,,488,,,,,500,480,,</t>
  </si>
  <si>
    <t>2025-05-09 00:11:00,,5500,5700,,,5800,5660,,,,,5700,5560,5660,5530</t>
  </si>
  <si>
    <t>2025-05-09 00:11:00,20500,,20050,,19500,,20225,,,,,20500,19600,,</t>
  </si>
  <si>
    <t>2025-05-09 00:11:00,1927389598.59615,3286408548.35568,0,0,0,0,0,0</t>
  </si>
  <si>
    <t>2025-05-09 00:11:00,1186005193.08903,1093165136.04695,0,0,0,0,0,0</t>
  </si>
  <si>
    <t>2025-05-09 00:11:00,6831725.05065786,-5611.2984988731,,-2,,0.550000000000001,0.0133214632185731,0</t>
  </si>
  <si>
    <t>2025-05-09 00:11:00,37212378.4299626,97284.2079380182,0,0,0,0,0,0</t>
  </si>
  <si>
    <t>2025-05-09 00:12:00,580,,570,,580,,563.5,,,,,570,560,,</t>
  </si>
  <si>
    <t>2025-05-09 00:12:00,500,,495,,470,,488,,,,,500,480,,</t>
  </si>
  <si>
    <t>2025-05-09 00:12:00,,5500,5700,,,5800,5660,,,,,5700,5560,5660,5670</t>
  </si>
  <si>
    <t>2025-05-09 00:12:00,20500,,20050,,19500,,20225,,,,,20500,19600,,</t>
  </si>
  <si>
    <t>2025-05-09 00:12:00,1919946037.48776,3212212339.54232,0,0,0,0,0,0</t>
  </si>
  <si>
    <t>2025-05-09 00:12:00,1153879145.52872,1014816800.70704,0,0,0,0,0,0</t>
  </si>
  <si>
    <t>2025-05-09 00:12:00,8153239.62562125,7646.39799364692,,-7,,-183.29,0.00842850801855716,-4</t>
  </si>
  <si>
    <t>2025-05-09 00:12:00,37218115.2005097,97282.3100842987,0,0,0,0,0,0</t>
  </si>
  <si>
    <t>2025-05-09 00:13:00,580,,570,,580,,562.5,,,,,570,560,,</t>
  </si>
  <si>
    <t>2025-05-09 00:13:00,500,,495,,470,,488,,,,,500,480,,</t>
  </si>
  <si>
    <t>2025-05-09 00:13:00,,5500,5700,,,5800,5660,,,,,5700,5560,5660,5670</t>
  </si>
  <si>
    <t>2025-05-09 00:13:00,20500,,20050,,19500,,20225,,,,,20500,19600,,</t>
  </si>
  <si>
    <t>2025-05-09 00:13:00,1972065625.01014,3562993760.9479,0,0,0,0,0,0</t>
  </si>
  <si>
    <t>2025-05-09 00:13:00,1205437509.76469,1183560521.91462,0,0,0,0,0,0</t>
  </si>
  <si>
    <t>2025-05-09 00:13:00,5851822.97522497,-29495.0506857996,,0,,0,0,0</t>
  </si>
  <si>
    <t>2025-05-09 00:13:00,37211589.5711723,97312.1722240064,0,0,0,0,0,0</t>
  </si>
  <si>
    <t>2025-05-09 00:14:00,580,,570,,580,,563.5,,,,,570,560,,</t>
  </si>
  <si>
    <t>2025-05-09 00:14:00,500,,495,,470,,488,,,,,500,480,,</t>
  </si>
  <si>
    <t>2025-05-09 00:14:00,,5500,5700,,,5800,5660,,,,,5700,5560,5660,5670</t>
  </si>
  <si>
    <t>2025-05-09 00:14:00,20500,,20050,,19500,,20225,,,,,20500,19600,,</t>
  </si>
  <si>
    <t>2025-05-09 00:14:00,1885478998.27626,3076337742.07109,0,0,0,0,0,0</t>
  </si>
  <si>
    <t>2025-05-09 00:14:00,1151270897.55704,960350053.189736,0,0,0,0,0,0</t>
  </si>
  <si>
    <t>2025-05-09 00:14:00,8281963.04698873,7690.36876443807,,-1,,-8.61,0.00766282314515552,-0.24</t>
  </si>
  <si>
    <t>2025-05-09 00:14:00,37217339.1981759,97270.5588483461,0,0,0,0,0,0</t>
  </si>
  <si>
    <t>2025-05-09 00:15:00,580,,570,,580,,563.5,,,,,570,560,,</t>
  </si>
  <si>
    <t>2025-05-09 00:15:00,500,,495,,470,,488,,,,,500,480,,</t>
  </si>
  <si>
    <t>2025-05-09 00:15:00,,5500,5700,,,5800,5660,,,,,5700,5560,5660,5670</t>
  </si>
  <si>
    <t>2025-05-09 00:15:00,20500,,20050,,19500,,20225,,,,,20500,19600,,</t>
  </si>
  <si>
    <t>2025-05-09 00:15:00,1885386489.70758,3076505862.4868,0,0,0,0,0,0</t>
  </si>
  <si>
    <t>2025-05-09 00:15:00,1147570251.47768,934850548.375075,0,0,0,0,0,0</t>
  </si>
  <si>
    <t>2025-05-09 00:15:00,8209892.3961279,6420.99638910485,,0,,-16.56,0.0161904437115416,-0.39</t>
  </si>
  <si>
    <t>2025-05-09 00:15:00,37212690.4846808,97237.616801617,0,0,0,0,0,0</t>
  </si>
  <si>
    <t>2025-05-09 00:16:00,580,,570,,580,,562.5,,,,,570,560,,</t>
  </si>
  <si>
    <t>2025-05-09 00:16:00,500,,495,,470,,486,,,,,500,480,,</t>
  </si>
  <si>
    <t>2025-05-09 00:16:00,,5500,5700,,,5800,5660,,,,,5700,5560,5660,5670</t>
  </si>
  <si>
    <t>2025-05-09 00:16:00,20500,,20050,,19500,,20225,,,,,20500,19600,,</t>
  </si>
  <si>
    <t>2025-05-09 00:16:00,2001763757.49549,3900574395.58146,0,0,0,0,0,0</t>
  </si>
  <si>
    <t>2025-05-09 00:16:00,1215782122.36562,1267960493.64803,0,0,0,0,0,0</t>
  </si>
  <si>
    <t>2025-05-09 00:16:00,4159844.42984493,-57016.0017826796,,0,,-9.21,0.0074865080460182,-0.22</t>
  </si>
  <si>
    <t>2025-05-09 00:16:00,37218448.4595415,97367.1570095531,0,0,0,0,0,0</t>
  </si>
  <si>
    <t>2025-05-09 00:17:00,580,,570,,580,,562.5,,,,,570,560,,</t>
  </si>
  <si>
    <t>2025-05-09 00:17:00,500,,495,,470,,486,,,,,500,480,,</t>
  </si>
  <si>
    <t>2025-05-09 00:17:00,,5500,5700,,,5800,5660,,,,,5700,5560,5660,5670</t>
  </si>
  <si>
    <t>2025-05-09 00:17:00,20500,,20050,,19500,,20225,,,,,20500,19600,,</t>
  </si>
  <si>
    <t>2025-05-09 00:17:00,1995563468.81335,3858340180.6909,0,0,0,0,0,0</t>
  </si>
  <si>
    <t>2025-05-09 00:17:00,1216342654.89373,1257258323.85587,0,0,0,0,0,0</t>
  </si>
  <si>
    <t>2025-05-09 00:17:00,3315304.76726243,-68147.1272010722,,-2,,-25.52,0.0115986651424898,-0.64</t>
  </si>
  <si>
    <t>2025-05-09 00:17:00,37211406.4192539,97328.7801166424,0,0,0,0,0,0</t>
  </si>
  <si>
    <t>2025-05-09 00:18:00,580,,570,,580,,562.5,,,,,570,560,,</t>
  </si>
  <si>
    <t>2025-05-09 00:18:00,500,,495,,470,,486,,,,,500,480,,</t>
  </si>
  <si>
    <t>2025-05-09 00:18:00,,5500,5700,,,5800,5660,,,,,5700,5560,5660,5670</t>
  </si>
  <si>
    <t>2025-05-09 00:18:00,20500,,20050,,19500,,20225,,,,,20500,19600,,</t>
  </si>
  <si>
    <t>2025-05-09 00:18:00,1999862218.97594,3821168307.09352,0,0,0,0,0,0</t>
  </si>
  <si>
    <t>2025-05-09 00:18:00,1202309770.79435,1288144605.82628,0,0,0,0,0,0</t>
  </si>
  <si>
    <t>2025-05-09 00:18:00,3472654.25816126,-60931.5018439925,,1,,-9.84,0.00500473342861611,-0.27</t>
  </si>
  <si>
    <t>2025-05-09 00:18:00,37204670.7758317,97305.2799489007,0,0,0,0,0,0</t>
  </si>
  <si>
    <t>2025-05-09 00:19:00,580,,570,,580,,564.5,,,,,570,560,,</t>
  </si>
  <si>
    <t>2025-05-09 00:19:00,500,,495,,470,,488,,,,,500,480,,</t>
  </si>
  <si>
    <t>2025-05-09 00:19:00,,5500,5700,,,5800,5660,,,,,5700,5560,5660,5670</t>
  </si>
  <si>
    <t>2025-05-09 00:19:00,20500,,20050,,19500,,20225,,,,,20500,19600,,</t>
  </si>
  <si>
    <t>2025-05-09 00:19:00,1794235656.06073,2428982702.67515,0,0,0,0,0,0</t>
  </si>
  <si>
    <t>2025-05-09 00:19:00,1112462783.61851,728440278.977619,0,0,0,0,0,0</t>
  </si>
  <si>
    <t>2025-05-09 00:19:00,11044141.6626871,43569.1243806173,,-6,,-77.55,0.0518448686442117,-1.88</t>
  </si>
  <si>
    <t>2025-05-09 00:19:00,37210447.0418451,97152.4654135285,0,0,0,0,0,0</t>
  </si>
  <si>
    <t>2025-05-09 00:20:00,580,,570,,580,,564.5,,,,,570,560,,</t>
  </si>
  <si>
    <t>2025-05-09 00:20:00,500,,495,,470,,488,,,,,500,480,,</t>
  </si>
  <si>
    <t>2025-05-09 00:20:00,,5500,5700,,,5800,5660,,,,,5700,5560,5660,5670</t>
  </si>
  <si>
    <t>2025-05-09 00:20:00,20500,,20050,,19500,,20225,,,,,20500,19600,,</t>
  </si>
  <si>
    <t>2025-05-09 00:20:00,1793534655.24478,2412819304.92419,0,0,0,0,0,0</t>
  </si>
  <si>
    <t>2025-05-09 00:20:00,1112628347.08983,728286869.12714,0,0,0,0,0,0</t>
  </si>
  <si>
    <t>2025-05-09 00:20:00,11553462.5250489,59894.9403594772,,6,,37.83,0.0612088596864484,1.17</t>
  </si>
  <si>
    <t>2025-05-09 00:20:00,37207446.3622138,97134.1631568281,0,0,0,0,0,0</t>
  </si>
  <si>
    <t>2025-05-09 00:21:00,580,,570,,580,,564.5,,,,,570,560,,</t>
  </si>
  <si>
    <t>2025-05-09 00:21:00,500,,495,,470,,488,,,,,500,480,,</t>
  </si>
  <si>
    <t>2025-05-09 00:21:00,,5500,5700,,,5800,5660,,,,,5700,5560,5660,5670</t>
  </si>
  <si>
    <t>2025-05-09 00:21:00,20500,,20050,,19500,,20225,,,,,20500,19600,,</t>
  </si>
  <si>
    <t>2025-05-09 00:21:00,1749865879.51922,2187887333.07312,0,0,0,0,0,0</t>
  </si>
  <si>
    <t>2025-05-09 00:21:00,1110006441.75175,702832087.213718,0,0,0,0,0,0</t>
  </si>
  <si>
    <t>2025-05-09 00:21:00,11994263.9339185,80123.1491423716,,68,,51.85,0.16744884632751,0.91</t>
  </si>
  <si>
    <t>2025-05-09 00:21:00,37213233.3915677,97152.4062292482,0,0,0,0,0,0</t>
  </si>
  <si>
    <t>2025-05-09 00:22:00,580,,570,,580,,564.5,,,,,570,560,,</t>
  </si>
  <si>
    <t>2025-05-09 00:22:00,500,,495,,470,,488,,,,,500,480,,</t>
  </si>
  <si>
    <t>2025-05-09 00:22:00,,5500,5700,,,5800,5660,,,,,5700,5560,5660,5600</t>
  </si>
  <si>
    <t>2025-05-09 00:22:00,20500,,20050,,19500,,20225,,,,,20500,19600,,</t>
  </si>
  <si>
    <t>2025-05-09 00:22:00,1758166004.67186,2109563379.98918,0,0,0,0,0,0</t>
  </si>
  <si>
    <t>2025-05-09 00:22:00,1112417133.41234,728013605.486467,0,0,0,0,0,0</t>
  </si>
  <si>
    <t>2025-05-09 00:22:00,13715480.4085357,100303.26809187,,4,,-22.86,0.0418867747350637,-0.49</t>
  </si>
  <si>
    <t>2025-05-09 00:22:00,37209898.2863431,97143.5717141056,0,0,0,0,0,0</t>
  </si>
  <si>
    <t>2025-05-09 00:23:00,580,,570,,580,,564.5,,,,,570,560,,</t>
  </si>
  <si>
    <t>2025-05-09 00:23:00,500,,495,,470,,488,,,,,500,480,,</t>
  </si>
  <si>
    <t>2025-05-09 00:23:00,,5500,5700,,,5800,5660,,,,,5700,5560,5660,5600</t>
  </si>
  <si>
    <t>2025-05-09 00:23:00,20500,,20050,,19500,,20225,,,,,20500,19600,,</t>
  </si>
  <si>
    <t>2025-05-09 00:23:00,1757288665.88923,2069360170.68163,0,0,0,0,0,0</t>
  </si>
  <si>
    <t>2025-05-09 00:23:00,1104854943.3673,664125223.474268,0,0,0,0,0,0</t>
  </si>
  <si>
    <t>2025-05-09 00:23:00,13240514.7412135,101228.974667488,,0,,0,0,0</t>
  </si>
  <si>
    <t>2025-05-09 00:23:00,37205814.3846244,97096.0963182595,0,0,0,0,0,0</t>
  </si>
  <si>
    <t>2025-05-09 00:24:00,580,,570,,580,,564.5,,,,,570,560,,</t>
  </si>
  <si>
    <t>2025-05-09 00:24:00,500,,495,,470,,488,,,,,500,480,,</t>
  </si>
  <si>
    <t>2025-05-09 00:24:00,,5500,5700,,,5800,5660,,,,,5700,5560,5660,5600</t>
  </si>
  <si>
    <t>2025-05-09 00:24:00,20500,,20050,,19500,,20225,,,,,20500,19600,,</t>
  </si>
  <si>
    <t>2025-05-09 00:24:00,1777276527.44244,2307824639.9615,0,0,0,0,0,0</t>
  </si>
  <si>
    <t>2025-05-09 00:24:00,1112298389.3694,728137044.189857,0,0,0,0,0,0</t>
  </si>
  <si>
    <t>2025-05-09 00:24:00,12761388.4436321,92747.8207041488,,29,,7,0.0318392709352061,0.12</t>
  </si>
  <si>
    <t>2025-05-09 00:24:00,37211616.8697365,97142.2532995304,0,0,0,0,0,0</t>
  </si>
  <si>
    <t>2025-05-09 00:25:00,580,,570,,580,,564.5,,,,,570,560,,</t>
  </si>
  <si>
    <t>2025-05-09 00:25:00,500,,495,,470,,488,,,,,500,480,,</t>
  </si>
  <si>
    <t>2025-05-09 00:25:00,,5500,5700,,,5800,5660,,,,,5700,5560,5660,5600</t>
  </si>
  <si>
    <t>2025-05-09 00:25:00,20500,,20050,,19500,,20225,,,,,20500,19600,,</t>
  </si>
  <si>
    <t>2025-05-09 00:25:00,1777294796.83995,2308437769.63196,0,0,0,0,0,0</t>
  </si>
  <si>
    <t>2025-05-09 00:25:00,1107665266.01722,689567972.19139,0,0,0,0,0,0</t>
  </si>
  <si>
    <t>2025-05-09 00:25:00,13265211.2288562,110071.61264997,,4,,15.74,0.027011943789757,0.34</t>
  </si>
  <si>
    <t>2025-05-09 00:25:00,37202894.2754876,97102.2755235562,0,0,0,0,0,0</t>
  </si>
  <si>
    <t>2025-05-09 00:26:00,580,,570,,580,,564.5,,,,,570,560,,</t>
  </si>
  <si>
    <t>2025-05-09 00:26:00,500,,495,,470,,488,,,,,500,480,,</t>
  </si>
  <si>
    <t>2025-05-09 00:26:00,,5500,5700,,,5800,5660,,,,,5700,5560,5660,5600</t>
  </si>
  <si>
    <t>2025-05-09 00:26:00,20500,,20050,,19500,,20225,,,,,20500,19600,,</t>
  </si>
  <si>
    <t>2025-05-09 00:26:00,1746269473.35487,1910586416.87696,0,0,0,0,0,0</t>
  </si>
  <si>
    <t>2025-05-09 00:26:00,1097235241.58407,625526898.490278,0,0,0,0,0,0</t>
  </si>
  <si>
    <t>2025-05-09 00:26:00,15545861.7368111,140736.647940149,,4,,60.68,0.0212191687893154,1.17</t>
  </si>
  <si>
    <t>2025-05-09 00:26:00,37208747.5245114,97108.9185939293,0,0,0,0,0,0</t>
  </si>
  <si>
    <t>2025-05-09 00:27:00,580,,570,,580,,564.5,,,,,570,560,,</t>
  </si>
  <si>
    <t>2025-05-09 00:27:00,500,,495,,470,,488,,,,,500,480,,</t>
  </si>
  <si>
    <t>2025-05-09 00:27:00,,5500,5700,,,5800,5660,,,,,5700,5560,5660,5670</t>
  </si>
  <si>
    <t>2025-05-09 00:27:00,20500,,20050,,19500,,20225,,,,,20500,19600,,</t>
  </si>
  <si>
    <t>2025-05-09 00:27:00,1746215698.51973,1909939025.66408,0,0,0,0,0,0</t>
  </si>
  <si>
    <t>2025-05-09 00:27:00,1062442569.82597,471878829.947967,0,0,0,0,0,0</t>
  </si>
  <si>
    <t>2025-05-09 00:27:00,18103272.7150507,173475.796767663,,18,,117.05,-0.0420530944851516,3.24</t>
  </si>
  <si>
    <t>2025-05-09 00:27:00,37203671.7383654,97028.1232103518,0,0,0,0,0,0</t>
  </si>
  <si>
    <t>2025-05-09 00:28:00,580,,570,,580,,564.5,,,,,570,560,,</t>
  </si>
  <si>
    <t>2025-05-09 00:28:00,500,,495,,470,,488,,,,,500,480,,</t>
  </si>
  <si>
    <t>2025-05-09 00:28:00,,5500,5700,,,5800,5660,,,,,5700,5560,5660,5670</t>
  </si>
  <si>
    <t>2025-05-09 00:28:00,20500,,20050,,19500,,20225,,,,,20500,19600,,</t>
  </si>
  <si>
    <t>2025-05-09 00:28:00,1746257255.14799,1909946342.09114,0,0,0,0,0,0</t>
  </si>
  <si>
    <t>2025-05-09 00:28:00,1086153244.16256,573853619.818173,0,0,0,0,0,0</t>
  </si>
  <si>
    <t>2025-05-09 00:28:00,16606572.4923908,126569.417956257,,-12,,-44.1,0.0350771398135651,-1.24</t>
  </si>
  <si>
    <t>2025-05-09 00:28:00,37209501.9899764,97086.3178868731,0,0,0,0,0,0</t>
  </si>
  <si>
    <t>2025-05-09 00:29:00,580,,570,,580,,564.5,,,,,570,560,,</t>
  </si>
  <si>
    <t>2025-05-09 00:29:00,500,,495,,470,,488,,,,,500,480,,</t>
  </si>
  <si>
    <t>2025-05-09 00:29:00,,5500,5700,,,5800,5660,,,,,5700,5560,5660,5670</t>
  </si>
  <si>
    <t>2025-05-09 00:29:00,20500,,20050,,19500,,20225,,,,,20500,19600,,</t>
  </si>
  <si>
    <t>2025-05-09 00:29:00,1746182401.06317,1909624053.88902,0,0,0,0,0,0</t>
  </si>
  <si>
    <t>2025-05-09 00:29:00,1099791431.05462,638049347.540863,0,0,0,0,0,0</t>
  </si>
  <si>
    <t>2025-05-09 00:29:00,15818498.9114122,113143.817064095,,0,,0,0,0</t>
  </si>
  <si>
    <t>2025-05-09 00:29:00,37204939.1854434,97060.0410561051,0,0,0,0,0,0</t>
  </si>
  <si>
    <t>2025-05-09 00:30:00,580,,570,,580,,563.5,,,,,570,560,,</t>
  </si>
  <si>
    <t>2025-05-09 00:30:00,500,,495,,470,,488,,,,,500,480,,</t>
  </si>
  <si>
    <t>2025-05-09 00:30:00,,5500,5700,,,5800,5660,,,,,5700,5560,5660,5670</t>
  </si>
  <si>
    <t>2025-05-09 00:30:00,20500,,20050,,19500,,20225,,,,,20500,19600,,</t>
  </si>
  <si>
    <t>2025-05-09 00:30:00,1798659824.39966,2819429106.39407,0,0,0,0,0,0</t>
  </si>
  <si>
    <t>2025-05-09 00:30:00,1155429141.35922,1032919210.12059,0,0,0,0,0,0</t>
  </si>
  <si>
    <t>2025-05-09 00:30:00,8399912.75411708,17876.051472855,,23,,23.58,0.0473790865174618,0.69</t>
  </si>
  <si>
    <t>2025-05-09 00:30:00,37200942.939929,97154.9881805483,0,0,0,0,0,0</t>
  </si>
  <si>
    <t>2025-05-09 00:31:00,580,,570,,580,,562.5,,,,,570,560,,</t>
  </si>
  <si>
    <t>2025-05-09 00:31:00,500,,495,,470,,486,,,,,500,480,,</t>
  </si>
  <si>
    <t>2025-05-09 00:31:00,,5500,5700,,,5800,5660,,,,,5700,5560,5660,5670</t>
  </si>
  <si>
    <t>2025-05-09 00:31:00,20500,,20050,,19500,,20225,,,,,20500,19600,,</t>
  </si>
  <si>
    <t>2025-05-09 00:31:00,2000109871.48773,3897939785.28438,0,0,0,0,0,0</t>
  </si>
  <si>
    <t>2025-05-09 00:31:00,1265635512.01787,1448218923.94785,0,0,0,0,0,0</t>
  </si>
  <si>
    <t>2025-05-09 00:31:00,2475635.86602185,-68395.4405970786,,1,,-3.57,0.0294983434181594,0.03</t>
  </si>
  <si>
    <t>2025-05-09 00:31:00,37206785.4721541,97304.7733404125,0,0,0,0,0,0</t>
  </si>
  <si>
    <t>2025-05-09 00:32:00,580,,570,,580,,563.5,,,,,570,560,,</t>
  </si>
  <si>
    <t>2025-05-09 00:32:00,500,,495,,470,,488,,,,,500,480,,</t>
  </si>
  <si>
    <t>2025-05-09 00:32:00,,5500,5700,,,5800,5660,,,,,5700,5560,5660,5670</t>
  </si>
  <si>
    <t>2025-05-09 00:32:00,20500,,20050,,19500,,20225,,,,,20500,19600,,</t>
  </si>
  <si>
    <t>2025-05-09 00:32:00,1925494617.42688,3283205770.18351,0,0,0,0,0,0</t>
  </si>
  <si>
    <t>2025-05-09 00:32:00,1202060049.22352,1169319034.46657,0,0,0,0,0,0</t>
  </si>
  <si>
    <t>2025-05-09 00:32:00,6806931.12491171,-5087.7996410664,,-13,,-61.3,0.0532542753474452,-1.56</t>
  </si>
  <si>
    <t>2025-05-09 00:32:00,37203823.139007,97195.585472103,0,0,0,0,0,0</t>
  </si>
  <si>
    <t>2025-05-09 00:33:00,580,,570,,580,,563.5,,,,,570,560,,</t>
  </si>
  <si>
    <t>2025-05-09 00:33:00,500,,495,,470,,488,,,,,500,480,,</t>
  </si>
  <si>
    <t>2025-05-09 00:33:00,,5500,5700,,,5800,5660,,,,,5700,5560,5660,5670</t>
  </si>
  <si>
    <t>2025-05-09 00:33:00,20500,,20050,,19500,,20225,,,,,20500,19600,,</t>
  </si>
  <si>
    <t>2025-05-09 00:33:00,1935425001.43959,3363780442.85067,0,0,0,0,0,0</t>
  </si>
  <si>
    <t>2025-05-09 00:33:00,1204372025.03632,1182280554.76128,0,0,0,0,0,0</t>
  </si>
  <si>
    <t>2025-05-09 00:33:00,5805994.78041805,-33527.4793022052,,-11,,-35.94,0.0347589059970274,-0.94</t>
  </si>
  <si>
    <t>2025-05-09 00:33:00,37202941.7808894,97187.8333378202,0,0,0,0,0,0</t>
  </si>
  <si>
    <t>2025-05-09 00:34:00,580,,570,,580,,563.5,,,,,570,560,,</t>
  </si>
  <si>
    <t>2025-05-09 00:34:00,500,,495,,470,,488,,,,,500,480,,</t>
  </si>
  <si>
    <t>2025-05-09 00:34:00,,5500,5700,,,5800,5660,,,,,5700,5560,5660,5670</t>
  </si>
  <si>
    <t>2025-05-09 00:34:00,20500,,20050,,19500,,20225,,,,,20500,19600,,</t>
  </si>
  <si>
    <t>2025-05-09 00:34:00,1913524468.10038,3200623047.39402,0,0,0,0,0,0</t>
  </si>
  <si>
    <t>2025-05-09 00:34:00,1196377367.15846,1143382227.75473,0,0,0,0,0,0</t>
  </si>
  <si>
    <t>2025-05-09 00:34:00,6435756.83240236,-24423.7207531214,,-3,,-18.62,0.0115769361726751,-0.49</t>
  </si>
  <si>
    <t>2025-05-09 00:34:00,37205939.7027583,97194.7442474177,0,0,0,0,0,0</t>
  </si>
  <si>
    <t>2025-05-09 00:35:00,580,,570,,580,,564.5,,,,,570,560,,</t>
  </si>
  <si>
    <t>2025-05-09 00:35:00,500,,495,,470,,488,,,,,500,480,,</t>
  </si>
  <si>
    <t>2025-05-09 00:35:00,,5500,5700,,,5800,5660,,,,,5700,5560,5660,5670</t>
  </si>
  <si>
    <t>2025-05-09 00:35:00,20500,,20050,,19500,,20225,,,,,20500,19600,,</t>
  </si>
  <si>
    <t>2025-05-09 00:35:00,1788467914.92818,2385018643.95168,0,0,0,0,0,0</t>
  </si>
  <si>
    <t>2025-05-09 00:35:00,1141651371.62849,907670173.615245,0,0,0,0,0,0</t>
  </si>
  <si>
    <t>2025-05-09 00:35:00,10794043.7812251,49465.5267759419,,2,,25.9,0.00907757868382015,0.59</t>
  </si>
  <si>
    <t>2025-05-09 00:35:00,37202354.2969968,97099.0045625027,0,0,0,0,0,0</t>
  </si>
  <si>
    <t>2025-05-09 00:36:00,580,,570,,580,,564.5,,,,,570,560,,</t>
  </si>
  <si>
    <t>2025-05-09 00:36:00,500,,495,,470,,488,,,,,500,480,,</t>
  </si>
  <si>
    <t>2025-05-09 00:36:00,,5500,5700,,,5800,5660,,,,,5700,5560,5750,5670</t>
  </si>
  <si>
    <t>2025-05-09 00:36:00,20500,,20050,,19500,,20225,,,,,20500,19600,,</t>
  </si>
  <si>
    <t>2025-05-09 00:36:00,1753780502.85115,2225447762.81663,0,0,0,0,0,0</t>
  </si>
  <si>
    <t>2025-05-09 00:36:00,1128498497.74535,868264551.962852,0,0,0,0,0,0</t>
  </si>
  <si>
    <t>2025-05-09 00:36:00,11143061.7917507,66184.8545695876,,28,,54.25,0.0837172436174824,1.7</t>
  </si>
  <si>
    <t>2025-05-09 00:36:00,37208226.8386861,97113.7469544323,0,0,0,0,0,0</t>
  </si>
  <si>
    <t>2025-05-09 00:37:00,580,,570,,580,,563.5,,,,,570,560,,</t>
  </si>
  <si>
    <t>2025-05-09 00:37:00,500,,495,,470,,488,,,,,500,480,,</t>
  </si>
  <si>
    <t>2025-05-09 00:37:00,,5500,5700,,,5800,5660,,,,,5700,5560,5750,5670</t>
  </si>
  <si>
    <t>2025-05-09 00:37:00,20500,,20050,,19500,,20225,,,,,20500,19600,,</t>
  </si>
  <si>
    <t>2025-05-09 00:37:00,1798235149.35848,2817699305.15012,0,0,0,0,0,0</t>
  </si>
  <si>
    <t>2025-05-09 00:37:00,1172479613.37481,1051039212.20834,0,0,0,0,0,0</t>
  </si>
  <si>
    <t>2025-05-09 00:37:00,8602476.49309909,22506.3565637895,,-2,,-16.04,0.0174752980902567,-0.39</t>
  </si>
  <si>
    <t>2025-05-09 00:37:00,37202617.3111961,97138.9888211315,0,0,0,0,0,0</t>
  </si>
  <si>
    <t>2025-05-09 00:38:00,580,,570,,580,,564.5,,,,,570,560,,</t>
  </si>
  <si>
    <t>2025-05-09 00:38:00,500,,495,,470,,488,,,,,500,480,,</t>
  </si>
  <si>
    <t>2025-05-09 00:38:00,,5500,5700,,,5800,5660,,,,,5700,5560,5750,5670</t>
  </si>
  <si>
    <t>2025-05-09 00:38:00,20500,,20050,,19500,,20225,,,,,20500,19600,,</t>
  </si>
  <si>
    <t>2025-05-09 00:38:00,1788429335.39152,2385617734.13759,0,0,0,0,0,0</t>
  </si>
  <si>
    <t>2025-05-09 00:38:00,1117036500.94156,752960400.577036,0,0,0,0,0,0</t>
  </si>
  <si>
    <t>2025-05-09 00:38:00,12156198.0462394,71029.9225800653,,-8,,-56.79,0.0244399538075635,-1.17</t>
  </si>
  <si>
    <t>2025-05-09 00:38:00,37208502.668616,97074.3301348723,0,0,0,0,0,0</t>
  </si>
  <si>
    <t>2025-05-09 00:39:00,580,,570,,580,,564.5,,,,,570,560,,</t>
  </si>
  <si>
    <t>2025-05-09 00:39:00,500,,495,,470,,488,,,,,500,480,,</t>
  </si>
  <si>
    <t>2025-05-09 00:39:00,,5500,5700,,,5800,5660,,,,,5700,5560,5750,5670</t>
  </si>
  <si>
    <t>2025-05-09 00:39:00,20500,,20050,,19500,,20225,,,,,20500,19600,,</t>
  </si>
  <si>
    <t>2025-05-09 00:39:00,1756370808.8156,2146674223.57952,0,0,0,0,0,0</t>
  </si>
  <si>
    <t>2025-05-09 00:39:00,1124926281.12261,817082948.298662,0,0,0,0,0,0</t>
  </si>
  <si>
    <t>2025-05-09 00:39:00,13012213.2588229,79613.798347464,,1,,-0.0999999999999996,0.0284874245360218,0.09</t>
  </si>
  <si>
    <t>2025-05-09 00:39:00,37203518.7931694,97068.637484595,0,0,0,0,0,0</t>
  </si>
  <si>
    <t>2025-05-09 00:40:00,580,,570,,580,,564.5,,,,,570,560,,</t>
  </si>
  <si>
    <t>2025-05-09 00:40:00,500,,495,,470,,488,,,,,500,480,,</t>
  </si>
  <si>
    <t>2025-05-09 00:40:00,,5500,5700,,,5800,5660,,,,,5700,5560,5750,5670</t>
  </si>
  <si>
    <t>2025-05-09 00:40:00,20500,,20050,,19500,,20225,,,,,20500,19600,,</t>
  </si>
  <si>
    <t>2025-05-09 00:40:00,1757341046.80595,2067227446.85655,0,0,0,0,0,0</t>
  </si>
  <si>
    <t>2025-05-09 00:40:00,1121306298.23447,778504169.952249,0,0,0,0,0,0</t>
  </si>
  <si>
    <t>2025-05-09 00:40:00,13547283.5020968,93138.1251574196,,4,,10.84,0.0127610277638378,0.32</t>
  </si>
  <si>
    <t>2025-05-09 00:40:00,37200253.0054679,97028.1535822029,0,0,0,0,0,0</t>
  </si>
  <si>
    <t>2025-05-09 00:41:00,580,,570,,580,,564.5,,,,,570,560,,</t>
  </si>
  <si>
    <t>2025-05-09 00:41:00,500,,495,,470,,488,,,,,500,480,,</t>
  </si>
  <si>
    <t>2025-05-09 00:41:00,,5500,5700,,,5800,5660,,,,,5700,5560,5750,5670</t>
  </si>
  <si>
    <t>2025-05-09 00:41:00,20500,,20050,,19500,,20225,,,,,20500,19600,,</t>
  </si>
  <si>
    <t>2025-05-09 00:41:00,1753556856.66355,1988073969.2802,0,0,0,0,0,0</t>
  </si>
  <si>
    <t>2025-05-09 00:41:00,1121282658.73507,778256029.899383,0,0,0,0,0,0</t>
  </si>
  <si>
    <t>2025-05-09 00:41:00,14267982.1971143,101116.980869145,,0,,8.64,0.0209791297857016,0.12</t>
  </si>
  <si>
    <t>2025-05-09 00:41:00,37206156.371112,97054.9656677258,0,0,0,0,0,0</t>
  </si>
  <si>
    <t>2025-05-09 00:42:00,580,,570,,580,,564.5,,,,,570,560,,</t>
  </si>
  <si>
    <t>2025-05-09 00:42:00,500,,495,,470,,488,,,,,500,480,,</t>
  </si>
  <si>
    <t>2025-05-09 00:42:00,,5500,5700,,,5800,5660,,,,,5700,5560,5750,5670</t>
  </si>
  <si>
    <t>2025-05-09 00:42:00,20500,,20050,,19500,,20225,,,,,20500,19600,,</t>
  </si>
  <si>
    <t>2025-05-09 00:42:00,1753309238.50633,1986388552.28891,0,0,0,0,0,0</t>
  </si>
  <si>
    <t>2025-05-09 00:42:00,1121341217.5004,778469131.733223,0,0,0,0,0,0</t>
  </si>
  <si>
    <t>2025-05-09 00:42:00,14405339.569245,104308.159469408,,-3,,-17.6,0.0107201658704842,-0.49</t>
  </si>
  <si>
    <t>2025-05-09 00:42:00,37212059.7146502,97081.770842422,0,0,0,0,0,0</t>
  </si>
  <si>
    <t>2025-05-09 00:43:00,580,,570,,580,,564.5,,,,,570,560,,</t>
  </si>
  <si>
    <t>2025-05-09 00:43:00,500,,495,,470,,488,,,,,500,480,,</t>
  </si>
  <si>
    <t>2025-05-09 00:43:00,,5500,5700,,,5800,5660,,,,,5700,5560,5750,5670</t>
  </si>
  <si>
    <t>2025-05-09 00:43:00,20500,,20050,,19500,,20225,,,,,20500,19600,,</t>
  </si>
  <si>
    <t>2025-05-09 00:43:00,1776092111.20913,2303931558.32401,0,0,0,0,0,0</t>
  </si>
  <si>
    <t>2025-05-09 00:43:00,1143903602.44441,919831882.494689,0,0,0,0,0,0</t>
  </si>
  <si>
    <t>2025-05-09 00:43:00,12160677.6456335,68457.3614280178,,0,,-15.78,0.0164658978210663,-0.36</t>
  </si>
  <si>
    <t>2025-05-09 00:43:00,37217968.9359447,97152.3129657443,0,0,0,0,0,0</t>
  </si>
  <si>
    <t>2025-05-09 00:44:00,580,,570,,580,,563.5,,,,,570,560,,</t>
  </si>
  <si>
    <t>2025-05-09 00:44:00,500,,495,,470,,488,,,,,500,480,,</t>
  </si>
  <si>
    <t>2025-05-09 00:44:00,,5500,5700,,,5800,5660,,,,,5700,5600,5750,5600</t>
  </si>
  <si>
    <t>2025-05-09 00:44:00,20500,,20050,,19500,,20225,,,,,20500,19600,,</t>
  </si>
  <si>
    <t>2025-05-09 00:44:00,1817055751.1673,2663306906.51254,0,0,0,0,0,0</t>
  </si>
  <si>
    <t>2025-05-09 00:44:00,1154913118.09074,1031969947.706,0,0,0,0,0,0</t>
  </si>
  <si>
    <t>2025-05-09 00:44:00,10065524.3414531,24166.0103792749,,-14,,-86.8,0.0554201259392305,-2.35</t>
  </si>
  <si>
    <t>2025-05-09 00:44:00,37223881.0775358,97214.9421961762,0,0,0,0,0,0</t>
  </si>
  <si>
    <t>2025-05-09 00:45:00,580,,570,,580,,563.5,,,,,570,560,,</t>
  </si>
  <si>
    <t>2025-05-09 00:45:00,500,,495,,470,,488,,,,,500,480,,</t>
  </si>
  <si>
    <t>2025-05-09 00:45:00,,5500,5700,,,5800,5660,,,,,5700,5600,5750,5600</t>
  </si>
  <si>
    <t>2025-05-09 00:45:00,20500,,20050,,19500,,20225,,,,,20500,19600,,</t>
  </si>
  <si>
    <t>2025-05-09 00:45:00,1797655486.97529,2816839596.29403,0,0,0,0,0,0</t>
  </si>
  <si>
    <t>2025-05-09 00:45:00,1198607422.90859,1155371384.05698,0,0,0,0,0,0</t>
  </si>
  <si>
    <t>2025-05-09 00:45:00,8565009.94212082,-3889.52877614361,,2,,0.6,0.00117222496197362,0.01</t>
  </si>
  <si>
    <t>2025-05-09 00:45:00,37195676.4197723,97113.0467908739,0,0,0,0,0,0</t>
  </si>
  <si>
    <t>2025-05-09 00:46:00,580,,570,,580,,563.5,,,,,570,560,,</t>
  </si>
  <si>
    <t>2025-05-09 00:46:00,500,,495,,470,,488,,,,,500,480,,</t>
  </si>
  <si>
    <t>2025-05-09 00:46:00,,5500,5700,,,5800,5660,,,,,5700,5600,5750,5600</t>
  </si>
  <si>
    <t>2025-05-09 00:46:00,20500,,20050,,19500,,20225,,,,,20500,19600,,</t>
  </si>
  <si>
    <t>2025-05-09 00:46:00,1803644038.21302,2857162965.53551,0,0,0,0,0,0</t>
  </si>
  <si>
    <t>2025-05-09 00:46:00,1193047179.75046,1129433057.76895,0,0,0,0,0,0</t>
  </si>
  <si>
    <t>2025-05-09 00:46:00,8891253.05599582,7725.0945939342,,0,,3.2,0.0045438468196855,0.11</t>
  </si>
  <si>
    <t>2025-05-09 00:46:00,37200156.5949712,97144.1866511847,0,0,0,0,0,0</t>
  </si>
  <si>
    <t>2025-05-09 00:47:00,580,,570,,580,,563.5,,,,,570,560,,</t>
  </si>
  <si>
    <t>2025-05-09 00:47:00,500,,495,,470,,488,,,,,500,480,,</t>
  </si>
  <si>
    <t>2025-05-09 00:47:00,,5500,5700,,,5800,5660,,,,,5700,5600,5750,5600</t>
  </si>
  <si>
    <t>2025-05-09 00:47:00,20500,,20050,,19500,,20225,,,,,20500,19600,,</t>
  </si>
  <si>
    <t>2025-05-09 00:47:00,1814937511.6782,2637489691.4109,0,0,0,0,0,0</t>
  </si>
  <si>
    <t>2025-05-09 00:47:00,1189915044.1841,1116484142.44356,0,0,0,0,0,0</t>
  </si>
  <si>
    <t>2025-05-09 00:47:00,10284218.9311686,34770.3415635451,,1,,10,0.00502304589283168,0.27</t>
  </si>
  <si>
    <t>2025-05-09 00:47:00,37192114.5386592,97096.2357278082,0,0,0,0,0,0</t>
  </si>
  <si>
    <t>2025-05-09 00:48:00,580,,570,,580,,563.5,,,,,570,560,,</t>
  </si>
  <si>
    <t>2025-05-09 00:48:00,500,,495,,470,,486,,,,,500,480,,</t>
  </si>
  <si>
    <t>2025-05-09 00:48:00,,5500,5700,,,5800,5660,,,,,5700,5600,5750,5670</t>
  </si>
  <si>
    <t>2025-05-09 00:48:00,20500,,20050,,19500,,20225,,,,,20500,19600,,</t>
  </si>
  <si>
    <t>2025-05-09 00:48:00,1923255748.52773,3278878377.59617,0,0,0,0,0,0</t>
  </si>
  <si>
    <t>2025-05-09 00:48:00,1210512693.22094,1218986022.97352,0,0,0,0,0,0</t>
  </si>
  <si>
    <t>2025-05-09 00:48:00,8391854.49072512,1786.81080047155,,-7,,-122.6,-0.0186433380600065,-2.67</t>
  </si>
  <si>
    <t>2025-05-09 00:48:00,37198070.8889669,97155.1260080962,0,0,0,0,0,0</t>
  </si>
  <si>
    <t>2025-05-09 00:49:00,580,,570,,580,,562.5,,,,,570,560,,</t>
  </si>
  <si>
    <t>2025-05-09 00:49:00,500,,495,,470,,486,,,,,500,480,,</t>
  </si>
  <si>
    <t>2025-05-09 00:49:00,,5500,5700,,,5800,5660,,,,,5700,5600,5750,5670</t>
  </si>
  <si>
    <t>2025-05-09 00:49:00,20500,,20050,,19500,,20225,,,,,20500,19600,,</t>
  </si>
  <si>
    <t>2025-05-09 00:49:00,1939241291.66654,3439077786.35096,0,0,0,0,0,0</t>
  </si>
  <si>
    <t>2025-05-09 00:49:00,1203783344.34915,1298816729.46709,0,0,0,0,0,0</t>
  </si>
  <si>
    <t>2025-05-09 00:49:00,6299413.17428528,-31699.9903774723,,-3,,-33.54,0.0193472550032958,-0.84</t>
  </si>
  <si>
    <t>2025-05-09 00:49:00,37204295.3613295,97247.815399116,0,0,0,0,0,0</t>
  </si>
  <si>
    <t>2025-05-09 00:50:00,580,,570,,580,,563.5,,,,,570,560,,</t>
  </si>
  <si>
    <t>2025-05-09 00:50:00,500,,495,,470,,486,,,,,500,480,,</t>
  </si>
  <si>
    <t>2025-05-09 00:50:00,,5500,5700,,,5800,5660,,,,,5700,5600,5750,5670</t>
  </si>
  <si>
    <t>2025-05-09 00:50:00,20500,,20050,,19500,,20225,,,,,20500,19600,,</t>
  </si>
  <si>
    <t>2025-05-09 00:50:00,1928683891.67103,3320342021.29021,0,0,0,0,0,0</t>
  </si>
  <si>
    <t>2025-05-09 00:50:00,1214651604.50384,1254443760.23871,0,0,0,0,0,0</t>
  </si>
  <si>
    <t>2025-05-09 00:50:00,6473934.24573869,-30634.4750184517,,-2,,-6.56,0.00560539645551484,-0.18</t>
  </si>
  <si>
    <t>2025-05-09 00:50:00,37195471.294062,97146.9675503879,0,0,0,0,0,0</t>
  </si>
  <si>
    <t>2025-05-09 00:51:00,580,,570,,580,,563.5,,,,,570,560,,</t>
  </si>
  <si>
    <t>2025-05-09 00:51:00,500,,495,,470,,486,,,,,500,480,,</t>
  </si>
  <si>
    <t>2025-05-09 00:51:00,,5500,5700,,,5800,5660,,,,,5700,5600,5750,5670</t>
  </si>
  <si>
    <t>2025-05-09 00:51:00,20500,,20050,,19500,,20225,,,,,20500,19600,,</t>
  </si>
  <si>
    <t>2025-05-09 00:51:00,1928606454.23832,3319837277.78115,0,0,0,0,0,0</t>
  </si>
  <si>
    <t>2025-05-09 00:51:00,1214696288.31825,1265508302.41061,0,0,0,0,0,0</t>
  </si>
  <si>
    <t>2025-05-09 00:51:00,6173358.13684744,-33301.9014342911,,-5,,-15.75,0.0139076804670461,-0.45</t>
  </si>
  <si>
    <t>2025-05-09 00:51:00,37194711.168744,97126.9983659376,0,0,0,0,0,0</t>
  </si>
  <si>
    <t>2025-05-09 00:52:00,580,,570,,580,,563.5,,,,,570,560,,</t>
  </si>
  <si>
    <t>2025-05-09 00:52:00,500,,495,,470,,486,,,,,500,480,,</t>
  </si>
  <si>
    <t>2025-05-09 00:52:00,,5500,5700,,,5800,5660,,,,,5700,5600,5750,5670</t>
  </si>
  <si>
    <t>2025-05-09 00:52:00,20500,,20050,,19500,,20225,,,,,20500,19600,,</t>
  </si>
  <si>
    <t>2025-05-09 00:52:00,1928444505.69685,3319599588.62227,0,0,0,0,0,0</t>
  </si>
  <si>
    <t>2025-05-09 00:52:00,1245841299.84564,1355397295.46344,0,0,0,0,0,0</t>
  </si>
  <si>
    <t>2025-05-09 00:52:00,5791204.68814563,-40029.5122083018,,-1,,-24.17,0.00692984378229095,-0.55</t>
  </si>
  <si>
    <t>2025-05-09 00:52:00,37200678.906048,97178.0234466774,0,0,0,0,0,0</t>
  </si>
  <si>
    <t>2025-05-09 00:53:00,580,,570,,580,,562.5,,,,,570,560,,</t>
  </si>
  <si>
    <t>2025-05-09 00:53:00,500,,495,,470,,486,,,,,500,480,,</t>
  </si>
  <si>
    <t>2025-05-09 00:53:00,,5500,5700,,,5800,5660,,,,,5700,5600,5750,5670</t>
  </si>
  <si>
    <t>2025-05-09 00:53:00,20500,,20050,,19500,,20225,,,,,20500,19600,,</t>
  </si>
  <si>
    <t>2025-05-09 00:53:00,1950479643.19987,3520289263.45361,0,0,0,0,0,0</t>
  </si>
  <si>
    <t>2025-05-09 00:53:00,1248838406.85107,1368763029.28896,0,0,0,0,0,0</t>
  </si>
  <si>
    <t>2025-05-09 00:53:00,4696146.55983302,-69410.1381176188,,-10,,-339.1,0.174605168391072,-7.52</t>
  </si>
  <si>
    <t>2025-05-09 00:53:00,37197138.4793177,97153.9761111114,0,0,0,0,0,0</t>
  </si>
  <si>
    <t>2025-05-09 00:54:00,580,,570,,580,,562.5,,,,,570,560,,</t>
  </si>
  <si>
    <t>2025-05-09 00:54:00,500,,495,,470,,486,,,,,500,480,,</t>
  </si>
  <si>
    <t>2025-05-09 00:54:00,,5500,5700,,,5800,5660,,,,,5700,5600,5750,5670</t>
  </si>
  <si>
    <t>2025-05-09 00:54:00,20500,,20050,,19500,,20225,,,,,20500,19600,,</t>
  </si>
  <si>
    <t>2025-05-09 00:54:00,1993466772.9617,3774304036.18918,0,0,0,0,0,0</t>
  </si>
  <si>
    <t>2025-05-09 00:54:00,1254003284.01654,1394288742.13339,0,0,0,0,0,0</t>
  </si>
  <si>
    <t>2025-05-09 00:54:00,4291933.70564733,-72754.2658771791,,-2,,-83.09,-0.0112727813438503,-1.5</t>
  </si>
  <si>
    <t>2025-05-09 00:54:00,37195190.4886986,97149.0605975447,0,0,0,0,0,0</t>
  </si>
  <si>
    <t>2025-05-09 00:55:00,580,,570,,580,,562.5,,,,,570,560,,</t>
  </si>
  <si>
    <t>2025-05-09 00:55:00,500,,495,,470,,486,,,,,500,480,,</t>
  </si>
  <si>
    <t>2025-05-09 00:55:00,,5500,5700,,,5800,5660,,,,,5700,5600,5750,5670</t>
  </si>
  <si>
    <t>2025-05-09 00:55:00,20500,,20050,,19500,,20225,,,,,20500,19600,,</t>
  </si>
  <si>
    <t>2025-05-09 00:55:00,2046744330.68456,4391918337.9552,0,0,0,0,0,0</t>
  </si>
  <si>
    <t>2025-05-09 00:55:00,1289937763.90985,1607520899.15377,0,0,0,0,0,0</t>
  </si>
  <si>
    <t>2025-05-09 00:55:00,526452.213324021,-134283.842540918,,-2,,-80.19,0.00561958824281607,-1.87</t>
  </si>
  <si>
    <t>2025-05-09 00:55:00,37201182.3129916,97243.9276923541,0,0,0,0,0,0</t>
  </si>
  <si>
    <t>2025-05-09 00:56:00,580,,570,,580,,562.5,,,,,570,560,,</t>
  </si>
  <si>
    <t>2025-05-09 00:56:00,500,,495,,470,,486,,,,,500,480,,</t>
  </si>
  <si>
    <t>2025-05-09 00:56:00,,5500,5700,,,5800,5660,,,,,5700,5600,5750,5670</t>
  </si>
  <si>
    <t>2025-05-09 00:56:00,20500,,20050,,19500,,20225,,,,,20500,19600,,</t>
  </si>
  <si>
    <t>2025-05-09 00:56:00,2057868429.11443,4475443259.33418,0,0,0,0,0,0</t>
  </si>
  <si>
    <t>2025-05-09 00:56:00,1290543804.63463,1618462993.90458,0,0,0,0,0,0</t>
  </si>
  <si>
    <t>2025-05-09 00:56:00,117103.350359259,-192744.486536883,,-45,,-455.14,0.243908140188075,-11.34</t>
  </si>
  <si>
    <t>2025-05-09 00:56:00,37193950.1641834,97220.1629228646,0,0,0,0,0,0</t>
  </si>
  <si>
    <t>2025-05-09 00:57:00,580,,570,,580,,562.5,,,,,570,560,,</t>
  </si>
  <si>
    <t>2025-05-09 00:57:00,500,,495,,470,,486,,,,,500,480,,</t>
  </si>
  <si>
    <t>2025-05-09 00:57:00,,5500,5700,,,5800,5660,,,,,5700,5600,5750,5670</t>
  </si>
  <si>
    <t>2025-05-09 00:57:00,20500,,20050,,19500,,20225,,,,,20500,19600,,</t>
  </si>
  <si>
    <t>2025-05-09 00:57:00,2052170556.53731,4434093628.41206,0,0,0,0,0,0</t>
  </si>
  <si>
    <t>2025-05-09 00:57:00,1274900751.62471,1547635496.84336,0,0,0,0,0,0</t>
  </si>
  <si>
    <t>2025-05-09 00:57:00,247704.368888599,-179780.74682665,,0,,-0.0700000000000001,0.00475902405287075,0.02</t>
  </si>
  <si>
    <t>2025-05-09 00:57:00,37190992.1802962,97182.1802060432,0,0,0,0,0,0</t>
  </si>
  <si>
    <t>2025-05-09 00:58:00,580,,570,,580,,562.5,,,,,570,560,,</t>
  </si>
  <si>
    <t>2025-05-09 00:58:00,500,,495,,470,,486,,,,,500,480,,</t>
  </si>
  <si>
    <t>2025-05-09 00:58:00,,5500,5700,,,5800,5660,,,,,5700,5600,5750,5670</t>
  </si>
  <si>
    <t>2025-05-09 00:58:00,20500,,20050,,19500,,20225,,,,,20500,19600,,</t>
  </si>
  <si>
    <t>2025-05-09 00:58:00,2064513811.03222,4356521817.65432,0,0,0,0,0,0</t>
  </si>
  <si>
    <t>2025-05-09 00:58:00,1274805385.03486,1547457634.84034,0,0,0,0,0,0</t>
  </si>
  <si>
    <t>2025-05-09 00:58:00,165956.642730801,-188458.567958416,,-3,,-10.31,0.00873816630663568,-0.27</t>
  </si>
  <si>
    <t>2025-05-09 00:58:00,37196996.2708688,97209.5946190838,0,0,0,0,0,0</t>
  </si>
  <si>
    <t>2025-05-09 00:59:00,580,,570,,580,,562.5,,,,,570,560,,</t>
  </si>
  <si>
    <t>2025-05-09 00:59:00,500,,495,,470,,486,,,,,500,480,,</t>
  </si>
  <si>
    <t>2025-05-09 00:59:00,,5500,5700,,,5800,5660,,,,,5750,5600,5750,5610</t>
  </si>
  <si>
    <t>2025-05-09 00:59:00,20500,,20050,,19500,,20225,,,,,20500,19600,,</t>
  </si>
  <si>
    <t>2025-05-09 00:59:00,2057607181.29126,4474246401.65701,0,0,0,0,0,0</t>
  </si>
  <si>
    <t>2025-05-09 00:59:00,1274832577.8936,1547675233.62374,0,0,0,0,0,0</t>
  </si>
  <si>
    <t>2025-05-09 00:59:00,-372094.827362231,-241659.814666105,,-2,,-405.35,0.523237835604295,-9.71</t>
  </si>
  <si>
    <t>2025-05-09 00:59:00,37190425.5872624,97164.1918997587,0,0,0,0,0,0</t>
  </si>
  <si>
    <t>2025-05-09 01:00:00,580,,570,,560,,562.5,,,,,570,560,,</t>
  </si>
  <si>
    <t>2025-05-09 01:00:00,500,,495,,470,,486,,,,,500,480,,</t>
  </si>
  <si>
    <t>2025-05-09 01:00:00,,5500,5700,,,5800,5660,,,,,5750,5600,5750,5610</t>
  </si>
  <si>
    <t>2025-05-09 01:00:00,20500,,20050,,19500,,20225,,,,,20500,19600,,</t>
  </si>
  <si>
    <t>2025-05-09 01:00:00,2147215117.87586,4979804080.40307,0,0,0,0,0,0</t>
  </si>
  <si>
    <t>2025-05-09 01:00:00,1297485228.78183,1788282465.03867,0,0,0,0,0,0</t>
  </si>
  <si>
    <t>2025-05-09 01:00:00,-3213913.0404627,-272296.725389377,,-3,,-17.03,0.00972019948858849,-0.45</t>
  </si>
  <si>
    <t>2025-05-09 01:00:00,37196444.4807319,97267.1641411365,0,0,0,0,0,0</t>
  </si>
  <si>
    <t>2025-05-09 01:01:00,580,,570,,580,,562.5,,,,,570,560,,</t>
  </si>
  <si>
    <t>2025-05-09 01:01:00,500,,495,,470,,486,,,,,500,480,,</t>
  </si>
  <si>
    <t>2025-05-09 01:01:00,,5500,5700,,,5800,5660,,,,,5750,5600,5750,5610</t>
  </si>
  <si>
    <t>2025-05-09 01:01:00,20500,,20050,,19500,,20225,,,,,20500,19600,,</t>
  </si>
  <si>
    <t>2025-05-09 01:01:00,2050652149.27135,4149657691.52708,0,0,0,0,0,0</t>
  </si>
  <si>
    <t>2025-05-09 01:01:00,1264501557.60064,1544361379.39663,0,0,0,0,0,0</t>
  </si>
  <si>
    <t>2025-05-09 01:01:00,981857.300375951,-178878.837654205,,35,,22.9,0.0994957253365728,1.52</t>
  </si>
  <si>
    <t>2025-05-09 01:01:00,37192703.0368303,97184.966492814,0,0,0,0,0,0</t>
  </si>
  <si>
    <t>2025-05-09 01:02:00,580,,570,,580,,562.5,,,,,570,560,,</t>
  </si>
  <si>
    <t>2025-05-09 01:02:00,500,,495,,470,,486,,,,,500,480,,</t>
  </si>
  <si>
    <t>2025-05-09 01:02:00,,5500,5700,,,5800,5660,,,,,5750,5600,5750,5610</t>
  </si>
  <si>
    <t>2025-05-09 01:02:00,20500,,20050,,19500,,20225,,,,,20500,19600,,</t>
  </si>
  <si>
    <t>2025-05-09 01:02:00,2064647320.83909,4315521743.76199,0,0,0,0,0,0</t>
  </si>
  <si>
    <t>2025-05-09 01:02:00,1265924020.71574,1555924145.06062,0,0,0,0,0,0</t>
  </si>
  <si>
    <t>2025-05-09 01:02:00,113052.685268015,-191964.269326428,,-3,,-65.07,-0.00447044574266794,-1.43</t>
  </si>
  <si>
    <t>2025-05-09 01:02:00,37189137.3886244,97169.9373552239,0,0,0,0,0,0</t>
  </si>
  <si>
    <t>2025-05-09 01:03:00,580,,570,,580,,562.5,,,,,570,560,,</t>
  </si>
  <si>
    <t>2025-05-09 01:03:00,500,,495,,470,,486,,,,,500,480,,</t>
  </si>
  <si>
    <t>2025-05-09 01:03:00,,5500,5700,,,5800,5660,,,,,5750,5600,5750,5610</t>
  </si>
  <si>
    <t>2025-05-09 01:03:00,20500,,20050,,19500,,20225,,,,,20500,19600,,</t>
  </si>
  <si>
    <t>2025-05-09 01:03:00,2125296616.47949,4656062446.8478,0,0,0,0,0,0</t>
  </si>
  <si>
    <t>2025-05-09 01:03:00,1283194827.40783,1660138543.33126,0,0,0,0,0,0</t>
  </si>
  <si>
    <t>2025-05-09 01:03:00,-1134992.24424411,-218471.538575861,,-6,,-12,0.0121165505576261,-0.3</t>
  </si>
  <si>
    <t>2025-05-09 01:03:00,37195172.070405,97229.3049612263,0,0,0,0,0,0</t>
  </si>
  <si>
    <t>2025-05-09 01:04:00,580,,570,,580,,562.5,,,,,570,560,,</t>
  </si>
  <si>
    <t>2025-05-09 01:04:00,500,,495,,470,,486,,,,,500,480,,</t>
  </si>
  <si>
    <t>2025-05-09 01:04:00,,5500,5700,,,5800,5660,,,,,5750,5600,5750,5610</t>
  </si>
  <si>
    <t>2025-05-09 01:04:00,20500,,20050,,19500,,20225,,,,,20500,19600,,</t>
  </si>
  <si>
    <t>2025-05-09 01:04:00,2064675322.05115,4314712438.77452,0,0,0,0,0,0</t>
  </si>
  <si>
    <t>2025-05-09 01:04:00,1266792547.21865,1567363810.8882,0,0,0,0,0,0</t>
  </si>
  <si>
    <t>2025-05-09 01:04:00,615563.025958462,-183964.349448059,,-1,,-8.6,0.00879715825133539,-0.22</t>
  </si>
  <si>
    <t>2025-05-09 01:04:00,37189009.4084397,97165.83438859,0,0,0,0,0,0</t>
  </si>
  <si>
    <t>2025-05-09 01:05:00,580,,570,,580,,562.5,,,,,570,560,,</t>
  </si>
  <si>
    <t>2025-05-09 01:05:00,500,,495,,470,,486,,,,,500,480,,</t>
  </si>
  <si>
    <t>2025-05-09 01:05:00,,5500,5700,,,5800,5660,,,,,5750,5600,5750,5610</t>
  </si>
  <si>
    <t>2025-05-09 01:05:00,20500,,20050,,19500,,20225,,,,,20500,19600,,</t>
  </si>
  <si>
    <t>2025-05-09 01:05:00,2125198071.37794,4655130177.49786,0,0,0,0,0,0</t>
  </si>
  <si>
    <t>2025-05-09 01:05:00,1242444861.14145,1649989363.86399,0,0,0,0,0,0</t>
  </si>
  <si>
    <t>2025-05-09 01:05:00,-938374.876047864,-210824.253195192,,22,,18.16,0.042011456889589,0.59</t>
  </si>
  <si>
    <t>2025-05-09 01:05:00,37195055.2170512,97237.1735588398,0,0,0,0,0,0</t>
  </si>
  <si>
    <t>2025-05-09 01:06:00,580,,570,,580,,562.5,,,,,570,560,,</t>
  </si>
  <si>
    <t>2025-05-09 01:06:00,500,,495,,470,,486,,,,,500,480,,</t>
  </si>
  <si>
    <t>2025-05-09 01:06:00,,5500,5700,,,5800,5660,,,,,5750,5600,5750,5610</t>
  </si>
  <si>
    <t>2025-05-09 01:06:00,20500,,20050,,19500,,20225,,,,,20500,19600,,</t>
  </si>
  <si>
    <t>2025-05-09 01:06:00,2063847732.21105,4354808119.48395,0,0,0,0,0,0</t>
  </si>
  <si>
    <t>2025-05-09 01:06:00,1266791535.65527,1567007082.83261,0,0,0,0,0,0</t>
  </si>
  <si>
    <t>2025-05-09 01:06:00,500673.189680143,-180253.311119793,,0,,0,0,0</t>
  </si>
  <si>
    <t>2025-05-09 01:06:00,37191164.6286303,97168.4223917689,0,0,0,0,0,0</t>
  </si>
  <si>
    <t>2025-05-09 01:07:00,580,,570,,580,,562.5,,,,,570,560,,</t>
  </si>
  <si>
    <t>2025-05-09 01:07:00,500,,495,,470,,486,,,,,500,480,,</t>
  </si>
  <si>
    <t>2025-05-09 01:07:00,,5500,5700,,,5800,5660,,,,,5750,5600,5750,5610</t>
  </si>
  <si>
    <t>2025-05-09 01:07:00,20500,,20050,,19500,,20225,,,,,20500,19600,,</t>
  </si>
  <si>
    <t>2025-05-09 01:07:00,2063857777.40004,4354747855.21222,0,0,0,0,0,0</t>
  </si>
  <si>
    <t>2025-05-09 01:07:00,1266801625.80525,1567349950.38491,0,0,0,0,0,0</t>
  </si>
  <si>
    <t>2025-05-09 01:07:00,287561.561639496,-181833.984566488,,-3,,-14.56,0.00143873945048802,-0.42</t>
  </si>
  <si>
    <t>2025-05-09 01:07:00,37184737.0229979,97145.536507285,0,0,0,0,0,0</t>
  </si>
  <si>
    <t>2025-05-09 01:08:00,580,,570,,580,,562.5,,,,,570,560,,</t>
  </si>
  <si>
    <t>2025-05-09 01:08:00,500,,495,,470,,486,,,,,500,480,,</t>
  </si>
  <si>
    <t>2025-05-09 01:08:00,,5500,5700,,,5800,5660,,,,,5750,5600,5750,5610</t>
  </si>
  <si>
    <t>2025-05-09 01:08:00,20500,,20050,,19500,,20225,,,,,20500,19600,,</t>
  </si>
  <si>
    <t>2025-05-09 01:08:00,2054182297.01239,4191146690.85192,0,0,0,0,0,0</t>
  </si>
  <si>
    <t>2025-05-09 01:08:00,1266775227.06474,1566867650.80511,0,0,0,0,0,0</t>
  </si>
  <si>
    <t>2025-05-09 01:08:00,1138305.35755951,-164508.629447759,,1,,1.39,0.00224494686210559,0.05</t>
  </si>
  <si>
    <t>2025-05-09 01:08:00,37190802.2055943,97173.2793852077,0,0,0,0,0,0</t>
  </si>
  <si>
    <t>2025-05-09 01:09:00,580,,570,,580,,562.5,,,,,570,560,,</t>
  </si>
  <si>
    <t>2025-05-09 01:09:00,500,,495,,470,,486,,,,,500,480,,</t>
  </si>
  <si>
    <t>2025-05-09 01:09:00,,5500,5700,,,5800,5660,,,,,5750,5600,5750,5610</t>
  </si>
  <si>
    <t>2025-05-09 01:09:00,20500,,20050,,19500,,20225,,,,,20500,19600,,</t>
  </si>
  <si>
    <t>2025-05-09 01:09:00,2044958778.41812,4106735574.40772,0,0,0,0,0,0</t>
  </si>
  <si>
    <t>2025-05-09 01:09:00,1266810442.46913,1567249016.9493,0,0,0,0,0,0</t>
  </si>
  <si>
    <t>2025-05-09 01:09:00,1651087.65256613,-157433.674114705,,1,,6.15,0.00917313755876938,0.22</t>
  </si>
  <si>
    <t>2025-05-09 01:09:00,37188936.1194121,97150.6938137363,0,0,0,0,0,0</t>
  </si>
  <si>
    <t>2025-05-09 01:10:00,580,,570,,580,,562.5,,,,,570,560,,</t>
  </si>
  <si>
    <t>2025-05-09 01:10:00,500,,495,,470,,486,,,,,500,480,,</t>
  </si>
  <si>
    <t>2025-05-09 01:10:00,,5500,5700,,,5800,5660,,,,,5750,5600,5750,5610</t>
  </si>
  <si>
    <t>2025-05-09 01:10:00,20500,,20050,,19500,,20225,,,,,20500,19600,,</t>
  </si>
  <si>
    <t>2025-05-09 01:10:00,2064036471.38424,4313791487.30731,0,0,0,0,0,0</t>
  </si>
  <si>
    <t>2025-05-09 01:10:00,1266760568.71211,1566903505.42834,0,0,0,0,0,0</t>
  </si>
  <si>
    <t>2025-05-09 01:10:00,1100825.70149932,-180752.244110195,,-10,,-170.68,0.0389799217102471,-4.01</t>
  </si>
  <si>
    <t>2025-05-09 01:10:00,37195012.685336,97178.4943777215,0,0,0,0,0,0</t>
  </si>
  <si>
    <t>2025-05-09 01:11:00,580,,570,,580,,562.5,,,,,570,560,,</t>
  </si>
  <si>
    <t>2025-05-09 01:11:00,500,,495,,470,,486,,,,,500,480,,</t>
  </si>
  <si>
    <t>2025-05-09 01:11:00,,5500,5700,,,5800,5660,,,,,5750,5600,5750,5610</t>
  </si>
  <si>
    <t>2025-05-09 01:11:00,20500,,20050,,19500,,20225,,,,,20500,19600,,</t>
  </si>
  <si>
    <t>2025-05-09 01:11:00,2053530311.76345,4391389132.34978,0,0,0,0,0,0</t>
  </si>
  <si>
    <t>2025-05-09 01:11:00,1289403191.8614,1636792867.25666,0,0,0,0,0,0</t>
  </si>
  <si>
    <t>2025-05-09 01:11:00,-84962.9153408533,-192445.161743922,,11,,24.96,0.0323317675547308,0.85</t>
  </si>
  <si>
    <t>2025-05-09 01:11:00,37189426.0723415,97156.2846115147,0,0,0,0,0,0</t>
  </si>
  <si>
    <t>2025-05-09 01:12:00,580,,570,,580,,562.5,,,,,570,560,,</t>
  </si>
  <si>
    <t>2025-05-09 01:12:00,500,,495,,470,,486,,,,,500,480,,</t>
  </si>
  <si>
    <t>2025-05-09 01:12:00,,5500,5700,,,5800,5660,,,,,5750,5600,5750,5610</t>
  </si>
  <si>
    <t>2025-05-09 01:12:00,20500,,20050,,19500,,20225,,,,,20500,19600,,</t>
  </si>
  <si>
    <t>2025-05-09 01:12:00,2057909803.71761,4231337640.24574,0,0,0,0,0,0</t>
  </si>
  <si>
    <t>2025-05-09 01:12:00,1265427002.49578,1555338054.34156,0,0,0,0,0,0</t>
  </si>
  <si>
    <t>2025-05-09 01:12:00,1146198.26547213,-161984.499908185,,19,,13.08,0.0217082704234284,0.31</t>
  </si>
  <si>
    <t>2025-05-09 01:12:00,37184662.8621845,97112.0058640356,0,0,0,0,0,0</t>
  </si>
  <si>
    <t>2025-05-09 01:13:00,580,,570,,580,,562.5,,,,,570,560,,</t>
  </si>
  <si>
    <t>2025-05-09 01:13:00,500,,495,,470,,486,,,,,500,480,,</t>
  </si>
  <si>
    <t>2025-05-09 01:13:00,,5500,5700,,,5800,5660,,,,,5750,5600,5750,5610</t>
  </si>
  <si>
    <t>2025-05-09 01:13:00,20500,,20050,,19500,,20225,,,,,20500,19600,,</t>
  </si>
  <si>
    <t>2025-05-09 01:13:00,1971096326.86453,3606114091.68037,0,0,0,0,0,0</t>
  </si>
  <si>
    <t>2025-05-09 01:13:00,1244850381.31478,1353842757.97939,0,0,0,0,0,0</t>
  </si>
  <si>
    <t>2025-05-09 01:13:00,4090788.63868161,-106146.580345586,,4,,-38.09,0.0163553626292164,-0.63</t>
  </si>
  <si>
    <t>2025-05-09 01:13:00,37190758.6045764,97068.4625815938,0,0,0,0,0,0</t>
  </si>
  <si>
    <t>2025-05-09 01:14:00,580,,570,,580,,562.5,,,,,570,560,,</t>
  </si>
  <si>
    <t>2025-05-09 01:14:00,500,,495,,470,,486,,,,,500,480,,</t>
  </si>
  <si>
    <t>2025-05-09 01:14:00,,5500,5700,,,5800,5660,,,,,5750,5600,5750,5610</t>
  </si>
  <si>
    <t>2025-05-09 01:14:00,20500,,20050,,19500,,20225,,,,,20500,19600,,</t>
  </si>
  <si>
    <t>2025-05-09 01:14:00,1970934641.81866,3605585637.38084,0,0,0,0,0,0</t>
  </si>
  <si>
    <t>2025-05-09 01:14:00,1252992034.96728,1392876414.21312,0,0,0,0,0,0</t>
  </si>
  <si>
    <t>2025-05-09 01:14:00,3732477.50356546,-111901.689363271,,1,,-2.64,0.00959676917494616,-0.03</t>
  </si>
  <si>
    <t>2025-05-09 01:14:00,37187528.4295184,97047.3093729573,0,0,0,0,0,0</t>
  </si>
  <si>
    <t>2025-05-09 01:15:00,580,,570,,580,,562.5,,,,,570,560,,</t>
  </si>
  <si>
    <t>2025-05-09 01:15:00,500,,495,,470,,486,,,,,500,480,,</t>
  </si>
  <si>
    <t>2025-05-09 01:15:00,,5500,5700,,,5800,5660,,,,,5750,5600,5750,5610</t>
  </si>
  <si>
    <t>2025-05-09 01:15:00,20500,,20050,,19500,,20225,,,,,20500,19600,,</t>
  </si>
  <si>
    <t>2025-05-09 01:15:00,1994880424.06708,3887675131.82814,0,0,0,0,0,0</t>
  </si>
  <si>
    <t>2025-05-09 01:15:00,1258062640.03304,1418366362.67431,0,0,0,0,0,0</t>
  </si>
  <si>
    <t>2025-05-09 01:15:00,2942003.06757761,-126447.346472506,,0,,-15.59,0.0145101935664308,-0.33</t>
  </si>
  <si>
    <t>2025-05-09 01:15:00,37193640.509143,97083.2119283442,0,0,0,0,0,0</t>
  </si>
  <si>
    <t>2025-05-09 01:16:00,580,,570,,580,,562.5,,,,,570,560,,</t>
  </si>
  <si>
    <t>2025-05-09 01:16:00,500,,495,,470,,486,,,,,500,480,,</t>
  </si>
  <si>
    <t>2025-05-09 01:16:00,,5500,5700,,,5800,5660,,,,,5750,5600,5750,5610</t>
  </si>
  <si>
    <t>2025-05-09 01:16:00,20500,,20050,,19500,,20225,,,,,20500,19600,,</t>
  </si>
  <si>
    <t>2025-05-09 01:16:00,2028075021.32428,3980645911.09808,0,0,0,0,0,0</t>
  </si>
  <si>
    <t>2025-05-09 01:16:00,1265204783.29035,1456743245.69517,0,0,0,0,0,0</t>
  </si>
  <si>
    <t>2025-05-09 01:16:00,2244789.32699807,-132179.742870291,,-2,,-20,-0.00969393205449172,-0.56</t>
  </si>
  <si>
    <t>2025-05-09 01:16:00,37185709.8391679,97070.564553623,0,0,0,0,0,0</t>
  </si>
  <si>
    <t>2025-05-09 01:17:00,580,,570,,580,,562.5,,,,,570,560,,</t>
  </si>
  <si>
    <t>2025-05-09 01:17:00,500,,495,,470,,486,,,,,500,480,,</t>
  </si>
  <si>
    <t>2025-05-09 01:17:00,,5500,5700,,,5800,5660,,,,,5750,5600,5750,5610</t>
  </si>
  <si>
    <t>2025-05-09 01:17:00,20500,,20050,,19500,,20225,,,,,20500,19600,,</t>
  </si>
  <si>
    <t>2025-05-09 01:17:00,1990720903.11444,3768500929.58134,0,0,0,0,0,0</t>
  </si>
  <si>
    <t>2025-05-09 01:17:00,1252808333.05437,1392478593.33626,0,0,0,0,0,0</t>
  </si>
  <si>
    <t>2025-05-09 01:17:00,3830509.43198065,-103642.452235012,,3,,4.17,0.0066761100878643,0.12</t>
  </si>
  <si>
    <t>2025-05-09 01:17:00,37186012.2487582,97021.2271997701,0,0,0,0,0,0</t>
  </si>
  <si>
    <t>2025-05-09 01:18:00,580,,570,,580,,562.5,,,,,570,560,,</t>
  </si>
  <si>
    <t>2025-05-09 01:18:00,500,,495,,470,,486,,,,,500,480,,</t>
  </si>
  <si>
    <t>2025-05-09 01:18:00,,5500,5700,,,5800,5660,,,,,5750,5600,5750,5610</t>
  </si>
  <si>
    <t>2025-05-09 01:18:00,20500,,20050,,19500,,20225,,,,,20500,19600,,</t>
  </si>
  <si>
    <t>2025-05-09 01:18:00,2000366067.50926,3928630292.55822,0,0,0,0,0,0</t>
  </si>
  <si>
    <t>2025-05-09 01:18:00,1258027113.03126,1418320781.87111,0,0,0,0,0,0</t>
  </si>
  <si>
    <t>2025-05-09 01:18:00,2817044.29080259,-128044.894516362,,-3,,-40.12,0.0109301049725537,-0.95</t>
  </si>
  <si>
    <t>2025-05-09 01:18:00,37192137.7163222,97057.200735593,0,0,0,0,0,0</t>
  </si>
  <si>
    <t>2025-05-09 01:19:00,580,,570,,580,,562.5,,,,,570,560,,</t>
  </si>
  <si>
    <t>2025-05-09 01:19:00,500,,495,,470,,486,,,,,500,480,,</t>
  </si>
  <si>
    <t>2025-05-09 01:19:00,,5500,5700,,,5800,5660,,,,,5750,5600,5750,5610</t>
  </si>
  <si>
    <t>2025-05-09 01:19:00,20500,,20050,,19500,,20225,,,,,20500,19600,,</t>
  </si>
  <si>
    <t>2025-05-09 01:19:00,1993891341.52073,3809187977.95938,0,0,0,0,0,0</t>
  </si>
  <si>
    <t>2025-05-09 01:19:00,1258018669.19812,1418185472.63576,0,0,0,0,0,0</t>
  </si>
  <si>
    <t>2025-05-09 01:19:00,3108276.69375936,-118730.961773528,,-3,,-57.91,0.0246799650939965,-1.34</t>
  </si>
  <si>
    <t>2025-05-09 01:19:00,37188012.7630415,97034.6570985252,0,0,0,0,0,0</t>
  </si>
  <si>
    <t>2025-05-09 01:20:00,580,,570,,580,,562.5,,,,,570,560,,</t>
  </si>
  <si>
    <t>2025-05-09 01:20:00,500,,495,,470,,486,,,,,500,480,,</t>
  </si>
  <si>
    <t>2025-05-09 01:20:00,,5500,5700,,,5800,5660,,,,,5750,5600,5750,5610</t>
  </si>
  <si>
    <t>2025-05-09 01:20:00,20500,,20050,,19500,,20225,,,,,20500,19600,,</t>
  </si>
  <si>
    <t>2025-05-09 01:20:00,2063101037.06541,4312013714.02593,0,0,0,0,0,0</t>
  </si>
  <si>
    <t>2025-05-09 01:20:00,1289341874.17405,1616427584.15249,0,0,0,0,0,0</t>
  </si>
  <si>
    <t>2025-05-09 01:20:00,478531.333103013,-174157.88493566,,-21,,-281.55,0.0292773172471478,-6.93</t>
  </si>
  <si>
    <t>2025-05-09 01:20:00,37193965.5106058,97125.4144374283,0,0,0,0,0,0</t>
  </si>
  <si>
    <t>2025-05-09 01:21:00,580,,570,,580,,562.5,,,,,570,560,,</t>
  </si>
  <si>
    <t>2025-05-09 01:21:00,500,,495,,470,,486,,,,,500,480,,</t>
  </si>
  <si>
    <t>2025-05-09 01:21:00,,5500,5700,,,5800,5660,,,,,5750,5600,5750,5610</t>
  </si>
  <si>
    <t>2025-05-09 01:21:00,20500,,20050,,19500,,20225,,,,,20500,19600,,</t>
  </si>
  <si>
    <t>2025-05-09 01:21:00,2062864515.07437,4311617603.55682,0,0,0,0,0,0</t>
  </si>
  <si>
    <t>2025-05-09 01:21:00,1263553134.22215,1542818670.15425,0,0,0,0,0,0</t>
  </si>
  <si>
    <t>2025-05-09 01:21:00,693480.92186275,-169118.127705361,,-5,,94.15,0.027943880767653,0.73</t>
  </si>
  <si>
    <t>2025-05-09 01:21:00,37187699.1402538,97085.8429468065,0,0,0,0,0,0</t>
  </si>
  <si>
    <t>2025-05-09 01:22:00,580,,570,,580,,562.5,,,,,570,560,,</t>
  </si>
  <si>
    <t>2025-05-09 01:22:00,500,,495,,470,,486,,,,,500,480,,</t>
  </si>
  <si>
    <t>2025-05-09 01:22:00,,5500,5700,,,5800,5660,,,,,5750,5600,5750,5610</t>
  </si>
  <si>
    <t>2025-05-09 01:22:00,20500,,20050,,19500,,20225,,,,,20500,19600,,</t>
  </si>
  <si>
    <t>2025-05-09 01:22:00,1994355117.1205,3886609631.75236,0,0,0,0,0,0</t>
  </si>
  <si>
    <t>2025-05-09 01:22:00,1270546324.42734,1487659303.62941,0,0,0,0,0,0</t>
  </si>
  <si>
    <t>2025-05-09 01:22:00,3065034.00948422,-128885.425948583,,-4,,-76.08,0.0171198269265692,-1.7</t>
  </si>
  <si>
    <t>2025-05-09 01:22:00,37184360.20283,97033.0376859031,0,0,0,0,0,0</t>
  </si>
  <si>
    <t>2025-05-09 01:23:00,580,,570,,580,,562.5,,,,,570,560,,</t>
  </si>
  <si>
    <t>2025-05-09 01:23:00,500,,495,,470,,486,,,,,500,480,,</t>
  </si>
  <si>
    <t>2025-05-09 01:23:00,,5500,5700,,,5800,5660,,,,,5750,5600,5750,5610</t>
  </si>
  <si>
    <t>2025-05-09 01:23:00,20500,,20050,,19500,,20225,,,,,20500,19600,,</t>
  </si>
  <si>
    <t>2025-05-09 01:23:00,1980620751.34916,3685581604.22919,0,0,0,0,0,0</t>
  </si>
  <si>
    <t>2025-05-09 01:23:00,1255015604.57651,1405149873.63303,0,0,0,0,0,0</t>
  </si>
  <si>
    <t>2025-05-09 01:23:00,4081044.70499074,-116138.828326333,,7,,-30.97,0.0384386734352462,-0.56</t>
  </si>
  <si>
    <t>2025-05-09 01:23:00,37190537.1160128,97037.5421238536,0,0,0,0,0,0</t>
  </si>
  <si>
    <t>2025-05-09 01:24:00,580,,570,,580,,563.5,,,,,570,560,,</t>
  </si>
  <si>
    <t>2025-05-09 01:24:00,500,,495,,470,,486,,,,,500,480,,</t>
  </si>
  <si>
    <t>2025-05-09 01:24:00,,5500,5700,,,5800,5660,,,,,5750,5600,5750,5610</t>
  </si>
  <si>
    <t>2025-05-09 01:24:00,20500,,20050,,19500,,20225,,,,,20500,19600,,</t>
  </si>
  <si>
    <t>2025-05-09 01:24:00,1929608317.74884,3354003952.23379,0,0,0,0,0,0</t>
  </si>
  <si>
    <t>2025-05-09 01:24:00,1223316048.3257,1317939928.66697,0,0,0,0,0,0</t>
  </si>
  <si>
    <t>2025-05-09 01:24:00,5327804.25612736,-91796.4386582628,,-6,,-13,-0.00154867416329145,-0.33</t>
  </si>
  <si>
    <t>2025-05-09 01:24:00,37181738.1282993,96968.7910491342,0,0,0,0,0,0</t>
  </si>
  <si>
    <t>2025-05-09 01:25:00,580,,570,,580,,563.5,,,,,570,560,,</t>
  </si>
  <si>
    <t>2025-05-09 01:25:00,500,,495,,470,,486,,,,,500,480,,</t>
  </si>
  <si>
    <t>2025-05-09 01:25:00,,5500,5700,,,5800,5660,,,,,5750,5600,5750,5610</t>
  </si>
  <si>
    <t>2025-05-09 01:25:00,20500,,20050,,19500,,20225,,,,,20500,19600,,</t>
  </si>
  <si>
    <t>2025-05-09 01:25:00,1919344887.00146,3272624944.14958,0,0,0,0,0,0</t>
  </si>
  <si>
    <t>2025-05-09 01:25:00,1207861293.92282,1209678412.73485,0,0,0,0,0,0</t>
  </si>
  <si>
    <t>2025-05-09 01:25:00,7466049.07104846,-83451.4491089233,,-1,,-1681.77,0.640079516698607,-30.54</t>
  </si>
  <si>
    <t>2025-05-09 01:25:00,37187974.5935739,96957.7128099681,0,0,0,0,0,0</t>
  </si>
  <si>
    <t>2025-05-09 01:26:00,580,,570,,580,,563.5,,,,,570,560,,</t>
  </si>
  <si>
    <t>2025-05-09 01:26:00,500,,495,,470,,486,,,,,500,480,,</t>
  </si>
  <si>
    <t>2025-05-09 01:26:00,,5500,5700,,,5800,5660,,,,,5750,5600,5750,5610</t>
  </si>
  <si>
    <t>2025-05-09 01:26:00,20500,,20050,,19500,,20225,,,,,20500,19600,,</t>
  </si>
  <si>
    <t>2025-05-09 01:26:00,1919246310.82543,3272381621.40977,0,0,0,0,0,0</t>
  </si>
  <si>
    <t>2025-05-09 01:26:00,1204160921.103,1190678624.23917,0,0,0,0,0,0</t>
  </si>
  <si>
    <t>2025-05-09 01:26:00,7880380.51413674,-76627.7324405022,,0,,-1.3,0.00641107219869273,-0.02</t>
  </si>
  <si>
    <t>2025-05-09 01:26:00,37183722.7910935,96936.6877864602,0,0,0,0,0,0</t>
  </si>
  <si>
    <t>2025-05-09 01:27:00,580,,570,,580,,563.5,,,,,570,560,,</t>
  </si>
  <si>
    <t>2025-05-09 01:27:00,500,,495,,470,,486,,,,,500,480,,</t>
  </si>
  <si>
    <t>2025-05-09 01:27:00,,5500,5700,,,5800,5660,,,,,5750,5600,5750,5610</t>
  </si>
  <si>
    <t>2025-05-09 01:27:00,20500,,20050,,19500,,20225,,,,,20500,19600,,</t>
  </si>
  <si>
    <t>2025-05-09 01:27:00,1919213165.20636,3272181115.01453,0,0,0,0,0,0</t>
  </si>
  <si>
    <t>2025-05-09 01:27:00,1198667918.3418,1282336375.82872,0,0,0,0,0,0</t>
  </si>
  <si>
    <t>2025-05-09 01:27:00,6709970.45377188,-100807.701144348,,-2,,-6.35,0.00515104287558477,-0.17</t>
  </si>
  <si>
    <t>2025-05-09 01:27:00,37178356.5646226,96951.5519536647,0,0,0,0,0,0</t>
  </si>
  <si>
    <t>2025-05-09 01:28:00,580,,570,,580,,563.5,,,,,570,560,,</t>
  </si>
  <si>
    <t>2025-05-09 01:28:00,500,,495,,470,,486,,,,,500,480,,</t>
  </si>
  <si>
    <t>2025-05-09 01:28:00,,5500,5700,,,5800,5660,,,,,5750,5600,5750,5610</t>
  </si>
  <si>
    <t>2025-05-09 01:28:00,20500,,20050,,19500,,20225,,,,,20500,19600,,</t>
  </si>
  <si>
    <t>2025-05-09 01:28:00,1929382177.23642,3353204410.30043,0,0,0,0,0,0</t>
  </si>
  <si>
    <t>2025-05-09 01:28:00,1243741745.66562,1352147064.60834,0,0,0,0,0,0</t>
  </si>
  <si>
    <t>2025-05-09 01:28:00,6234001.42511354,-110400.133761963,,1,,0.8,0.00146561947821409,0.02</t>
  </si>
  <si>
    <t>2025-05-09 01:28:00,37184559.6568417,96991.8855444593,0,0,0,0,0,0</t>
  </si>
  <si>
    <t>2025-05-09 01:29:00,580,,570,,580,,563.5,,,,,570,560,,</t>
  </si>
  <si>
    <t>2025-05-09 01:29:00,500,,495,,470,,486,,,,,500,480,,</t>
  </si>
  <si>
    <t>2025-05-09 01:29:00,,5500,5700,,,5800,5660,,,,,5750,5560,5750,5610</t>
  </si>
  <si>
    <t>2025-05-09 01:29:00,20500,,20050,,19500,,20225,,,,,20500,19600,,</t>
  </si>
  <si>
    <t>2025-05-09 01:29:00,1918852159.54906,3271637888.59771,0,0,0,0,0,0</t>
  </si>
  <si>
    <t>2025-05-09 01:29:00,1198572506.71049,1281914113.79291,0,0,0,0,0,0</t>
  </si>
  <si>
    <t>2025-05-09 01:29:00,6433015.73998192,-107412.593547876,,0,,-3.3,0.0870862547579477,0.1</t>
  </si>
  <si>
    <t>2025-05-09 01:29:00,37180718.0294882,96945.0133599808,0,0,0,0,0,0</t>
  </si>
  <si>
    <t>2025-05-09 01:30:00,580,,570,,580,,562.5,,,,,570,560,,</t>
  </si>
  <si>
    <t>2025-05-09 01:30:00,500,,495,,470,,486,,,,,500,480,,</t>
  </si>
  <si>
    <t>2025-05-09 01:30:00,,5500,5700,,,5800,5660,,,,,5750,5560,5750,5610</t>
  </si>
  <si>
    <t>2025-05-09 01:30:00,20500,,20050,,19500,,20225,,,,,20500,19600,,</t>
  </si>
  <si>
    <t>2025-05-09 01:30:00,1979798636.2875,3684186256.50768,0,0,0,0,0,0</t>
  </si>
  <si>
    <t>2025-05-09 01:30:00,1264473865.88705,1455377526.43105,0,0,0,0,0,0</t>
  </si>
  <si>
    <t>2025-05-09 01:30:00,4553721.03205654,-138055.01248344,,-6,,-4.86,0.0102679011067079,-0.08</t>
  </si>
  <si>
    <t>2025-05-09 01:30:00,37186920.9352814,97017.0764915944,0,0,0,0,0,0</t>
  </si>
  <si>
    <t>2025-05-09 01:31:00,580,,570,,580,,563.5,,,,,570,560,,</t>
  </si>
  <si>
    <t>2025-05-09 01:31:00,500,,495,,470,,486,,,,,500,480,,</t>
  </si>
  <si>
    <t>2025-05-09 01:31:00,,5500,5700,,,5800,5660,,,,,5750,5560,5750,5610</t>
  </si>
  <si>
    <t>2025-05-09 01:31:00,20500,,20050,,19500,,20225,,,,,20500,19600,,</t>
  </si>
  <si>
    <t>2025-05-09 01:31:00,1933468763.84599,3392328331.51165,0,0,0,0,0,0</t>
  </si>
  <si>
    <t>2025-05-09 01:31:00,1259475112.91622,1429947749.35048,0,0,0,0,0,0</t>
  </si>
  <si>
    <t>2025-05-09 01:31:00,5224757.23800913,-104071.041768324,,11,,-431.16,0.0158853468214342,-4.44</t>
  </si>
  <si>
    <t>2025-05-09 01:31:00,37181465.194031,96973.3514516672,0,0,0,0,0,0</t>
  </si>
  <si>
    <t>2025-05-09 01:32:00,580,,570,,580,,563.5,,,,,570,560,,</t>
  </si>
  <si>
    <t>2025-05-09 01:32:00,500,,495,,470,,488,,,,,500,480,,</t>
  </si>
  <si>
    <t>2025-05-09 01:32:00,,5500,5700,,,5800,5660,,,,,5750,5560,5750,5610</t>
  </si>
  <si>
    <t>2025-05-09 01:32:00,20500,,20050,,19500,,20225,,,,,20500,19600,,</t>
  </si>
  <si>
    <t>2025-05-09 01:32:00,1808791031.99551,2575522749.93137,0,0,0,0,0,0</t>
  </si>
  <si>
    <t>2025-05-09 01:32:00,1187359030.34744,1112884787.45449,0,0,0,0,0,0</t>
  </si>
  <si>
    <t>2025-05-09 01:32:00,10480994.6235638,-11945.057443851,,-4,,-92.22,0.158519473728058,-2.15</t>
  </si>
  <si>
    <t>2025-05-09 01:32:00,37178546.5554744,96854.0124329373,0,0,0,0,0,0</t>
  </si>
  <si>
    <t>2025-05-09 01:33:00,580,,570,,580,,563.5,,,,,570,560,,</t>
  </si>
  <si>
    <t>2025-05-09 01:33:00,500,,495,,470,,486,,,,,500,480,,</t>
  </si>
  <si>
    <t>2025-05-09 01:33:00,,5500,5700,,,5800,5660,,,,,5750,5600,5750,5610</t>
  </si>
  <si>
    <t>2025-05-09 01:33:00,20500,,20050,,19500,,20225,,,,,20500,19600,,</t>
  </si>
  <si>
    <t>2025-05-09 01:33:00,1867356367.45279,2942935442.23277,0,0,0,0,0,0</t>
  </si>
  <si>
    <t>2025-05-09 01:33:00,1212779097.25095,1251347244.03266,0,0,0,0,0,0</t>
  </si>
  <si>
    <t>2025-05-09 01:33:00,8494257.96058994,-56459.1454672621,,0,,-41.71,0.0737569507308397,-0.84</t>
  </si>
  <si>
    <t>2025-05-09 01:33:00,37184770.3363443,96926.1419411901,0,0,0,0,0,0</t>
  </si>
  <si>
    <t>2025-05-09 01:34:00,580,,570,,580,,564.5,,,,,570,560,,</t>
  </si>
  <si>
    <t>2025-05-09 01:34:00,500,,495,,470,,488,,,,,500,480,,</t>
  </si>
  <si>
    <t>2025-05-09 01:34:00,,5500,5700,,,5800,5660,,,,,5750,5600,5750,5610</t>
  </si>
  <si>
    <t>2025-05-09 01:34:00,20500,,20050,,19500,,20225,,,,,20500,19600,,</t>
  </si>
  <si>
    <t>2025-05-09 01:34:00,1785389404.49975,2376543671.91575,0,0,0,0,0,0</t>
  </si>
  <si>
    <t>2025-05-09 01:34:00,1187289225.05192,1112546086.33025,0,0,0,0,0,0</t>
  </si>
  <si>
    <t>2025-05-09 01:34:00,11912577.6774237,8004.25646680978,,0,,8.35,0.00683919998421739,0.23</t>
  </si>
  <si>
    <t>2025-05-09 01:34:00,37179030.4710501,96867.2940138595,0,0,0,0,0,0</t>
  </si>
  <si>
    <t>2025-05-09 01:35:00,580,,570,,580,,563.5,,,,,570,560,,</t>
  </si>
  <si>
    <t>2025-05-09 01:35:00,500,,495,,470,,488,,,,,500,480,,</t>
  </si>
  <si>
    <t>2025-05-09 01:35:00,,5500,5700,,,5800,5660,,,,,5750,5600,5750,5610</t>
  </si>
  <si>
    <t>2025-05-09 01:35:00,20500,,20050,,19500,,20225,,,,,20500,19600,,</t>
  </si>
  <si>
    <t>2025-05-09 01:35:00,1819144361.28826,2696117751.40699,0,0,0,0,0,0</t>
  </si>
  <si>
    <t>2025-05-09 01:35:00,1201022944.94277,1177013363.62022,0,0,0,0,0,0</t>
  </si>
  <si>
    <t>2025-05-09 01:35:00,10047136.2191774,-33244.3830336628,,-10,,-85.87,0.0204594472247295,-1.97</t>
  </si>
  <si>
    <t>2025-05-09 01:35:00,37185266.6905288,96915.7130576215,0,0,0,0,0,0</t>
  </si>
  <si>
    <t>2025-05-09 01:36:00,580,,570,,580,,564.5,,,,,570,560,,</t>
  </si>
  <si>
    <t>2025-05-09 01:36:00,500,,495,,470,,488,,,,,500,480,,</t>
  </si>
  <si>
    <t>2025-05-09 01:36:00,,5500,5700,,,5800,5660,,,,,5750,5600,5750,5610</t>
  </si>
  <si>
    <t>2025-05-09 01:36:00,20500,,20050,,19500,,20225,,,,,20500,19600,,</t>
  </si>
  <si>
    <t>2025-05-09 01:36:00,1757526103.68393,2256411424.28312,0,0,0,0,0,0</t>
  </si>
  <si>
    <t>2025-05-09 01:36:00,1187114937.86036,1112496369.80969,0,0,0,0,0,0</t>
  </si>
  <si>
    <t>2025-05-09 01:36:00,10800682.0055742,-11334.6749794386,,6,,524.13,0.106087426105374,2.32</t>
  </si>
  <si>
    <t>2025-05-09 01:36:00,37180236.9414793,96857.1371941373,0,0,0,0,0,0</t>
  </si>
  <si>
    <t>2025-05-09 01:37:00,580,,570,,580,,564.5,,,,,570,560,,</t>
  </si>
  <si>
    <t>2025-05-09 01:37:00,500,,495,,470,,488,,,,,500,480,,</t>
  </si>
  <si>
    <t>2025-05-09 01:37:00,,5500,5700,,,5800,5660,,,,,5750,5600,5750,5610</t>
  </si>
  <si>
    <t>2025-05-09 01:37:00,20500,,20050,,19500,,20225,,,,,20500,19600,,</t>
  </si>
  <si>
    <t>2025-05-09 01:37:00,1757566636.34146,2255863088.02258,0,0,0,0,0,0</t>
  </si>
  <si>
    <t>2025-05-09 01:37:00,1149916692.95144,991353611.884099,0,0,0,0,0,0</t>
  </si>
  <si>
    <t>2025-05-09 01:37:00,13024120.33548,-11185.1302346872,,-9,,387.11,0.17535740515523,5.59</t>
  </si>
  <si>
    <t>2025-05-09 01:37:00,37176298.0252315,96798.6468591611,0,0,0,0,0,0</t>
  </si>
  <si>
    <t>2025-05-09 01:38:00,580,,570,,580,,564.5,,,,,570,560,,</t>
  </si>
  <si>
    <t>2025-05-09 01:38:00,500,,495,,470,,488,,,,,500,480,,</t>
  </si>
  <si>
    <t>2025-05-09 01:38:00,,5500,5700,,,5800,5660,,,,,5750,5600,5750,5610</t>
  </si>
  <si>
    <t>2025-05-09 01:38:00,20500,,20050,,19500,,20225,,,,,20500,19600,,</t>
  </si>
  <si>
    <t>2025-05-09 01:38:00,1785140724.96872,2376009540.95166,0,0,0,0,0,0</t>
  </si>
  <si>
    <t>2025-05-09 01:38:00,1178041444.42698,1073157400.92989,0,0,0,0,0,0</t>
  </si>
  <si>
    <t>2025-05-09 01:38:00,11587079.4818849,-27274.1484489147,,6,,259,0.0124743435324076,2.51</t>
  </si>
  <si>
    <t>2025-05-09 01:38:00,37182556.686268,96851.1140708711,0,0,0,0,0,0</t>
  </si>
  <si>
    <t>2025-05-09 01:39:00,580,,570,,580,,564.5,,,,,570,560,,</t>
  </si>
  <si>
    <t>2025-05-09 01:39:00,500,,495,,470,,488,,,,,500,480,,</t>
  </si>
  <si>
    <t>2025-05-09 01:39:00,,5500,5700,,,5800,5660,,,,,5750,5600,5750,5610</t>
  </si>
  <si>
    <t>2025-05-09 01:39:00,20500,,20050,,19500,,20225,,,,,20500,19600,,</t>
  </si>
  <si>
    <t>2025-05-09 01:39:00,1798486185.18155,2495277329.33818,0,0,0,0,0,0</t>
  </si>
  <si>
    <t>2025-05-09 01:39:00,1187014778.15789,1112250948.03622,0,0,0,0,0,0</t>
  </si>
  <si>
    <t>2025-05-09 01:39:00,10964073.9384532,-40865.2835345343,,-2,,415.8,0.028372916684441,3.79</t>
  </si>
  <si>
    <t>2025-05-09 01:39:00,37177872.3737794,96836.7979001672,0,0,0,0,0,0</t>
  </si>
  <si>
    <t>2025-05-09 01:40:00,580,,570,,580,,564.5,,,,,570,560,,</t>
  </si>
  <si>
    <t>2025-05-09 01:40:00,500,,495,,470,,488,,,,,500,480,,</t>
  </si>
  <si>
    <t>2025-05-09 01:40:00,,5500,5700,,,5800,5660,,,,,5750,5600,5750,5610</t>
  </si>
  <si>
    <t>2025-05-09 01:40:00,20500,,20050,,19500,,20225,,,,,20500,19600,,</t>
  </si>
  <si>
    <t>2025-05-09 01:40:00,1794281199.99707,2455792517.47312,0,0,0,0,0,0</t>
  </si>
  <si>
    <t>2025-05-09 01:40:00,1195465300.90467,1151057420.60528,0,0,0,0,0,0</t>
  </si>
  <si>
    <t>2025-05-09 01:40:00,10927071.2672747,-55734.2353704917,,-6,,-308.67,0.0590357738311767,-5.49</t>
  </si>
  <si>
    <t>2025-05-09 01:40:00,37184141.1701894,96877.4510745433,0,0,0,0,0,0</t>
  </si>
  <si>
    <t>2025-05-09 01:41:00,580,,570,,580,,564.5,,,,,570,560,,</t>
  </si>
  <si>
    <t>2025-05-09 01:41:00,500,,495,,470,,488,,,,,500,480,,</t>
  </si>
  <si>
    <t>2025-05-09 01:41:00,,5500,5700,,,5800,5660,,,,,5750,5600,5750,5610</t>
  </si>
  <si>
    <t>2025-05-09 01:41:00,20500,,20050,,19500,,20225,,,,,20500,19600,,</t>
  </si>
  <si>
    <t>2025-05-09 01:41:00,1805189211.0746,2534584896.51199,0,0,0,0,0,0</t>
  </si>
  <si>
    <t>2025-05-09 01:41:00,1195438578.06962,1151013889.05601,0,0,0,0,0,0</t>
  </si>
  <si>
    <t>2025-05-09 01:41:00,10681717.5423993,-52953.4984985376,,-3,,-52.85,-0.00109079262792389,-1.17</t>
  </si>
  <si>
    <t>2025-05-09 01:41:00,37178417.0706619,96845.2885095192,0,0,0,0,0,0</t>
  </si>
  <si>
    <t>2025-05-09 01:42:00,580,,570,,580,,563.5,,,,,570,560,,</t>
  </si>
  <si>
    <t>2025-05-09 01:42:00,500,,495,,470,,486,,,,,500,480,,</t>
  </si>
  <si>
    <t>2025-05-09 01:42:00,,5500,5700,,,5800,5660,,,,,5750,5600,5750,5610</t>
  </si>
  <si>
    <t>2025-05-09 01:42:00,20500,,20050,,19500,,20225,,,,,20500,19600,,</t>
  </si>
  <si>
    <t>2025-05-09 01:42:00,1805362656.26138,2888321224.59242,0,0,0,0,0,0</t>
  </si>
  <si>
    <t>2025-05-09 01:42:00,1212429650.49152,1261746496.1625,0,0,0,0,0,0</t>
  </si>
  <si>
    <t>2025-05-09 01:42:00,8845226.61381949,-88496.3605999505,,3,,38.51,0.0223612512779003,0.97</t>
  </si>
  <si>
    <t>2025-05-09 01:42:00,37173998.874415,96861.9626695175,0,0,0,0,0,0</t>
  </si>
  <si>
    <t>2025-05-09 01:43:00,580,,570,,580,,562.5,,,,,570,560,,</t>
  </si>
  <si>
    <t>2025-05-09 01:43:00,500,,495,,470,,486,,,,,500,480,,</t>
  </si>
  <si>
    <t>2025-05-09 01:43:00,,5500,5700,,,5800,5660,,,,,5750,5600,5750,5670</t>
  </si>
  <si>
    <t>2025-05-09 01:43:00,20500,,20050,,19500,,20225,,,,,20500,19600,,</t>
  </si>
  <si>
    <t>2025-05-09 01:43:00,1978473444.1172,3682947718.01061,0,0,0,0,0,0</t>
  </si>
  <si>
    <t>2025-05-09 01:43:00,1273648143.30524,1525687223.41319,0,0,0,0,0,0</t>
  </si>
  <si>
    <t>2025-05-09 01:43:00,4442427.91032409,-211196.057359083,,-36,,-971.79,0.209236014112981,-21.28</t>
  </si>
  <si>
    <t>2025-05-09 01:43:00,37180291.4211055,96970.1396022661,0,0,0,0,0,0</t>
  </si>
  <si>
    <t>2025-05-09 01:44:00,580,,570,,580,,563.5,,,,,570,560,,</t>
  </si>
  <si>
    <t>2025-05-09 01:44:00,500,,495,,470,,486,,,,,500,480,,</t>
  </si>
  <si>
    <t>2025-05-09 01:44:00,,5500,5700,,,5800,5660,,,,,5750,5600,5750,5670</t>
  </si>
  <si>
    <t>2025-05-09 01:44:00,20500,,20050,,19500,,20225,,,,,20500,19600,,</t>
  </si>
  <si>
    <t>2025-05-09 01:44:00,1878696674.94249,3060569669.85246,0,0,0,0,0,0</t>
  </si>
  <si>
    <t>2025-05-09 01:44:00,1251135187.82514,1390070178.7328,0,0,0,0,0,0</t>
  </si>
  <si>
    <t>2025-05-09 01:44:00,7491680.19939003,-152332.853933131,,1,,-10.69,0.0312480321424282,-0.16</t>
  </si>
  <si>
    <t>2025-05-09 01:44:00,37174433.5734709,96883.366861291,0,0,0,0,0,0</t>
  </si>
  <si>
    <t>2025-05-09 01:45:00,580,,570,,580,,563.5,,,,,570,560,,</t>
  </si>
  <si>
    <t>2025-05-09 01:45:00,500,,495,,470,,486,,,,,500,480,,</t>
  </si>
  <si>
    <t>2025-05-09 01:45:00,,5500,5700,,,5800,5660,,,,,5750,5600,5750,5670</t>
  </si>
  <si>
    <t>2025-05-09 01:45:00,20500,,20050,,19500,,20225,,,,,20500,19600,,</t>
  </si>
  <si>
    <t>2025-05-09 01:45:00,1887512588.14153,3140156004.90459,0,0,0,0,0,0</t>
  </si>
  <si>
    <t>2025-05-09 01:45:00,1250927492.79718,1390231042.91384,0,0,0,0,0,0</t>
  </si>
  <si>
    <t>2025-05-09 01:45:00,6171014.09423688,-184309.729584701,,-2,,-6.26,0.00943100022487862,-0.17</t>
  </si>
  <si>
    <t>2025-05-09 01:45:00,37180739.3635746,96912.3526167515,0,0,0,0,0,0</t>
  </si>
  <si>
    <t>2025-05-09 01:46:00,580,,570,,580,,562.5,,,,,570,560,,</t>
  </si>
  <si>
    <t>2025-05-09 01:46:00,500,,495,,470,,486,,,,,500,480,,</t>
  </si>
  <si>
    <t>2025-05-09 01:46:00,,5500,5700,,,5800,5660,,,,,5750,5600,5750,5670</t>
  </si>
  <si>
    <t>2025-05-09 01:46:00,20500,,20050,,19500,,20225,,,,,20500,19600,,</t>
  </si>
  <si>
    <t>2025-05-09 01:46:00,1944399870.63415,3510396403.89484,0,0,0,0,0,0</t>
  </si>
  <si>
    <t>2025-05-09 01:46:00,1271218026.16292,1502884390.68284,0,0,0,0,0,0</t>
  </si>
  <si>
    <t>2025-05-09 01:46:00,5113000.38348729,-190871.188803889,,-9,,-111.78,-0.00853889614069552,-2.64</t>
  </si>
  <si>
    <t>2025-05-09 01:46:00,37178199.5566509,96938.580353557,0,0,0,0,0,0</t>
  </si>
  <si>
    <t>2025-05-09 01:47:00,580,,570,,580,,562.5,,,,,570,560,,</t>
  </si>
  <si>
    <t>2025-05-09 01:47:00,500,,495,,470,,486,,,,,500,480,,</t>
  </si>
  <si>
    <t>2025-05-09 01:47:00,,5500,5700,,,5800,5660,,,,,5750,5600,5750,5670</t>
  </si>
  <si>
    <t>2025-05-09 01:47:00,20500,,20050,,19500,,20225,,,,,20500,19600,,</t>
  </si>
  <si>
    <t>2025-05-09 01:47:00,2034739978.0172,4056888102.05662,0,0,0,0,0,0</t>
  </si>
  <si>
    <t>2025-05-09 01:47:00,1288344053.17628,1624631765.39929,0,0,0,0,0,0</t>
  </si>
  <si>
    <t>2025-05-09 01:47:00,2336259.00257282,-230784.871681106,,-17,,-395.52,-0.0723202906809907,-8</t>
  </si>
  <si>
    <t>2025-05-09 01:47:00,37172630.0926016,96931.6286081394,0,0,0,0,0,0</t>
  </si>
  <si>
    <t>2025-05-09 01:48:00,580,,570,,580,,562.5,,,,,570,560,,</t>
  </si>
  <si>
    <t>2025-05-09 01:48:00,500,,495,,470,,486,,,,,500,480,,</t>
  </si>
  <si>
    <t>2025-05-09 01:48:00,,5500,5700,,,5800,5660,,,,,5750,5600,5750,5670</t>
  </si>
  <si>
    <t>2025-05-09 01:48:00,20500,,20050,,19500,,20225,,,,,20500,19600,,</t>
  </si>
  <si>
    <t>2025-05-09 01:48:00,2124724147.05295,4686438323.7927,0,0,0,0,0,0</t>
  </si>
  <si>
    <t>2025-05-09 01:48:00,1321431288.54034,1833187727.57541,0,0,0,0,0,0</t>
  </si>
  <si>
    <t>2025-05-09 01:48:00,-495500.534581295,-297021.545457372,,-19,,-295.29,0.0461141964052455,-6.6</t>
  </si>
  <si>
    <t>2025-05-09 01:48:00,37178842.7111018,97023.6350137422,0,0,0,0,0,0</t>
  </si>
  <si>
    <t>2025-05-09 01:49:00,580,,570,,580,,562.5,,,,,570,560,,</t>
  </si>
  <si>
    <t>2025-05-09 01:49:00,500,,495,,470,,486,,,,,500,480,,</t>
  </si>
  <si>
    <t>2025-05-09 01:49:00,,5500,5700,,,5800,5660,,,,,5750,5600,5750,5670</t>
  </si>
  <si>
    <t>2025-05-09 01:49:00,20500,,20050,,19500,,20225,,,,,20500,19600,,</t>
  </si>
  <si>
    <t>2025-05-09 01:49:00,2045572478.21192,4421565986.47861,0,0,0,0,0,0</t>
  </si>
  <si>
    <t>2025-05-09 01:49:00,1260120540.43395,1661105110.25658,0,0,0,0,0,0</t>
  </si>
  <si>
    <t>2025-05-09 01:49:00,149304.245141188,-249337.186806879,,-5,,-319.1,-0.0138072080381136,-6.76</t>
  </si>
  <si>
    <t>2025-05-09 01:49:00,37173986.2760486,96966.0101733446,0,0,0,0,0,0</t>
  </si>
  <si>
    <t>2025-05-09 01:50:00,580,,570,,580,,562.5,,,,,570,560,,</t>
  </si>
  <si>
    <t>2025-05-09 01:50:00,500,,495,,470,,486,,,,,500,480,,</t>
  </si>
  <si>
    <t>2025-05-09 01:50:00,,5500,5700,,,5800,5660,,,,,5750,5600,5750,5670</t>
  </si>
  <si>
    <t>2025-05-09 01:50:00,20500,,20050,,19500,,20225,,,,,20500,19600,,</t>
  </si>
  <si>
    <t>2025-05-09 01:50:00,1987026909.35058,3761582489.64099,0,0,0,0,0,0</t>
  </si>
  <si>
    <t>2025-05-09 01:50:00,1273201778.52491,1524898538.498,0,0,0,0,0,0</t>
  </si>
  <si>
    <t>2025-05-09 01:50:00,3387135.22718569,-183482.538492979,,0,,-128.75,0.0418373637718982,-2.59</t>
  </si>
  <si>
    <t>2025-05-09 01:50:00,37180324.4967072,96935.773496688,0,0,0,0,0,0</t>
  </si>
  <si>
    <t>2025-05-09 01:51:00,580,,570,,580,,562.5,,,,,570,560,,</t>
  </si>
  <si>
    <t>2025-05-09 01:51:00,500,,495,,470,,486,,,,,500,480,,</t>
  </si>
  <si>
    <t>2025-05-09 01:51:00,,5500,5700,,,5800,5660,,,,,5750,5600,5750,5670</t>
  </si>
  <si>
    <t>2025-05-09 01:51:00,20500,,20050,,19500,,20225,,,,,20500,19600,,</t>
  </si>
  <si>
    <t>2025-05-09 01:51:00,1990061847.09754,3802272081.90928,0,0,0,0,0,0</t>
  </si>
  <si>
    <t>2025-05-09 01:51:00,1272320058.76185,1513918013.51184,0,0,0,0,0,0</t>
  </si>
  <si>
    <t>2025-05-09 01:51:00,3660158.40484305,-187647.1164335,,-7,,-92.09,0.0254992056120081,-2.19</t>
  </si>
  <si>
    <t>2025-05-09 01:51:00,37175083.6855478,96905.6613391891,0,0,0,0,0,0</t>
  </si>
  <si>
    <t>2025-05-09 01:52:00,580,,570,,580,,562.5,,,,,570,560,,</t>
  </si>
  <si>
    <t>2025-05-09 01:52:00,500,,495,,470,,486,,,,,500,480,,</t>
  </si>
  <si>
    <t>2025-05-09 01:52:00,,5500,5700,,,5800,5660,,,,,5750,5600,5750,5670</t>
  </si>
  <si>
    <t>2025-05-09 01:52:00,20500,,20050,,19500,,20225,,,,,20500,19600,,</t>
  </si>
  <si>
    <t>2025-05-09 01:52:00,1986849965.40019,3761844194.706,0,0,0,0,0,0</t>
  </si>
  <si>
    <t>2025-05-09 01:52:00,1267289804.35361,1546998007.50079,0,0,0,0,0,0</t>
  </si>
  <si>
    <t>2025-05-09 01:52:00,3516310.96624752,-187513.662422894,,-8,,-171.81,-0.00915870808852299,-3.82</t>
  </si>
  <si>
    <t>2025-05-09 01:52:00,37166399.9583833,96891.5020892902,0,0,0,0,0,0</t>
  </si>
  <si>
    <t>2025-05-09 01:53:00,580,,570,,580,,562.5,,,,,570,560,,</t>
  </si>
  <si>
    <t>2025-05-09 01:53:00,500,,495,,470,,486,,,,,500,480,,</t>
  </si>
  <si>
    <t>2025-05-09 01:53:00,,5500,5700,,,5800,5660,,,,,5750,5600,5750,5670</t>
  </si>
  <si>
    <t>2025-05-09 01:53:00,20500,,20050,,19500,,20225,,,,,20500,19600,,</t>
  </si>
  <si>
    <t>2025-05-09 01:53:00,2029014593.60256,4014479974.62184,0,0,0,0,0,0</t>
  </si>
  <si>
    <t>2025-05-09 01:53:00,1267185252.21472,1546934402.29239,0,0,0,0,0,0</t>
  </si>
  <si>
    <t>2025-05-09 01:53:00,3706144.98464578,-188922.91609975,,-6,,-37.76,0.0241217225742853,-1.02</t>
  </si>
  <si>
    <t>2025-05-09 01:53:00,37172760.8994555,96920.8117624968,0,0,0,0,0,0</t>
  </si>
  <si>
    <t>2025-05-09 01:54:00,580,,570,,580,,563.5,,,,,570,560,,</t>
  </si>
  <si>
    <t>2025-05-09 01:54:00,500,,495,,470,,486,,,,,500,480,,</t>
  </si>
  <si>
    <t>2025-05-09 01:54:00,,5500,5700,,,5800,5660,,,,,5750,5600,5750,5670</t>
  </si>
  <si>
    <t>2025-05-09 01:54:00,20500,,20050,,19500,,20225,,,,,20500,19600,,</t>
  </si>
  <si>
    <t>2025-05-09 01:54:00,1904476361.26438,3184290386.78572,0,0,0,0,0,0</t>
  </si>
  <si>
    <t>2025-05-09 01:54:00,1202075466.59907,1276350326.88998,0,0,0,0,0,0</t>
  </si>
  <si>
    <t>2025-05-09 01:54:00,6739419.23116623,-116166.893268619,,11,,30.1,0.045413843890134,1.1</t>
  </si>
  <si>
    <t>2025-05-09 01:54:00,37169322.3141329,96818.7808650713,0,0,0,0,0,0</t>
  </si>
  <si>
    <t>2025-05-09 01:55:00,580,,570,,580,,563.5,,,,,570,560,,</t>
  </si>
  <si>
    <t>2025-05-09 01:55:00,500,,495,,470,,486,,,,,500,480,,</t>
  </si>
  <si>
    <t>2025-05-09 01:55:00,,5500,5700,,,5800,5660,,,,,5750,5600,5750,5670</t>
  </si>
  <si>
    <t>2025-05-09 01:55:00,20500,,20050,,19500,,20225,,,,,20500,19600,,</t>
  </si>
  <si>
    <t>2025-05-09 01:55:00,1880334743.82779,3097858821.28662,0,0,0,0,0,0</t>
  </si>
  <si>
    <t>2025-05-09 01:55:00,1202082303.05198,1276368224.80528,0,0,0,0,0,0</t>
  </si>
  <si>
    <t>2025-05-09 01:55:00,6934261.30045798,-113160.059496925,,0,,0,0,0</t>
  </si>
  <si>
    <t>2025-05-09 01:55:00,37175694.4173975,96848.1224104028,0,0,0,0,0,0</t>
  </si>
  <si>
    <t>2025-05-09 01:56:00,580,,570,,580,,563.5,,,,,570,560,,</t>
  </si>
  <si>
    <t>2025-05-09 01:56:00,500,,495,,470,,486,,,,,500,480,,</t>
  </si>
  <si>
    <t>2025-05-09 01:56:00,,5500,5700,,,5800,5660,,,,,5750,5600,5750,5670</t>
  </si>
  <si>
    <t>2025-05-09 01:56:00,20500,,20050,,19500,,20225,,,,,20500,19600,,</t>
  </si>
  <si>
    <t>2025-05-09 01:56:00,1915569857.67385,3266504363.32577,0,0,0,0,0,0</t>
  </si>
  <si>
    <t>2025-05-09 01:56:00,1244835792.44537,1362883155.87314,0,0,0,0,0,0</t>
  </si>
  <si>
    <t>2025-05-09 01:56:00,6283122.50044258,-117576.63972485,,8,,33.9,0.0320492017831872,0.99</t>
  </si>
  <si>
    <t>2025-05-09 01:56:00,37172719.6934001,96832.0868216559,0,0,0,0,0,0</t>
  </si>
  <si>
    <t>2025-05-09 01:57:00,580,,570,,580,,563.5,,,,,570,560,,</t>
  </si>
  <si>
    <t>2025-05-09 01:57:00,500,,495,,470,,486,,,,,500,480,,</t>
  </si>
  <si>
    <t>2025-05-09 01:57:00,,5500,5700,,,5800,5660,,,,,5750,5600,5750,5670</t>
  </si>
  <si>
    <t>2025-05-09 01:57:00,20500,,20050,,19500,,20225,,,,,20500,19600,,</t>
  </si>
  <si>
    <t>2025-05-09 01:57:00,1870050514.47877,2978521008.2102,0,0,0,0,0,0</t>
  </si>
  <si>
    <t>2025-05-09 01:57:00,1201952651.86647,1275915393.8069,0,0,0,0,0,0</t>
  </si>
  <si>
    <t>2025-05-09 01:57:00,7500042.7103035,-89568.3745216704,,4,,41.83,0.016119204853094,0.92</t>
  </si>
  <si>
    <t>2025-05-09 01:57:00,37163947.9578315,96779.4486907995,0,0,0,0,0,0</t>
  </si>
  <si>
    <t>2025-05-09 01:58:00,580,,570,,580,,563.5,,,,,570,560,,</t>
  </si>
  <si>
    <t>2025-05-09 01:58:00,500,,495,,470,,486,,,,,500,480,,</t>
  </si>
  <si>
    <t>2025-05-09 01:58:00,,5500,5700,,,5800,5660,,,,,5750,5600,5750,5670</t>
  </si>
  <si>
    <t>2025-05-09 01:58:00,20500,,20050,,19500,,20225,,,,,20500,19600,,</t>
  </si>
  <si>
    <t>2025-05-09 01:58:00,1925930737.51942,3346909410.29827,0,0,0,0,0,0</t>
  </si>
  <si>
    <t>2025-05-09 01:58:00,1252910595.88947,1401581465.53151,0,0,0,0,0,0</t>
  </si>
  <si>
    <t>2025-05-09 01:58:00,5908152.79937759,-121280.269323554,,0,,-39.43,0.000338338384993402,-0.78</t>
  </si>
  <si>
    <t>2025-05-09 01:58:00,37170342.3345819,96840.5805517548,0,0,0,0,0,0</t>
  </si>
  <si>
    <t>2025-05-09 01:59:00,580,,570,,580,,562.5,,,,,570,560,,</t>
  </si>
  <si>
    <t>2025-05-09 01:59:00,500,,495,,470,,486,,,,,500,480,,</t>
  </si>
  <si>
    <t>2025-05-09 01:59:00,,5500,5700,,,5800,5660,,,,,5750,5600,5750,5670</t>
  </si>
  <si>
    <t>2025-05-09 01:59:00,20500,,20050,,19500,,20225,,,,,20500,19600,,</t>
  </si>
  <si>
    <t>2025-05-09 01:59:00,1960062533.54141,3554662682.87873,0,0,0,0,0,0</t>
  </si>
  <si>
    <t>2025-05-09 01:59:00,1264837432.35546,1465224558.4025,0,0,0,0,0,0</t>
  </si>
  <si>
    <t>2025-05-09 01:59:00,4687966.27450586,-153763.33462117,,-6,,-67.09,0.0231236187416151,-1.51</t>
  </si>
  <si>
    <t>2025-05-09 01:59:00,37164378.3559637,96830.4878078644,0,0,0,0,0,0</t>
  </si>
  <si>
    <t>2025-05-09 02:00:00,580,,,,580,,,,,,,,,,</t>
  </si>
  <si>
    <t>2025-05-09 02:00:00,500,,,,470,,,489,,,,,,,</t>
  </si>
  <si>
    <t>2025-05-09 02:00:00,,5500,5700,,,5800,5660,,,,,5750,5600,5750,5670</t>
  </si>
  <si>
    <t>2025-05-09 02:00:00,20500,,,,19500,,,,,,,,,,</t>
  </si>
  <si>
    <t>2025-05-09 02:00:00,1976264117.72951,0,-1127772.07488966,-1093281,-2527713.50398158,-2332907.05,3579.21189973809,-432379.3</t>
  </si>
  <si>
    <t>2025-05-09 02:00:00,1266804398.11373,0,-301183.316443974,-377005,-427546.860783292,-559380.93,-4453.25077290516,-118686.07</t>
  </si>
  <si>
    <t>2025-05-09 02:00:00,3557719.72540785,-187211.697328628,,-1,,-26.46,0.0140744573443458,-0.59</t>
  </si>
  <si>
    <t>2025-05-09 02:00:00,37161335.2759402,0,-6683.11224035154,-1418,-823566.954010827,-150679.95,-0.807114720864929,-494.1</t>
  </si>
  <si>
    <t>2025-05-09 02:01:00,580,,,,580,,,,,,,,,,</t>
  </si>
  <si>
    <t>2025-05-09 02:01:00,500,,,,470,,,,,,,,,,</t>
  </si>
  <si>
    <t>2025-05-09 02:01:00,,5500,5700,,,5800,5660,,,,,5750,5600,5750,5670</t>
  </si>
  <si>
    <t>2025-05-09 02:01:00,20500,,,,19500,,,,,,,,,,</t>
  </si>
  <si>
    <t>2025-05-09 02:01:00,1818102819.94349,0,0,0,0,0,0,0</t>
  </si>
  <si>
    <t>2025-05-09 02:01:00,1201991314.61404,0,0,0,0,0,0,0</t>
  </si>
  <si>
    <t>2025-05-09 02:01:00,8628410.342852,-75115.0255725434,,4,,0.35,0.0298411719232172,-0.03</t>
  </si>
  <si>
    <t>2025-05-09 02:01:00,37167752.7454134,0,0,0,0,0,0,0</t>
  </si>
  <si>
    <t>2025-05-09 02:02:00,580,,,,580,,,,,,,,,,</t>
  </si>
  <si>
    <t>2025-05-09 02:02:00,500,,,,470,,,,,,,,,,</t>
  </si>
  <si>
    <t>2025-05-09 02:02:00,,5500,5700,,,5800,5660,,,,,5750,5600,5750,5670</t>
  </si>
  <si>
    <t>2025-05-09 02:02:00,20500,,,,19500,,,,,,,,,,</t>
  </si>
  <si>
    <t>2025-05-09 02:02:00,1807260525.82476,0,0,0,0,0,0,0</t>
  </si>
  <si>
    <t>2025-05-09 02:02:00,1196862600.40614,0,0,0,0,0,0,0</t>
  </si>
  <si>
    <t>2025-05-09 02:02:00,9736907.00853661,-59355.4375619004,,-18,,-26.56,0.0505277118004592,-0.6</t>
  </si>
  <si>
    <t>2025-05-09 02:02:00,37165537.8088642,0,0,0,0,0,0,0</t>
  </si>
  <si>
    <t>2025-05-09 02:03:00,580,,,,580,,,,,,,,,,</t>
  </si>
  <si>
    <t>2025-05-09 02:03:00,500,,,,470,,,,,,,,,,</t>
  </si>
  <si>
    <t>2025-05-09 02:03:00,,5500,5700,,,5800,5660,,,,,5750,5600,5750,5670</t>
  </si>
  <si>
    <t>2025-05-09 02:03:00,20500,,,,19500,,,,,,,,,,</t>
  </si>
  <si>
    <t>2025-05-09 02:03:00,1807232278.91945,0,0,0,0,0,0,0</t>
  </si>
  <si>
    <t>2025-05-09 02:03:00,1188395355.56183,0,0,0,0,0,0,0</t>
  </si>
  <si>
    <t>2025-05-09 02:03:00,9342629.39623682,211615.699351944,,261,,1761.97,1.19456121756369,52.55</t>
  </si>
  <si>
    <t>2025-05-09 02:03:00,37164891.1819729,0,0,0,0,0,0,0</t>
  </si>
  <si>
    <t>2025-05-09 02:04:00,580,,,,580,,,,,,,,,,</t>
  </si>
  <si>
    <t>2025-05-09 02:04:00,500,,,,470,,,,,,,,,,</t>
  </si>
  <si>
    <t>2025-05-09 02:04:00,,5500,5700,,,5800,5660,,,,,5750,5600,5710,5670</t>
  </si>
  <si>
    <t>2025-05-09 02:04:00,20500,,,,19500,,,,,,,,,,</t>
  </si>
  <si>
    <t>2025-05-09 02:04:00,1783733073.30722,0,0,0,0,0,0,0</t>
  </si>
  <si>
    <t>2025-05-09 02:04:00,1199557727.02663,0,0,0,0,0,0,0</t>
  </si>
  <si>
    <t>2025-05-09 02:04:00,11709166.1212253,289397.35122043,,27,,162.35,0.149789770232933,4.66</t>
  </si>
  <si>
    <t>2025-05-09 02:04:00,37163316.7960854,0,0,0,0,0,0,0</t>
  </si>
  <si>
    <t>2025-05-09 02:05:00,580,,,,580,,,,,,,,,,</t>
  </si>
  <si>
    <t>2025-05-09 02:05:00,500,,,,470,,,,,,,,,,</t>
  </si>
  <si>
    <t>2025-05-09 02:05:00,,5500,5710,,,5800,5660,,,,,5750,5560,5750,5670</t>
  </si>
  <si>
    <t>2025-05-09 02:05:00,20500,,,,19500,,,,,,,,,,</t>
  </si>
  <si>
    <t>2025-05-09 02:05:00,1817555768.16809,0,0,0,0,0,0,0</t>
  </si>
  <si>
    <t>2025-05-09 02:05:00,1204239794.01963,0,0,0,0,0,0,0</t>
  </si>
  <si>
    <t>2025-05-09 02:05:00,11298843.3422485,263267.884369014,,-7,,-61.76,0.0533942607815676,-1.36</t>
  </si>
  <si>
    <t>2025-05-09 02:05:00,37160461.7469277,0,0,0,0,0,0,0</t>
  </si>
  <si>
    <t>2025-05-09 02:06:00,580,,,,580,,,,,,,,,,</t>
  </si>
  <si>
    <t>2025-05-09 02:06:00,500,,,,470,,,,,,,,,,</t>
  </si>
  <si>
    <t>2025-05-09 02:06:00,,5500,5710,,,5800,5660,,,,,5750,5560,5750,5670</t>
  </si>
  <si>
    <t>2025-05-09 02:06:00,20500,,,,19500,,,,,,,,,,</t>
  </si>
  <si>
    <t>2025-05-09 02:06:00,2037854210.54793,0,0,0,0,0,0,0</t>
  </si>
  <si>
    <t>2025-05-09 02:06:00,1277104560.2386,0,0,0,0,0,0,0</t>
  </si>
  <si>
    <t>2025-05-09 02:06:00,3267450.33394606,81985.9469180516,,-26,,-356.57,0.0335363326954654,-8.66</t>
  </si>
  <si>
    <t>2025-05-09 02:06:00,37158182.0472158,0,0,0,0,0,0,0</t>
  </si>
  <si>
    <t>2025-05-09 02:07:00,580,,,,580,,,,,,,,,,</t>
  </si>
  <si>
    <t>2025-05-09 02:07:00,500,,,,470,,,,,,,,,,</t>
  </si>
  <si>
    <t>2025-05-09 02:07:00,,5500,5710,,,5800,5660,,,,,5750,5560,5750,5670</t>
  </si>
  <si>
    <t>2025-05-09 02:07:00,20500,,,,19500,,,,,,,,,,</t>
  </si>
  <si>
    <t>2025-05-09 02:07:00,1984960478.28894,0,0,0,0,0,0,0</t>
  </si>
  <si>
    <t>2025-05-09 02:07:00,1286964588.40177,0,0,0,0,0,0,0</t>
  </si>
  <si>
    <t>2025-05-09 02:07:00,3495175.05824628,99200.1467655724,,0,,-23.74,0.022038890316517,-0.5</t>
  </si>
  <si>
    <t>2025-05-09 02:07:00,37164639.9173499,0,0,0,0,0,0,0</t>
  </si>
  <si>
    <t>2025-05-09 02:08:00,580,,,,580,,,,,,,,,,</t>
  </si>
  <si>
    <t>2025-05-09 02:08:00,500,,,,470,,,,,,,,,,</t>
  </si>
  <si>
    <t>2025-05-09 02:08:00,,5500,5710,,,5800,5660,,,,,5750,5560,5750,5670</t>
  </si>
  <si>
    <t>2025-05-09 02:08:00,20500,,,,19500,,,,,,,,,,</t>
  </si>
  <si>
    <t>2025-05-09 02:08:00,1958655671.73967,0,0,0,0,0,0,0</t>
  </si>
  <si>
    <t>2025-05-09 02:08:00,1286459241.92951,0,0,0,0,0,0,0</t>
  </si>
  <si>
    <t>2025-05-09 02:08:00,4403073.53631868,113125.204437833,,-16,,-226.22,0.0547564919052594,-5.48</t>
  </si>
  <si>
    <t>2025-05-09 02:08:00,37164343.4549797,0,0,0,0,0,0,0</t>
  </si>
  <si>
    <t>2025-05-09 02:09:00,580,,,,580,,,,,,,,,,</t>
  </si>
  <si>
    <t>2025-05-09 02:09:00,500,,,,470,,,,,,,,,,</t>
  </si>
  <si>
    <t>2025-05-09 02:09:00,,5500,5710,,,5800,5660,,,,,5750,5560,5750,5670</t>
  </si>
  <si>
    <t>2025-05-09 02:09:00,20500,,,,19500,,,,,,,,,,</t>
  </si>
  <si>
    <t>2025-05-09 02:09:00,1941555569.41875,0,0,0,0,0,0,0</t>
  </si>
  <si>
    <t>2025-05-09 02:09:00,1272239401.18993,0,0,0,0,0,0,0</t>
  </si>
  <si>
    <t>2025-05-09 02:09:00,5159114.06090489,145439.43778613,,1,,0.8,0.001424334115337,0.02</t>
  </si>
  <si>
    <t>2025-05-09 02:09:00,37162499.1026249,0,0,0,0,0,0,0</t>
  </si>
  <si>
    <t>2025-05-09 02:10:00,580,,,,580,,,,,,,,,,</t>
  </si>
  <si>
    <t>2025-05-09 02:10:00,500,,,,470,,,,,,,,,,</t>
  </si>
  <si>
    <t>2025-05-09 02:10:00,,5500,5710,,,5800,5660,,,,,5750,5560,5750,5670</t>
  </si>
  <si>
    <t>2025-05-09 02:10:00,20500,,,,19500,,,,,,,,,,</t>
  </si>
  <si>
    <t>2025-05-09 02:10:00,1993828215.18299,0,0,0,0,0,0,0</t>
  </si>
  <si>
    <t>2025-05-09 02:10:00,1284126110.99071,0,0,0,0,0,0,0</t>
  </si>
  <si>
    <t>2025-05-09 02:10:00,2638362.25331231,70332.6152072669,,-14,,-312.18,0.0531442043820518,-7.07</t>
  </si>
  <si>
    <t>2025-05-09 02:10:00,37162519.0477117,0,0,0,0,0,0,0</t>
  </si>
  <si>
    <t>2025-05-09 02:11:00,580,,,,580,,,,,,,,,,</t>
  </si>
  <si>
    <t>2025-05-09 02:11:00,500,,,,470,,,,,,,,,,</t>
  </si>
  <si>
    <t>2025-05-09 02:11:00,,5500,5710,,,5800,5660,,,,,5750,5560,5750,5670</t>
  </si>
  <si>
    <t>2025-05-09 02:11:00,20500,,,,19500,,,,,,,,,,</t>
  </si>
  <si>
    <t>2025-05-09 02:11:00,1963805852.64068,0,0,0,0,0,0,0</t>
  </si>
  <si>
    <t>2025-05-09 02:11:00,1286461359.13219,0,0,0,0,0,0,0</t>
  </si>
  <si>
    <t>2025-05-09 02:11:00,3326453.40507398,90067.8708749192,,-2,,-70.93,-0.011550343013984,-1.67</t>
  </si>
  <si>
    <t>2025-05-09 02:11:00,37161934.0230318,0,0,0,0,0,0,0</t>
  </si>
  <si>
    <t>2025-05-09 02:12:00,580,,,,580,,,,,,,,,,</t>
  </si>
  <si>
    <t>2025-05-09 02:12:00,500,,,,470,,,,,,,,,,</t>
  </si>
  <si>
    <t>2025-05-09 02:12:00,,5500,5710,,,5800,5660,,,,,5750,5560,5750,5670</t>
  </si>
  <si>
    <t>2025-05-09 02:12:00,20500,,,,19500,,,,,,,,,,</t>
  </si>
  <si>
    <t>2025-05-09 02:12:00,2026538315.02815,0,0,0,0,0,0,0</t>
  </si>
  <si>
    <t>2025-05-09 02:12:00,1286836859.64348,0,0,0,0,0,0,0</t>
  </si>
  <si>
    <t>2025-05-09 02:12:00,2065547.50287206,51616.2313833162,,-4,,-88.79,0.0274043579728102,-2.02</t>
  </si>
  <si>
    <t>2025-05-09 02:12:00,37161363.9851531,0,0,0,0,0,0,0</t>
  </si>
  <si>
    <t>2025-05-09 02:13:00,580,,,,580,,,,,,,,,,</t>
  </si>
  <si>
    <t>2025-05-09 02:13:00,500,,,,470,,,,,,,,,,</t>
  </si>
  <si>
    <t>2025-05-09 02:13:00,,5500,5710,,,5800,5660,,,,,5750,5560,5750,5670</t>
  </si>
  <si>
    <t>2025-05-09 02:13:00,20500,,,,19500,,,,,,,,,,</t>
  </si>
  <si>
    <t>2025-05-09 02:13:00,1876099210.80763,0,0,0,0,0,0,0</t>
  </si>
  <si>
    <t>2025-05-09 02:13:00,1209760493.86869,0,0,0,0,0,0,0</t>
  </si>
  <si>
    <t>2025-05-09 02:13:00,7655039.9034246,188563.546535918,,-1,,-34.85,0.00315811150719734,-0.71</t>
  </si>
  <si>
    <t>2025-05-09 02:13:00,37167865.9959537,0,0,0,0,0,0,0</t>
  </si>
  <si>
    <t>2025-05-09 02:14:00,580,,,,580,,,,,,,,,,</t>
  </si>
  <si>
    <t>2025-05-09 02:14:00,500,,,,470,,,,,,,,,,</t>
  </si>
  <si>
    <t>2025-05-09 02:14:00,,5500,5700,,,5800,5660,,,,,5750,5600,5750,5670</t>
  </si>
  <si>
    <t>2025-05-09 02:14:00,20500,,,,19500,,,,,,,,,,</t>
  </si>
  <si>
    <t>2025-05-09 02:14:00,1751430360.52654,0,0,0,0,0,0,0</t>
  </si>
  <si>
    <t>2025-05-09 02:14:00,1148714007.42052,0,0,0,0,0,0,0</t>
  </si>
  <si>
    <t>2025-05-09 02:14:00,12725160.9785507,268218.199106692,,13,,-237.68,0.292434473418987,-6.61</t>
  </si>
  <si>
    <t>2025-05-09 02:14:00,37164657.2295065,0,0,0,0,0,0,0</t>
  </si>
  <si>
    <t>2025-05-09 02:15:00,580,,,,580,,,,,,,,,,</t>
  </si>
  <si>
    <t>2025-05-09 02:15:00,500,,,,470,,,,,,,,,,</t>
  </si>
  <si>
    <t>2025-05-09 02:15:00,,5500,5700,,,5800,5660,,,,,5750,5600,5750,5670</t>
  </si>
  <si>
    <t>2025-05-09 02:15:00,20500,,,,19500,,,,,,,,,,</t>
  </si>
  <si>
    <t>2025-05-09 02:15:00,1757945211.60807,0,0,0,0,0,0,0</t>
  </si>
  <si>
    <t>2025-05-09 02:15:00,1148049350.87561,0,0,0,0,0,0,0</t>
  </si>
  <si>
    <t>2025-05-09 02:15:00,13094977.9792701,280458.490242466,,13,,190.78,0.0725863718340036,3.68</t>
  </si>
  <si>
    <t>2025-05-09 02:15:00,37162489.7976951,0,0,0,0,0,0,0</t>
  </si>
  <si>
    <t>2025-05-09 02:16:00,580,,,,580,,,,,,,,,,</t>
  </si>
  <si>
    <t>2025-05-09 02:16:00,500,,,,470,,,,,,,,,,</t>
  </si>
  <si>
    <t>2025-05-09 02:16:00,,5500,5700,,,5800,5660,,,,,5750,5600,5750,5670</t>
  </si>
  <si>
    <t>2025-05-09 02:16:00,20500,,,,19500,,,,,,,,,,</t>
  </si>
  <si>
    <t>2025-05-09 02:16:00,1744524347.36053,0,0,0,0,0,0,0</t>
  </si>
  <si>
    <t>2025-05-09 02:16:00,1146605086.17802,0,0,0,0,0,0,0</t>
  </si>
  <si>
    <t>2025-05-09 02:16:00,14353284.5616172,311895.040190009,,-7,,-49.3,0.0495266587086983,-1.33</t>
  </si>
  <si>
    <t>2025-05-09 02:16:00,37158445.0957783,0,0,0,0,0,0,0</t>
  </si>
  <si>
    <t>2025-05-09 02:17:00,580,,,,580,,,,,,,,,,</t>
  </si>
  <si>
    <t>2025-05-09 02:17:00,500,,,,470,,,,,,,,,,</t>
  </si>
  <si>
    <t>2025-05-09 02:17:00,,5500,5700,,,5800,5660,,,,,5750,5600,5750,5670</t>
  </si>
  <si>
    <t>2025-05-09 02:17:00,20500,,,,19500,,,,,,,,,,</t>
  </si>
  <si>
    <t>2025-05-09 02:17:00,1788430922.65297,0,0,0,0,0,0,0</t>
  </si>
  <si>
    <t>2025-05-09 02:17:00,1181627902.70229,0,0,0,0,0,0,0</t>
  </si>
  <si>
    <t>2025-05-09 02:17:00,11773861.634008,246986.039341872,,0,,-10.2,0.00403020373086359,0.11</t>
  </si>
  <si>
    <t>2025-05-09 02:17:00,37156131.7171619,0,0,0,0,0,0,0</t>
  </si>
  <si>
    <t>2025-05-09 02:18:00,580,,,,580,,,,,,,,,,</t>
  </si>
  <si>
    <t>2025-05-09 02:18:00,500,,,,470,,,,,,,,,,</t>
  </si>
  <si>
    <t>2025-05-09 02:18:00,,5500,5700,,,5800,5660,,,,,5750,5600,5750,5670</t>
  </si>
  <si>
    <t>2025-05-09 02:18:00,20500,,,,19500,,,,,,,,,,</t>
  </si>
  <si>
    <t>2025-05-09 02:18:00,1744566744.75675,0,0,0,0,0,0,0</t>
  </si>
  <si>
    <t>2025-05-09 02:18:00,1125027290.93831,0,0,0,0,0,0,0</t>
  </si>
  <si>
    <t>2025-05-09 02:18:00,16880878.08193,371436.963362606,,3,,24.38,0.0379701108311617,0.64</t>
  </si>
  <si>
    <t>2025-05-09 02:18:00,37162670.4560068,0,0,0,0,0,0,0</t>
  </si>
  <si>
    <t>2025-05-09 02:19:00,580,,,,580,,,,,,,,,,</t>
  </si>
  <si>
    <t>2025-05-09 02:19:00,500,,,,470,,,,,,,,,,</t>
  </si>
  <si>
    <t>2025-05-09 02:19:00,,5500,5700,,,5800,5660,,,,,5750,5550,5750,5550</t>
  </si>
  <si>
    <t>2025-05-09 02:19:00,20500,,,,19500,,,,,,,,,,</t>
  </si>
  <si>
    <t>2025-05-09 02:19:00,1744472716.20685,0,0,0,0,0,0,0</t>
  </si>
  <si>
    <t>2025-05-09 02:19:00,1145944702.12588,0,0,0,0,0,0,0</t>
  </si>
  <si>
    <t>2025-05-09 02:19:00,14870967.3178988,237391.048344173,,-200,,-98.74,0.47804920514335,-4.31</t>
  </si>
  <si>
    <t>2025-05-09 02:19:00,37161689.3601721,0,0,0,0,0,0,0</t>
  </si>
  <si>
    <t>2025-05-09 02:20:00,580,,,,580,,,,,,,,,,</t>
  </si>
  <si>
    <t>2025-05-09 02:20:00,500,,,,470,,,,,,,,,,</t>
  </si>
  <si>
    <t>2025-05-09 02:20:00,,5500,5700,,,5800,5660,,,,,5750,5550,5750,5550</t>
  </si>
  <si>
    <t>2025-05-09 02:20:00,20500,,,,19500,,,,,,,,,,</t>
  </si>
  <si>
    <t>2025-05-09 02:20:00,1756161454.11764,0,0,0,0,0,0,0</t>
  </si>
  <si>
    <t>2025-05-09 02:20:00,1184420034.32542,0,0,0,0,0,0,0</t>
  </si>
  <si>
    <t>2025-05-09 02:20:00,12564681.4929364,192637.656354658,,-1,,-5,0.0160119275422129,-0.09</t>
  </si>
  <si>
    <t>2025-05-09 02:20:00,37160959.2483323,0,0,0,0,0,0,0</t>
  </si>
  <si>
    <t>2025-05-09 02:21:00,580,,,,580,,,,,,,,,,</t>
  </si>
  <si>
    <t>2025-05-09 02:21:00,500,,,,470,,,,,,,,,,</t>
  </si>
  <si>
    <t>2025-05-09 02:21:00,,5500,5700,,,5800,5660,,,,,5750,5550,5750,5550</t>
  </si>
  <si>
    <t>2025-05-09 02:21:00,20500,,,,19500,,,,,,,,,,</t>
  </si>
  <si>
    <t>2025-05-09 02:21:00,1752439245.75914,0,0,0,0,0,0,0</t>
  </si>
  <si>
    <t>2025-05-09 02:21:00,1184413360.35187,0,0,0,0,0,0,0</t>
  </si>
  <si>
    <t>2025-05-09 02:21:00,13631083.0533703,209191.464957069,,-10,,2.08,0.0311763504272128,0.03</t>
  </si>
  <si>
    <t>2025-05-09 02:21:00,37159120.3151133,0,0,0,0,0,0,0</t>
  </si>
  <si>
    <t>2025-05-09 02:22:00,580,,,,580,,,,,,,,,,</t>
  </si>
  <si>
    <t>2025-05-09 02:22:00,500,,,,470,,,,,,,,,,</t>
  </si>
  <si>
    <t>2025-05-09 02:22:00,,5500,5700,,,5800,5660,,,,,5750,5550,5750,5550</t>
  </si>
  <si>
    <t>2025-05-09 02:22:00,20500,,,,19500,,,,,,,,,,</t>
  </si>
  <si>
    <t>2025-05-09 02:22:00,1744354495.40232,0,0,0,0,0,0,0</t>
  </si>
  <si>
    <t>2025-05-09 02:22:00,1184353652.26856,0,0,0,0,0,0,0</t>
  </si>
  <si>
    <t>2025-05-09 02:22:00,14010654.8101485,190744.836803903,,-14,,29.09,0.135418722149332,-3.05</t>
  </si>
  <si>
    <t>2025-05-09 02:22:00,37154893.0361747,0,0,0,0,0,0,0</t>
  </si>
  <si>
    <t>2025-05-09 02:23:00,580,,,,580,,,,,,,,,,</t>
  </si>
  <si>
    <t>2025-05-09 02:23:00,500,,,,470,,,,,,,,,,</t>
  </si>
  <si>
    <t>2025-05-09 02:23:00,,5500,5700,,,5800,5660,,,,,5750,5550,5750,5550</t>
  </si>
  <si>
    <t>2025-05-09 02:23:00,20500,,,,19500,,,,,,,,,,</t>
  </si>
  <si>
    <t>2025-05-09 02:23:00,1744379239.18015,0,0,0,0,0,0,0</t>
  </si>
  <si>
    <t>2025-05-09 02:23:00,1144344759.07925,0,0,0,0,0,0,0</t>
  </si>
  <si>
    <t>2025-05-09 02:23:00,16383703.5866154,255199.34548264,,16,,125.21,0.0888342057339945,3.29</t>
  </si>
  <si>
    <t>2025-05-09 02:23:00,37161466.98068,0,0,0,0,0,0,0</t>
  </si>
  <si>
    <t>2025-05-09 02:24:00,580,,,,580,,,,,,,,,,</t>
  </si>
  <si>
    <t>2025-05-09 02:24:00,500,,,,470,,,,,,,,,,</t>
  </si>
  <si>
    <t>2025-05-09 02:24:00,,5500,5700,,,5800,5660,,,,,5750,5550,5750,5550</t>
  </si>
  <si>
    <t>2025-05-09 02:24:00,20500,,,,19500,,,,,,,,,,</t>
  </si>
  <si>
    <t>2025-05-09 02:24:00,1744373807.37138,0,0,0,0,0,0,0</t>
  </si>
  <si>
    <t>2025-05-09 02:24:00,1148442075.59076,0,0,0,0,0,0,0</t>
  </si>
  <si>
    <t>2025-05-09 02:24:00,15995944.7932001,237228.916091243,,-2,,-5.15,0.00486673884714985,-0.14</t>
  </si>
  <si>
    <t>2025-05-09 02:24:00,37159684.1243482,0,0,0,0,0,0,0</t>
  </si>
  <si>
    <t>2025-05-09 02:25:00,580,,,,580,,,,,,,,,,</t>
  </si>
  <si>
    <t>2025-05-09 02:25:00,500,,,,470,,,,,,,,,,</t>
  </si>
  <si>
    <t>2025-05-09 02:25:00,,5500,5700,,,5800,5660,,,,,5750,5550,5750,5550</t>
  </si>
  <si>
    <t>2025-05-09 02:25:00,20500,,,,19500,,,,,,,,,,</t>
  </si>
  <si>
    <t>2025-05-09 02:25:00,1744427939.63703,0,0,0,0,0,0,0</t>
  </si>
  <si>
    <t>2025-05-09 02:25:00,1175164494.36396,0,0,0,0,0,0,0</t>
  </si>
  <si>
    <t>2025-05-09 02:25:00,15476102.3781048,228691.291040375,,7,,40.95,0.0253345380373822,1.06</t>
  </si>
  <si>
    <t>2025-05-09 02:25:00,37156505.2631525,0,0,0,0,0,0,0</t>
  </si>
  <si>
    <t>2025-05-09 02:26:00,580,,,,580,,,,,,,,,,</t>
  </si>
  <si>
    <t>2025-05-09 02:26:00,500,,,,470,,,,,,,,,,</t>
  </si>
  <si>
    <t>2025-05-09 02:26:00,,5500,5710,,,5800,5660,,,,,5750,5550,5710,5550</t>
  </si>
  <si>
    <t>2025-05-09 02:26:00,20500,,,,19500,,,,,,,,,,</t>
  </si>
  <si>
    <t>2025-05-09 02:26:00,1744388995.31312,0,0,0,0,0,0,0</t>
  </si>
  <si>
    <t>2025-05-09 02:26:00,1166418294.7836,0,0,0,0,0,0,0</t>
  </si>
  <si>
    <t>2025-05-09 02:26:00,15006228.7977828,232923.577324503,,9,,72,0.0496226492835564,2.05</t>
  </si>
  <si>
    <t>2025-05-09 02:26:00,37154833.8258696,0,0,0,0,0,0,0</t>
  </si>
  <si>
    <t>2025-05-09 02:27:00,580,,,,580,,,,,,,,,,</t>
  </si>
  <si>
    <t>2025-05-09 02:27:00,500,,,,470,,,,,,,,,,</t>
  </si>
  <si>
    <t>2025-05-09 02:27:00,,5500,5710,,,5800,5660,,,,,5750,5550,5710,5550</t>
  </si>
  <si>
    <t>2025-05-09 02:27:00,20500,,,,19500,,,,,,,,,,</t>
  </si>
  <si>
    <t>2025-05-09 02:27:00,1808230698.35323,0,0,0,0,0,0,0</t>
  </si>
  <si>
    <t>2025-05-09 02:27:00,1198173224.6876,0,0,0,0,0,0,0</t>
  </si>
  <si>
    <t>2025-05-09 02:27:00,10058452.9049577,46878.8658160025,,-97,,-330.2,0.336301716500558,-9.61</t>
  </si>
  <si>
    <t>2025-05-09 02:27:00,37152706.5145722,0,0,0,0,0,0,0</t>
  </si>
  <si>
    <t>2025-05-09 02:28:00,580,,,,580,,,,,,,,,,</t>
  </si>
  <si>
    <t>2025-05-09 02:28:00,500,,,,470,,,,,,,,,,</t>
  </si>
  <si>
    <t>2025-05-09 02:28:00,,5500,5710,,,5800,5660,,,,,5750,5550,5710,5550</t>
  </si>
  <si>
    <t>2025-05-09 02:28:00,20500,,,,19500,,,,,,,,,,</t>
  </si>
  <si>
    <t>2025-05-09 02:28:00,1787847641.9502,0,0,0,0,0,0,0</t>
  </si>
  <si>
    <t>2025-05-09 02:28:00,1210017501.00838,0,0,0,0,0,0,0</t>
  </si>
  <si>
    <t>2025-05-09 02:28:00,11732909.6756558,109270.361934569,,-5,,40.45,0.0541545712960805,1.09</t>
  </si>
  <si>
    <t>2025-05-09 02:28:00,37152200.6166031,0,0,0,0,0,0,0</t>
  </si>
  <si>
    <t>2025-05-09 02:29:00,580,,,,580,,,,,,,,,,</t>
  </si>
  <si>
    <t>2025-05-09 02:29:00,500,,,,470,,,,,,,,,,</t>
  </si>
  <si>
    <t>2025-05-09 02:29:00,,5500,5710,,,5800,5660,,,,,5750,5550,5710,5550</t>
  </si>
  <si>
    <t>2025-05-09 02:29:00,20500,,,,19500,,,,,,,,,,</t>
  </si>
  <si>
    <t>2025-05-09 02:29:00,1870986396.01708,0,0,0,0,0,0,0</t>
  </si>
  <si>
    <t>2025-05-09 02:29:00,1271193808.55447,0,0,0,0,0,0,0</t>
  </si>
  <si>
    <t>2025-05-09 02:29:00,7748717.23777938,-94915.110059991,,-151,,-504.42,0.43186273383587,-12.68</t>
  </si>
  <si>
    <t>2025-05-09 02:29:00,37158818.3950507,0,0,0,0,0,0,0</t>
  </si>
  <si>
    <t>2025-05-09 02:30:00,580,,,,580,,,,,,,,,,</t>
  </si>
  <si>
    <t>2025-05-09 02:30:00,500,,,,470,,,,,,,,,,</t>
  </si>
  <si>
    <t>2025-05-09 02:30:00,,5500,5710,,,5800,5660,,,,,5750,5550,5710,5550</t>
  </si>
  <si>
    <t>2025-05-09 02:30:00,20500,,,,19500,,,,,,,,,,</t>
  </si>
  <si>
    <t>2025-05-09 02:30:00,1905541765.97043,0,0,0,0,0,0,0</t>
  </si>
  <si>
    <t>2025-05-09 02:30:00,1262275006.09082,0,0,0,0,0,0,0</t>
  </si>
  <si>
    <t>2025-05-09 02:30:00,6168207.38728113,-103590.539754158,,13,,194.6,0.129480234056005,3.58</t>
  </si>
  <si>
    <t>2025-05-09 02:30:00,37158269.4718578,0,0,0,0,0,0,0</t>
  </si>
  <si>
    <t>2025-05-09 02:31:00,580,,,,580,,,,,,,,,,</t>
  </si>
  <si>
    <t>2025-05-09 02:31:00,500,,,,470,,,,,,,,,,</t>
  </si>
  <si>
    <t>2025-05-09 02:31:00,,5500,5700,,,5800,5660,,,,,5750,5550,5710,5550</t>
  </si>
  <si>
    <t>2025-05-09 02:31:00,20500,,,,19500,,,,,,,,,,</t>
  </si>
  <si>
    <t>2025-05-09 02:31:00,1860470333.87524,0,0,0,0,0,0,0</t>
  </si>
  <si>
    <t>2025-05-09 02:31:00,1265019485.24029,0,0,0,0,0,0,0</t>
  </si>
  <si>
    <t>2025-05-09 02:31:00,8037842.94807885,-60561.433424944,,1,,-38.5,-0.00393081731740543,-0.78</t>
  </si>
  <si>
    <t>2025-05-09 02:31:00,37153991.2668171,0,0,0,0,0,0,0</t>
  </si>
  <si>
    <t>2025-05-09 02:32:00,580,,,,580,,,,,,,,,,</t>
  </si>
  <si>
    <t>2025-05-09 02:32:00,500,,,,470,,,,,,,,,,</t>
  </si>
  <si>
    <t>2025-05-09 02:32:00,,5500,5710,,,5800,5660,,,,,5750,5550,5710,5550</t>
  </si>
  <si>
    <t>2025-05-09 02:32:00,20500,,,,19500,,,,,,,,,,</t>
  </si>
  <si>
    <t>2025-05-09 02:32:00,1955609547.04219,0,0,0,0,0,0,0</t>
  </si>
  <si>
    <t>2025-05-09 02:32:00,1285823745.70609,0,0,0,0,0,0,0</t>
  </si>
  <si>
    <t>2025-05-09 02:32:00,5298907.16222296,-126367.366740025,,-5,,-53.05,0.0349657596013004,-1.27</t>
  </si>
  <si>
    <t>2025-05-09 02:32:00,37151447.8144044,0,0,0,0,0,0,0</t>
  </si>
  <si>
    <t>2025-05-09 02:33:00,580,,,,580,,,,,,,,,,</t>
  </si>
  <si>
    <t>2025-05-09 02:33:00,500,,,,470,,,,,,,,,,</t>
  </si>
  <si>
    <t>2025-05-09 02:33:00,,5500,5710,,,5800,5660,,,,,5750,5550,5750,5550</t>
  </si>
  <si>
    <t>2025-05-09 02:33:00,20500,,,,19500,,,,,,,,,,</t>
  </si>
  <si>
    <t>2025-05-09 02:33:00,2118905656.54615,0,0,0,0,0,0,0</t>
  </si>
  <si>
    <t>2025-05-09 02:33:00,1344656976.5744,0,0,0,0,0,0,0</t>
  </si>
  <si>
    <t>2025-05-09 02:33:00,-1116661.21863416,-279532.409360407,,-33,,-469.58,0.0486711270821653,-10.6</t>
  </si>
  <si>
    <t>2025-05-09 02:33:00,37151980.2733123,0,0,0,0,0,0,0</t>
  </si>
  <si>
    <t>2025-05-09 02:34:00,580,,,,580,,,,,,,,,,</t>
  </si>
  <si>
    <t>2025-05-09 02:34:00,500,,,,470,,,,,,,,,,</t>
  </si>
  <si>
    <t>2025-05-09 02:34:00,,5500,5710,,,5800,5660,,,,,5750,5550,5750,5550</t>
  </si>
  <si>
    <t>2025-05-09 02:34:00,20500,,,,19500,,,,,,,,,,</t>
  </si>
  <si>
    <t>2025-05-09 02:34:00,2104008818.8932,0,0,0,0,0,0,0</t>
  </si>
  <si>
    <t>2025-05-09 02:34:00,1354409257.47249,0,0,0,0,0,0,0</t>
  </si>
  <si>
    <t>2025-05-09 02:34:00,-752324.777982605,-290242.825602827,,-25,,-443.39,0.118821946885402,-9.18</t>
  </si>
  <si>
    <t>2025-05-09 02:34:00,37158638.7103866,0,0,0,0,0,0,0</t>
  </si>
  <si>
    <t>2025-05-09 02:35:00,580,,,,560,,,,,,,,,,</t>
  </si>
  <si>
    <t>2025-05-09 02:35:00,500,,,,470,,,,,,,,,,</t>
  </si>
  <si>
    <t>2025-05-09 02:35:00,,5500,5700,,,5800,5660,,,,,5750,5550,5750,5550</t>
  </si>
  <si>
    <t>2025-05-09 02:35:00,20500,,,,19500,,,,,,,,,,</t>
  </si>
  <si>
    <t>2025-05-09 02:35:00,2063541553.86705,0,0,0,0,0,0,0</t>
  </si>
  <si>
    <t>2025-05-09 02:35:00,1373321948.75165,0,0,0,0,0,0,0</t>
  </si>
  <si>
    <t>2025-05-09 02:35:00,-3064120.80105069,-419462.552531212,,-65,,-1537.3,0.344802982934977,-34.05</t>
  </si>
  <si>
    <t>2025-05-09 02:35:00,37156436.7079479,0,0,0,0,0,0,0</t>
  </si>
  <si>
    <t>2025-05-09 02:36:00,580,,,,560,,,,,,,,,,</t>
  </si>
  <si>
    <t>2025-05-09 02:36:00,500,,,,470,,,,,,,,,,</t>
  </si>
  <si>
    <t>2025-05-09 02:36:00,,5500,5700,,,5800,5660,,,,,5750,5550,5750,5550</t>
  </si>
  <si>
    <t>2025-05-09 02:36:00,20500,,,,19500,,,,,,,,,,</t>
  </si>
  <si>
    <t>2025-05-09 02:36:00,2136456434.13946,0,0,0,0,0,0,0</t>
  </si>
  <si>
    <t>2025-05-09 02:36:00,1365791363.72382,0,0,0,0,0,0,0</t>
  </si>
  <si>
    <t>2025-05-09 02:36:00,-2494931.48271613,-380920.430967953,,-15,,-442.88,-0.0350983756612763,-9.56</t>
  </si>
  <si>
    <t>2025-05-09 02:36:00,37153143.7941165,0,0,0,0,0,0,0</t>
  </si>
  <si>
    <t>2025-05-09 02:37:00,580,,,,560,,,,,,,,,,</t>
  </si>
  <si>
    <t>2025-05-09 02:37:00,500,,,,470,,,,,,,,,,</t>
  </si>
  <si>
    <t>2025-05-09 02:37:00,,5500,5700,,,5800,5660,,,,,5750,5550,5750,5550</t>
  </si>
  <si>
    <t>2025-05-09 02:37:00,20500,,,,19500,,,,,,,,,,</t>
  </si>
  <si>
    <t>2025-05-09 02:37:00,2137824250.71787,0,0,0,0,0,0,0</t>
  </si>
  <si>
    <t>2025-05-09 02:37:00,1351751064.20261,0,0,0,0,0,0,0</t>
  </si>
  <si>
    <t>2025-05-09 02:37:00,-2298833.85667527,-377345.90748067,,0,,-18.14,0.00425178002405816,-0.4</t>
  </si>
  <si>
    <t>2025-05-09 02:37:00,37144845.225922,0,0,0,0,0,0,0</t>
  </si>
  <si>
    <t>2025-05-09 02:38:00,580,,,,560,,,,,,,,,,</t>
  </si>
  <si>
    <t>2025-05-09 02:38:00,500,,,,470,,,,,,,,,,</t>
  </si>
  <si>
    <t>2025-05-09 02:38:00,,5500,5700,,,5800,5660,,,,,5750,5550,5750,5550</t>
  </si>
  <si>
    <t>2025-05-09 02:38:00,20500,,,,19500,,,,,,,,,,</t>
  </si>
  <si>
    <t>2025-05-09 02:38:00,2223957998.28519,0,0,0,0,0,0,0</t>
  </si>
  <si>
    <t>2025-05-09 02:38:00,1360562732.62394,0,0,0,0,0,0,0</t>
  </si>
  <si>
    <t>2025-05-09 02:38:00,-4171824.08550211,-414355.179383884,,-40,,-788.2,0.101309908946053,-17.94</t>
  </si>
  <si>
    <t>2025-05-09 02:38:00,37147917.4145581,0,0,0,0,0,0,0</t>
  </si>
  <si>
    <t>2025-05-09 02:39:00,580,,,,560,,,,,,,,,,</t>
  </si>
  <si>
    <t>2025-05-09 02:39:00,500,,,,470,,,,,,,,,,</t>
  </si>
  <si>
    <t>2025-05-09 02:39:00,5850,,5700,,,5800,5660,,,,,5750,5550,5750,5550</t>
  </si>
  <si>
    <t>2025-05-09 02:39:00,20500,,,,19500,,,,,,,,,,</t>
  </si>
  <si>
    <t>2025-05-09 02:39:00,2137429207.93334,0,0,0,0,0,0,0</t>
  </si>
  <si>
    <t>2025-05-09 02:39:00,1356504483.06042,0,0,0,0,0,0,0</t>
  </si>
  <si>
    <t>2025-05-09 02:39:00,-1411588.94396891,-371330.985106712,,-17,,-387.41,-0.0279008257932024,-8.56</t>
  </si>
  <si>
    <t>2025-05-09 02:39:00,37154612.5537596,0,0,0,0,0,0,0</t>
  </si>
  <si>
    <t>2025-05-09 02:40:00,580,,,,580,,,,,,,,,,</t>
  </si>
  <si>
    <t>2025-05-09 02:40:00,500,,,,470,,,,,,,,,,</t>
  </si>
  <si>
    <t>2025-05-09 02:40:00,5850,,5710,,,5800,5660,,,,,5750,5550,5750,5550</t>
  </si>
  <si>
    <t>2025-05-09 02:40:00,20500,,,,19500,,,,,,,,,,</t>
  </si>
  <si>
    <t>2025-05-09 02:40:00,2113246439.98316,0,0,0,0,0,0,0</t>
  </si>
  <si>
    <t>2025-05-09 02:40:00,1340753397.78024,0,0,0,0,0,0,0</t>
  </si>
  <si>
    <t>2025-05-09 02:40:00,-460875.816559366,-331931.828771065,,11,,-12.6,0.0240904519417429,-0.17</t>
  </si>
  <si>
    <t>2025-05-09 02:40:00,37153974.3858008,0,0,0,0,0,0,0</t>
  </si>
  <si>
    <t>2025-05-09 02:41:00,580,,,,560,,,,,,,,,,</t>
  </si>
  <si>
    <t>2025-05-09 02:41:00,500,,,,470,,,,,,,,,,</t>
  </si>
  <si>
    <t>2025-05-09 02:41:00,5850,,5700,,,5800,5660,,,,,5750,5550,5750,5550</t>
  </si>
  <si>
    <t>2025-05-09 02:41:00,20500,,,,19500,,,,,,,,,,</t>
  </si>
  <si>
    <t>2025-05-09 02:41:00,2137224426.99052,0,0,0,0,0,0,0</t>
  </si>
  <si>
    <t>2025-05-09 02:41:00,1360932237.89513,0,0,0,0,0,0,0</t>
  </si>
  <si>
    <t>2025-05-09 02:41:00,-1619928.64727559,-359332.990115329,,-1,,-28.35,0.0126261879057659,-0.65</t>
  </si>
  <si>
    <t>2025-05-09 02:41:00,37151815.8996914,0,0,0,0,0,0,0</t>
  </si>
  <si>
    <t>2025-05-09 02:42:00,580,,,,560,,,,,,,,,,</t>
  </si>
  <si>
    <t>2025-05-09 02:42:00,500,,,,470,,,,,,,,,,</t>
  </si>
  <si>
    <t>2025-05-09 02:42:00,,5500,5700,,,5800,5660,,,,,5750,5550,5750,5550</t>
  </si>
  <si>
    <t>2025-05-09 02:42:00,20500,,,,19500,,,,,,,,,,</t>
  </si>
  <si>
    <t>2025-05-09 02:42:00,2229389570.28288,0,0,0,0,0,0,0</t>
  </si>
  <si>
    <t>2025-05-09 02:42:00,1362515376.11771,0,0,0,0,0,0,0</t>
  </si>
  <si>
    <t>2025-05-09 02:42:00,-4771630.53315429,-403118.661809213,,-65,,-5497.61,-0.0482070080092498,-32.57</t>
  </si>
  <si>
    <t>2025-05-09 02:42:00,37150367.1648532,0,0,0,0,0,0,0</t>
  </si>
  <si>
    <t>2025-05-09 02:43:00,580,,,,560,,,,,,,,,,</t>
  </si>
  <si>
    <t>2025-05-09 02:43:00,500,,,,470,,,,,,,,,,</t>
  </si>
  <si>
    <t>2025-05-09 02:43:00,,5500,5700,,,5800,5660,,,,,5750,5550,5750,5550</t>
  </si>
  <si>
    <t>2025-05-09 02:43:00,20500,,,,19500,,,,,,,,,,</t>
  </si>
  <si>
    <t>2025-05-09 02:43:00,2229314922.4093,0,0,0,0,0,0,0</t>
  </si>
  <si>
    <t>2025-05-09 02:43:00,1372172304.85562,0,0,0,0,0,0,0</t>
  </si>
  <si>
    <t>2025-05-09 02:43:00,-4454648.22784577,-386438.283061048,,8,,-32.48,0.0266780450501958,-0.68</t>
  </si>
  <si>
    <t>2025-05-09 02:43:00,37142759.796176,0,0,0,0,0,0,0</t>
  </si>
  <si>
    <t>2025-05-09 02:44:00,580,,,,560,,,,,,,,,,</t>
  </si>
  <si>
    <t>2025-05-09 02:44:00,500,,,,470,,,,,,,,,,</t>
  </si>
  <si>
    <t>2025-05-09 02:44:00,,5500,5700,,,5800,5690,,,,,5750,5550,5750,5550</t>
  </si>
  <si>
    <t>2025-05-09 02:44:00,20500,,,,19500,,,,,,,,,,</t>
  </si>
  <si>
    <t>2025-05-09 02:44:00,2289392929.48537,0,0,0,0,0,0,0</t>
  </si>
  <si>
    <t>2025-05-09 02:44:00,1426220772.04764,0,0,0,0,0,0,0</t>
  </si>
  <si>
    <t>2025-05-09 02:44:00,-7464817.24720214,-476016.201660485,,-22,,-127.85,0.032784179819962,-2.92</t>
  </si>
  <si>
    <t>2025-05-09 02:44:00,37149493.7508284,0,0,0,0,0,0,0</t>
  </si>
  <si>
    <t>2025-05-09 02:45:00,580,,,,560,,,,,,,,,,</t>
  </si>
  <si>
    <t>2025-05-09 02:45:00,500,,,,470,,,,,,,,,,</t>
  </si>
  <si>
    <t>2025-05-09 02:45:00,,5500,5700,,,5800,5690,,,,,5750,5550,5750,5550</t>
  </si>
  <si>
    <t>2025-05-09 02:45:00,20500,,,,19500,,,,,,,,,,</t>
  </si>
  <si>
    <t>2025-05-09 02:45:00,2365188498.73282,0,0,0,0,0,0,0</t>
  </si>
  <si>
    <t>2025-05-09 02:45:00,1450532271.20775,0,0,0,0,0,0,0</t>
  </si>
  <si>
    <t>2025-05-09 02:45:00,-10455197.0276042,-547432.864445436,,11,,-114.47,0.101037208673412,-2.65</t>
  </si>
  <si>
    <t>2025-05-09 02:45:00,37148137.2287945,0,0,0,0,0,0,0</t>
  </si>
  <si>
    <t>2025-05-09 02:46:00,580,,,,560,,,,,,,,,,</t>
  </si>
  <si>
    <t>2025-05-09 02:46:00,500,,,,470,,,,,,,,,,</t>
  </si>
  <si>
    <t>2025-05-09 02:46:00,,5500,5700,,,5800,5690,,,,,5750,5550,5750,5550</t>
  </si>
  <si>
    <t>2025-05-09 02:46:00,20500,,,,19500,,,,,,,,,,</t>
  </si>
  <si>
    <t>2025-05-09 02:46:00,2340177516.46821,0,0,0,0,0,0,0</t>
  </si>
  <si>
    <t>2025-05-09 02:46:00,1439028537.70919,0,0,0,0,0,0,0</t>
  </si>
  <si>
    <t>2025-05-09 02:46:00,-9580003.35153319,-531749.495777146,,-31,,-297.99,0.0503217306418988,-7.61</t>
  </si>
  <si>
    <t>2025-05-09 02:46:00,37144873.0865967,0,0,0,0,0,0,0</t>
  </si>
  <si>
    <t>2025-05-09 02:47:00,580,,,,560,,,,,,,,,,</t>
  </si>
  <si>
    <t>2025-05-09 02:47:00,500,,,,470,,,,,,,,,,</t>
  </si>
  <si>
    <t>2025-05-09 02:47:00,,5500,5700,,,5800,5690,,,,,5750,5550,5750,5550</t>
  </si>
  <si>
    <t>2025-05-09 02:47:00,20500,,,,19500,,,,,,,,,,</t>
  </si>
  <si>
    <t>2025-05-09 02:47:00,2277024524.26243,0,0,0,0,0,0,0</t>
  </si>
  <si>
    <t>2025-05-09 02:47:00,1428420794.07627,0,0,0,0,0,0,0</t>
  </si>
  <si>
    <t>2025-05-09 02:47:00,-9421510.81865234,-551467.414799458,,-42,,-755.86,0.141777214270823,-17.06</t>
  </si>
  <si>
    <t>2025-05-09 02:47:00,37143137.755407,0,0,0,0,0,0,0</t>
  </si>
  <si>
    <t>2025-05-09 02:48:00,580,,,,560,,,,,,,,,,</t>
  </si>
  <si>
    <t>2025-05-09 02:48:00,500,,,,470,,,,,,,,,,</t>
  </si>
  <si>
    <t>2025-05-09 02:48:00,,5500,5700,,,5800,5690,,,,,5750,5550,5750,5550</t>
  </si>
  <si>
    <t>2025-05-09 02:48:00,20500,,,,19500,,,,,,,,,,</t>
  </si>
  <si>
    <t>2025-05-09 02:48:00,2352624856.68793,0,0,0,0,0,0,0</t>
  </si>
  <si>
    <t>2025-05-09 02:48:00,1430497411.50932,0,0,0,0,0,0,0</t>
  </si>
  <si>
    <t>2025-05-09 02:48:00,-9444677.12316275,-563659.351613714,,-8,,-65.37,0.0130183492088752,-1.66</t>
  </si>
  <si>
    <t>2025-05-09 02:48:00,37141748.8867219,0,0,0,0,0,0,0</t>
  </si>
  <si>
    <t>2025-05-09 02:49:00,580,,,,560,,,,,,,,,,</t>
  </si>
  <si>
    <t>2025-05-09 02:49:00,500,,,,470,,,,,,,,,,</t>
  </si>
  <si>
    <t>2025-05-09 02:49:00,,5500,5700,,,5800,5690,,,,,5750,5550,5750,5550</t>
  </si>
  <si>
    <t>2025-05-09 02:49:00,20500,,,,19500,,,,,,,,,,</t>
  </si>
  <si>
    <t>2025-05-09 02:49:00,2333718401.83918,0,0,0,0,0,0,0</t>
  </si>
  <si>
    <t>2025-05-09 02:49:00,1421427473.66004,0,0,0,0,0,0,0</t>
  </si>
  <si>
    <t>2025-05-09 02:49:00,-7808896.57909851,-507621.978899247,,0,,-23.43,-0.00516989193027168,-0.63</t>
  </si>
  <si>
    <t>2025-05-09 02:49:00,37135917.9747143,0,0,0,0,0,0,0</t>
  </si>
  <si>
    <t>2025-05-09 02:50:00,580,,,,560,,,,,,,,,,</t>
  </si>
  <si>
    <t>2025-05-09 02:50:00,500,,,,470,,,,,,,,,,</t>
  </si>
  <si>
    <t>2025-05-09 02:50:00,,5500,5700,,,5800,5690,,,,,5750,5550,5750,5550</t>
  </si>
  <si>
    <t>2025-05-09 02:50:00,20500,,,,19500,,,,,,,,,,</t>
  </si>
  <si>
    <t>2025-05-09 02:50:00,2411933264.62381,0,0,0,0,0,0,0</t>
  </si>
  <si>
    <t>2025-05-09 02:50:00,1433211431.94068,0,0,0,0,0,0,0</t>
  </si>
  <si>
    <t>2025-05-09 02:50:00,-11736417.2343159,-616479.461799394,,-13,,-158.96,-0.00764520408654479,-3.95</t>
  </si>
  <si>
    <t>2025-05-09 02:50:00,37142694.9515098,0,0,0,0,0,0,0</t>
  </si>
  <si>
    <t>2025-05-09 02:51:00,580,,,,560,,,,,,,,,,</t>
  </si>
  <si>
    <t>2025-05-09 02:51:00,500,,,,470,,,,,,,,,,</t>
  </si>
  <si>
    <t>2025-05-09 02:51:00,,5500,5700,,,5800,5690,,,,,5750,5550,5750,5550</t>
  </si>
  <si>
    <t>2025-05-09 02:51:00,20500,,,,19500,,,,,,,,,,</t>
  </si>
  <si>
    <t>2025-05-09 02:51:00,2289306241.18349,0,0,0,0,0,0,0</t>
  </si>
  <si>
    <t>2025-05-09 02:51:00,1407159131.77076,0,0,0,0,0,0,0</t>
  </si>
  <si>
    <t>2025-05-09 02:51:00,-7372658.72273202,-427691.75611347,,-32,,-287.1,-0.0224932200451001,-7.65</t>
  </si>
  <si>
    <t>2025-05-09 02:51:00,37140655.4857066,0,0,0,0,0,0,0</t>
  </si>
  <si>
    <t>2025-05-09 02:52:00,580,,,,560,,,,,,,,,,</t>
  </si>
  <si>
    <t>2025-05-09 02:52:00,500,,,,470,,,,,,,,,,</t>
  </si>
  <si>
    <t>2025-05-09 02:52:00,,5500,5700,,,5800,5660,,,,,5750,5550,5750,5550</t>
  </si>
  <si>
    <t>2025-05-09 02:52:00,20500,,,,19500,,,,,,,,,,</t>
  </si>
  <si>
    <t>2025-05-09 02:52:00,2228017134.38529,0,0,0,0,0,0,0</t>
  </si>
  <si>
    <t>2025-05-09 02:52:00,1374490634.70822,0,0,0,0,0,0,0</t>
  </si>
  <si>
    <t>2025-05-09 02:52:00,-4808152.13113451,-365689.26561024,,-37,,-598.82,0.247972466805217,-13.98</t>
  </si>
  <si>
    <t>2025-05-09 02:52:00,37138705.7996583,0,0,0,0,0,0,0</t>
  </si>
  <si>
    <t>2025-05-09 02:53:00,580,,,,560,,,,,,,,,,</t>
  </si>
  <si>
    <t>2025-05-09 02:53:00,500,,,,470,,,,,,,,,,</t>
  </si>
  <si>
    <t>2025-05-09 02:53:00,,5500,5700,,,5800,5660,,,,,5750,5550,5750,5550</t>
  </si>
  <si>
    <t>2025-05-09 02:53:00,20500,,,,19500,,,,,,,,,,</t>
  </si>
  <si>
    <t>2025-05-09 02:53:00,2134164919.85725,0,0,0,0,0,0,0</t>
  </si>
  <si>
    <t>2025-05-09 02:53:00,1348369403.67436,0,0,0,0,0,0,0</t>
  </si>
  <si>
    <t>2025-05-09 02:53:00,-1988321.64743102,-264146.983633296,,-5,,-118.19,0.0165905733237259,-2.76</t>
  </si>
  <si>
    <t>2025-05-09 02:53:00,37136344.4081496,0,0,0,0,0,0,0</t>
  </si>
  <si>
    <t>2025-05-09 02:54:00,580,,,,560,,,,,,,,,,</t>
  </si>
  <si>
    <t>2025-05-09 02:54:00,500,,,,470,,,,,,,,,,</t>
  </si>
  <si>
    <t>2025-05-09 02:54:00,,5500,5700,,,5800,5660,,,,,5850,5550,5750,5550</t>
  </si>
  <si>
    <t>2025-05-09 02:54:00,20500,,,,19500,,,,,,,,,,</t>
  </si>
  <si>
    <t>2025-05-09 02:54:00,2135752586.58109,0,0,0,0,0,0,0</t>
  </si>
  <si>
    <t>2025-05-09 02:54:00,1360257248.19372,0,0,0,0,0,0,0</t>
  </si>
  <si>
    <t>2025-05-09 02:54:00,-2593750.02926626,-236558.983723279,,-5,,-69.47,0.0310809070063079,-1.55</t>
  </si>
  <si>
    <t>2025-05-09 02:54:00,37132891.3405242,0,0,0,0,0,0,0</t>
  </si>
  <si>
    <t>2025-05-09 02:55:00,580,,,,560,,,,,,,,,,</t>
  </si>
  <si>
    <t>2025-05-09 02:55:00,500,,,,470,,,,,,,,,,</t>
  </si>
  <si>
    <t>2025-05-09 02:55:00,,5500,5700,,,5800,5660,,,,,5850,5550,5750,5550</t>
  </si>
  <si>
    <t>2025-05-09 02:55:00,20500,,,,19500,,,,,,,,,,</t>
  </si>
  <si>
    <t>2025-05-09 02:55:00,2134105354.42897,0,0,0,0,0,0,0</t>
  </si>
  <si>
    <t>2025-05-09 02:55:00,1345723547.65762,0,0,0,0,0,0,0</t>
  </si>
  <si>
    <t>2025-05-09 02:55:00,-2186899.33831425,-232327.372353138,,-6,,-54.68,0.017134086030058,-1.23</t>
  </si>
  <si>
    <t>2025-05-09 02:55:00,37139710.7670382,0,0,0,0,0,0,0</t>
  </si>
  <si>
    <t>2025-05-09 02:56:00,580,,,,580,,,,,,,,,,</t>
  </si>
  <si>
    <t>2025-05-09 02:56:00,500,,,,470,,,,,,,,,,</t>
  </si>
  <si>
    <t>2025-05-09 02:56:00,,5500,5700,,,5800,5660,,,,,5850,5550,5750,5550</t>
  </si>
  <si>
    <t>2025-05-09 02:56:00,20500,,,,19500,,,,,,,,,,</t>
  </si>
  <si>
    <t>2025-05-09 02:56:00,2095491522.10911,0,0,0,0,0,0,0</t>
  </si>
  <si>
    <t>2025-05-09 02:56:00,1325737123.47573,0,0,0,0,0,0,0</t>
  </si>
  <si>
    <t>2025-05-09 02:56:00,-144307.899736282,-222581.253515033,,-25,,-566.51,0.171005742011289,-12.92</t>
  </si>
  <si>
    <t>2025-05-09 02:56:00,37138737.6124373,0,0,0,0,0,0,0</t>
  </si>
  <si>
    <t>2025-05-09 02:57:00,580,,,,580,,,,,,,,,,</t>
  </si>
  <si>
    <t>2025-05-09 02:57:00,500,,,,470,,,,,,,,,,</t>
  </si>
  <si>
    <t>2025-05-09 02:57:00,,5500,5700,,,5800,5660,,,,,5850,5600,5750,5550</t>
  </si>
  <si>
    <t>2025-05-09 02:57:00,20500,,,,19500,,,,,,,,,,</t>
  </si>
  <si>
    <t>2025-05-09 02:57:00,2052475229.55907,0,0,0,0,0,0,0</t>
  </si>
  <si>
    <t>2025-05-09 02:57:00,1102208970.35403,0,0,0,0,0,0,0</t>
  </si>
  <si>
    <t>2025-05-09 02:57:00,704435.120121242,-221212.741306349,,-19,,-141.66,0.0904934761189956,-3.46</t>
  </si>
  <si>
    <t>2025-05-09 02:57:00,37134797.7220704,0,0,0,0,0,0,0</t>
  </si>
  <si>
    <t>2025-05-09 02:58:00,580,,,,580,,,,,,,,,,</t>
  </si>
  <si>
    <t>2025-05-09 02:58:00,500,,,,470,,,,,,,,,,</t>
  </si>
  <si>
    <t>2025-05-09 02:58:00,,5500,5700,,,5800,5660,,,,,5850,5550,5750,5550</t>
  </si>
  <si>
    <t>2025-05-09 02:58:00,20500,,,,19500,,,,,,,,,,</t>
  </si>
  <si>
    <t>2025-05-09 02:58:00,1968651061.16441,0,0,0,0,0,0,0</t>
  </si>
  <si>
    <t>2025-05-09 02:58:00,1284358663.25772,0,0,0,0,0,0,0</t>
  </si>
  <si>
    <t>2025-05-09 02:58:00,4511147.69108603,-104380.999792233,,4,,-136.41,0.585972397765357,-2.53</t>
  </si>
  <si>
    <t>2025-05-09 02:58:00,37132472.7348626,0,0,0,0,0,0,0</t>
  </si>
  <si>
    <t>2025-05-09 02:59:00,580,,,,580,,,,,,,,,,</t>
  </si>
  <si>
    <t>2025-05-09 02:59:00,500,,,,470,,,,,,,,,,</t>
  </si>
  <si>
    <t>2025-05-09 02:59:00,,5500,5700,,,5800,5660,,,,,5850,5550,5750,5550</t>
  </si>
  <si>
    <t>2025-05-09 02:59:00,20500,,,,19500,,,,,,,,,,</t>
  </si>
  <si>
    <t>2025-05-09 02:59:00,1918050576.93741,0,0,0,0,0,0,0</t>
  </si>
  <si>
    <t>2025-05-09 02:59:00,1269882809.43545,0,0,0,0,0,0,0</t>
  </si>
  <si>
    <t>2025-05-09 02:59:00,6538720.38746112,-57673.7513846776,,11,,-152.5,0.0909893975684706,-3.28</t>
  </si>
  <si>
    <t>2025-05-09 02:59:00,37130654.4677228,0,0,0,0,0,0,0</t>
  </si>
  <si>
    <t>2025-05-09 03:00:00,580,,,,580,,,,,,,,,,</t>
  </si>
  <si>
    <t>2025-05-09 03:00:00,500,,,,470,,,,,,,,,,</t>
  </si>
  <si>
    <t>2025-05-09 03:00:00,,5500,5700,,,5800,5660,,,,,5850,5550,5750,5550</t>
  </si>
  <si>
    <t>2025-05-09 03:00:00,20500,,,,19500,,,,,,,,,,</t>
  </si>
  <si>
    <t>2025-05-09 03:00:00,1912933345.80791,0,0,0,0,0,0,0</t>
  </si>
  <si>
    <t>2025-05-09 03:00:00,1260649401.31802,0,0,0,0,0,0,0</t>
  </si>
  <si>
    <t>2025-05-09 03:00:00,6871533.39533256,-81057.0343461395,,-35,,-516.27,0.138431311665702,-11.82</t>
  </si>
  <si>
    <t>2025-05-09 03:00:00,37137515.9486385,0,0,0,0,0,0,0</t>
  </si>
  <si>
    <t>2025-05-09 03:01:00,580,,,,580,,,,,,,,,,</t>
  </si>
  <si>
    <t>2025-05-09 03:01:00,500,,,,470,,,,,,,,,,</t>
  </si>
  <si>
    <t>2025-05-09 03:01:00,,5500,5700,,,5800,5660,,,,,5850,5550,5750,5550</t>
  </si>
  <si>
    <t>2025-05-09 03:01:00,20500,,,,19500,,,,,,,,,,</t>
  </si>
  <si>
    <t>2025-05-09 03:01:00,1912578164.13486,0,0,0,0,0,0,0</t>
  </si>
  <si>
    <t>2025-05-09 03:01:00,1284125430.18234,0,0,0,0,0,0,0</t>
  </si>
  <si>
    <t>2025-05-09 03:01:00,6028985.47228531,-83517.5844966696,,10,,-121.38,0.231904886616735,-2.09</t>
  </si>
  <si>
    <t>2025-05-09 03:01:00,37137234.8986241,0,0,0,0,0,0,0</t>
  </si>
  <si>
    <t>2025-05-09 03:02:00,580,,,,580,,,,,,,,,,</t>
  </si>
  <si>
    <t>2025-05-09 03:02:00,500,,,,470,,,,,,,,,,</t>
  </si>
  <si>
    <t>2025-05-09 03:02:00,,5500,5700,,,5800,5660,,,,,5850,5550,5750,5550</t>
  </si>
  <si>
    <t>2025-05-09 03:02:00,20500,,,,19500,,,,,,,,,,</t>
  </si>
  <si>
    <t>2025-05-09 03:02:00,1809391859.42002,0,0,0,0,0,0,0</t>
  </si>
  <si>
    <t>2025-05-09 03:02:00,1268081326.7697,0,0,0,0,0,0,0</t>
  </si>
  <si>
    <t>2025-05-09 03:02:00,10469758.341018,22786.2957586875,,-1,,-41.62,0.213061653050081,-0.51</t>
  </si>
  <si>
    <t>2025-05-09 03:02:00,37134565.2241319,0,0,0,0,0,0,0</t>
  </si>
  <si>
    <t>2025-05-09 03:03:00,580,,,,580,,,,,,,,,,</t>
  </si>
  <si>
    <t>2025-05-09 03:03:00,500,,,,470,,,,,,,,,,</t>
  </si>
  <si>
    <t>2025-05-09 03:03:00,,5500,5700,,,5800,5660,,,,,5850,5550,5750,5550</t>
  </si>
  <si>
    <t>2025-05-09 03:03:00,20500,,,,19500,,,,,,,,,,</t>
  </si>
  <si>
    <t>2025-05-09 03:03:00,1967778358.24655,0,0,0,0,0,0,0</t>
  </si>
  <si>
    <t>2025-05-09 03:03:00,1294430920.22906,0,0,0,0,0,0,0</t>
  </si>
  <si>
    <t>2025-05-09 03:03:00,4561943.46201365,-146921.721676226,,-5,,-139.34,0.134680723541762,-2.87</t>
  </si>
  <si>
    <t>2025-05-09 03:03:00,37135742.0659411,0,0,0,0,0,0,0</t>
  </si>
  <si>
    <t>2025-05-09 03:04:00,580,,,,580,,,,,,,,,,</t>
  </si>
  <si>
    <t>2025-05-09 03:04:00,500,,,,470,,,,,,,,,,</t>
  </si>
  <si>
    <t>2025-05-09 03:04:00,,5500,5700,,,5800,5660,,,,,5850,5550,5750,5550</t>
  </si>
  <si>
    <t>2025-05-09 03:04:00,20500,,,,19500,,,,,,,,,,</t>
  </si>
  <si>
    <t>2025-05-09 03:04:00,1788972736.75358,0,0,0,0,0,0,0</t>
  </si>
  <si>
    <t>2025-05-09 03:04:00,1195884527.5863,0,0,0,0,0,0,0</t>
  </si>
  <si>
    <t>2025-05-09 03:04:00,11245008.0329714,66384.4670251308,,-2,,-114.95,0.300613027780939,-1.76</t>
  </si>
  <si>
    <t>2025-05-09 03:04:00,37134485.7507672,0,0,0,0,0,0,0</t>
  </si>
  <si>
    <t>2025-05-09 03:05:00,580,,,,580,,,,,,,,,,</t>
  </si>
  <si>
    <t>2025-05-09 03:05:00,500,,,,470,,,,,,,,,,</t>
  </si>
  <si>
    <t>2025-05-09 03:05:00,,5500,5700,,,5800,5660,,,,,5850,5550,5750,5550</t>
  </si>
  <si>
    <t>2025-05-09 03:05:00,20500,,,,19500,,,,,,,,,,</t>
  </si>
  <si>
    <t>2025-05-09 03:05:00,1922330368.24767,0,0,0,0,0,0,0</t>
  </si>
  <si>
    <t>2025-05-09 03:05:00,1279288896.4322,0,0,0,0,0,0,0</t>
  </si>
  <si>
    <t>2025-05-09 03:05:00,5922385.20932936,-90937.8731049428,,6,,-62.01,0.0944105216726946,-1.16</t>
  </si>
  <si>
    <t>2025-05-09 03:05:00,37141388.1544194,0,0,0,0,0,0,0</t>
  </si>
  <si>
    <t>2025-05-09 03:06:00,580,,,,580,,,,,,,,,,</t>
  </si>
  <si>
    <t>2025-05-09 03:06:00,500,,,,470,,,,,,,,,,</t>
  </si>
  <si>
    <t>2025-05-09 03:06:00,,5500,5700,,,5800,5660,,,,,5850,5550,5750,5550</t>
  </si>
  <si>
    <t>2025-05-09 03:06:00,20500,,,,19500,,,,,,,,,,</t>
  </si>
  <si>
    <t>2025-05-09 03:06:00,1815148521.68359,0,0,0,0,0,0,0</t>
  </si>
  <si>
    <t>2025-05-09 03:06:00,1267819965.85255,0,0,0,0,0,0,0</t>
  </si>
  <si>
    <t>2025-05-09 03:06:00,9596410.87751861,21506.5591182949,,21,,-24.53,0.185906756306771,-0.0500000000000002</t>
  </si>
  <si>
    <t>2025-05-09 03:06:00,37139405.3760224,0,0,0,0,0,0,0</t>
  </si>
  <si>
    <t>2025-05-09 03:07:00,580,,,,580,,,,,,,,,,</t>
  </si>
  <si>
    <t>2025-05-09 03:07:00,500,,,,470,,,,,,,,,,</t>
  </si>
  <si>
    <t>2025-05-09 03:07:00,,5500,5700,,,5800,5660,,,,,5850,5550,5750,5550</t>
  </si>
  <si>
    <t>2025-05-09 03:07:00,20500,,,,19500,,,,,,,,,,</t>
  </si>
  <si>
    <t>2025-05-09 03:07:00,1787214553.79759,0,0,0,0,0,0,0</t>
  </si>
  <si>
    <t>2025-05-09 03:07:00,1258265740.49882,0,0,0,0,0,0,0</t>
  </si>
  <si>
    <t>2025-05-09 03:07:00,9600354.89992072,14291.0893300512,,-1,,0.0900000000000016,0.0425972686167634,0.06</t>
  </si>
  <si>
    <t>2025-05-09 03:07:00,37142161.8094988,0,0,0,0,0,0,0</t>
  </si>
  <si>
    <t>2025-05-09 03:08:00,580,,,,580,,,,,,,,,,</t>
  </si>
  <si>
    <t>2025-05-09 03:08:00,500,,,,470,,,,,,,,,,</t>
  </si>
  <si>
    <t>2025-05-09 03:08:00,,5500,5700,,,5800,5660,,,,,5850,5550,5750,5550</t>
  </si>
  <si>
    <t>2025-05-09 03:08:00,20500,,,,19500,,,,,,,,,,</t>
  </si>
  <si>
    <t>2025-05-09 03:08:00,1815032853.86718,0,0,0,0,0,0,0</t>
  </si>
  <si>
    <t>2025-05-09 03:08:00,1255775956.36753,0,0,0,0,0,0,0</t>
  </si>
  <si>
    <t>2025-05-09 03:08:00,10183619.7655932,57074.4647190827,,11,,87.37,0.0827134291039696,2.12</t>
  </si>
  <si>
    <t>2025-05-09 03:08:00,37141520.1148985,0,0,0,0,0,0,0</t>
  </si>
  <si>
    <t>2025-05-09 03:09:00,580,,,,580,,,,,,,,,,</t>
  </si>
  <si>
    <t>2025-05-09 03:09:00,500,,,,470,,,,,,,,,,</t>
  </si>
  <si>
    <t>2025-05-09 03:09:00,,5500,5700,,,5800,5660,,,,,5850,5550,5750,5550</t>
  </si>
  <si>
    <t>2025-05-09 03:09:00,20500,,,,19500,,,,,,,,,,</t>
  </si>
  <si>
    <t>2025-05-09 03:09:00,1865981132.43502,0,0,0,0,0,0,0</t>
  </si>
  <si>
    <t>2025-05-09 03:09:00,1267645553.35865,0,0,0,0,0,0,0</t>
  </si>
  <si>
    <t>2025-05-09 03:09:00,8028863.77737786,-15228.3255024456,,7,,61.93,0.0328982314910056,1.68</t>
  </si>
  <si>
    <t>2025-05-09 03:09:00,37138299.8179432,0,0,0,0,0,0,0</t>
  </si>
  <si>
    <t>2025-05-09 03:10:00,580,,,,580,,,,,,,,,,</t>
  </si>
  <si>
    <t>2025-05-09 03:10:00,500,,,,470,,,,,,,,,,</t>
  </si>
  <si>
    <t>2025-05-09 03:10:00,,5500,5700,,,5800,5660,,,,,5850,5550,5750,5550</t>
  </si>
  <si>
    <t>2025-05-09 03:10:00,20500,,,,19500,,,,,,,,,,</t>
  </si>
  <si>
    <t>2025-05-09 03:10:00,1779796367.40348,0,0,0,0,0,0,0</t>
  </si>
  <si>
    <t>2025-05-09 03:10:00,1242589295.77748,0,0,0,0,0,0,0</t>
  </si>
  <si>
    <t>2025-05-09 03:10:00,9550034.67758515,57531.0502437447,,16,,81.07,0.0936710893564914,2.34</t>
  </si>
  <si>
    <t>2025-05-09 03:10:00,37145244.0638164,0,0,0,0,0,0,0</t>
  </si>
  <si>
    <t>2025-05-09 03:11:00,580,,,,580,,,,,,,,,,</t>
  </si>
  <si>
    <t>2025-05-09 03:11:00,500,,,,470,,,,,,,,,,</t>
  </si>
  <si>
    <t>2025-05-09 03:11:00,,5500,5700,,,5800,5660,,,,,5850,5550,5750,5550</t>
  </si>
  <si>
    <t>2025-05-09 03:11:00,20500,,,,19500,,,,,,,,,,</t>
  </si>
  <si>
    <t>2025-05-09 03:11:00,1743624677.49978,0,0,0,0,0,0,0</t>
  </si>
  <si>
    <t>2025-05-09 03:11:00,1204572497.65609,0,0,0,0,0,0,0</t>
  </si>
  <si>
    <t>2025-05-09 03:11:00,16363253.0461817,238641.519462415,,-15,,-59.42,0.23059354899229,-1.36</t>
  </si>
  <si>
    <t>2025-05-09 03:11:00,37141194.461802,0,0,0,0,0,0,0</t>
  </si>
  <si>
    <t>2025-05-09 03:12:00,580,,,,580,,,,,,,,,,</t>
  </si>
  <si>
    <t>2025-05-09 03:12:00,500,,,,470,,,,,,,,,,</t>
  </si>
  <si>
    <t>2025-05-09 03:12:00,,5500,5700,,,5800,5660,,,,,5850,5550,5750,5550</t>
  </si>
  <si>
    <t>2025-05-09 03:12:00,20500,,,,19500,,,,,,,,,,</t>
  </si>
  <si>
    <t>2025-05-09 03:12:00,1754746798.08304,0,0,0,0,0,0,0</t>
  </si>
  <si>
    <t>2025-05-09 03:12:00,1207217916.68283,0,0,0,0,0,0,0</t>
  </si>
  <si>
    <t>2025-05-09 03:12:00,13927055.8795998,176323.625707257,,6,,25.35,0.0266678152590298,0.66</t>
  </si>
  <si>
    <t>2025-05-09 03:12:00,37138525.2635638,0,0,0,0,0,0,0</t>
  </si>
  <si>
    <t>2025-05-09 03:13:00,580,,,,580,,,,,,,,,,</t>
  </si>
  <si>
    <t>2025-05-09 03:13:00,500,,,,470,,,,,,,,,,</t>
  </si>
  <si>
    <t>2025-05-09 03:13:00,,5500,5700,,,5800,5660,,,,,5850,5550,5750,5550</t>
  </si>
  <si>
    <t>2025-05-09 03:13:00,20500,,,,19500,,,,,,,,,,</t>
  </si>
  <si>
    <t>2025-05-09 03:13:00,1747916807.01208,0,0,0,0,0,0,0</t>
  </si>
  <si>
    <t>2025-05-09 03:13:00,1207621366.46413,0,0,0,0,0,0,0</t>
  </si>
  <si>
    <t>2025-05-09 03:13:00,14523775.0990394,191894.878435268,,4,,49.32,0.19183566606516,1.08</t>
  </si>
  <si>
    <t>2025-05-09 03:13:00,37137665.0373688,0,0,0,0,0,0,0</t>
  </si>
  <si>
    <t>2025-05-09 03:14:00,580,,,,580,,,,,,,,,,</t>
  </si>
  <si>
    <t>2025-05-09 03:14:00,500,,,,470,,,,,,,,,,</t>
  </si>
  <si>
    <t>2025-05-09 03:14:00,,5500,5700,,,5800,5660,,,,,5850,5550,5750,5550</t>
  </si>
  <si>
    <t>2025-05-09 03:14:00,20500,,,,19500,,,,,,,,,,</t>
  </si>
  <si>
    <t>2025-05-09 03:14:00,1747839710.04017,0,0,0,0,0,0,0</t>
  </si>
  <si>
    <t>2025-05-09 03:14:00,1206245518.25306,0,0,0,0,0,0,0</t>
  </si>
  <si>
    <t>2025-05-09 03:14:00,14756102.9063609,190034.974437769,,-7,,-27.35,0.0207742147754094,-0.75</t>
  </si>
  <si>
    <t>2025-05-09 03:14:00,37133597.9704363,0,0,0,0,0,0,0</t>
  </si>
  <si>
    <t>2025-05-09 03:15:00,580,,,,580,,,,,,,,,,</t>
  </si>
  <si>
    <t>2025-05-09 03:15:00,500,,,,470,,,,,,,,,,</t>
  </si>
  <si>
    <t>2025-05-09 03:15:00,,5500,5700,,,5800,5660,,,,,5850,5550,5750,5550</t>
  </si>
  <si>
    <t>2025-05-09 03:15:00,20500,,,,19500,,,,,,,,,,</t>
  </si>
  <si>
    <t>2025-05-09 03:15:00,1743342811.80795,0,0,0,0,0,0,0</t>
  </si>
  <si>
    <t>2025-05-09 03:15:00,1206250938.16692,0,0,0,0,0,0,0</t>
  </si>
  <si>
    <t>2025-05-09 03:15:00,14097862.9609327,172871.000482302,,-2,,-15.2,0.0191678763671787,-0.38</t>
  </si>
  <si>
    <t>2025-05-09 03:15:00,37130358.0661801,0,0,0,0,0,0,0</t>
  </si>
  <si>
    <t>2025-05-09 03:16:00,580,,,,580,,,,,,,,,,</t>
  </si>
  <si>
    <t>2025-05-09 03:16:00,500,,,,470,,,,,,,,,,</t>
  </si>
  <si>
    <t>2025-05-09 03:16:00,,5500,5700,,,5800,5660,,,,,5850,5550,5750,5550</t>
  </si>
  <si>
    <t>2025-05-09 03:16:00,20500,,,,19500,,,,,,,,,,</t>
  </si>
  <si>
    <t>2025-05-09 03:16:00,1679585682.16697,0,0,0,0,0,0,0</t>
  </si>
  <si>
    <t>2025-05-09 03:16:00,1145472259.08653,0,0,0,0,0,0,0</t>
  </si>
  <si>
    <t>2025-05-09 03:16:00,19845323.7059721,348013.792469334,,11,,151.6,0.137381459666431,2.86</t>
  </si>
  <si>
    <t>2025-05-09 03:16:00,37137351.5193383,0,0,0,0,0,0,0</t>
  </si>
  <si>
    <t>2025-05-09 03:17:00,580,,,,580,,,,,,,,,,</t>
  </si>
  <si>
    <t>2025-05-09 03:17:00,500,,,,470,,,,,,,,,,</t>
  </si>
  <si>
    <t>2025-05-09 03:17:00,,5500,5700,,,5800,5660,,,,,5850,5550,5750,5550</t>
  </si>
  <si>
    <t>2025-05-09 03:17:00,20500,,,,19500,,,,,,,,,,</t>
  </si>
  <si>
    <t>2025-05-09 03:17:00,1738697472.83336,0,0,0,0,0,0,0</t>
  </si>
  <si>
    <t>2025-05-09 03:17:00,1189511440.94418,0,0,0,0,0,0,0</t>
  </si>
  <si>
    <t>2025-05-09 03:17:00,18681390.5364893,274264.621880184,,-35,,-140.54,0.156690693047179,-3.76</t>
  </si>
  <si>
    <t>2025-05-09 03:17:00,37136556.1443796,0,0,0,0,0,0,0</t>
  </si>
  <si>
    <t>2025-05-09 03:18:00,580,,,,580,,,,,,,,,,</t>
  </si>
  <si>
    <t>2025-05-09 03:18:00,500,,,,470,,,,,,,,,,</t>
  </si>
  <si>
    <t>2025-05-09 03:18:00,,5500,5700,,,5800,5660,,,,,5850,5550,5750,5550</t>
  </si>
  <si>
    <t>2025-05-09 03:18:00,20500,,,,19500,,,,,,,,,,</t>
  </si>
  <si>
    <t>2025-05-09 03:18:00,1713388642.26706,0,0,0,0,0,0,0</t>
  </si>
  <si>
    <t>2025-05-09 03:18:00,1163320650.83329,0,0,0,0,0,0,0</t>
  </si>
  <si>
    <t>2025-05-09 03:18:00,18170434.1498218,268267.564904871,,-10,,-271.67,0.0884600485526097,-2.79</t>
  </si>
  <si>
    <t>2025-05-09 03:18:00,37134204.2326041,0,0,0,0,0,0,0</t>
  </si>
  <si>
    <t>2025-05-09 03:19:00,580,,,,580,,,,,,,,,,</t>
  </si>
  <si>
    <t>2025-05-09 03:19:00,500,,,,470,,,,,,,,,,</t>
  </si>
  <si>
    <t>2025-05-09 03:19:00,,5500,5700,,,5800,5660,,,,,5850,5550,5750,5550</t>
  </si>
  <si>
    <t>2025-05-09 03:19:00,20500,,,,19500,,,,,,,,,,</t>
  </si>
  <si>
    <t>2025-05-09 03:19:00,1723948953.74457,0,0,0,0,0,0,0</t>
  </si>
  <si>
    <t>2025-05-09 03:19:00,1168702204.70674,0,0,0,0,0,0,0</t>
  </si>
  <si>
    <t>2025-05-09 03:19:00,18196966.0878302,259555.922879802,,-7,,-64.65,0.0587020885288628,-1.72</t>
  </si>
  <si>
    <t>2025-05-09 03:19:00,37130436.5641903,0,0,0,0,0,0,0</t>
  </si>
  <si>
    <t>2025-05-09 03:20:00,580,,,,580,,,,,,,,,,</t>
  </si>
  <si>
    <t>2025-05-09 03:20:00,500,,,,470,,,,,,,,,,</t>
  </si>
  <si>
    <t>2025-05-09 03:20:00,,5500,5700,,,5800,5660,,,,,5850,5550,5750,5550</t>
  </si>
  <si>
    <t>2025-05-09 03:20:00,20500,,,,19500,,,,,,,,,,</t>
  </si>
  <si>
    <t>2025-05-09 03:20:00,1743320696.10605,0,0,0,0,0,0,0</t>
  </si>
  <si>
    <t>2025-05-09 03:20:00,1183621468.74242,0,0,0,0,0,0,0</t>
  </si>
  <si>
    <t>2025-05-09 03:20:00,16240234.0935113,226365.267783286,,17,,174.47,0.117805733642324,4.16</t>
  </si>
  <si>
    <t>2025-05-09 03:20:00,37137463.43155,0,0,0,0,0,0,0</t>
  </si>
  <si>
    <t>2025-05-09 03:21:00,580,,,,580,,,,,,,,,,</t>
  </si>
  <si>
    <t>2025-05-09 03:21:00,500,,,,470,,,,,,,,,,</t>
  </si>
  <si>
    <t>2025-05-09 03:21:00,,5500,5700,,,5800,5660,,,,,5850,5550,5750,5550</t>
  </si>
  <si>
    <t>2025-05-09 03:21:00,20500,,,,19500,,,,,,,,,,</t>
  </si>
  <si>
    <t>2025-05-09 03:21:00,1724071017.16012,0,0,0,0,0,0,0</t>
  </si>
  <si>
    <t>2025-05-09 03:21:00,1174742181.45545,0,0,0,0,0,0,0</t>
  </si>
  <si>
    <t>2025-05-09 03:21:00,17702802.223645,268256.713798985,,-7,,-86.7,0.0332224668032596,-2.07</t>
  </si>
  <si>
    <t>2025-05-09 03:21:00,37129031.7409679,0,0,0,0,0,0,0</t>
  </si>
  <si>
    <t>2025-05-09 03:22:00,580,,,,580,,,,,,,,,,</t>
  </si>
  <si>
    <t>2025-05-09 03:22:00,500,,,,470,,,,,,,,,,</t>
  </si>
  <si>
    <t>2025-05-09 03:22:00,,5500,5700,,,5800,5660,,,,,5850,5550,5750,5550</t>
  </si>
  <si>
    <t>2025-05-09 03:22:00,20500,,,,19500,,,,,,,,,,</t>
  </si>
  <si>
    <t>2025-05-09 03:22:00,1747490512.52957,0,0,0,0,0,0,0</t>
  </si>
  <si>
    <t>2025-05-09 03:22:00,1206861701.50524,0,0,0,0,0,0,0</t>
  </si>
  <si>
    <t>2025-05-09 03:22:00,14857902.0279981,161230.364166927,,-2,,-17.78,0.0421017914868594,-0.53</t>
  </si>
  <si>
    <t>2025-05-09 03:22:00,37126198.9343299,0,0,0,0,0,0,0</t>
  </si>
  <si>
    <t>2025-05-09 03:23:00,580,,,,580,,,,,,,,,,</t>
  </si>
  <si>
    <t>2025-05-09 03:23:00,500,,,,470,,,,,,,,,,</t>
  </si>
  <si>
    <t>2025-05-09 03:23:00,,5500,5700,,,5800,5660,,,,,5850,5550,5750,5550</t>
  </si>
  <si>
    <t>2025-05-09 03:23:00,20500,,,,19500,,,,,,,,,,</t>
  </si>
  <si>
    <t>2025-05-09 03:23:00,1743243655.12768,0,0,0,0,0,0,0</t>
  </si>
  <si>
    <t>2025-05-09 03:23:00,1199656060.62173,0,0,0,0,0,0,0</t>
  </si>
  <si>
    <t>2025-05-09 03:23:00,16039245.6004301,196961.899649497,,-11,,-77.16,0.0831944746187305,-2.02</t>
  </si>
  <si>
    <t>2025-05-09 03:23:00,37124312.0446548,0,0,0,0,0,0,0</t>
  </si>
  <si>
    <t>2025-05-09 03:24:00,580,,,,580,,,,,,,,,,</t>
  </si>
  <si>
    <t>2025-05-09 03:24:00,500,,,,470,,,,,,,,,,</t>
  </si>
  <si>
    <t>2025-05-09 03:24:00,,5500,5700,,,5800,5660,,,,,5850,5550,5750,5550</t>
  </si>
  <si>
    <t>2025-05-09 03:24:00,20500,,,,19500,,,,,,,,,,</t>
  </si>
  <si>
    <t>2025-05-09 03:24:00,1743224619.02933,0,0,0,0,0,0,0</t>
  </si>
  <si>
    <t>2025-05-09 03:24:00,1207205804.45936,0,0,0,0,0,0,0</t>
  </si>
  <si>
    <t>2025-05-09 03:24:00,15739018.8642986,178804.675545449,,-1,,-23.4,0.0414822648890188,-0.62</t>
  </si>
  <si>
    <t>2025-05-09 03:24:00,37131372.7969243,0,0,0,0,0,0,0</t>
  </si>
  <si>
    <t>2025-05-09 03:25:00,580,,,,580,,,,,,,,,,</t>
  </si>
  <si>
    <t>2025-05-09 03:25:00,500,,,,470,,,,,,,,,,</t>
  </si>
  <si>
    <t>2025-05-09 03:25:00,,5500,5700,,,5800,5660,,,,,5850,5550,5750,5550</t>
  </si>
  <si>
    <t>2025-05-09 03:25:00,20500,,,,19500,,,,,,,,,,</t>
  </si>
  <si>
    <t>2025-05-09 03:25:00,1743166344.42237,0,0,0,0,0,0,0</t>
  </si>
  <si>
    <t>2025-05-09 03:25:00,1206923666.73256,0,0,0,0,0,0,0</t>
  </si>
  <si>
    <t>2025-05-09 03:25:00,15194660.2921512,167590.15528971,,-1,,-199.04,0.0207627719593453,-1.03</t>
  </si>
  <si>
    <t>2025-05-09 03:25:00,37129434.7834228,0,0,0,0,0,0,0</t>
  </si>
  <si>
    <t>2025-05-09 03:26:00,580,,,,580,,,,,,,,,,</t>
  </si>
  <si>
    <t>2025-05-09 03:26:00,500,,,,470,,,,,,,,,,</t>
  </si>
  <si>
    <t>2025-05-09 03:26:00,,5500,5700,,,5800,5660,,,,,5850,5550,5750,5550</t>
  </si>
  <si>
    <t>2025-05-09 03:26:00,20500,,,,19500,,,,,,,,,,</t>
  </si>
  <si>
    <t>2025-05-09 03:26:00,1750256596.16227,0,0,0,0,0,0,0</t>
  </si>
  <si>
    <t>2025-05-09 03:26:00,1244184990.40492,0,0,0,0,0,0,0</t>
  </si>
  <si>
    <t>2025-05-09 03:26:00,13020148.8687426,92879.9526140868,,-3,,-34.25,0.032530982662221,-0.84</t>
  </si>
  <si>
    <t>2025-05-09 03:26:00,37122672.1041706,0,0,0,0,0,0,0</t>
  </si>
  <si>
    <t>2025-05-09 03:27:00,580,,,,580,,,,,,,,,,</t>
  </si>
  <si>
    <t>2025-05-09 03:27:00,500,,,,470,,,,,,,,,,</t>
  </si>
  <si>
    <t>2025-05-09 03:27:00,,5500,5700,,,5800,5660,,,,,5850,5550,5750,5550</t>
  </si>
  <si>
    <t>2025-05-09 03:27:00,20500,,,,19500,,,,,,,,,,</t>
  </si>
  <si>
    <t>2025-05-09 03:27:00,1931126223.10059,0,0,0,0,0,0,0</t>
  </si>
  <si>
    <t>2025-05-09 03:27:00,1268846070.85359,0,0,0,0,0,0,0</t>
  </si>
  <si>
    <t>2025-05-09 03:27:00,5451611.46966526,-95942.5343564458,,13,,185.94,0.106316316951042,3.76</t>
  </si>
  <si>
    <t>2025-05-09 03:27:00,37119569.2171808,0,0,0,0,0,0,0</t>
  </si>
  <si>
    <t>2025-05-09 03:28:00,580,,,,580,,,,,,,,,,</t>
  </si>
  <si>
    <t>2025-05-09 03:28:00,500,,,,470,,,,,,,,,,</t>
  </si>
  <si>
    <t>2025-05-09 03:28:00,,5500,5700,,,5800,5660,,,,,5850,5550,5750,5550</t>
  </si>
  <si>
    <t>2025-05-09 03:28:00,20500,,,,19500,,,,,,,,,,</t>
  </si>
  <si>
    <t>2025-05-09 03:28:00,1953571555.47463,0,0,0,0,0,0,0</t>
  </si>
  <si>
    <t>2025-05-09 03:28:00,1108668503.4786,0,0,0,0,0,0,0</t>
  </si>
  <si>
    <t>2025-05-09 03:28:00,4166339.069754,-174974.586854088,,-35,,-737.72,0.215359383108504,-16.69</t>
  </si>
  <si>
    <t>2025-05-09 03:28:00,37126666.7215045,0,0,0,0,0,0,0</t>
  </si>
  <si>
    <t>2025-05-09 03:29:00,580,,,,580,,,,,,,,,,</t>
  </si>
  <si>
    <t>2025-05-09 03:29:00,500,,,,470,,,,,,,,,,</t>
  </si>
  <si>
    <t>2025-05-09 03:29:00,,5500,5700,,,5800,5660,,,,,5850,5550,5750,5550</t>
  </si>
  <si>
    <t>2025-05-09 03:29:00,20500,,,,19500,,,,,,,,,,</t>
  </si>
  <si>
    <t>2025-05-09 03:29:00,1930794398.21086,0,0,0,0,0,0,0</t>
  </si>
  <si>
    <t>2025-05-09 03:29:00,1274604563.15915,0,0,0,0,0,0,0</t>
  </si>
  <si>
    <t>2025-05-09 03:29:00,4563393.45905939,-160887.957950723,,-12,,-38.47,0.0808532624696187,-0.75</t>
  </si>
  <si>
    <t>2025-05-09 03:29:00,37125969.0552757,0,0,0,0,0,0,0</t>
  </si>
  <si>
    <t>2025-05-09 03:30:00,580,,,,580,,,,,,,,,,</t>
  </si>
  <si>
    <t>2025-05-09 03:30:00,500,,,,470,,,,,,,,,,</t>
  </si>
  <si>
    <t>2025-05-09 03:30:00,,5500,5700,,,5800,5660,,,,,5850,5550,5750,5550</t>
  </si>
  <si>
    <t>2025-05-09 03:30:00,20500,,,,19500,,,,,,,,,,</t>
  </si>
  <si>
    <t>2025-05-09 03:30:00,1867410984.22404,0,0,0,0,0,0,0</t>
  </si>
  <si>
    <t>2025-05-09 03:30:00,1268115201.36515,0,0,0,0,0,0,0</t>
  </si>
  <si>
    <t>2025-05-09 03:30:00,7374844.87642778,-73037.4378761255,,1,,-5.19,0.0200040883924248,-0.09</t>
  </si>
  <si>
    <t>2025-05-09 03:30:00,37119790.2253016,0,0,0,0,0,0,0</t>
  </si>
  <si>
    <t>2025-05-09 03:31:00,580,,,,580,,,,,,,,,,</t>
  </si>
  <si>
    <t>2025-05-09 03:31:00,500,,,,470,,,,,,,,,,</t>
  </si>
  <si>
    <t>2025-05-09 03:31:00,,5500,5700,,,5800,5660,,,,,5850,5550,5750,5550</t>
  </si>
  <si>
    <t>2025-05-09 03:31:00,20500,,,,19500,,,,,,,,,,</t>
  </si>
  <si>
    <t>2025-05-09 03:31:00,1867381568.96143,0,0,0,0,0,0,0</t>
  </si>
  <si>
    <t>2025-05-09 03:31:00,1267910171.45736,0,0,0,0,0,0,0</t>
  </si>
  <si>
    <t>2025-05-09 03:31:00,7613432.03515274,-71761.929311244,,4,,29.33,0.0174309558650118,0.81</t>
  </si>
  <si>
    <t>2025-05-09 03:31:00,37126910.7560683,0,0,0,0,0,0,0</t>
  </si>
  <si>
    <t>2025-05-09 03:32:00,580,,,,580,,,,,,,,,,</t>
  </si>
  <si>
    <t>2025-05-09 03:32:00,500,,,,470,,,,,,,,,,</t>
  </si>
  <si>
    <t>2025-05-09 03:32:00,,5500,5700,,,5800,5660,,,,,5850,5550,5750,5550</t>
  </si>
  <si>
    <t>2025-05-09 03:32:00,20500,,,,19500,,,,,,,,,,</t>
  </si>
  <si>
    <t>2025-05-09 03:32:00,1868002945.54681,0,0,0,0,0,0,0</t>
  </si>
  <si>
    <t>2025-05-09 03:32:00,1267213522.53336,0,0,0,0,0,0,0</t>
  </si>
  <si>
    <t>2025-05-09 03:32:00,7584340.9551955,-101381.299788639,,-96,,-163.22,0.178686110566773,-2.96</t>
  </si>
  <si>
    <t>2025-05-09 03:32:00,37120635.3743237,0,0,0,0,0,0,0</t>
  </si>
  <si>
    <t>2025-05-09 03:33:00,580,,,,580,,,,,,,,,,</t>
  </si>
  <si>
    <t>2025-05-09 03:33:00,500,,,,470,,,,,,,,,,</t>
  </si>
  <si>
    <t>2025-05-09 03:33:00,,5500,5700,,,5800,5660,,,,,5850,5550,5750,5550</t>
  </si>
  <si>
    <t>2025-05-09 03:33:00,20500,,,,19500,,,,,,,,,,</t>
  </si>
  <si>
    <t>2025-05-09 03:33:00,1947158864.36364,0,0,0,0,0,0,0</t>
  </si>
  <si>
    <t>2025-05-09 03:33:00,1282492178.26019,0,0,0,0,0,0,0</t>
  </si>
  <si>
    <t>2025-05-09 03:33:00,5572902.57063423,-172548.194501245,,6,,-5.64,0.0351154043236417,0.24</t>
  </si>
  <si>
    <t>2025-05-09 03:33:00,37118412.6608671,0,0,0,0,0,0,0</t>
  </si>
  <si>
    <t>2025-05-09 03:34:00,580,,,,580,,,,,,,,,,</t>
  </si>
  <si>
    <t>2025-05-09 03:34:00,500,,,,470,,,,,,,,,,</t>
  </si>
  <si>
    <t>2025-05-09 03:34:00,,5500,5700,,,5800,5660,,,,,5850,5550,5750,5550</t>
  </si>
  <si>
    <t>2025-05-09 03:34:00,20500,,,,19500,,,,,,,,,,</t>
  </si>
  <si>
    <t>2025-05-09 03:34:00,1867647147.51677,0,0,0,0,0,0,0</t>
  </si>
  <si>
    <t>2025-05-09 03:34:00,1262692748.7219,0,0,0,0,0,0,0</t>
  </si>
  <si>
    <t>2025-05-09 03:34:00,7684887.49202353,-97141.1461181832,,-10,,-42.66,0.0512339281098629,-1.08</t>
  </si>
  <si>
    <t>2025-05-09 03:34:00,37116451.8183066,0,0,0,0,0,0,0</t>
  </si>
  <si>
    <t>2025-05-09 03:35:00,580,,,,580,,,,,,,,,,</t>
  </si>
  <si>
    <t>2025-05-09 03:35:00,500,,,,470,,,,,,,,,,</t>
  </si>
  <si>
    <t>2025-05-09 03:35:00,,5500,5700,,,5800,5660,,,,,5850,5550,5750,5550</t>
  </si>
  <si>
    <t>2025-05-09 03:35:00,20500,,,,19500,,,,,,,,,,</t>
  </si>
  <si>
    <t>2025-05-09 03:35:00,1907921725.73424,0,0,0,0,0,0,0</t>
  </si>
  <si>
    <t>2025-05-09 03:35:00,1257015595.01297,0,0,0,0,0,0,0</t>
  </si>
  <si>
    <t>2025-05-09 03:35:00,6547507.26449395,-175172.787153398,,-98,,-152.29,0.17598298807972,-2.65</t>
  </si>
  <si>
    <t>2025-05-09 03:35:00,37123610.4054291,0,0,0,0,0,0,0</t>
  </si>
  <si>
    <t>2025-05-09 03:36:00,580,,,,580,,,,,,,,,,</t>
  </si>
  <si>
    <t>2025-05-09 03:36:00,500,,,,470,,,,,,,,,,</t>
  </si>
  <si>
    <t>2025-05-09 03:36:00,,5500,5700,,,5800,5660,,,,,5850,5550,5750,5550</t>
  </si>
  <si>
    <t>2025-05-09 03:36:00,20500,,,,19500,,,,,,,,,,</t>
  </si>
  <si>
    <t>2025-05-09 03:36:00,1902091229.2374,0,0,0,0,0,0,0</t>
  </si>
  <si>
    <t>2025-05-09 03:36:00,1267648855.61407,0,0,0,0,0,0,0</t>
  </si>
  <si>
    <t>2025-05-09 03:36:00,6762597.38897756,-151686.973367638,,18,,227.16,0.0720582349279426,4.44</t>
  </si>
  <si>
    <t>2025-05-09 03:36:00,37119420.9387385,0,0,0,0,0,0,0</t>
  </si>
  <si>
    <t>2025-05-09 03:37:00,580,,,,580,,,,,,,,,,</t>
  </si>
  <si>
    <t>2025-05-09 03:37:00,500,,,,470,,,,,,,,,,</t>
  </si>
  <si>
    <t>2025-05-09 03:37:00,,5500,5700,,,5800,5660,,,,,5850,5550,5750,5550</t>
  </si>
  <si>
    <t>2025-05-09 03:37:00,20500,,,,19500,,,,,,,,,,</t>
  </si>
  <si>
    <t>2025-05-09 03:37:00,1756620874.92519,0,0,0,0,0,0,0</t>
  </si>
  <si>
    <t>2025-05-09 03:37:00,1193851771.94315,0,0,0,0,0,0,0</t>
  </si>
  <si>
    <t>2025-05-09 03:37:00,13115999.9336965,25739.8192284621,,-2,,-85.11,0.0556001819619403,-1.81</t>
  </si>
  <si>
    <t>2025-05-09 03:37:00,37115239.8662605,0,0,0,0,0,0,0</t>
  </si>
  <si>
    <t>2025-05-09 03:38:00,580,,,,580,,,,,,,,,,</t>
  </si>
  <si>
    <t>2025-05-09 03:38:00,500,,,,470,,,,,,,,,,</t>
  </si>
  <si>
    <t>2025-05-09 03:38:00,,5500,5700,,,5800,5660,,,,,5850,5550,5750,5550</t>
  </si>
  <si>
    <t>2025-05-09 03:38:00,20500,,,,19500,,,,,,,,,,</t>
  </si>
  <si>
    <t>2025-05-09 03:38:00,1742945459.26402,0,0,0,0,0,0,0</t>
  </si>
  <si>
    <t>2025-05-09 03:38:00,1167306918.63601,0,0,0,0,0,0,0</t>
  </si>
  <si>
    <t>2025-05-09 03:38:00,16212046.8435116,111963.806905036,,6,,63.04,0.0459248036257157,1.42</t>
  </si>
  <si>
    <t>2025-05-09 03:38:00,37112211.5918033,0,0,0,0,0,0,0</t>
  </si>
  <si>
    <t>2025-05-09 03:39:00,580,,,,580,,,,,,,,,,</t>
  </si>
  <si>
    <t>2025-05-09 03:39:00,500,,,,470,,,,,,,,,,</t>
  </si>
  <si>
    <t>2025-05-09 03:39:00,,5500,5700,,,5800,5660,,,,,5850,5550,5750,5550</t>
  </si>
  <si>
    <t>2025-05-09 03:39:00,20500,,,,19500,,,,,,,,,,</t>
  </si>
  <si>
    <t>2025-05-09 03:39:00,1778325772.46401,0,0,0,0,0,0,0</t>
  </si>
  <si>
    <t>2025-05-09 03:39:00,1214181144.66462,0,0,0,0,0,0,0</t>
  </si>
  <si>
    <t>2025-05-09 03:39:00,12136284.6552479,-17784.9641756645,,-2,,-2.75,0.0421451811209908,-0.12</t>
  </si>
  <si>
    <t>2025-05-09 03:39:00,37109218.9059919,0,0,0,0,0,0,0</t>
  </si>
  <si>
    <t>2025-05-09 03:40:00,580,,,,580,,,,,,,,,,</t>
  </si>
  <si>
    <t>2025-05-09 03:40:00,500,,,,470,,,,,,,,,,</t>
  </si>
  <si>
    <t>2025-05-09 03:40:00,,5500,5700,,,5800,5660,,,,,5850,5550,5750,5550</t>
  </si>
  <si>
    <t>2025-05-09 03:40:00,20500,,,,19500,,,,,,,,,,</t>
  </si>
  <si>
    <t>2025-05-09 03:40:00,1778438545.57486,0,0,0,0,0,0,0</t>
  </si>
  <si>
    <t>2025-05-09 03:40:00,1206689665.32217,0,0,0,0,0,0,0</t>
  </si>
  <si>
    <t>2025-05-09 03:40:00,11632159.1971235,-25047.5056721318,,-3,,-17.87,0.0288452264894245,-0.44</t>
  </si>
  <si>
    <t>2025-05-09 03:40:00,37116422.1342394,0,0,0,0,0,0,0</t>
  </si>
  <si>
    <t>2025-05-09 03:41:00,580,,,,580,,,,,,,,,,</t>
  </si>
  <si>
    <t>2025-05-09 03:41:00,500,,,,470,,,,,,,,,,</t>
  </si>
  <si>
    <t>2025-05-09 03:41:00,,5500,5700,,,5800,5660,,,,,5850,5550,5750,5550</t>
  </si>
  <si>
    <t>2025-05-09 03:41:00,20500,,,,19500,,,,,,,,,,</t>
  </si>
  <si>
    <t>2025-05-09 03:41:00,1757172133.71337,0,0,0,0,0,0,0</t>
  </si>
  <si>
    <t>2025-05-09 03:41:00,1202952487.19414,0,0,0,0,0,0,0</t>
  </si>
  <si>
    <t>2025-05-09 03:41:00,13821265.1345834,34564.8311184266,,-4,,-34.95,0.0182748065000911,-0.89</t>
  </si>
  <si>
    <t>2025-05-09 03:41:00,37116437.1462122,0,0,0,0,0,0,0</t>
  </si>
  <si>
    <t>2025-05-09 03:42:00,580,,,,580,,,,,,,,,,</t>
  </si>
  <si>
    <t>2025-05-09 03:42:00,500,,,,470,,,,,,,,,,</t>
  </si>
  <si>
    <t>2025-05-09 03:42:00,,5500,5700,,,5800,5660,,,,,5850,5550,5750,5550</t>
  </si>
  <si>
    <t>2025-05-09 03:42:00,20500,,,,19500,,,,,,,,,,</t>
  </si>
  <si>
    <t>2025-05-09 03:42:00,1757145318.60014,0,0,0,0,0,0,0</t>
  </si>
  <si>
    <t>2025-05-09 03:42:00,1200654515.22273,0,0,0,0,0,0,0</t>
  </si>
  <si>
    <t>2025-05-09 03:42:00,13673183.7180256,-52444.8082881246,,5,,170.63,0.0389654800975536,2.68</t>
  </si>
  <si>
    <t>2025-05-09 03:42:00,37115140.787568,0,0,0,0,0,0,0</t>
  </si>
  <si>
    <t>2025-05-09 03:43:00,580,,,,580,,,,,,,,,,</t>
  </si>
  <si>
    <t>2025-05-09 03:43:00,500,,,,470,,,,,,,,,,</t>
  </si>
  <si>
    <t>2025-05-09 03:43:00,,5500,5700,,,5800,5660,,,,,5850,5550,5750,5550</t>
  </si>
  <si>
    <t>2025-05-09 03:43:00,20500,,,,19500,,,,,,,,,,</t>
  </si>
  <si>
    <t>2025-05-09 03:43:00,1747191789.84313,0,0,0,0,0,0,0</t>
  </si>
  <si>
    <t>2025-05-09 03:43:00,1190811683.04212,0,0,0,0,0,0,0</t>
  </si>
  <si>
    <t>2025-05-09 03:43:00,14654679.7035839,-9113.01632433511,,1,,-8.25,0.0177436759114918,-0.2</t>
  </si>
  <si>
    <t>2025-05-09 03:43:00,37112437.2775072,0,0,0,0,0,0,0</t>
  </si>
  <si>
    <t>2025-05-09 03:44:00,580,,,,580,,,,,,,,,,</t>
  </si>
  <si>
    <t>2025-05-09 03:44:00,500,,,,470,,,,,,,,,,</t>
  </si>
  <si>
    <t>2025-05-09 03:44:00,,5500,5700,,,5800,5660,,,,,5850,5550,5750,5550</t>
  </si>
  <si>
    <t>2025-05-09 03:44:00,20500,,,,19500,,,,,,,,,,</t>
  </si>
  <si>
    <t>2025-05-09 03:44:00,1742846257.3765,0,0,0,0,0,0,0</t>
  </si>
  <si>
    <t>2025-05-09 03:44:00,1176199510.61652,0,0,0,0,0,0,0</t>
  </si>
  <si>
    <t>2025-05-09 03:44:00,15971953.8210204,32517.7094578604,,4,,79.48,0.024511557320017,1.2</t>
  </si>
  <si>
    <t>2025-05-09 03:44:00,37109901.8572055,0,0,0,0,0,0,0</t>
  </si>
  <si>
    <t>2025-05-09 03:45:00,580,,,,580,,,,,,,,,,</t>
  </si>
  <si>
    <t>2025-05-09 03:45:00,500,,,,470,,,,,,,,,,</t>
  </si>
  <si>
    <t>2025-05-09 03:45:00,,5500,5700,,,5800,5660,,,,,5850,5550,5750,5550</t>
  </si>
  <si>
    <t>2025-05-09 03:45:00,20500,,,,19500,,,,,,,,,,</t>
  </si>
  <si>
    <t>2025-05-09 03:45:00,1751030519.56214,0,0,0,0,0,0,0</t>
  </si>
  <si>
    <t>2025-05-09 03:45:00,1176135231.16846,0,0,0,0,0,0,0</t>
  </si>
  <si>
    <t>2025-05-09 03:45:00,15443653.6399472,23015.6745513265,,2,,44,0.0113798462930622,0.92</t>
  </si>
  <si>
    <t>2025-05-09 03:45:00,37117148.9233329,0,0,0,0,0,0,0</t>
  </si>
  <si>
    <t>2025-05-09 03:46:00,580,,,,580,,,,,,,,,,</t>
  </si>
  <si>
    <t>2025-05-09 03:46:00,500,,,,470,,,,,,,,,,</t>
  </si>
  <si>
    <t>2025-05-09 03:46:00,,5500,5700,,,5800,5660,,,,,5850,5550,5750,5550</t>
  </si>
  <si>
    <t>2025-05-09 03:46:00,20500,,,,19500,,,,,,,,,,</t>
  </si>
  <si>
    <t>2025-05-09 03:46:00,1742793158.24916,0,0,0,0,0,0,0</t>
  </si>
  <si>
    <t>2025-05-09 03:46:00,1144155044.22243,0,0,0,0,0,0,0</t>
  </si>
  <si>
    <t>2025-05-09 03:46:00,16168096.4894747,40872.0934181839,,-6,,-42.4,0.0316872552435207,-1.12</t>
  </si>
  <si>
    <t>2025-05-09 03:46:00,37115533.7292735,0,0,0,0,0,0,0</t>
  </si>
  <si>
    <t>2025-05-09 03:47:00,580,,,,580,,,,,,,,,,</t>
  </si>
  <si>
    <t>2025-05-09 03:47:00,500,,,,470,,,,,,,,,,</t>
  </si>
  <si>
    <t>2025-05-09 03:47:00,,5500,5700,,,5800,5660,,,,,5850,5550,5750,5550</t>
  </si>
  <si>
    <t>2025-05-09 03:47:00,20500,,,,19500,,,,,,,,,,</t>
  </si>
  <si>
    <t>2025-05-09 03:47:00,1742831410.63622,0,0,0,0,0,0,0</t>
  </si>
  <si>
    <t>2025-05-09 03:47:00,1161579846.3006,0,0,0,0,0,0,0</t>
  </si>
  <si>
    <t>2025-05-09 03:47:00,16013436.0517685,128674.812928659,,10,,36.97,0.0621275474067543,0.99</t>
  </si>
  <si>
    <t>2025-05-09 03:47:00,37112744.6416577,0,0,0,0,0,0,0</t>
  </si>
  <si>
    <t>2025-05-09 03:48:00,580,,,,580,,,,,,,,,,</t>
  </si>
  <si>
    <t>2025-05-09 03:48:00,500,,,,470,,,,,,,,,,</t>
  </si>
  <si>
    <t>2025-05-09 03:48:00,,5500,5700,,,5800,5660,,,,,5850,5550,5750,5550</t>
  </si>
  <si>
    <t>2025-05-09 03:48:00,20500,,,,19500,,,,,,,,,,</t>
  </si>
  <si>
    <t>2025-05-09 03:48:00,1738069965.80672,0,0,0,0,0,0,0</t>
  </si>
  <si>
    <t>2025-05-09 03:48:00,1145252139.99634,0,0,0,0,0,0,0</t>
  </si>
  <si>
    <t>2025-05-09 03:48:00,17088690.3075641,183712.040991766,,13,,1072.44,0.0709658728138079,11.45</t>
  </si>
  <si>
    <t>2025-05-09 03:48:00,37109868.7549698,0,0,0,0,0,0,0</t>
  </si>
  <si>
    <t>2025-05-09 03:49:00,580,,,,580,,,,,,,,,,</t>
  </si>
  <si>
    <t>2025-05-09 03:49:00,500,,,,470,,,,,,,,,,</t>
  </si>
  <si>
    <t>2025-05-09 03:49:00,,5500,5700,,,5800,5660,,,,,5850,5550,5750,5550</t>
  </si>
  <si>
    <t>2025-05-09 03:49:00,20500,,,,19500,,,,,,,,,,</t>
  </si>
  <si>
    <t>2025-05-09 03:49:00,1695833679.72833,0,0,0,0,0,0,0</t>
  </si>
  <si>
    <t>2025-05-09 03:49:00,1121707909.06804,0,0,0,0,0,0,0</t>
  </si>
  <si>
    <t>2025-05-09 03:49:00,19497276.7906076,244360.975112007,,-10,,-82.63,0.081933389039354,-2.37</t>
  </si>
  <si>
    <t>2025-05-09 03:49:00,37109612.8913352,0,0,0,0,0,0,0</t>
  </si>
  <si>
    <t>2025-05-09 03:50:00,580,,,,580,,,,,,,,,,</t>
  </si>
  <si>
    <t>2025-05-09 03:50:00,500,,,,470,,,,,,,,,,</t>
  </si>
  <si>
    <t>2025-05-09 03:50:00,,5500,5700,,,5800,5660,,,,,5850,5550,5750,5550</t>
  </si>
  <si>
    <t>2025-05-09 03:50:00,20500,,,,19500,,,,,,,,,,</t>
  </si>
  <si>
    <t>2025-05-09 03:50:00,1742698138.47663,0,0,0,0,0,0,0</t>
  </si>
  <si>
    <t>2025-05-09 03:50:00,1144140408.23957,0,0,0,0,0,0,0</t>
  </si>
  <si>
    <t>2025-05-09 03:50:00,17136020.0863158,159943.318763835,,-4,,-160.61,0.0615931346243245,-3.41</t>
  </si>
  <si>
    <t>2025-05-09 03:50:00,37116907.4254128,0,0,0,0,0,0,0</t>
  </si>
  <si>
    <t>2025-05-09 03:51:00,580,,,,580,,,,,,,,,,</t>
  </si>
  <si>
    <t>2025-05-09 03:51:00,500,,,,470,,,,,,,,,,</t>
  </si>
  <si>
    <t>2025-05-09 03:51:00,,5500,5700,,,5800,5660,,,,,5850,5550,5750,5550</t>
  </si>
  <si>
    <t>2025-05-09 03:51:00,20500,,,,19500,,,,,,,,,,</t>
  </si>
  <si>
    <t>2025-05-09 03:51:00,1707087413.02882,0,0,0,0,0,0,0</t>
  </si>
  <si>
    <t>2025-05-09 03:51:00,1121132247.15053,0,0,0,0,0,0,0</t>
  </si>
  <si>
    <t>2025-05-09 03:51:00,18669594.9509294,219569.744275491,,5,,230.22,-0.000484912894448756,3.42</t>
  </si>
  <si>
    <t>2025-05-09 03:51:00,37115908.8459192,0,0,0,0,0,0,0</t>
  </si>
  <si>
    <t>2025-05-09 03:52:00,580,,,,580,,,,,,,,,,</t>
  </si>
  <si>
    <t>2025-05-09 03:52:00,500,,,,470,,,,,,,,,,</t>
  </si>
  <si>
    <t>2025-05-09 03:52:00,,5500,5700,,,5800,5660,,,,,5850,5550,5750,5550</t>
  </si>
  <si>
    <t>2025-05-09 03:52:00,20500,,,,19500,,,,,,,,,,</t>
  </si>
  <si>
    <t>2025-05-09 03:52:00,1742737242.99328,0,0,0,0,0,0,0</t>
  </si>
  <si>
    <t>2025-05-09 03:52:00,1144051545.3077,0,0,0,0,0,0,0</t>
  </si>
  <si>
    <t>2025-05-09 03:52:00,16259328.7823158,132639.097748214,,-3,,-42,0.0119851429335865,-0.9</t>
  </si>
  <si>
    <t>2025-05-09 03:52:00,37113950.5006882,0,0,0,0,0,0,0</t>
  </si>
  <si>
    <t>2025-05-09 03:53:00,580,,,,580,,,,,,,,,,</t>
  </si>
  <si>
    <t>2025-05-09 03:53:00,500,,,,470,,,,,,,,,,</t>
  </si>
  <si>
    <t>2025-05-09 03:53:00,,5500,5700,,,5800,5660,,,,,5850,5550,5750,5550</t>
  </si>
  <si>
    <t>2025-05-09 03:53:00,20500,,,,19500,,,,,,,,,,</t>
  </si>
  <si>
    <t>2025-05-09 03:53:00,1742718660.05099,0,0,0,0,0,0,0</t>
  </si>
  <si>
    <t>2025-05-09 03:53:00,1178548804.88098,0,0,0,0,0,0,0</t>
  </si>
  <si>
    <t>2025-05-09 03:53:00,14704982.5229449,101980.883506208,,15,,153.06,0.074060750008695,3.8</t>
  </si>
  <si>
    <t>2025-05-09 03:53:00,37110644.3157292,0,0,0,0,0,0,0</t>
  </si>
  <si>
    <t>2025-05-09 03:54:00,580,,,,580,,,,,,,,,,</t>
  </si>
  <si>
    <t>2025-05-09 03:54:00,500,,,,470,,,,,,,,,,</t>
  </si>
  <si>
    <t>2025-05-09 03:54:00,,5500,5700,,,5800,5660,,,,,5850,5550,5750,5550</t>
  </si>
  <si>
    <t>2025-05-09 03:54:00,20500,,,,19500,,,,,,,,,,</t>
  </si>
  <si>
    <t>2025-05-09 03:54:00,1742756514.99022,0,0,0,0,0,0,0</t>
  </si>
  <si>
    <t>2025-05-09 03:54:00,1145094699.82458,0,0,0,0,0,0,0</t>
  </si>
  <si>
    <t>2025-05-09 03:54:00,16598089.1882921,170715.347573845,,1,,35.8,0.0713706846812303,0.61</t>
  </si>
  <si>
    <t>2025-05-09 03:54:00,37107921.438081,0,0,0,0,0,0,0</t>
  </si>
  <si>
    <t>2025-05-09 03:55:00,580,,,,580,,,,,,,,,,</t>
  </si>
  <si>
    <t>2025-05-09 03:55:00,500,,,,470,,,,,,,,,,</t>
  </si>
  <si>
    <t>2025-05-09 03:55:00,,5500,5700,,,5800,5660,,,,,5850,5550,5750,5550</t>
  </si>
  <si>
    <t>2025-05-09 03:55:00,20500,,,,19500,,,,,,,,,,</t>
  </si>
  <si>
    <t>2025-05-09 03:55:00,1742639591.32022,0,0,0,0,0,0,0</t>
  </si>
  <si>
    <t>2025-05-09 03:55:00,1140218298.74473,0,0,0,0,0,0,0</t>
  </si>
  <si>
    <t>2025-05-09 03:55:00,16480409.0320028,171711.097600964,,3,,41.39,0.0242198186733033,1</t>
  </si>
  <si>
    <t>2025-05-09 03:55:00,37105639.3010619,0,0,0,0,0,0,0</t>
  </si>
  <si>
    <t>2025-05-09 03:56:00,580,,,,580,,,,,,,,,,</t>
  </si>
  <si>
    <t>2025-05-09 03:56:00,500,,,,470,,,,,,,,,,</t>
  </si>
  <si>
    <t>2025-05-09 03:56:00,,5500,5700,,,5800,5660,,,,,5850,5550,5750,5550</t>
  </si>
  <si>
    <t>2025-05-09 03:56:00,20500,,,,19500,,,,,,,,,,</t>
  </si>
  <si>
    <t>2025-05-09 03:56:00,1742670110.55291,0,0,0,0,0,0,0</t>
  </si>
  <si>
    <t>2025-05-09 03:56:00,1144066819.20158,0,0,0,0,0,0,0</t>
  </si>
  <si>
    <t>2025-05-09 03:56:00,17585251.8090217,203638.03842233,,5,,130.03,0.0344460881174397,2</t>
  </si>
  <si>
    <t>2025-05-09 03:56:00,37112988.4255425,0,0,0,0,0,0,0</t>
  </si>
  <si>
    <t>2025-05-09 03:57:00,580,,,,580,,,,,,,,,,</t>
  </si>
  <si>
    <t>2025-05-09 03:57:00,500,,,,470,,,,,,,,,,</t>
  </si>
  <si>
    <t>2025-05-09 03:57:00,,5500,5700,,,5800,5660,,,,,5850,5550,5750,5550</t>
  </si>
  <si>
    <t>2025-05-09 03:57:00,20500,,,,19500,,,,,,,,,,</t>
  </si>
  <si>
    <t>2025-05-09 03:57:00,1749819850.78991,0,0,0,0,0,0,0</t>
  </si>
  <si>
    <t>2025-05-09 03:57:00,1181240321.61033,0,0,0,0,0,0,0</t>
  </si>
  <si>
    <t>2025-05-09 03:57:00,13590739.7496374,65117.1260324672,,-2,,9.96000000000001,0.073192293602602,-0.32</t>
  </si>
  <si>
    <t>2025-05-09 03:57:00,37116088.8173755,0,0,0,0,0,0,0</t>
  </si>
  <si>
    <t>2025-05-09 03:58:00,580,,,,580,,,,,,,,,,</t>
  </si>
  <si>
    <t>2025-05-09 03:58:00,500,,,,470,,,,,,,,,,</t>
  </si>
  <si>
    <t>2025-05-09 03:58:00,,5500,5700,,,5800,5660,,,,,5850,5550,5750,5550</t>
  </si>
  <si>
    <t>2025-05-09 03:58:00,20500,,,,19500,,,,,,,,,,</t>
  </si>
  <si>
    <t>2025-05-09 03:58:00,1749930197.69631,0,0,0,0,0,0,0</t>
  </si>
  <si>
    <t>2025-05-09 03:58:00,1186963183.49228,0,0,0,0,0,0,0</t>
  </si>
  <si>
    <t>2025-05-09 03:58:00,13276862.2260298,74711.9747654715,,4,,243.25,0.123290821426115,4.96</t>
  </si>
  <si>
    <t>2025-05-09 03:58:00,37115385.7691019,0,0,0,0,0,0,0</t>
  </si>
  <si>
    <t>2025-05-09 03:59:00,580,,,,580,,,,,,,,,,</t>
  </si>
  <si>
    <t>2025-05-09 03:59:00,500,,,,470,,,,,,,,,,</t>
  </si>
  <si>
    <t>2025-05-09 03:59:00,,5500,5700,,,5800,5660,,,,,5850,5550,5750,5550</t>
  </si>
  <si>
    <t>2025-05-09 03:59:00,20500,,,,19500,,,,,,,,,,</t>
  </si>
  <si>
    <t>2025-05-09 03:59:00,1742675419.26961,0,0,0,0,0,0,0</t>
  </si>
  <si>
    <t>2025-05-09 03:59:00,1144810298.10973,0,0,0,0,0,0,0</t>
  </si>
  <si>
    <t>2025-05-09 03:59:00,15412486.234643,144738.511142505,,6,,112.15,0.0531196799818145,2.44</t>
  </si>
  <si>
    <t>2025-05-09 03:59:00,37111776.0659089,0,0,0,0,0,0,0</t>
  </si>
  <si>
    <t>2025-05-09 04:00:00,580,,,,580,,,,,,,,,,</t>
  </si>
  <si>
    <t>2025-05-09 04:00:00,500,,,,470,,,,,,,,,,</t>
  </si>
  <si>
    <t>2025-05-09 04:00:00,,5500,5700,,,5800,5660,,,,,5850,5550,5750,5550</t>
  </si>
  <si>
    <t>2025-05-09 04:00:00,20500,,,,19500,,,,,,,,,,</t>
  </si>
  <si>
    <t>2025-05-09 04:00:00,1796983937.63438,0,0,0,0,0,0,0</t>
  </si>
  <si>
    <t>2025-05-09 04:00:00,1199672634.34422,0,0,0,0,0,0,0</t>
  </si>
  <si>
    <t>2025-05-09 04:00:00,11904723.9222534,34954.1848306468,,5,,39,0.0313291545236126,0.96</t>
  </si>
  <si>
    <t>2025-05-09 04:00:00,37107784.850966,0,0,0,0,0,0,0</t>
  </si>
  <si>
    <t>2025-05-09 04:01:00,580,,,,580,,,,,,,,,,</t>
  </si>
  <si>
    <t>2025-05-09 04:01:00,500,,,,470,,,,,,,,,,</t>
  </si>
  <si>
    <t>2025-05-09 04:01:00,,5500,5700,,,5800,5660,,,,,5850,5550,5750,5550</t>
  </si>
  <si>
    <t>2025-05-09 04:01:00,20500,,,,19500,,,,,,,,,,</t>
  </si>
  <si>
    <t>2025-05-09 04:01:00,1785553892.13834,0,0,0,0,0,0,0</t>
  </si>
  <si>
    <t>2025-05-09 04:01:00,1204992840.62039,0,0,0,0,0,0,0</t>
  </si>
  <si>
    <t>2025-05-09 04:01:00,11793066.4878844,54666.7587920685,,8,,59.53,0.0780999664939649,1.71</t>
  </si>
  <si>
    <t>2025-05-09 04:01:00,37115182.9344912,0,0,0,0,0,0,0</t>
  </si>
  <si>
    <t>2025-05-09 04:02:00,580,,,,580,,,,,,,,,,</t>
  </si>
  <si>
    <t>2025-05-09 04:02:00,500,,,,470,,,,,,,,,,</t>
  </si>
  <si>
    <t>2025-05-09 04:02:00,,5500,5700,,,5800,5660,,,,,5850,5550,5750,5550</t>
  </si>
  <si>
    <t>2025-05-09 04:02:00,20500,,,,19500,,,,,,,,,,</t>
  </si>
  <si>
    <t>2025-05-09 04:02:00,1790033131.34779,0,0,0,0,0,0,0</t>
  </si>
  <si>
    <t>2025-05-09 04:02:00,1232985678.59734,0,0,0,0,0,0,0</t>
  </si>
  <si>
    <t>2025-05-09 04:02:00,11306104.6140422,43540.2566603414,,1,,13.6,0.00545822343594664,0.32</t>
  </si>
  <si>
    <t>2025-05-09 04:02:00,37113821.3656003,0,0,0,0,0,0,0</t>
  </si>
  <si>
    <t>2025-05-09 04:03:00,580,,,,580,,,,,,,,,,</t>
  </si>
  <si>
    <t>2025-05-09 04:03:00,500,,,,470,,,,,,,,,,</t>
  </si>
  <si>
    <t>2025-05-09 04:03:00,,5500,5700,,,5800,5660,,,,,5850,5550,5750,5550</t>
  </si>
  <si>
    <t>2025-05-09 04:03:00,20500,,,,19500,,,,,,,,,,</t>
  </si>
  <si>
    <t>2025-05-09 04:03:00,1800111391.53566,0,0,0,0,0,0,0</t>
  </si>
  <si>
    <t>2025-05-09 04:03:00,1232975590.02071,0,0,0,0,0,0,0</t>
  </si>
  <si>
    <t>2025-05-09 04:03:00,11041033.7618696,30851.5527001443,,2,,84.48,0.00953505258124851,1.3</t>
  </si>
  <si>
    <t>2025-05-09 04:03:00,37107781.4952913,0,0,0,0,0,0,0</t>
  </si>
  <si>
    <t>2025-05-09 04:04:00,580,,,,580,,,,,,,,,,</t>
  </si>
  <si>
    <t>2025-05-09 04:04:00,500,,,,470,,,,,,,,,,</t>
  </si>
  <si>
    <t>2025-05-09 04:04:00,,5500,5700,,,5800,5660,,,,,5850,5550,5750,5550</t>
  </si>
  <si>
    <t>2025-05-09 04:04:00,20500,,,,19500,,,,,,,,,,</t>
  </si>
  <si>
    <t>2025-05-09 04:04:00,1794776739.80815,0,0,0,0,0,0,0</t>
  </si>
  <si>
    <t>2025-05-09 04:04:00,1246645801.76847,0,0,0,0,0,0,0</t>
  </si>
  <si>
    <t>2025-05-09 04:04:00,9543374.374998,-20276.3012868534,,-6,,-43.45,0.0378868672196979,-1.09</t>
  </si>
  <si>
    <t>2025-05-09 04:04:00,37106538.449979,0,0,0,0,0,0,0</t>
  </si>
  <si>
    <t>2025-05-09 04:05:00,580,,,,580,,,,,,,,,,</t>
  </si>
  <si>
    <t>2025-05-09 04:05:00,500,,,,470,,,,,,,,,,</t>
  </si>
  <si>
    <t>2025-05-09 04:05:00,,5500,5700,,,5800,5660,,,,,5850,5550,5750,5550</t>
  </si>
  <si>
    <t>2025-05-09 04:05:00,20500,,,,19500,,,,,,,,,,</t>
  </si>
  <si>
    <t>2025-05-09 04:05:00,1858777399.29024,0,0,0,0,0,0,0</t>
  </si>
  <si>
    <t>2025-05-09 04:05:00,1254317711.39776,0,0,0,0,0,0,0</t>
  </si>
  <si>
    <t>2025-05-09 04:05:00,8587086.7697547,-56250.8054295256,,-5,,-55.99,0.0243671189980759,-1.35</t>
  </si>
  <si>
    <t>2025-05-09 04:05:00,37101262.1545397,0,0,0,0,0,0,0</t>
  </si>
  <si>
    <t>2025-05-09 04:06:00,580,,,,580,,,,,,,,,,</t>
  </si>
  <si>
    <t>2025-05-09 04:06:00,500,,,,470,,,,,,,,,,</t>
  </si>
  <si>
    <t>2025-05-09 04:06:00,,5500,5700,,,5800,5660,,,,,5850,5550,5750,5550</t>
  </si>
  <si>
    <t>2025-05-09 04:06:00,20500,,,,19500,,,,,,,,,,</t>
  </si>
  <si>
    <t>2025-05-09 04:06:00,1903564407.83694,0,0,0,0,0,0,0</t>
  </si>
  <si>
    <t>2025-05-09 04:06:00,1279502528.61217,0,0,0,0,0,0,0</t>
  </si>
  <si>
    <t>2025-05-09 04:06:00,7558373.25621343,-85781.1246131735,,4,,15.35,0.0278675631925276,0.41</t>
  </si>
  <si>
    <t>2025-05-09 04:06:00,37101801.1770311,0,0,0,0,0,0,0</t>
  </si>
  <si>
    <t>2025-05-09 04:07:00,580,,,,580,,,,,,,,,,</t>
  </si>
  <si>
    <t>2025-05-09 04:07:00,500,,,,470,,,,,,,,,,</t>
  </si>
  <si>
    <t>2025-05-09 04:07:00,,5500,5700,,,5800,5660,,,,,5850,5550,5750,5550</t>
  </si>
  <si>
    <t>2025-05-09 04:07:00,20500,,,,19500,,,,,,,,,,</t>
  </si>
  <si>
    <t>2025-05-09 04:07:00,1892021968.36466,0,0,0,0,0,0,0</t>
  </si>
  <si>
    <t>2025-05-09 04:07:00,1262189347.67928,0,0,0,0,0,0,0</t>
  </si>
  <si>
    <t>2025-05-09 04:07:00,7554615.31986846,-82301.0032993459,,-4,,-42.65,0.0140897263227354,-0.92</t>
  </si>
  <si>
    <t>2025-05-09 04:07:00,37109374.9714199,0,0,0,0,0,0,0</t>
  </si>
  <si>
    <t>2025-05-09 04:08:00,580,,,,580,,,,,,,,,,</t>
  </si>
  <si>
    <t>2025-05-09 04:08:00,500,,,,470,,,,,,,,,,</t>
  </si>
  <si>
    <t>2025-05-09 04:08:00,,5500,5700,,,5800,5660,,,,,5850,5550,5750,5550</t>
  </si>
  <si>
    <t>2025-05-09 04:08:00,20500,,,,19500,,,,,,,,,,</t>
  </si>
  <si>
    <t>2025-05-09 04:08:00,1862591865.9837,0,0,0,0,0,0,0</t>
  </si>
  <si>
    <t>2025-05-09 04:08:00,1238166844.80962,0,0,0,0,0,0,0</t>
  </si>
  <si>
    <t>2025-05-09 04:08:00,8822310.77441897,-52488.1650389423,,-1,,-26.9,0.0198825751701569,-0.6</t>
  </si>
  <si>
    <t>2025-05-09 04:08:00,37107575.0848053,0,0,0,0,0,0,0</t>
  </si>
  <si>
    <t>2025-05-09 04:09:00,580,,,,580,,,,,,,,,,</t>
  </si>
  <si>
    <t>2025-05-09 04:09:00,500,,,,470,,,,,,,,,,</t>
  </si>
  <si>
    <t>2025-05-09 04:09:00,,5500,5700,,,5800,5660,,,,,5850,5550,5750,5550</t>
  </si>
  <si>
    <t>2025-05-09 04:09:00,20500,,,,19500,,,,,,,,,,</t>
  </si>
  <si>
    <t>2025-05-09 04:09:00,1897485414.148,0,0,0,0,0,0,0</t>
  </si>
  <si>
    <t>2025-05-09 04:09:00,1256083684.97799,0,0,0,0,0,0,0</t>
  </si>
  <si>
    <t>2025-05-09 04:09:00,8171181.11857522,-81039.4154056389,,0,,-45.91,0.024669825845877,-0.96</t>
  </si>
  <si>
    <t>2025-05-09 04:09:00,37104785.4788273,0,0,0,0,0,0,0</t>
  </si>
  <si>
    <t>2025-05-09 04:10:00,580,,,,580,,,,,,,,,,</t>
  </si>
  <si>
    <t>2025-05-09 04:10:00,500,,,,470,,,,,,,,,,</t>
  </si>
  <si>
    <t>2025-05-09 04:10:00,,5500,5700,,,5800,5660,,,,,5850,5550,5750,5550</t>
  </si>
  <si>
    <t>2025-05-09 04:10:00,20500,,,,19500,,,,,,,,,,</t>
  </si>
  <si>
    <t>2025-05-09 04:10:00,1947230643.47924,0,0,0,0,0,0,0</t>
  </si>
  <si>
    <t>2025-05-09 04:10:00,1265613459.34123,0,0,0,0,0,0,0</t>
  </si>
  <si>
    <t>2025-05-09 04:10:00,6149088.9652483,-145330.240602196,,3,,36.52,0.0598475119811166,0.92</t>
  </si>
  <si>
    <t>2025-05-09 04:10:00,37100279.9538868,0,0,0,0,0,0,0</t>
  </si>
  <si>
    <t>2025-05-09 04:11:00,580,,,,580,,,,,,,,,,</t>
  </si>
  <si>
    <t>2025-05-09 04:11:00,500,,,,470,,,,,,,,,,</t>
  </si>
  <si>
    <t>2025-05-09 04:11:00,,5500,5700,,,5800,5660,,,,,5850,5550,5750,5550</t>
  </si>
  <si>
    <t>2025-05-09 04:11:00,20500,,,,19500,,,,,,,,,,</t>
  </si>
  <si>
    <t>2025-05-09 04:11:00,1915957123.4706,0,0,0,0,0,0,0</t>
  </si>
  <si>
    <t>2025-05-09 04:11:00,1255969742.83287,0,0,0,0,0,0,0</t>
  </si>
  <si>
    <t>2025-05-09 04:11:00,6781661.31333822,-141239.128174036,,-27,,-193.88,0.152273192920776,-4.11</t>
  </si>
  <si>
    <t>2025-05-09 04:11:00,37098256.0176355,0,0,0,0,0,0,0</t>
  </si>
  <si>
    <t>2025-05-09 04:12:00,580,,,,580,,,,,,,,,,</t>
  </si>
  <si>
    <t>2025-05-09 04:12:00,500,,,,470,,,,,,,,,,</t>
  </si>
  <si>
    <t>2025-05-09 04:12:00,,5500,5700,,,5800,5660,,,,,5850,5550,5750,5550</t>
  </si>
  <si>
    <t>2025-05-09 04:12:00,20500,,,,19500,,,,,,,,,,</t>
  </si>
  <si>
    <t>2025-05-09 04:12:00,1862328026.80794,0,0,0,0,0,0,0</t>
  </si>
  <si>
    <t>2025-05-09 04:12:00,1232192255.377,0,0,0,0,0,0,0</t>
  </si>
  <si>
    <t>2025-05-09 04:12:00,8371096.19291994,-73189.8100808244,,-4,,-61.65,0.031752800883449,-1.42</t>
  </si>
  <si>
    <t>2025-05-09 04:12:00,37105760.9827277,0,0,0,0,0,0,0</t>
  </si>
  <si>
    <t>2025-05-09 04:13:00,580,,,,580,,,,,,,,,,</t>
  </si>
  <si>
    <t>2025-05-09 04:13:00,500,,,,470,,,,,,,,,,</t>
  </si>
  <si>
    <t>2025-05-09 04:13:00,,5500,5700,,,5800,5660,,,,,5850,5550,5750,5550</t>
  </si>
  <si>
    <t>2025-05-09 04:13:00,20500,,,,19500,,,,,,,,,,</t>
  </si>
  <si>
    <t>2025-05-09 04:13:00,1885468634.09981,0,0,0,0,0,0,0</t>
  </si>
  <si>
    <t>2025-05-09 04:13:00,1240700443.62559,0,0,0,0,0,0,0</t>
  </si>
  <si>
    <t>2025-05-09 04:13:00,8234676.69649158,-81789.7256378586,,1,,-4.78,0.0172187306390434,-0.06</t>
  </si>
  <si>
    <t>2025-05-09 04:13:00,37101358.135744,0,0,0,0,0,0,0</t>
  </si>
  <si>
    <t>2025-05-09 04:14:00,580,,,,580,,,,,,,,,,</t>
  </si>
  <si>
    <t>2025-05-09 04:14:00,500,,,,470,,,,,,,,,,</t>
  </si>
  <si>
    <t>2025-05-09 04:14:00,,5500,5700,,,5800,5660,,,,,5850,5550,5750,5550</t>
  </si>
  <si>
    <t>2025-05-09 04:14:00,20500,,,,19500,,,,,,,,,,</t>
  </si>
  <si>
    <t>2025-05-09 04:14:00,1896880398.97359,0,0,0,0,0,0,0</t>
  </si>
  <si>
    <t>2025-05-09 04:14:00,1251092817.44011,0,0,0,0,0,0,0</t>
  </si>
  <si>
    <t>2025-05-09 04:14:00,7773528.5305979,-84253.5506590102,,-3,,-68.37,-0.00880743858835044,-1.19</t>
  </si>
  <si>
    <t>2025-05-09 04:14:00,37100077.8258094,0,0,0,0,0,0,0</t>
  </si>
  <si>
    <t>2025-05-09 04:15:00,580,,,,580,,,,,,,,,,</t>
  </si>
  <si>
    <t>2025-05-09 04:15:00,500,,,,470,,,,,,,,,,</t>
  </si>
  <si>
    <t>2025-05-09 04:15:00,,5500,5700,,,5800,5660,,,,,5850,5550,5750,5550</t>
  </si>
  <si>
    <t>2025-05-09 04:15:00,20500,,,,19500,,,,,,,,,,</t>
  </si>
  <si>
    <t>2025-05-09 04:15:00,1902319563.7978,0,0,0,0,0,0,0</t>
  </si>
  <si>
    <t>2025-05-09 04:15:00,1255555620.38318,0,0,0,0,0,0,0</t>
  </si>
  <si>
    <t>2025-05-09 04:15:00,7818930.30054965,-84569.8265557012,,8,,31.2,0.0298444939827033,0.88</t>
  </si>
  <si>
    <t>2025-05-09 04:15:00,37095255.8624558,0,0,0,0,0,0,0</t>
  </si>
  <si>
    <t>2025-05-09 04:16:00,580,,,,580,,,,,,,,,,</t>
  </si>
  <si>
    <t>2025-05-09 04:16:00,500,,,,470,,,,,,,,,,</t>
  </si>
  <si>
    <t>2025-05-09 04:16:00,,5500,5700,,,5800,5660,,,,,5850,5550,5750,5550</t>
  </si>
  <si>
    <t>2025-05-09 04:16:00,20500,,,,19500,,,,,,,,,,</t>
  </si>
  <si>
    <t>2025-05-09 04:16:00,1890637467.65626,0,0,0,0,0,0,0</t>
  </si>
  <si>
    <t>2025-05-09 04:16:00,1245739014.20617,0,0,0,0,0,0,0</t>
  </si>
  <si>
    <t>2025-05-09 04:16:00,8023476.46170942,-68327.2766815574,,2,,36.49,0.0290166507235479,0.77</t>
  </si>
  <si>
    <t>2025-05-09 04:16:00,37091520.395464,0,0,0,0,0,0,0</t>
  </si>
  <si>
    <t>2025-05-09 04:17:00,580,,,,580,,,,,,,,,,</t>
  </si>
  <si>
    <t>2025-05-09 04:17:00,500,,,,470,,,,,,,,,,</t>
  </si>
  <si>
    <t>2025-05-09 04:17:00,,5500,5700,,,5800,5660,,,,,5850,5550,5750,5550</t>
  </si>
  <si>
    <t>2025-05-09 04:17:00,20500,,,,19500,,,,,,,,,,</t>
  </si>
  <si>
    <t>2025-05-09 04:17:00,1857124711.50724,0,0,0,0,0,0,0</t>
  </si>
  <si>
    <t>2025-05-09 04:17:00,1192753999.33194,0,0,0,0,0,0,0</t>
  </si>
  <si>
    <t>2025-05-09 04:17:00,9186200.19316029,-33478.2668664572,,-1,,-4.37,0.00812252096878485,-0.11</t>
  </si>
  <si>
    <t>2025-05-09 04:17:00,37086200.2915977,0,0,0,0,0,0,0</t>
  </si>
  <si>
    <t>2025-05-09 04:18:00,580,,,,580,,,,,,,,,,</t>
  </si>
  <si>
    <t>2025-05-09 04:18:00,500,,,,470,,,,,,,,,,</t>
  </si>
  <si>
    <t>2025-05-09 04:18:00,,5500,5700,,,5800,5660,,,,,5850,5550,5750,5550</t>
  </si>
  <si>
    <t>2025-05-09 04:18:00,20500,,,,19500,,,,,,,,,,</t>
  </si>
  <si>
    <t>2025-05-09 04:18:00,1795336124.42632,0,0,0,0,0,0,0</t>
  </si>
  <si>
    <t>2025-05-09 04:18:00,1188555851.53588,0,0,0,0,0,0,0</t>
  </si>
  <si>
    <t>2025-05-09 04:18:00,12210359.9421537,57651.2435060181,,13,,-20.25,0.066433848387513,-0.33</t>
  </si>
  <si>
    <t>2025-05-09 04:18:00,37093761.5887882,0,0,0,0,0,0,0</t>
  </si>
  <si>
    <t>2025-05-09 04:19:00,580,,,,580,,,,,,,,,,</t>
  </si>
  <si>
    <t>2025-05-09 04:19:00,500,,,,470,,,,,,,,,,</t>
  </si>
  <si>
    <t>2025-05-09 04:19:00,,5500,5700,,,5800,5660,,,,,5850,5550,5750,5550</t>
  </si>
  <si>
    <t>2025-05-09 04:19:00,20500,,,,19500,,,,,,,,,,</t>
  </si>
  <si>
    <t>2025-05-09 04:19:00,1906754644.0172,0,0,0,0,0,0,0</t>
  </si>
  <si>
    <t>2025-05-09 04:19:00,1257584595.61232,0,0,0,0,0,0,0</t>
  </si>
  <si>
    <t>2025-05-09 04:19:00,7855050.23769324,-78544.4583092312,,-12,,-59.7,0.143958776647606,-1.21</t>
  </si>
  <si>
    <t>2025-05-09 04:19:00,37092558.4907262,0,0,0,0,0,0,0</t>
  </si>
  <si>
    <t>2025-05-09 04:20:00,580,,,,580,,,,,,,,,,</t>
  </si>
  <si>
    <t>2025-05-09 04:20:00,500,,,,470,,,,,,,,,,</t>
  </si>
  <si>
    <t>2025-05-09 04:20:00,,5500,5700,,,5800,5660,,,,,5850,5550,5750,5550</t>
  </si>
  <si>
    <t>2025-05-09 04:20:00,20500,,,,19500,,,,,,,,,,</t>
  </si>
  <si>
    <t>2025-05-09 04:20:00,1956611223.33001,0,0,0,0,0,0,0</t>
  </si>
  <si>
    <t>2025-05-09 04:20:00,1265023084.99695,0,0,0,0,0,0,0</t>
  </si>
  <si>
    <t>2025-05-09 04:20:00,6174641.28356152,-146573.721230397,,-4,,-10.52,0.00840402573722302,-0.24</t>
  </si>
  <si>
    <t>2025-05-09 04:20:00,37089047.6543856,0,0,0,0,0,0,0</t>
  </si>
  <si>
    <t>2025-05-09 04:21:00,580,,,,580,,,,,,,,,,</t>
  </si>
  <si>
    <t>2025-05-09 04:21:00,500,,,,470,,,,,,,,,,</t>
  </si>
  <si>
    <t>2025-05-09 04:21:00,,5500,5700,,,5800,5660,,,,,5850,5550,5750,5550</t>
  </si>
  <si>
    <t>2025-05-09 04:21:00,20500,,,,19500,,,,,,,,,,</t>
  </si>
  <si>
    <t>2025-05-09 04:21:00,1917217565.42678,0,0,0,0,0,0,0</t>
  </si>
  <si>
    <t>2025-05-09 04:21:00,1259526353.57491,0,0,0,0,0,0,0</t>
  </si>
  <si>
    <t>2025-05-09 04:21:00,7401966.53871233,-89277.5409829616,,0,,29,0.0156169988889822,0.56</t>
  </si>
  <si>
    <t>2025-05-09 04:21:00,37086877.8336845,0,0,0,0,0,0,0</t>
  </si>
  <si>
    <t>2025-05-09 04:22:00,580,,,,580,,,,,,,,,,</t>
  </si>
  <si>
    <t>2025-05-09 04:22:00,500,,,,470,,,,,,,,,,</t>
  </si>
  <si>
    <t>2025-05-09 04:22:00,,5500,5700,,,5800,5660,,,,,5850,5550,5750,5550</t>
  </si>
  <si>
    <t>2025-05-09 04:22:00,20500,,,,19500,,,,,,,,,,</t>
  </si>
  <si>
    <t>2025-05-09 04:22:00,1906514139.85975,0,0,0,0,0,0,0</t>
  </si>
  <si>
    <t>2025-05-09 04:22:00,1252801834.55791,0,0,0,0,0,0,0</t>
  </si>
  <si>
    <t>2025-05-09 04:22:00,8092493.42835233,-52677.2442929354,,1,,7.4,0.00475133984155015,0.2</t>
  </si>
  <si>
    <t>2025-05-09 04:22:00,37085578.3895502,0,0,0,0,0,0,0</t>
  </si>
  <si>
    <t>2025-05-09 04:23:00,580,,,,580,,,,,,,,,,</t>
  </si>
  <si>
    <t>2025-05-09 04:23:00,500,,,,470,,,,,,,,,,</t>
  </si>
  <si>
    <t>2025-05-09 04:23:00,,5500,5700,,,5800,5660,,,,,5850,5550,5750,5550</t>
  </si>
  <si>
    <t>2025-05-09 04:23:00,20500,,,,19500,,,,,,,,,,</t>
  </si>
  <si>
    <t>2025-05-09 04:23:00,1956058076.55575,0,0,0,0,0,0,0</t>
  </si>
  <si>
    <t>2025-05-09 04:23:00,1262845615.70056,0,0,0,0,0,0,0</t>
  </si>
  <si>
    <t>2025-05-09 04:23:00,6174062.65618484,-129720.052822338,,0,,9.69,0.0210149883882822,0.24</t>
  </si>
  <si>
    <t>2025-05-09 04:23:00,37093190.3902976,0,0,0,0,0,0,0</t>
  </si>
  <si>
    <t>2025-05-09 04:24:00,580,,,,580,,,,,,,,,,</t>
  </si>
  <si>
    <t>2025-05-09 04:24:00,500,,,,470,,,,,,,,,,</t>
  </si>
  <si>
    <t>2025-05-09 04:24:00,,5500,5700,,,5800,5660,,,,,5850,5550,5750,5550</t>
  </si>
  <si>
    <t>2025-05-09 04:24:00,20500,,,,19500,,,,,,,,,,</t>
  </si>
  <si>
    <t>2025-05-09 04:24:00,1956010133.60536,0,0,0,0,0,0,0</t>
  </si>
  <si>
    <t>2025-05-09 04:24:00,1255014059.74793,0,0,0,0,0,0,0</t>
  </si>
  <si>
    <t>2025-05-09 04:24:00,6029414.83061168,-123990.33369245,,1,,2.71,0.00317285140309213,0.08</t>
  </si>
  <si>
    <t>2025-05-09 04:24:00,37090489.7753729,0,0,0,0,0,0,0</t>
  </si>
  <si>
    <t>2025-05-09 04:25:00,580,,,,580,,,,,,,,,,</t>
  </si>
  <si>
    <t>2025-05-09 04:25:00,500,,,,470,,,,,,,,,,</t>
  </si>
  <si>
    <t>2025-05-09 04:25:00,,5500,5700,,,5800,5660,,,,,5850,5550,5750,5550</t>
  </si>
  <si>
    <t>2025-05-09 04:25:00,20500,,,,19500,,,,,,,,,,</t>
  </si>
  <si>
    <t>2025-05-09 04:25:00,1944890637.97873,0,0,0,0,0,0,0</t>
  </si>
  <si>
    <t>2025-05-09 04:25:00,1264572359.87407,0,0,0,0,0,0,0</t>
  </si>
  <si>
    <t>2025-05-09 04:25:00,6372221.55681074,-116024.287416672,,-2,,-48.97,0.0331087331573425,-1.16</t>
  </si>
  <si>
    <t>2025-05-09 04:25:00,37088502.3456305,0,0,0,0,0,0,0</t>
  </si>
  <si>
    <t>2025-05-09 04:26:00,580,,,,580,,,,,,,,,,</t>
  </si>
  <si>
    <t>2025-05-09 04:26:00,500,,,,470,,,,,,,,,,</t>
  </si>
  <si>
    <t>2025-05-09 04:26:00,,5500,5700,,,5800,5660,,,,,5850,5550,5750,5550</t>
  </si>
  <si>
    <t>2025-05-09 04:26:00,20500,,,,19500,,,,,,,,,,</t>
  </si>
  <si>
    <t>2025-05-09 04:26:00,1972563650.27063,0,0,0,0,0,0,0</t>
  </si>
  <si>
    <t>2025-05-09 04:26:00,1278203485.61645,0,0,0,0,0,0,0</t>
  </si>
  <si>
    <t>2025-05-09 04:26:00,5680027.29340517,-122727.681890689,,-3,,-41.7,0.0356264762045776,-0.93</t>
  </si>
  <si>
    <t>2025-05-09 04:26:00,37086366.0819999,0,0,0,0,0,0,0</t>
  </si>
  <si>
    <t>2025-05-09 04:27:00,580,,,,580,,,,,,,,,,</t>
  </si>
  <si>
    <t>2025-05-09 04:27:00,500,,,,470,,,,,,,,,,</t>
  </si>
  <si>
    <t>2025-05-09 04:27:00,,5500,5700,,,5800,5660,,,,,5850,5550,5750,5550</t>
  </si>
  <si>
    <t>2025-05-09 04:27:00,20500,,,,19500,,,,,,,,,,</t>
  </si>
  <si>
    <t>2025-05-09 04:27:00,1786815295.18506,0,0,0,0,0,0,0</t>
  </si>
  <si>
    <t>2025-05-09 04:27:00,1199755676.63545,0,0,0,0,0,0,0</t>
  </si>
  <si>
    <t>2025-05-09 04:27:00,9689731.65524498,38568.2683595546,,3,,3.91,0.0159395325538255,0.11</t>
  </si>
  <si>
    <t>2025-05-09 04:27:00,37084512.9899689,0,0,0,0,0,0,0</t>
  </si>
  <si>
    <t>2025-05-09 04:28:00,580,,,,580,,,,,,,,,,</t>
  </si>
  <si>
    <t>2025-05-09 04:28:00,500,,,,470,,,,,,,,,,</t>
  </si>
  <si>
    <t>2025-05-09 04:28:00,,5500,5700,,,5800,5660,,,,,5850,5550,5750,5550</t>
  </si>
  <si>
    <t>2025-05-09 04:28:00,20500,,,,19500,,,,,,,,,,</t>
  </si>
  <si>
    <t>2025-05-09 04:28:00,1855547498.27378,0,0,0,0,0,0,0</t>
  </si>
  <si>
    <t>2025-05-09 04:28:00,1201811957.73143,0,0,0,0,0,0,0</t>
  </si>
  <si>
    <t>2025-05-09 04:28:00,9980326.47394125,33893.6349139381,,-2,,-68.36,0.0384260064095564,-1.51</t>
  </si>
  <si>
    <t>2025-05-09 04:28:00,37092176.2024532,0,0,0,0,0,0,0</t>
  </si>
  <si>
    <t>2025-05-09 04:29:00,580,,,,580,,,,,,,,,,</t>
  </si>
  <si>
    <t>2025-05-09 04:29:00,500,,,,470,,,,,,,,,,</t>
  </si>
  <si>
    <t>2025-05-09 04:29:00,,5500,5700,,,5800,5660,,,,,5850,5550,5750,5550</t>
  </si>
  <si>
    <t>2025-05-09 04:29:00,20500,,,,19500,,,,,,,,,,</t>
  </si>
  <si>
    <t>2025-05-09 04:29:00,1850316395.09143,0,0,0,0,0,0,0</t>
  </si>
  <si>
    <t>2025-05-09 04:29:00,1204173083.02825,0,0,0,0,0,0,0</t>
  </si>
  <si>
    <t>2025-05-09 04:29:00,9958830.23443034,26407.3049039828,,-2,,-22.3,0.0181135457246056,-0.54</t>
  </si>
  <si>
    <t>2025-05-09 04:29:00,37092472.6199516,0,0,0,0,0,0,0</t>
  </si>
  <si>
    <t>2025-05-09 04:30:00,580,,,,580,,,,,,,,,,</t>
  </si>
  <si>
    <t>2025-05-09 04:30:00,500,,,,470,,,,,,,,,,</t>
  </si>
  <si>
    <t>2025-05-09 04:30:00,,5500,5700,,,5800,5660,,,,,5850,5550,5750,5550</t>
  </si>
  <si>
    <t>2025-05-09 04:30:00,20500,,,,19500,,,,,,,,,,</t>
  </si>
  <si>
    <t>2025-05-09 04:30:00,1809698343.98616,0,0,0,0,0,0,0</t>
  </si>
  <si>
    <t>2025-05-09 04:30:00,1192843201.07469,0,0,0,0,0,0,0</t>
  </si>
  <si>
    <t>2025-05-09 04:30:00,10944947.9644756,46369.270278269,,-3,,-41.04,0.0286032702723745,-1.02</t>
  </si>
  <si>
    <t>2025-05-09 04:30:00,37091202.8499479,0,0,0,0,0,0,0</t>
  </si>
  <si>
    <t>2025-05-09 04:31:00,580,,,,580,,,,,,,,,,</t>
  </si>
  <si>
    <t>2025-05-09 04:31:00,500,,,,470,,,,,,,,,,</t>
  </si>
  <si>
    <t>2025-05-09 04:31:00,,5500,5700,,,5800,5660,,,,,5850,5550,5750,5550</t>
  </si>
  <si>
    <t>2025-05-09 04:31:00,20500,,,,19500,,,,,,,,,,</t>
  </si>
  <si>
    <t>2025-05-09 04:31:00,1783514863.38814,0,0,0,0,0,0,0</t>
  </si>
  <si>
    <t>2025-05-09 04:31:00,1181812442.22695,0,0,0,0,0,0,0</t>
  </si>
  <si>
    <t>2025-05-09 04:31:00,12800672.6709085,108918.487887395,,-1,,-5.86,0.0204556576003602,-0.12</t>
  </si>
  <si>
    <t>2025-05-09 04:31:00,37087667.1942829,0,0,0,0,0,0,0</t>
  </si>
  <si>
    <t>2025-05-09 04:32:00,580,,,,580,,,,,,,,,,</t>
  </si>
  <si>
    <t>2025-05-09 04:32:00,500,,,,470,,,,,,,,,,</t>
  </si>
  <si>
    <t>2025-05-09 04:32:00,,5500,5700,,,5800,5660,,,,,5850,5550,5750,5550</t>
  </si>
  <si>
    <t>2025-05-09 04:32:00,20500,,,,19500,,,,,,,,,,</t>
  </si>
  <si>
    <t>2025-05-09 04:32:00,1809581585.21136,0,0,0,0,0,0,0</t>
  </si>
  <si>
    <t>2025-05-09 04:32:00,1190123800.22342,0,0,0,0,0,0,0</t>
  </si>
  <si>
    <t>2025-05-09 04:32:00,10857859.4828348,46638.1583358692,,0,,1.74,0.00414420167721594,0.07</t>
  </si>
  <si>
    <t>2025-05-09 04:32:00,37085173.8973103,0,0,0,0,0,0,0</t>
  </si>
  <si>
    <t>2025-05-09 04:33:00,580,,,,580,,,,,,,,,,</t>
  </si>
  <si>
    <t>2025-05-09 04:33:00,500,,,,470,,,,,,,,,,</t>
  </si>
  <si>
    <t>2025-05-09 04:33:00,,5500,5700,,,5800,5660,,,,,5850,5550,5750,5550</t>
  </si>
  <si>
    <t>2025-05-09 04:33:00,20500,,,,19500,,,,,,,,,,</t>
  </si>
  <si>
    <t>2025-05-09 04:33:00,1854778532.23155,0,0,0,0,0,0,0</t>
  </si>
  <si>
    <t>2025-05-09 04:33:00,1244259610.24647,0,0,0,0,0,0,0</t>
  </si>
  <si>
    <t>2025-05-09 04:33:00,9548272.93666601,31126.0207018237,,14,,298,0.0772892270138606,6.3</t>
  </si>
  <si>
    <t>2025-05-09 04:33:00,37082628.1020619,0,0,0,0,0,0,0</t>
  </si>
  <si>
    <t>2025-05-09 04:34:00,580,,,,580,,,,,,,,,,</t>
  </si>
  <si>
    <t>2025-05-09 04:34:00,500,,,,470,,,,,,,,,,</t>
  </si>
  <si>
    <t>2025-05-09 04:34:00,,5500,5700,,,5800,5660,,,,,5850,5550,5750,5550</t>
  </si>
  <si>
    <t>2025-05-09 04:34:00,20500,,,,19500,,,,,,,,,,</t>
  </si>
  <si>
    <t>2025-05-09 04:34:00,1810581741.3043,0,0,0,0,0,0,0</t>
  </si>
  <si>
    <t>2025-05-09 04:34:00,1203420977.98469,0,0,0,0,0,0,0</t>
  </si>
  <si>
    <t>2025-05-09 04:34:00,11008560.2593643,84784.0438257747,,5,,47.17,0.033137196740238,1.04</t>
  </si>
  <si>
    <t>2025-05-09 04:34:00,37090354.4182533,0,0,0,0,0,0,0</t>
  </si>
  <si>
    <t>2025-05-09 04:35:00,580,,,,580,,,,,,,,,,</t>
  </si>
  <si>
    <t>2025-05-09 04:35:00,500,,,,470,,,,,,,,,,</t>
  </si>
  <si>
    <t>2025-05-09 04:35:00,,5500,5700,,,5800,5660,,,,,5850,5550,5750,5550</t>
  </si>
  <si>
    <t>2025-05-09 04:35:00,20500,,,,19500,,,,,,,,,,</t>
  </si>
  <si>
    <t>2025-05-09 04:35:00,1810429505.3213,0,0,0,0,0,0,0</t>
  </si>
  <si>
    <t>2025-05-09 04:35:00,1189881105.24291,0,0,0,0,0,0,0</t>
  </si>
  <si>
    <t>2025-05-09 04:35:00,11450717.0713167,87940.3069386345,,1,,10,0.00523552695910201,0.26</t>
  </si>
  <si>
    <t>2025-05-09 04:35:00,37087083.4446989,0,0,0,0,0,0,0</t>
  </si>
  <si>
    <t>2025-05-09 04:36:00,580,,,,580,,,,,,,,,,</t>
  </si>
  <si>
    <t>2025-05-09 04:36:00,500,,,,470,,,,,,,,,,</t>
  </si>
  <si>
    <t>2025-05-09 04:36:00,,5500,5700,,,5800,5660,,,,,5850,5550,5750,5550</t>
  </si>
  <si>
    <t>2025-05-09 04:36:00,20500,,,,19500,,,,,,,,,,</t>
  </si>
  <si>
    <t>2025-05-09 04:36:00,1858663347.52461,0,0,0,0,0,0,0</t>
  </si>
  <si>
    <t>2025-05-09 04:36:00,1233170374.91064,0,0,0,0,0,0,0</t>
  </si>
  <si>
    <t>2025-05-09 04:36:00,9209575.16996836,35834.509856475,,8,,329.01,0.0834140635672025,6.1</t>
  </si>
  <si>
    <t>2025-05-09 04:36:00,37086730.9339998,0,0,0,0,0,0,0</t>
  </si>
  <si>
    <t>2025-05-09 04:37:00,580,,,,580,,,,,,,,,,</t>
  </si>
  <si>
    <t>2025-05-09 04:37:00,500,,,,470,,,,,,,,,,</t>
  </si>
  <si>
    <t>2025-05-09 04:37:00,,5500,5700,,,5800,5660,,,,,5850,5550,5750,5550</t>
  </si>
  <si>
    <t>2025-05-09 04:37:00,20500,,,,19500,,,,,,,,,,</t>
  </si>
  <si>
    <t>2025-05-09 04:37:00,1912016497.61261,0,0,0,0,0,0,0</t>
  </si>
  <si>
    <t>2025-05-09 04:37:00,1253983779.25526,0,0,0,0,0,0,0</t>
  </si>
  <si>
    <t>2025-05-09 04:37:00,7596648.15204758,-28976.6508008929,,-4,,-55.07,0.0245112865483511,-1.25</t>
  </si>
  <si>
    <t>2025-05-09 04:37:00,37084140.2208845,0,0,0,0,0,0,0</t>
  </si>
  <si>
    <t>2025-05-09 04:38:00,580,,,,580,,,,,,,,,,</t>
  </si>
  <si>
    <t>2025-05-09 04:38:00,500,,,,470,,,,,,,,,,</t>
  </si>
  <si>
    <t>2025-05-09 04:38:00,,5500,5700,,,5800,5660,,,,,5850,5550,5750,5550</t>
  </si>
  <si>
    <t>2025-05-09 04:38:00,20500,,,,19500,,,,,,,,,,</t>
  </si>
  <si>
    <t>2025-05-09 04:38:00,1920663757.5343,0,0,0,0,0,0,0</t>
  </si>
  <si>
    <t>2025-05-09 04:38:00,1260150787.3586,0,0,0,0,0,0,0</t>
  </si>
  <si>
    <t>2025-05-09 04:38:00,7009361.94259848,-63820.8078160597,,-8,,-194.1,0.0691433598732177,-4.14</t>
  </si>
  <si>
    <t>2025-05-09 04:38:00,37083146.8224263,0,0,0,0,0,0,0</t>
  </si>
  <si>
    <t>2025-05-09 04:39:00,580,,,,580,,,,,,,,,,</t>
  </si>
  <si>
    <t>2025-05-09 04:39:00,500,,,,470,,,,,,,,,,</t>
  </si>
  <si>
    <t>2025-05-09 04:39:00,,5500,5700,,,5800,5660,,,,,5850,5550,5750,5550</t>
  </si>
  <si>
    <t>2025-05-09 04:39:00,20500,,,,19500,,,,,,,,,,</t>
  </si>
  <si>
    <t>2025-05-09 04:39:00,1948277925.58654,0,0,0,0,0,0,0</t>
  </si>
  <si>
    <t>2025-05-09 04:39:00,1255854633.24089,0,0,0,0,0,0,0</t>
  </si>
  <si>
    <t>2025-05-09 04:39:00,6134759.81114035,-97562.013633779,,-6,,-128.02,0.0583020684175402,-2.84</t>
  </si>
  <si>
    <t>2025-05-09 04:39:00,37090927.7932652,0,0,0,0,0,0,0</t>
  </si>
  <si>
    <t>2025-05-09 04:40:00,580,,,,580,,,,,,,,,,</t>
  </si>
  <si>
    <t>2025-05-09 04:40:00,500,,,,470,,,,,,,,,,</t>
  </si>
  <si>
    <t>2025-05-09 04:40:00,,5500,5700,,,5800,5660,,,,,5850,5550,5750,5550</t>
  </si>
  <si>
    <t>2025-05-09 04:40:00,20500,,,,19500,,,,,,,,,,</t>
  </si>
  <si>
    <t>2025-05-09 04:40:00,2004238416.99718,0,0,0,0,0,0,0</t>
  </si>
  <si>
    <t>2025-05-09 04:40:00,1277210453.07015,0,0,0,0,0,0,0</t>
  </si>
  <si>
    <t>2025-05-09 04:40:00,3404809.56460236,-200395.788189906,,-28,,-95.49,0.177706469816908,-1.73</t>
  </si>
  <si>
    <t>2025-05-09 04:40:00,37087165.284092,0,0,0,0,0,0,0</t>
  </si>
  <si>
    <t>2025-05-09 04:41:00,580,,,,580,,,,,,,,,,</t>
  </si>
  <si>
    <t>2025-05-09 04:41:00,500,,,,470,,,,,,,,,,</t>
  </si>
  <si>
    <t>2025-05-09 04:41:00,,5500,5700,,,5800,5660,,,,,5850,5550,5750,5550</t>
  </si>
  <si>
    <t>2025-05-09 04:41:00,20500,,,,19500,,,,,,,,,,</t>
  </si>
  <si>
    <t>2025-05-09 04:41:00,2003972776.80847,0,0,0,0,0,0,0</t>
  </si>
  <si>
    <t>2025-05-09 04:41:00,1253957782.8245,0,0,0,0,0,0,0</t>
  </si>
  <si>
    <t>2025-05-09 04:41:00,3549483.97239406,-184205.831724347,,7,,243.51,0.0887082321583974,5.27</t>
  </si>
  <si>
    <t>2025-05-09 04:41:00,37084445.5266324,0,0,0,0,0,0,0</t>
  </si>
  <si>
    <t>2025-05-09 04:42:00,580,,,,580,,,,,,,,,,</t>
  </si>
  <si>
    <t>2025-05-09 04:42:00,500,,,,470,,,,,,,,,,</t>
  </si>
  <si>
    <t>2025-05-09 04:42:00,,5500,5700,,,5800,5660,,,,,5850,5550,5750,5550</t>
  </si>
  <si>
    <t>2025-05-09 04:42:00,20500,,,,19500,,,,,,,,,,</t>
  </si>
  <si>
    <t>2025-05-09 04:42:00,2029219384.12046,0,0,0,0,0,0,0</t>
  </si>
  <si>
    <t>2025-05-09 04:42:00,1277964849.11061,0,0,0,0,0,0,0</t>
  </si>
  <si>
    <t>2025-05-09 04:42:00,2746454.58409371,-220060.958313537,,3,,42.25,0.0284155631685714,1.08</t>
  </si>
  <si>
    <t>2025-05-09 04:42:00,37080991.3453908,0,0,0,0,0,0,0</t>
  </si>
  <si>
    <t>2025-05-09 04:43:00,580,,,,580,,,,,,,,,,</t>
  </si>
  <si>
    <t>2025-05-09 04:43:00,500,,,,470,,,,,,,,,,</t>
  </si>
  <si>
    <t>2025-05-09 04:43:00,,5500,5700,,,5800,5660,,,,,5850,5550,5750,5550</t>
  </si>
  <si>
    <t>2025-05-09 04:43:00,20500,,,,19500,,,,,,,,,,</t>
  </si>
  <si>
    <t>2025-05-09 04:43:00,2029110511.86257,0,0,0,0,0,0,0</t>
  </si>
  <si>
    <t>2025-05-09 04:43:00,1277982234.72352,0,0,0,0,0,0,0</t>
  </si>
  <si>
    <t>2025-05-09 04:43:00,2692968.76444939,-218344.572328279,,-9,,-34.34,0.0677143064448537,-0.83</t>
  </si>
  <si>
    <t>2025-05-09 04:43:00,37081471.9915868,0,0,0,0,0,0,0</t>
  </si>
  <si>
    <t>2025-05-09 04:44:00,580,,,,580,,,,,,,,,,</t>
  </si>
  <si>
    <t>2025-05-09 04:44:00,500,,,,470,,,,,,,,,,</t>
  </si>
  <si>
    <t>2025-05-09 04:44:00,,5500,5700,,,5800,5660,,,,,5850,5550,5750,5550</t>
  </si>
  <si>
    <t>2025-05-09 04:44:00,20500,,,,19500,,,,,,,,,,</t>
  </si>
  <si>
    <t>2025-05-09 04:44:00,2019510147.8058,0,0,0,0,0,0,0</t>
  </si>
  <si>
    <t>2025-05-09 04:44:00,1253733398.51394,0,0,0,0,0,0,0</t>
  </si>
  <si>
    <t>2025-05-09 04:44:00,3263377.36391614,-198682.95727089,,5,,31.9,0.0782970915239584,1.04</t>
  </si>
  <si>
    <t>2025-05-09 04:44:00,37077522.7595609,0,0,0,0,0,0,0</t>
  </si>
  <si>
    <t>2025-05-09 04:45:00,580,,,,580,,,,,,,,,,</t>
  </si>
  <si>
    <t>2025-05-09 04:45:00,500,,,,470,,,,,,,,,,</t>
  </si>
  <si>
    <t>2025-05-09 04:45:00,,5500,5700,,,5800,5660,,,,,5850,5550,5750,5550</t>
  </si>
  <si>
    <t>2025-05-09 04:45:00,20500,,,,19500,,,,,,,,,,</t>
  </si>
  <si>
    <t>2025-05-09 04:45:00,2028829535.82063,0,0,0,0,0,0,0</t>
  </si>
  <si>
    <t>2025-05-09 04:45:00,1277842229.45394,0,0,0,0,0,0,0</t>
  </si>
  <si>
    <t>2025-05-09 04:45:00,2749473.52805931,-169976.419988415,,196,,100.76,0.212082558604799,1.92</t>
  </si>
  <si>
    <t>2025-05-09 04:45:00,37085362.8193508,0,0,0,0,0,0,0</t>
  </si>
  <si>
    <t>2025-05-09 04:46:00,580,,,,580,,,,,,,,,,</t>
  </si>
  <si>
    <t>2025-05-09 04:46:00,500,,,,470,,,,,,,,,,</t>
  </si>
  <si>
    <t>2025-05-09 04:46:00,,5500,5700,,,5800,5660,,,,,5850,5550,5750,5550</t>
  </si>
  <si>
    <t>2025-05-09 04:46:00,20500,,,,19500,,,,,,,,,,</t>
  </si>
  <si>
    <t>2025-05-09 04:46:00,2028621374.54155,0,0,0,0,0,0,0</t>
  </si>
  <si>
    <t>2025-05-09 04:46:00,1278129260.32651,0,0,0,0,0,0,0</t>
  </si>
  <si>
    <t>2025-05-09 04:46:00,2497402.37320301,-177926.772362036,,-3,,-61.25,0.0157231586530984,-1.33</t>
  </si>
  <si>
    <t>2025-05-09 04:46:00,37085430.4034399,0,0,0,0,0,0,0</t>
  </si>
  <si>
    <t>2025-05-09 04:47:00,580,,,,580,,,,,,,,,,</t>
  </si>
  <si>
    <t>2025-05-09 04:47:00,500,,,,470,,,,,,,,,,</t>
  </si>
  <si>
    <t>2025-05-09 04:47:00,,5500,5700,,,5800,5660,,,,,5850,5550,5750,5550</t>
  </si>
  <si>
    <t>2025-05-09 04:47:00,20500,,,,19500,,,,,,,,,,</t>
  </si>
  <si>
    <t>2025-05-09 04:47:00,1970833978.09176,0,0,0,0,0,0,0</t>
  </si>
  <si>
    <t>2025-05-09 04:47:00,1260937745.58391,0,0,0,0,0,0,0</t>
  </si>
  <si>
    <t>2025-05-09 04:47:00,4198259.22653683,-122853.979382966,,2,,-3.75,0.0187480346233262,-0.03</t>
  </si>
  <si>
    <t>2025-05-09 04:47:00,37082758.8651787,0,0,0,0,0,0,0</t>
  </si>
  <si>
    <t>2025-05-09 04:48:00,580,,,,580,,,,,,,,,,</t>
  </si>
  <si>
    <t>2025-05-09 04:48:00,500,,,,470,,,,,,,,,,</t>
  </si>
  <si>
    <t>2025-05-09 04:48:00,,5500,5700,,,5800,5660,,,,,5850,5550,5750,5550</t>
  </si>
  <si>
    <t>2025-05-09 04:48:00,20500,,,,19500,,,,,,,,,,</t>
  </si>
  <si>
    <t>2025-05-09 04:48:00,2028216234.90875,0,0,0,0,0,0,0</t>
  </si>
  <si>
    <t>2025-05-09 04:48:00,1276524009.06016,0,0,0,0,0,0,0</t>
  </si>
  <si>
    <t>2025-05-09 04:48:00,2869096.56164053,-171636.014901239,,-3,,-57.38,0.0272650853856238,-1.29</t>
  </si>
  <si>
    <t>2025-05-09 04:48:00,37078428.2116891,0,0,0,0,0,0,0</t>
  </si>
  <si>
    <t>2025-05-09 04:49:00,580,,,,580,,,,,,,,,,</t>
  </si>
  <si>
    <t>2025-05-09 04:49:00,500,,,,470,,,,,,,,,,</t>
  </si>
  <si>
    <t>2025-05-09 04:49:00,,5500,5700,,,5800,5660,,,,,5850,5550,5750,5550</t>
  </si>
  <si>
    <t>2025-05-09 04:49:00,20500,,,,19500,,,,,,,,,,</t>
  </si>
  <si>
    <t>2025-05-09 04:49:00,2093254258.23703,0,0,0,0,0,0,0</t>
  </si>
  <si>
    <t>2025-05-09 04:49:00,1258379489.35649,0,0,0,0,0,0,0</t>
  </si>
  <si>
    <t>2025-05-09 04:49:00,1766196.2018673,-207617.900018101,,-3,,-20.27,0.0282746079690773,-0.44</t>
  </si>
  <si>
    <t>2025-05-09 04:49:00,37078259.5236501,0,0,0,0,0,0,0</t>
  </si>
  <si>
    <t>2025-05-09 04:50:00,580,,,,580,,,,,,,,,,</t>
  </si>
  <si>
    <t>2025-05-09 04:50:00,500,,,,470,,,,,,,,,,</t>
  </si>
  <si>
    <t>2025-05-09 04:50:00,,5500,5700,,,5800,5660,,,,,5850,5550,5750,5550</t>
  </si>
  <si>
    <t>2025-05-09 04:50:00,20500,,,,19500,,,,,,,,,,</t>
  </si>
  <si>
    <t>2025-05-09 04:50:00,2035400825.11405,0,0,0,0,0,0,0</t>
  </si>
  <si>
    <t>2025-05-09 04:50:00,1277943979.49656,0,0,0,0,0,0,0</t>
  </si>
  <si>
    <t>2025-05-09 04:50:00,2106119.10411774,-177932.115103021,,20,,66.48,0.12138062187374,2.12</t>
  </si>
  <si>
    <t>2025-05-09 04:50:00,37086159.2332616,0,0,0,0,0,0,0</t>
  </si>
  <si>
    <t>2025-05-09 04:51:00,580,,,,580,,,,,,,,,,</t>
  </si>
  <si>
    <t>2025-05-09 04:51:00,500,,,,470,,,,,,,,,,</t>
  </si>
  <si>
    <t>2025-05-09 04:51:00,,5500,5700,,,5800,5660,,,,,5850,5550,5750,5550</t>
  </si>
  <si>
    <t>2025-05-09 04:51:00,20500,,,,19500,,,,,,,,,,</t>
  </si>
  <si>
    <t>2025-05-09 04:51:00,2013380627.81868,0,0,0,0,0,0,0</t>
  </si>
  <si>
    <t>2025-05-09 04:51:00,1251608333.15649,0,0,0,0,0,0,0</t>
  </si>
  <si>
    <t>2025-05-09 04:51:00,3314312.31650267,-149586.380215603,,-1,,-27.29,0.0272077071031935,-0.58</t>
  </si>
  <si>
    <t>2025-05-09 04:51:00,37079815.3390422,0,0,0,0,0,0,0</t>
  </si>
  <si>
    <t>2025-05-09 04:52:00,580,,,,580,,,,,,,,,,</t>
  </si>
  <si>
    <t>2025-05-09 04:52:00,500,,,,470,,,,,,,,,,</t>
  </si>
  <si>
    <t>2025-05-09 04:52:00,,5500,5700,,,5800,5660,,,,,5850,5550,5750,5550</t>
  </si>
  <si>
    <t>2025-05-09 04:52:00,20500,,,,19500,,,,,,,,,,</t>
  </si>
  <si>
    <t>2025-05-09 04:52:00,2036773504.6201,0,0,0,0,0,0,0</t>
  </si>
  <si>
    <t>2025-05-09 04:52:00,1277758928.46928,0,0,0,0,0,0,0</t>
  </si>
  <si>
    <t>2025-05-09 04:52:00,2558251.87886781,-157456.838207481,,-12,,-25.95,0.0271022100764346,-0.52</t>
  </si>
  <si>
    <t>2025-05-09 04:52:00,37075708.7864092,0,0,0,0,0,0,0</t>
  </si>
  <si>
    <t>2025-05-09 04:53:00,580,,,,580,,,,,,,,,,</t>
  </si>
  <si>
    <t>2025-05-09 04:53:00,500,,,,470,,,,,,,,,,</t>
  </si>
  <si>
    <t>2025-05-09 04:53:00,,5500,5700,,,5800,5660,,,,,5850,5550,5750,5550</t>
  </si>
  <si>
    <t>2025-05-09 04:53:00,20500,,,,19500,,,,,,,,,,</t>
  </si>
  <si>
    <t>2025-05-09 04:53:00,2018034561.95565,0,0,0,0,0,0,0</t>
  </si>
  <si>
    <t>2025-05-09 04:53:00,1261185224.07207,0,0,0,0,0,0,0</t>
  </si>
  <si>
    <t>2025-05-09 04:53:00,3240027.58070014,-119836.214972926,,-5,,-168.5,-0.0238782853574716,-2.95</t>
  </si>
  <si>
    <t>2025-05-09 04:53:00,37071328.4407392,0,0,0,0,0,0,0</t>
  </si>
  <si>
    <t>2025-05-09 04:54:00,580,,,,580,,,,,,,,,,</t>
  </si>
  <si>
    <t>2025-05-09 04:54:00,500,,,,470,,,,,,,,,,</t>
  </si>
  <si>
    <t>2025-05-09 04:54:00,,5500,5700,,,5800,5660,,,,,5850,5550,5750,5550</t>
  </si>
  <si>
    <t>2025-05-09 04:54:00,20500,,,,19500,,,,,,,,,,</t>
  </si>
  <si>
    <t>2025-05-09 04:54:00,2022588569.86343,0,0,0,0,0,0,0</t>
  </si>
  <si>
    <t>2025-05-09 04:54:00,1251480770.48994,0,0,0,0,0,0,0</t>
  </si>
  <si>
    <t>2025-05-09 04:54:00,2759551.06726816,-136475.456186947,,-3,,-35.06,0.0248207555384946,-0.79</t>
  </si>
  <si>
    <t>2025-05-09 04:54:00,37068204.9808191,0,0,0,0,0,0,0</t>
  </si>
  <si>
    <t>2025-05-09 04:55:00,580,,,,580,,,,,,,,,,</t>
  </si>
  <si>
    <t>2025-05-09 04:55:00,500,,,,470,,,,,,,,,,</t>
  </si>
  <si>
    <t>2025-05-09 04:55:00,,5500,5700,,,5800,5660,,,,,5850,5550,5750,5550</t>
  </si>
  <si>
    <t>2025-05-09 04:55:00,20500,,,,19500,,,,,,,,,,</t>
  </si>
  <si>
    <t>2025-05-09 04:55:00,2035622674.00996,0,0,0,0,0,0,0</t>
  </si>
  <si>
    <t>2025-05-09 04:55:00,1277658347.05763,0,0,0,0,0,0,0</t>
  </si>
  <si>
    <t>2025-05-09 04:55:00,2096765.3923776,-165086.160319783,,-1,,-22,-0.00516356355908345,-0.47</t>
  </si>
  <si>
    <t>2025-05-09 04:55:00,37065602.6061175,0,0,0,0,0,0,0</t>
  </si>
  <si>
    <t>2025-05-09 04:56:00,580,,,,580,,,,,,,,,,</t>
  </si>
  <si>
    <t>2025-05-09 04:56:00,500,,,,470,,,,,,,,,,</t>
  </si>
  <si>
    <t>2025-05-09 04:56:00,,5500,5700,,,5800,5660,,,,,5850,5550,5750,5550</t>
  </si>
  <si>
    <t>2025-05-09 04:56:00,20500,,,,19500,,,,,,,,,,</t>
  </si>
  <si>
    <t>2025-05-09 04:56:00,2035533508.24155,0,0,0,0,0,0,0</t>
  </si>
  <si>
    <t>2025-05-09 04:56:00,1277624978.18345,0,0,0,0,0,0,0</t>
  </si>
  <si>
    <t>2025-05-09 04:56:00,1895309.28548671,-183830.020633224,,-12,,-61.1,0.0520202841949717,-1.32</t>
  </si>
  <si>
    <t>2025-05-09 04:56:00,37073564.6550752,0,0,0,0,0,0,0</t>
  </si>
  <si>
    <t>2025-05-09 04:57:00,580,,,,580,,,,,,,,,,</t>
  </si>
  <si>
    <t>2025-05-09 04:57:00,500,,,,470,,,,,,,,,,</t>
  </si>
  <si>
    <t>2025-05-09 04:57:00,,5500,5700,,,5800,5660,,,,,5850,5550,5750,5550</t>
  </si>
  <si>
    <t>2025-05-09 04:57:00,20500,,,,19500,,,,,,,,,,</t>
  </si>
  <si>
    <t>2025-05-09 04:57:00,2075637022.88453,0,0,0,0,0,0,0</t>
  </si>
  <si>
    <t>2025-05-09 04:57:00,1270719806.65,0,0,0,0,0,0,0</t>
  </si>
  <si>
    <t>2025-05-09 04:57:00,2346383.91955013,-156770.02946109,,-1,,1.7,0.0170118695722363,0.11</t>
  </si>
  <si>
    <t>2025-05-09 04:57:00,37070840.5027767,0,0,0,0,0,0,0</t>
  </si>
  <si>
    <t>2025-05-09 04:58:00,580,,,,580,,,,,,,,,,</t>
  </si>
  <si>
    <t>2025-05-09 04:58:00,500,,,,470,,,,,,,,,,</t>
  </si>
  <si>
    <t>2025-05-09 04:58:00,,5500,5700,,,5800,5660,,,,,5850,5550,5750,5550</t>
  </si>
  <si>
    <t>2025-05-09 04:58:00,20500,,,,19500,,,,,,,,,,</t>
  </si>
  <si>
    <t>2025-05-09 04:58:00,2096588153.71148,0,0,0,0,0,0,0</t>
  </si>
  <si>
    <t>2025-05-09 04:58:00,1179207503.12332,0,0,0,0,0,0,0</t>
  </si>
  <si>
    <t>2025-05-09 04:58:00,463305.738324741,-255306.194283626,,-6,,-162,0.0943034597423997,-3.67</t>
  </si>
  <si>
    <t>2025-05-09 04:58:00,37066006.3963101,0,0,0,0,0,0,0</t>
  </si>
  <si>
    <t>2025-05-09 04:59:00,580,,,,580,,,,,,,,,,</t>
  </si>
  <si>
    <t>2025-05-09 04:59:00,500,,,,470,,,,,,,,,,</t>
  </si>
  <si>
    <t>2025-05-09 04:59:00,,5500,5700,,,5800,5660,,,,,5850,5550,5750,5550</t>
  </si>
  <si>
    <t>2025-05-09 04:59:00,20500,,,,19500,,,,,,,,,,</t>
  </si>
  <si>
    <t>2025-05-09 04:59:00,2091544718.76367,0,0,0,0,0,0,0</t>
  </si>
  <si>
    <t>2025-05-09 04:59:00,1227478373.69969,0,0,0,0,0,0,0</t>
  </si>
  <si>
    <t>2025-05-09 04:59:00,575422.213335753,-252396.680263029,,-2,,-11.3,0.0137922248538479,-0.23</t>
  </si>
  <si>
    <t>2025-05-09 04:59:00,37064300.8452462,0,0,0,0,0,0,0</t>
  </si>
  <si>
    <t>2025-05-09 05:00:00,580,,,,560,,,,,,,,,,</t>
  </si>
  <si>
    <t>2025-05-09 05:00:00,500,,,,470,,,,,,,,,,</t>
  </si>
  <si>
    <t>2025-05-09 05:00:00,,5500,5700,,,5800,5660,,,,,5850,5550,5750,5550</t>
  </si>
  <si>
    <t>2025-05-09 05:00:00,20500,,,,19500,,,,,,,,,,</t>
  </si>
  <si>
    <t>2025-05-09 05:00:00,2117596514.74985,0,0,0,0,0,0,0</t>
  </si>
  <si>
    <t>2025-05-09 05:00:00,1305049978.45673,0,0,0,0,0,0,0</t>
  </si>
  <si>
    <t>2025-05-09 05:00:00,-982764.311659281,-292371.644064934,,-18,,-269.38,-0.00418236363418933,-5.07</t>
  </si>
  <si>
    <t>2025-05-09 05:00:00,37062732.4895302,0,0,0,0,0,0,0</t>
  </si>
  <si>
    <t>2025-05-09 05:01:00,580,,,,560,,,,,,,,,,</t>
  </si>
  <si>
    <t>2025-05-09 05:01:00,500,,,,470,,,,,,,,,,</t>
  </si>
  <si>
    <t>2025-05-09 05:01:00,,5500,5700,,,5800,5660,,,,,5850,5550,5750,5550</t>
  </si>
  <si>
    <t>2025-05-09 05:01:00,20500,,,,19500,,,,,,,,,,</t>
  </si>
  <si>
    <t>2025-05-09 05:01:00,2117564182.56099,0,0,0,0,0,0,0</t>
  </si>
  <si>
    <t>2025-05-09 05:01:00,1314582128.54969,0,0,0,0,0,0,0</t>
  </si>
  <si>
    <t>2025-05-09 05:01:00,-1170191.70083572,-293083.363023569,,18,,47.31,0.0995123733453844,1.62</t>
  </si>
  <si>
    <t>2025-05-09 05:01:00,37070753.90814,0,0,0,0,0,0,0</t>
  </si>
  <si>
    <t>2025-05-09 05:02:00,580,,,,560,,,,,,,,,,</t>
  </si>
  <si>
    <t>2025-05-09 05:02:00,500,,,,470,,,,,,,,,,</t>
  </si>
  <si>
    <t>2025-05-09 05:02:00,,5500,5700,,,5800,5690,,,,,5850,5550,5750,5550</t>
  </si>
  <si>
    <t>2025-05-09 05:02:00,20500,,,,19500,,,,,,,,,,</t>
  </si>
  <si>
    <t>2025-05-09 05:02:00,2241855722.51971,0,0,0,0,0,0,0</t>
  </si>
  <si>
    <t>2025-05-09 05:02:00,1357018111.24701,0,0,0,0,0,0,0</t>
  </si>
  <si>
    <t>2025-05-09 05:02:00,-5391735.43431298,-446377.862619785,,-27,,-281.43,0.108386451084901,-6.12</t>
  </si>
  <si>
    <t>2025-05-09 05:02:00,37065476.001863,0,0,0,0,0,0,0</t>
  </si>
  <si>
    <t>2025-05-09 05:03:00,580,,,,560,,,,,,,,,,</t>
  </si>
  <si>
    <t>2025-05-09 05:03:00,500,,,,470,,,,,,,,,,</t>
  </si>
  <si>
    <t>2025-05-09 05:03:00,,5500,5700,,,5800,5690,,,,,5850,5550,5750,5550</t>
  </si>
  <si>
    <t>2025-05-09 05:03:00,20500,,,,19500,,,,,,,,,,</t>
  </si>
  <si>
    <t>2025-05-09 05:03:00,2260531255.06672,0,0,0,0,0,0,0</t>
  </si>
  <si>
    <t>2025-05-09 05:03:00,1364008431.80925,0,0,0,0,0,0,0</t>
  </si>
  <si>
    <t>2025-05-09 05:03:00,-7386345.22821742,-516472.539910772,,-4,,-156.09,0.046486116064521,-3.33</t>
  </si>
  <si>
    <t>2025-05-09 05:03:00,37061556.8568091,0,0,0,0,0,0,0</t>
  </si>
  <si>
    <t>2025-05-09 05:04:00,580,,,,560,,,,,,,,,,</t>
  </si>
  <si>
    <t>2025-05-09 05:04:00,500,,,,470,,,,,,,,,,</t>
  </si>
  <si>
    <t>2025-05-09 05:04:00,,5500,5700,,,5800,5690,,,,,5850,5550,5750,5550</t>
  </si>
  <si>
    <t>2025-05-09 05:04:00,20500,,,,19500,,,,,,,,,,</t>
  </si>
  <si>
    <t>2025-05-09 05:04:00,2260173091.35443,0,0,0,0,0,0,0</t>
  </si>
  <si>
    <t>2025-05-09 05:04:00,1365078949.0538,0,0,0,0,0,0,0</t>
  </si>
  <si>
    <t>2025-05-09 05:04:00,-7518576.4242317,-514157.482940361,,-4,,-77.84,0.0412823933555582,-1.63</t>
  </si>
  <si>
    <t>2025-05-09 05:04:00,37060226.3756151,0,0,0,0,0,0,0</t>
  </si>
  <si>
    <t>2025-05-09 05:05:00,580,,,,560,,,,,,,,,,</t>
  </si>
  <si>
    <t>2025-05-09 05:05:00,500,,,,470,,,,,,,,,,</t>
  </si>
  <si>
    <t>2025-05-09 05:05:00,,5500,5700,,,5800,5690,,,,,5850,5550,5750,5550</t>
  </si>
  <si>
    <t>2025-05-09 05:05:00,20500,,,,19500,,,,,,,,,,</t>
  </si>
  <si>
    <t>2025-05-09 05:05:00,2260025378.96893,0,0,0,0,0,0,0</t>
  </si>
  <si>
    <t>2025-05-09 05:05:00,1363707353.47879,0,0,0,0,0,0,0</t>
  </si>
  <si>
    <t>2025-05-09 05:05:00,-7669177.39410309,-509716.258796843,,3,,-76.05,0.111674415144274,-1.21</t>
  </si>
  <si>
    <t>2025-05-09 05:05:00,37061933.697015,0,0,0,0,0,0,0</t>
  </si>
  <si>
    <t>2025-05-09 05:06:00,580,,,,560,,,,,,,,,,</t>
  </si>
  <si>
    <t>2025-05-09 05:06:00,500,,,,470,,,,,,,,,,</t>
  </si>
  <si>
    <t>2025-05-09 05:06:00,,5500,5700,,,5800,5690,,,,,5850,5550,5750,5550</t>
  </si>
  <si>
    <t>2025-05-09 05:06:00,20500,,,,19500,,,,,,,,,,</t>
  </si>
  <si>
    <t>2025-05-09 05:06:00,2324016710.41063,0,0,0,0,0,0,0</t>
  </si>
  <si>
    <t>2025-05-09 05:06:00,1359028212.52877,0,0,0,0,0,0,0</t>
  </si>
  <si>
    <t>2025-05-09 05:06:00,-8095607.00330574,-527502.309572024,,9,,-22.78,0.0906591206149636,0.00999999999999995</t>
  </si>
  <si>
    <t>2025-05-09 05:06:00,37070008.4614359,0,0,0,0,0,0,0</t>
  </si>
  <si>
    <t>2025-05-09 05:07:00,580,,,,560,,,,,,,,,,</t>
  </si>
  <si>
    <t>2025-05-09 05:07:00,500,,,,470,,,,,,,,,,</t>
  </si>
  <si>
    <t>2025-05-09 05:07:00,,5500,5700,,,5800,5690,,,,,5850,5550,5750,5550</t>
  </si>
  <si>
    <t>2025-05-09 05:07:00,20500,,,,19500,,,,,,,,,,</t>
  </si>
  <si>
    <t>2025-05-09 05:07:00,2323850348.49198,0,0,0,0,0,0,0</t>
  </si>
  <si>
    <t>2025-05-09 05:07:00,1364549575.13842,0,0,0,0,0,0,0</t>
  </si>
  <si>
    <t>2025-05-09 05:07:00,-8148100.23051205,-530641.848815539,,-22,,-234.93,0.0312869390332239,-5.04</t>
  </si>
  <si>
    <t>2025-05-09 05:07:00,37066273.9441843,0,0,0,0,0,0,0</t>
  </si>
  <si>
    <t>2025-05-09 05:08:00,580,,,,560,,,,,,,,,,</t>
  </si>
  <si>
    <t>2025-05-09 05:08:00,500,,,,470,,,,,,,,,,</t>
  </si>
  <si>
    <t>2025-05-09 05:08:00,,5500,5700,,,5800,5690,,,,,5850,5550,5750,5550</t>
  </si>
  <si>
    <t>2025-05-09 05:08:00,20500,,,,19500,,,,,,,,,,</t>
  </si>
  <si>
    <t>2025-05-09 05:08:00,2342407915.20134,0,0,0,0,0,0,0</t>
  </si>
  <si>
    <t>2025-05-09 05:08:00,1381985177.1253,0,0,0,0,0,0,0</t>
  </si>
  <si>
    <t>2025-05-09 05:08:00,-9036737.35908324,-561594.778669321,,7,,-78.57,0.0696036718328371,-1.67</t>
  </si>
  <si>
    <t>2025-05-09 05:08:00,37064271.5439423,0,0,0,0,0,0,0</t>
  </si>
  <si>
    <t>2025-05-09 05:09:00,580,,,,560,,,,,,,,,,</t>
  </si>
  <si>
    <t>2025-05-09 05:09:00,500,,,,470,,,,,,,,,,</t>
  </si>
  <si>
    <t>2025-05-09 05:09:00,,5500,5700,,,5800,5690,,,,,5850,5550,5750,5550</t>
  </si>
  <si>
    <t>2025-05-09 05:09:00,20500,,,,19500,,,,,,,,,,</t>
  </si>
  <si>
    <t>2025-05-09 05:09:00,2371913315.00902,0,0,0,0,0,0,0</t>
  </si>
  <si>
    <t>2025-05-09 05:09:00,1391460230.01176,0,0,0,0,0,0,0</t>
  </si>
  <si>
    <t>2025-05-09 05:09:00,-9819363.9592805,-586502.552802419,,-8,,-27.35,0.0117762983083818,-0.47</t>
  </si>
  <si>
    <t>2025-05-09 05:09:00,37060235.9225379,0,0,0,0,0,0,0</t>
  </si>
  <si>
    <t>2025-05-09 05:10:00,580,,,,560,,,,,,,,,,</t>
  </si>
  <si>
    <t>2025-05-09 05:10:00,500,,,,470,,,,,,,,,,</t>
  </si>
  <si>
    <t>2025-05-09 05:10:00,,5500,,5650,,5800,5660,,,,,5850,5550,5750,5550</t>
  </si>
  <si>
    <t>2025-05-09 05:10:00,20500,,,,19500,,,,,,,,,,</t>
  </si>
  <si>
    <t>2025-05-09 05:10:00,2399967087.17757,0,0,0,0,0,0,0</t>
  </si>
  <si>
    <t>2025-05-09 05:10:00,1409990792.13383,0,0,0,0,0,0,0</t>
  </si>
  <si>
    <t>2025-05-09 05:10:00,-11078242.4984373,-560329.537620973,,45,,-126.26,0.138388391448897,-2.55</t>
  </si>
  <si>
    <t>2025-05-09 05:10:00,37059614.8581501,0,0,0,0,0,0,0</t>
  </si>
  <si>
    <t>2025-05-09 05:11:00,580,,,,560,,,,,,,,,,</t>
  </si>
  <si>
    <t>2025-05-09 05:11:00,500,,,,470,,,,,,,,,,</t>
  </si>
  <si>
    <t>2025-05-09 05:11:00,,5500,,5650,,5800,5660,,,,,5850,5550,5750,5550</t>
  </si>
  <si>
    <t>2025-05-09 05:11:00,20500,,,,19500,,,,,,,,,,</t>
  </si>
  <si>
    <t>2025-05-09 05:11:00,2419912436.84035,0,0,0,0,0,0,0</t>
  </si>
  <si>
    <t>2025-05-09 05:11:00,1424898592.36862,0,0,0,0,0,0,0</t>
  </si>
  <si>
    <t>2025-05-09 05:11:00,-11861531.2866593,-646362.075961271,,-28,,-850.28,0.261209503362307,-19.65</t>
  </si>
  <si>
    <t>2025-05-09 05:11:00,37057162.6450861,0,0,0,0,0,0,0</t>
  </si>
  <si>
    <t>2025-05-09 05:12:00,580,,,,560,,,,,,,,,,</t>
  </si>
  <si>
    <t>2025-05-09 05:12:00,500,,,,470,,,,,,,,,,</t>
  </si>
  <si>
    <t>2025-05-09 05:12:00,,5500,,5650,,5800,5660,,,,,5850,5550,5750,5550</t>
  </si>
  <si>
    <t>2025-05-09 05:12:00,20500,,,,19500,,,,,,,,,,</t>
  </si>
  <si>
    <t>2025-05-09 05:12:00,2413409390.88944,0,0,0,0,0,0,0</t>
  </si>
  <si>
    <t>2025-05-09 05:12:00,1416355309.05428,0,0,0,0,0,0,0</t>
  </si>
  <si>
    <t>2025-05-09 05:12:00,-11909626.9143942,-652846.655066115,,-40,,-263.76,0.0661778415980686,-4.76</t>
  </si>
  <si>
    <t>2025-05-09 05:12:00,37065430.4428724,0,0,0,0,0,0,0</t>
  </si>
  <si>
    <t>2025-05-09 05:13:00,580,,,,560,,,,,,,,,,</t>
  </si>
  <si>
    <t>2025-05-09 05:13:00,500,,,,470,,,,,,,,,,</t>
  </si>
  <si>
    <t>2025-05-09 05:13:00,,5500,,5650,,5800,5660,,,,,5850,5550,5750,5550</t>
  </si>
  <si>
    <t>2025-05-09 05:13:00,20500,,,,19500,,,,,,,,,,</t>
  </si>
  <si>
    <t>2025-05-09 05:13:00,2399087544.0288,0,0,0,0,0,0,0</t>
  </si>
  <si>
    <t>2025-05-09 05:13:00,1405142421.95295,0,0,0,0,0,0,0</t>
  </si>
  <si>
    <t>2025-05-09 05:13:00,-11402501.4513032,-623479.254852401,,-2,,-33.27,0.0228451430105991,-0.61</t>
  </si>
  <si>
    <t>2025-05-09 05:13:00,37063515.2456788,0,0,0,0,0,0,0</t>
  </si>
  <si>
    <t>2025-05-09 05:14:00,580,,,,560,,,,,,,,,,</t>
  </si>
  <si>
    <t>2025-05-09 05:14:00,500,,,,470,,,,,,,,,,</t>
  </si>
  <si>
    <t>2025-05-09 05:14:00,,5500,,5650,,5800,5660,,,,,5850,5550,5750,5550</t>
  </si>
  <si>
    <t>2025-05-09 05:14:00,20500,,,,19500,,,,,,,,,,</t>
  </si>
  <si>
    <t>2025-05-09 05:14:00,2381348954.8055,0,0,0,0,0,0,0</t>
  </si>
  <si>
    <t>2025-05-09 05:14:00,1418176382.17555,0,0,0,0,0,0,0</t>
  </si>
  <si>
    <t>2025-05-09 05:14:00,-13190001.3268115,-684170.883167871,,0,,-134.31,0.100961929059011,-2.65</t>
  </si>
  <si>
    <t>2025-05-09 05:14:00,37060069.1769613,0,0,0,0,0,0,0</t>
  </si>
  <si>
    <t>2025-05-09 05:15:00,580,,,,560,,,,,,,,,,</t>
  </si>
  <si>
    <t>2025-05-09 05:15:00,500,,,,470,,,,,,,,,,</t>
  </si>
  <si>
    <t>2025-05-09 05:15:00,,5500,,5650,,5800,5660,,,,,5850,5550,5750,5550</t>
  </si>
  <si>
    <t>2025-05-09 05:15:00,20500,,,,19500,,,,,,,,,,</t>
  </si>
  <si>
    <t>2025-05-09 05:15:00,2387303755.27321,0,0,0,0,0,0,0</t>
  </si>
  <si>
    <t>2025-05-09 05:15:00,1418073521.71928,0,0,0,0,0,0,0</t>
  </si>
  <si>
    <t>2025-05-09 05:15:00,-13418544.1817743,-711709.058093762,,-7,,-89.64,0.0375090556292332,-2.05</t>
  </si>
  <si>
    <t>2025-05-09 05:15:00,37057910.3696873,0,0,0,0,0,0,0</t>
  </si>
  <si>
    <t>2025-05-09 05:16:00,580,,,,560,,,,,,,,,,</t>
  </si>
  <si>
    <t>2025-05-09 05:16:00,500,,,,470,,,,,,,,,,</t>
  </si>
  <si>
    <t>2025-05-09 05:16:00,,5500,,5650,,5800,5660,,,,,5850,5550,5750,5550</t>
  </si>
  <si>
    <t>2025-05-09 05:16:00,20500,,,,19500,,,,,,,,,,</t>
  </si>
  <si>
    <t>2025-05-09 05:16:00,2416269521.73636,0,0,0,0,0,0,0</t>
  </si>
  <si>
    <t>2025-05-09 05:16:00,1402448229.08628,0,0,0,0,0,0,0</t>
  </si>
  <si>
    <t>2025-05-09 05:16:00,-12270897.9947051,-641576.117269342,,17,,-69.16,0.11806489354066,-0.0699999999999998</t>
  </si>
  <si>
    <t>2025-05-09 05:16:00,37055077.317941,0,0,0,0,0,0,0</t>
  </si>
  <si>
    <t>2025-05-09 05:17:00,580,,,,560,,,,,,,,,,</t>
  </si>
  <si>
    <t>2025-05-09 05:17:00,500,,,,470,,,,,,,,,,</t>
  </si>
  <si>
    <t>2025-05-09 05:17:00,,5500,,5650,,5800,5680,,,,,5850,5550,5750,5550</t>
  </si>
  <si>
    <t>2025-05-09 05:17:00,20500,,,,19500,,,,,,,,,,</t>
  </si>
  <si>
    <t>2025-05-09 05:17:00,2497507425.97913,0,0,0,0,0,0,0</t>
  </si>
  <si>
    <t>2025-05-09 05:17:00,1439011965.57847,0,0,0,0,0,0,0</t>
  </si>
  <si>
    <t>2025-05-09 05:17:00,-15043544.288173,-743702.380094947,,-15,,-215.51,0.163410938344325,-4.02</t>
  </si>
  <si>
    <t>2025-05-09 05:17:00,37063283.7422716,0,0,0,0,0,0,0</t>
  </si>
  <si>
    <t>2025-05-09 05:18:00,580,,,,560,,,,,,,,,,</t>
  </si>
  <si>
    <t>2025-05-09 05:18:00,500,,,,470,,,,,,,,,,</t>
  </si>
  <si>
    <t>2025-05-09 05:18:00,,5500,,5650,,5800,5680,,,,,5850,5550,5750,5550</t>
  </si>
  <si>
    <t>2025-05-09 05:18:00,20500,,,,19500,,,,,,,,,,</t>
  </si>
  <si>
    <t>2025-05-09 05:18:00,2546345547.8238,0,0,0,0,0,0,0</t>
  </si>
  <si>
    <t>2025-05-09 05:18:00,1438826491.15732,0,0,0,0,0,0,0</t>
  </si>
  <si>
    <t>2025-05-09 05:18:00,-16711226.3574311,-825471.891124434,,-16,,-355.83,0.15762654250561,-6.83</t>
  </si>
  <si>
    <t>2025-05-09 05:18:00,37060559.3326842,0,0,0,0,0,0,0</t>
  </si>
  <si>
    <t>2025-05-09 05:19:00,580,,,,560,,,,,,,,,,</t>
  </si>
  <si>
    <t>2025-05-09 05:19:00,500,,,,470,,,,,,,,,,</t>
  </si>
  <si>
    <t>2025-05-09 05:19:00,,5500,,5650,,5800,5680,,,,,5850,5550,5750,5550</t>
  </si>
  <si>
    <t>2025-05-09 05:19:00,20500,,,,19500,,,,,,,,,,</t>
  </si>
  <si>
    <t>2025-05-09 05:19:00,2558243236.6181,0,0,0,0,0,0,0</t>
  </si>
  <si>
    <t>2025-05-09 05:19:00,1438759251.31416,0,0,0,0,0,0,0</t>
  </si>
  <si>
    <t>2025-05-09 05:19:00,-16801352.2418316,-837245.579754118,,-11,,-404.82,0.161120294715701,-8.85</t>
  </si>
  <si>
    <t>2025-05-09 05:19:00,37057836.6877603,0,0,0,0,0,0,0</t>
  </si>
  <si>
    <t>2025-05-09 05:20:00,580,,,,560,,,,,,,,,,</t>
  </si>
  <si>
    <t>2025-05-09 05:20:00,500,,,,470,,,,,,,,,,</t>
  </si>
  <si>
    <t>2025-05-09 05:20:00,,5500,,5650,,5800,5680,,,,,5850,5550,5750,5550</t>
  </si>
  <si>
    <t>2025-05-09 05:20:00,20500,,,,19500,,,,,,,,,,</t>
  </si>
  <si>
    <t>2025-05-09 05:20:00,2521612943.30563,0,0,0,0,0,0,0</t>
  </si>
  <si>
    <t>2025-05-09 05:20:00,1435489843.73743,0,0,0,0,0,0,0</t>
  </si>
  <si>
    <t>2025-05-09 05:20:00,-15575638.4225302,-784232.885408292,,3,,-37.62,0.0482386151633869,-0.6</t>
  </si>
  <si>
    <t>2025-05-09 05:20:00,37056220.1962255,0,0,0,0,0,0,0</t>
  </si>
  <si>
    <t>2025-05-09 05:21:00,580,,,,560,,,,,,,,,,</t>
  </si>
  <si>
    <t>2025-05-09 05:21:00,500,,,,470,,,,,,,,,,</t>
  </si>
  <si>
    <t>2025-05-09 05:21:00,,5500,,5650,,5800,5660,,,,,5850,5550,5730,5550</t>
  </si>
  <si>
    <t>2025-05-09 05:21:00,20500,,,,19500,,,,,,,,,,</t>
  </si>
  <si>
    <t>2025-05-09 05:21:00,2477720414.79302,0,0,0,0,0,0,0</t>
  </si>
  <si>
    <t>2025-05-09 05:21:00,1415351905.01071,0,0,0,0,0,0,0</t>
  </si>
  <si>
    <t>2025-05-09 05:21:00,-14387813.6976398,-709623.854408488,,8,,-5.59000000000001,0.0518394915110316,0.27</t>
  </si>
  <si>
    <t>2025-05-09 05:21:00,37054591.4739215,0,0,0,0,0,0,0</t>
  </si>
  <si>
    <t>2025-05-09 05:22:00,580,,,,560,,,,,,,,,,</t>
  </si>
  <si>
    <t>2025-05-09 05:22:00,500,,,,470,,,,,,,,,,</t>
  </si>
  <si>
    <t>2025-05-09 05:22:00,,5500,,5650,,5800,5660,,,,,5850,5550,5730,5550</t>
  </si>
  <si>
    <t>2025-05-09 05:22:00,20500,,,,19500,,,,,,,,,,</t>
  </si>
  <si>
    <t>2025-05-09 05:22:00,2411607921.82949,0,0,0,0,0,0,0</t>
  </si>
  <si>
    <t>2025-05-09 05:22:00,1385350201.8017,0,0,0,0,0,0,0</t>
  </si>
  <si>
    <t>2025-05-09 05:22:00,-12278493.2303771,-638319.990874826,,-23,,-397.81,0.127236894894832,-8.16</t>
  </si>
  <si>
    <t>2025-05-09 05:22:00,37052898.7173716,0,0,0,0,0,0,0</t>
  </si>
  <si>
    <t>2025-05-09 05:23:00,580,,,,560,,,,,,,,,,</t>
  </si>
  <si>
    <t>2025-05-09 05:23:00,500,,,,470,,,,,,,,,,</t>
  </si>
  <si>
    <t>2025-05-09 05:23:00,,5500,,5650,,5800,5680,,,,,5850,5550,5750,5550</t>
  </si>
  <si>
    <t>2025-05-09 05:23:00,20500,,,,19500,,,,,,,,,,</t>
  </si>
  <si>
    <t>2025-05-09 05:23:00,2418289694.0438,0,0,0,0,0,0,0</t>
  </si>
  <si>
    <t>2025-05-09 05:23:00,1396938267.73875,0,0,0,0,0,0,0</t>
  </si>
  <si>
    <t>2025-05-09 05:23:00,-13149291.809663,-689427.111058147,,-1,,-288.7,0.072551825570715,-7.08</t>
  </si>
  <si>
    <t>2025-05-09 05:23:00,37061174.8786783,0,0,0,0,0,0,0</t>
  </si>
  <si>
    <t>2025-05-09 05:24:00,580,,,,560,,,,,,,,,,</t>
  </si>
  <si>
    <t>2025-05-09 05:24:00,500,,,,470,,,,,,,,,,</t>
  </si>
  <si>
    <t>2025-05-09 05:24:00,,5500,,5650,,5800,5680,,,,,5850,5550,5730,5550</t>
  </si>
  <si>
    <t>2025-05-09 05:24:00,20500,,,,19500,,,,,,,,,,</t>
  </si>
  <si>
    <t>2025-05-09 05:24:00,2414932922.88918,0,0,0,0,0,0,0</t>
  </si>
  <si>
    <t>2025-05-09 05:24:00,1392238907.18175,0,0,0,0,0,0,0</t>
  </si>
  <si>
    <t>2025-05-09 05:24:00,-12456182.8252239,-665241.251945182,,5,,-99.16,0.158040900432687,-1.39</t>
  </si>
  <si>
    <t>2025-05-09 05:24:00,37057311.1163367,0,0,0,0,0,0,0</t>
  </si>
  <si>
    <t>2025-05-09 05:25:00,580,,,,560,,,,,,,,,,</t>
  </si>
  <si>
    <t>2025-05-09 05:25:00,500,,,,470,,,,,,,,,,</t>
  </si>
  <si>
    <t>2025-05-09 05:25:00,,5500,,5650,,5800,5680,,,,,5850,5550,5730,5550</t>
  </si>
  <si>
    <t>2025-05-09 05:25:00,20500,,,,19500,,,,,,,,,,</t>
  </si>
  <si>
    <t>2025-05-09 05:25:00,2418032162.66588,0,0,0,0,0,0,0</t>
  </si>
  <si>
    <t>2025-05-09 05:25:00,1396710789.12867,0,0,0,0,0,0,0</t>
  </si>
  <si>
    <t>2025-05-09 05:25:00,-13035684.0794521,-689388.509175077,,-1,,-105.66,0.0864327229628178,-2.04</t>
  </si>
  <si>
    <t>2025-05-09 05:25:00,37053010.2395387,0,0,0,0,0,0,0</t>
  </si>
  <si>
    <t>2025-05-09 05:26:00,580,,,,560,,,,,,,,,,</t>
  </si>
  <si>
    <t>2025-05-09 05:26:00,500,,,,470,,,,,,,,,,</t>
  </si>
  <si>
    <t>2025-05-09 05:26:00,,5500,,5650,,5800,5680,,,,,5850,5550,5730,5550</t>
  </si>
  <si>
    <t>2025-05-09 05:26:00,20500,,,,19500,,,,,,,,,,</t>
  </si>
  <si>
    <t>2025-05-09 05:26:00,2385097873.31125,0,0,0,0,0,0,0</t>
  </si>
  <si>
    <t>2025-05-09 05:26:00,1401419610.71064,0,0,0,0,0,0,0</t>
  </si>
  <si>
    <t>2025-05-09 05:26:00,-13612457.3442212,-711901.833545645,,0,,-3.07,0.00643623761051882,-0.04</t>
  </si>
  <si>
    <t>2025-05-09 05:26:00,37054889.8362913,0,0,0,0,0,0,0</t>
  </si>
  <si>
    <t>2025-05-09 05:27:00,580,,,,560,,,,,,,,,,</t>
  </si>
  <si>
    <t>2025-05-09 05:27:00,500,,,,470,,,,,,,,,,</t>
  </si>
  <si>
    <t>2025-05-09 05:27:00,,5500,,5650,,5800,5680,,,,,5850,5550,5730,5550</t>
  </si>
  <si>
    <t>2025-05-09 05:27:00,20500,,,,19500,,,,,,,,,,</t>
  </si>
  <si>
    <t>2025-05-09 05:27:00,2476707626.26604,0,0,0,0,0,0,0</t>
  </si>
  <si>
    <t>2025-05-09 05:27:00,1410407796.07248,0,0,0,0,0,0,0</t>
  </si>
  <si>
    <t>2025-05-09 05:27:00,-14244629.5032832,-753598.192547137,,2,,-71.96,0.0769015994093509,-1.36</t>
  </si>
  <si>
    <t>2025-05-09 05:27:00,37053531.7650323,0,0,0,0,0,0,0</t>
  </si>
  <si>
    <t>2025-05-09 05:28:00,580,,,,560,,,,,,,,,,</t>
  </si>
  <si>
    <t>2025-05-09 05:28:00,500,,,,470,,,,,,,,,,</t>
  </si>
  <si>
    <t>2025-05-09 05:28:00,,5500,,5650,,5800,5680,,,,,5850,5550,5730,5550</t>
  </si>
  <si>
    <t>2025-05-09 05:28:00,20500,,,,19500,,,,,,,,,,</t>
  </si>
  <si>
    <t>2025-05-09 05:28:00,2482779066.14907,0,0,0,0,0,0,0</t>
  </si>
  <si>
    <t>2025-05-09 05:28:00,1410116816.54197,0,0,0,0,0,0,0</t>
  </si>
  <si>
    <t>2025-05-09 05:28:00,-14377477.705054,-741401.784402642,,-1,,-58.8,0.0136773189938617,-1.23</t>
  </si>
  <si>
    <t>2025-05-09 05:28:00,37061867.1951923,0,0,0,0,0,0,0</t>
  </si>
  <si>
    <t>2025-05-09 05:29:00,580,,,,560,,,,,,,,,,</t>
  </si>
  <si>
    <t>2025-05-09 05:29:00,500,,,,470,,,,,,,,,,</t>
  </si>
  <si>
    <t>2025-05-09 05:29:00,,5500,,5650,,5800,5680,,,,,5850,5550,5730,5550</t>
  </si>
  <si>
    <t>2025-05-09 05:29:00,20500,,,,19500,,,,,,,,,,</t>
  </si>
  <si>
    <t>2025-05-09 05:29:00,2513591227.37723,0,0,0,0,0,0,0</t>
  </si>
  <si>
    <t>2025-05-09 05:29:00,1432664257.55845,0,0,0,0,0,0,0</t>
  </si>
  <si>
    <t>2025-05-09 05:29:00,-15499433.9841578,-800956.516753252,,-3,,-15.19,0.0335911250709532,-0.0700000000000001</t>
  </si>
  <si>
    <t>2025-05-09 05:29:00,37057329.2741983,0,0,0,0,0,0,0</t>
  </si>
  <si>
    <t>2025-05-09 05:30:00,580,,,,580,,,,,,,,,,</t>
  </si>
  <si>
    <t>2025-05-09 05:30:00,500,,,,470,,,,,,,,,,</t>
  </si>
  <si>
    <t>2025-05-09 05:30:00,5850,,,5650,,5800,5680,,,,,5850,5550,5730,5550</t>
  </si>
  <si>
    <t>2025-05-09 05:30:00,20500,,,,19500,,,,,,,,,,</t>
  </si>
  <si>
    <t>2025-05-09 05:30:00,2716075205.83669,0,0,0,0,0,0,0</t>
  </si>
  <si>
    <t>2025-05-09 05:30:00,1489724082.25191,0,0,0,0,0,0,0</t>
  </si>
  <si>
    <t>2025-05-09 05:30:00,-25613026.948653,-839341.688060564,,15,,-72.36,0.106697405937886,-0.87</t>
  </si>
  <si>
    <t>2025-05-09 05:30:00,30744886.8349615,0,0,0,0,0,0,0</t>
  </si>
  <si>
    <t>2025-05-09 05:31:00,580,,,,580,,,,,,,,,,</t>
  </si>
  <si>
    <t>2025-05-09 05:31:00,500,,,,470,,,,,,,,,,</t>
  </si>
  <si>
    <t>2025-05-09 05:31:00,5850,,,5650,,5800,5680,,,,,5850,5550,5750,5550</t>
  </si>
  <si>
    <t>2025-05-09 05:31:00,20500,,,,19500,,,,,,,,,,</t>
  </si>
  <si>
    <t>2025-05-09 05:31:00,2793605374.6923,0,0,0,0,0,0,0</t>
  </si>
  <si>
    <t>2025-05-09 05:31:00,1531278782.71836,0,0,0,0,0,0,0</t>
  </si>
  <si>
    <t>2025-05-09 05:31:00,-29498521.5749576,-979588.560137882,,-24,,-353.36,0.166517007689669,-7.8</t>
  </si>
  <si>
    <t>2025-05-09 05:31:00,30743765.8323676,0,0,0,0,0,0,0</t>
  </si>
  <si>
    <t>2025-05-09 05:32:00,580,,,,580,,,,,,,,,,</t>
  </si>
  <si>
    <t>2025-05-09 05:32:00,500,,,,470,,,,,,,,,,</t>
  </si>
  <si>
    <t>2025-05-09 05:32:00,5850,,,5650,,5800,5680,,,,,5850,5550,5750,5550</t>
  </si>
  <si>
    <t>2025-05-09 05:32:00,20500,,,,19500,,,,,,,,,,</t>
  </si>
  <si>
    <t>2025-05-09 05:32:00,2906222204.43051,0,0,0,0,0,0,0</t>
  </si>
  <si>
    <t>2025-05-09 05:32:00,1506993973.6301,0,0,0,0,0,0,0</t>
  </si>
  <si>
    <t>2025-05-09 05:32:00,-31010839.8977147,-1042585.71213209,,-29,,-132.45,0.0570460379395007,-2.85</t>
  </si>
  <si>
    <t>2025-05-09 05:32:00,30741505.0980195,0,0,0,0,0,0,0</t>
  </si>
  <si>
    <t>2025-05-09 05:33:00,580,,,,580,,,,,,,,,,</t>
  </si>
  <si>
    <t>2025-05-09 05:33:00,500,,,,470,,,,,,,,,,</t>
  </si>
  <si>
    <t>2025-05-09 05:33:00,5850,,,5650,,5800,5680,,,,,5850,5550,5750,5550</t>
  </si>
  <si>
    <t>2025-05-09 05:33:00,20500,,,,19500,,,,,,,,,,</t>
  </si>
  <si>
    <t>2025-05-09 05:33:00,2808155579.97111,0,0,0,0,0,0,0</t>
  </si>
  <si>
    <t>2025-05-09 05:33:00,1527294972.67577,0,0,0,0,0,0,0</t>
  </si>
  <si>
    <t>2025-05-09 05:33:00,-28742136.2524672,-939391.024121057,,-13,,-121.6,-0.0395823888783854,-3.38</t>
  </si>
  <si>
    <t>2025-05-09 05:33:00,30738735.9784822,0,0,0,0,0,0,0</t>
  </si>
  <si>
    <t>2025-05-09 05:34:00,580,,,,580,,,,,,,,,,</t>
  </si>
  <si>
    <t>2025-05-09 05:34:00,500,,,,470,,,,,,,,,,</t>
  </si>
  <si>
    <t>2025-05-09 05:34:00,,5500,,5650,,5800,5680,,,,,5850,5550,5750,5550</t>
  </si>
  <si>
    <t>2025-05-09 05:34:00,20500,,,,19500,,,,,,,,,,</t>
  </si>
  <si>
    <t>2025-05-09 05:34:00,2954529208.69752,0,0,0,0,0,0,0</t>
  </si>
  <si>
    <t>2025-05-09 05:34:00,1524293728.37099,0,0,0,0,0,0,0</t>
  </si>
  <si>
    <t>2025-05-09 05:34:00,-30676156.3049616,-1048440.91188409,,-2,,-170.81,0.00389508237050661,-3.92</t>
  </si>
  <si>
    <t>2025-05-09 05:34:00,30746076.43562,0,0,0,0,0,0,0</t>
  </si>
  <si>
    <t>2025-05-09 05:35:00,580,,,,580,,,,,,,,,,</t>
  </si>
  <si>
    <t>2025-05-09 05:35:00,500,,,,470,,,,,,,,,,</t>
  </si>
  <si>
    <t>2025-05-09 05:35:00,,5500,,5650,,5800,5680,,,,,5850,5550,5750,5550</t>
  </si>
  <si>
    <t>2025-05-09 05:35:00,20500,,,,19500,,,,,,,,,,</t>
  </si>
  <si>
    <t>2025-05-09 05:35:00,2895961257.86158,0,0,0,0,0,0,0</t>
  </si>
  <si>
    <t>2025-05-09 05:35:00,1515352150.605,0,0,0,0,0,0,0</t>
  </si>
  <si>
    <t>2025-05-09 05:35:00,-30095637.437683,-1040003.91206098,,-33,,-924.41,0.0993037383285015,-24.14</t>
  </si>
  <si>
    <t>2025-05-09 05:35:00,30737247.8101349,0,0,0,0,0,0,0</t>
  </si>
  <si>
    <t>2025-05-09 05:36:00,580,,,,580,,,,,,,,,,</t>
  </si>
  <si>
    <t>2025-05-09 05:36:00,500,,,,470,,,,,,,,,,</t>
  </si>
  <si>
    <t>2025-05-09 05:36:00,,5500,,5650,,5800,5680,,,,,5850,5550,5750,5550</t>
  </si>
  <si>
    <t>2025-05-09 05:36:00,20500,,,,19500,,,,,,,,,,</t>
  </si>
  <si>
    <t>2025-05-09 05:36:00,2885850802.70889,0,0,0,0,0,0,0</t>
  </si>
  <si>
    <t>2025-05-09 05:36:00,1510774156.23964,0,0,0,0,0,0,0</t>
  </si>
  <si>
    <t>2025-05-09 05:36:00,-29782366.5386742,-1035209.29201625,,1,,-24.76,0.0272292762878196,-0.43</t>
  </si>
  <si>
    <t>2025-05-09 05:36:00,30734651.4878521,0,0,0,0,0,0,0</t>
  </si>
  <si>
    <t>2025-05-09 05:37:00,580,,,,580,,,,,,,,,,</t>
  </si>
  <si>
    <t>2025-05-09 05:37:00,500,,,,470,,,,,,,,,,</t>
  </si>
  <si>
    <t>2025-05-09 05:37:00,,5500,,5650,,5800,5680,,,,,5850,5550,5750,5550</t>
  </si>
  <si>
    <t>2025-05-09 05:37:00,20500,,,,19500,,,,,,,,,,</t>
  </si>
  <si>
    <t>2025-05-09 05:37:00,2807198217.80373,0,0,0,0,0,0,0</t>
  </si>
  <si>
    <t>2025-05-09 05:37:00,1532961265.09503,0,0,0,0,0,0,0</t>
  </si>
  <si>
    <t>2025-05-09 05:37:00,-28812588.4328379,-978388.350315177,,-19,,-243.5,0.0863296489125297,-5.55</t>
  </si>
  <si>
    <t>2025-05-09 05:37:00,30729063.9548883,0,0,0,0,0,0,0</t>
  </si>
  <si>
    <t>2025-05-09 05:38:00,580,,,,580,,,,,,,,,,</t>
  </si>
  <si>
    <t>2025-05-09 05:38:00,500,,,,470,,,,,,,,,,</t>
  </si>
  <si>
    <t>2025-05-09 05:38:00,,5500,,5650,,5800,5680,,,,,5850,5550,5750,5550</t>
  </si>
  <si>
    <t>2025-05-09 05:38:00,20500,,,,19500,,,,,,,,,,</t>
  </si>
  <si>
    <t>2025-05-09 05:38:00,2866124035.9952,0,0,0,0,0,0,0</t>
  </si>
  <si>
    <t>2025-05-09 05:38:00,1528975207.86593,0,0,0,0,0,0,0</t>
  </si>
  <si>
    <t>2025-05-09 05:38:00,-30182019.8050395,-1037630.89966379,,-8,,-100.84,0.0423004499273098,-2.44</t>
  </si>
  <si>
    <t>2025-05-09 05:38:00,30723414.9170397,0,0,0,0,0,0,0</t>
  </si>
  <si>
    <t>2025-05-09 05:39:00,580,,,,580,,,,,,,,,,</t>
  </si>
  <si>
    <t>2025-05-09 05:39:00,500,,,,470,,,,,,,,,,</t>
  </si>
  <si>
    <t>2025-05-09 05:39:00,,5500,,5650,,5800,5680,,,,,5850,5550,5750,5550</t>
  </si>
  <si>
    <t>2025-05-09 05:39:00,20500,,,,19500,,,,,,,,,,</t>
  </si>
  <si>
    <t>2025-05-09 05:39:00,2894955724.80289,0,0,0,0,0,0,0</t>
  </si>
  <si>
    <t>2025-05-09 05:39:00,1528954117.80346,0,0,0,0,0,0,0</t>
  </si>
  <si>
    <t>2025-05-09 05:39:00,-30786901.0498783,-1059309.60273852,,-6,,-94.23,0.0389089406470951,-2.25</t>
  </si>
  <si>
    <t>2025-05-09 05:39:00,30730809.3003024,0,0,0,0,0,0,0</t>
  </si>
  <si>
    <t>2025-05-09 05:40:00,580,,,,580,,,,,,,,,,</t>
  </si>
  <si>
    <t>2025-05-09 05:40:00,500,,,,470,,,,,,,,,,</t>
  </si>
  <si>
    <t>2025-05-09 05:40:00,,5500,,5650,,5800,5680,,,,,5850,5550,5750,5550</t>
  </si>
  <si>
    <t>2025-05-09 05:40:00,20500,,,,19500,,,,,,,,,,</t>
  </si>
  <si>
    <t>2025-05-09 05:40:00,2904540063.01331,0,0,0,0,0,0,0</t>
  </si>
  <si>
    <t>2025-05-09 05:40:00,1510465539.24036,0,0,0,0,0,0,0</t>
  </si>
  <si>
    <t>2025-05-09 05:40:00,-30984388.9162028,-1070318.55353637,,-2,,-22.22,-0.00900849332955517,-0.61</t>
  </si>
  <si>
    <t>2025-05-09 05:40:00,30728509.8839355,0,0,0,0,0,0,0</t>
  </si>
  <si>
    <t>2025-05-09 05:41:00,580,,,,580,,,,,,,,,,</t>
  </si>
  <si>
    <t>2025-05-09 05:41:00,500,,,,470,,,,,,,,,,</t>
  </si>
  <si>
    <t>2025-05-09 05:41:00,,5500,,5650,,5800,5680,,,,,5850,5550,5750,5550</t>
  </si>
  <si>
    <t>2025-05-09 05:41:00,20500,,,,19500,,,,,,,,,,</t>
  </si>
  <si>
    <t>2025-05-09 05:41:00,2923812679.67453,0,0,0,0,0,0,0</t>
  </si>
  <si>
    <t>2025-05-09 05:41:00,1505889325.6839,0,0,0,0,0,0,0</t>
  </si>
  <si>
    <t>2025-05-09 05:41:00,-31095687.7728269,-1094487.46332228,,-29,,-174.55,0.0618210798959831,-4.01</t>
  </si>
  <si>
    <t>2025-05-09 05:41:00,30720491.0166846,0,0,0,0,0,0,0</t>
  </si>
  <si>
    <t>2025-05-09 05:42:00,580,,,,580,,,,,,,,,,</t>
  </si>
  <si>
    <t>2025-05-09 05:42:00,500,,,,470,,,,,,,,,,</t>
  </si>
  <si>
    <t>2025-05-09 05:42:00,,5500,,5650,,5800,5680,,,,,5850,5550,5750,5550</t>
  </si>
  <si>
    <t>2025-05-09 05:42:00,20500,,,,19500,,,,,,,,,,</t>
  </si>
  <si>
    <t>2025-05-09 05:42:00,2991636948.35457,0,0,0,0,0,0,0</t>
  </si>
  <si>
    <t>2025-05-09 05:42:00,1523227188.70663,0,0,0,0,0,0,0</t>
  </si>
  <si>
    <t>2025-05-09 05:42:00,-32646579.190066,-1169640.51286656,,-20,,-94.98,0.0225943850156308,-6.66</t>
  </si>
  <si>
    <t>2025-05-09 05:42:00,30723181.8040168,0,0,0,0,0,0,0</t>
  </si>
  <si>
    <t>2025-05-09 05:43:00,580,,,,580,,,,,,,,,,</t>
  </si>
  <si>
    <t>2025-05-09 05:43:00,500,,,,470,,,,,,,,,,</t>
  </si>
  <si>
    <t>2025-05-09 05:43:00,,5500,,5650,,5800,5680,,,,,5850,5550,5750,5550</t>
  </si>
  <si>
    <t>2025-05-09 05:43:00,20500,,,,19500,,,,,,,,,,</t>
  </si>
  <si>
    <t>2025-05-09 05:43:00,2790920780.36947,0,0,0,0,0,0,0</t>
  </si>
  <si>
    <t>2025-05-09 05:43:00,1524017557.72689,0,0,0,0,0,0,0</t>
  </si>
  <si>
    <t>2025-05-09 05:43:00,-29962475.9287507,-1080957.39291892,,-25,,-547.57,0.179116908403231,-13.17</t>
  </si>
  <si>
    <t>2025-05-09 05:43:00,30723613.666634,0,0,0,0,0,0,0</t>
  </si>
  <si>
    <t>2025-05-09 05:44:00,580,,,,580,,,,,,,,,,</t>
  </si>
  <si>
    <t>2025-05-09 05:44:00,500,,,,470,,,,,,,,,,</t>
  </si>
  <si>
    <t>2025-05-09 05:44:00,,5500,,5650,,5800,5680,,,,,5850,5550,5750,5550</t>
  </si>
  <si>
    <t>2025-05-09 05:44:00,20500,,,,19500,,,,,,,,,,</t>
  </si>
  <si>
    <t>2025-05-09 05:44:00,2799409215.49591,0,0,0,0,0,0,0</t>
  </si>
  <si>
    <t>2025-05-09 05:44:00,1513296744.90829,0,0,0,0,0,0,0</t>
  </si>
  <si>
    <t>2025-05-09 05:44:00,-28832995.6582634,-1048242.95467613,,-4,,-29.5,0.00154417124638138,-0.72</t>
  </si>
  <si>
    <t>2025-05-09 05:44:00,30730813.4754674,0,0,0,0,0,0,0</t>
  </si>
  <si>
    <t>2025-05-09 05:45:00,580,,,,580,,,,,,,,,,</t>
  </si>
  <si>
    <t>2025-05-09 05:45:00,500,,,,470,,,,,,,,,,</t>
  </si>
  <si>
    <t>2025-05-09 05:45:00,,5500,,5650,,5800,5680,,,,,5850,5550,5750,5550</t>
  </si>
  <si>
    <t>2025-05-09 05:45:00,20500,,,,19500,,,,,,,,,,</t>
  </si>
  <si>
    <t>2025-05-09 05:45:00,2749220969.42643,0,0,0,0,0,0,0</t>
  </si>
  <si>
    <t>2025-05-09 05:45:00,1489994966.9147,0,0,0,0,0,0,0</t>
  </si>
  <si>
    <t>2025-05-09 05:45:00,-27800501.5518179,-975833.070989652,,22,,11.04,0.10462944852393,1.09</t>
  </si>
  <si>
    <t>2025-05-09 05:45:00,30729831.6837198,0,0,0,0,0,0,0</t>
  </si>
  <si>
    <t>2025-05-09 05:46:00,580,,,,580,,,,,,,,,,</t>
  </si>
  <si>
    <t>2025-05-09 05:46:00,500,,,,470,,,,,,,,,,</t>
  </si>
  <si>
    <t>2025-05-09 05:46:00,,5500,,5650,,5800,5680,,,,,5850,5600,5750,5550</t>
  </si>
  <si>
    <t>2025-05-09 05:46:00,20500,,,,19500,,,,,,,,,,</t>
  </si>
  <si>
    <t>2025-05-09 05:46:00,2799042141.34428,0,0,0,0,0,0,0</t>
  </si>
  <si>
    <t>2025-05-09 05:46:00,1509984697.38929,0,0,0,0,0,0,0</t>
  </si>
  <si>
    <t>2025-05-09 05:46:00,-29279906.9530036,-1033791.72028808,,-1,,-46.03,0.0269044815416223,-1.07</t>
  </si>
  <si>
    <t>2025-05-09 05:46:00,30730326.0554678,0,0,0,0,0,0,0</t>
  </si>
  <si>
    <t>2025-05-09 05:47:00,580,,,,580,,,,,,,,,,</t>
  </si>
  <si>
    <t>2025-05-09 05:47:00,500,,,,470,,,,,,,,,,</t>
  </si>
  <si>
    <t>2025-05-09 05:47:00,,5500,,5650,,5800,5680,,,,,5850,5600,5750,5550</t>
  </si>
  <si>
    <t>2025-05-09 05:47:00,20500,,,,19500,,,,,,,,,,</t>
  </si>
  <si>
    <t>2025-05-09 05:47:00,2789992881.24985,0,0,0,0,0,0,0</t>
  </si>
  <si>
    <t>2025-05-09 05:47:00,1525706803.39803,0,0,0,0,0,0,0</t>
  </si>
  <si>
    <t>2025-05-09 05:47:00,-30633526.3467238,-1078851.5779445,,-3,,-42.69,0.0161747424370878,-0.96</t>
  </si>
  <si>
    <t>2025-05-09 05:47:00,30726945.5785175,0,0,0,0,0,0,0</t>
  </si>
  <si>
    <t>2025-05-09 05:48:00,580,,,,580,,,,,,,,,,</t>
  </si>
  <si>
    <t>2025-05-09 05:48:00,500,,,,470,,,,,,,,,,</t>
  </si>
  <si>
    <t>2025-05-09 05:48:00,,5500,,5650,,5800,5680,,,,,5850,5600,5750,5550</t>
  </si>
  <si>
    <t>2025-05-09 05:48:00,20500,,,,19500,,,,,,,,,,</t>
  </si>
  <si>
    <t>2025-05-09 05:48:00,2748443186.46038,0,0,0,0,0,0,0</t>
  </si>
  <si>
    <t>2025-05-09 05:48:00,1509879709.0395,0,0,0,0,0,0,0</t>
  </si>
  <si>
    <t>2025-05-09 05:48:00,-27646581.9789379,-984385.659833686,,-6,,-236.55,0.100015491693348,-5.88</t>
  </si>
  <si>
    <t>2025-05-09 05:48:00,30722009.9194759,0,0,0,0,0,0,0</t>
  </si>
  <si>
    <t>2025-05-09 05:49:00,580,,,,580,,,,,,,,,,</t>
  </si>
  <si>
    <t>2025-05-09 05:49:00,500,,,,470,,,,,,,,,,</t>
  </si>
  <si>
    <t>2025-05-09 05:49:00,,5500,,5650,,5800,5680,,,,,5850,5600,5750,5550</t>
  </si>
  <si>
    <t>2025-05-09 05:49:00,20500,,,,19500,,,,,,,,,,</t>
  </si>
  <si>
    <t>2025-05-09 05:49:00,2757422266.16236,0,0,0,0,0,0,0</t>
  </si>
  <si>
    <t>2025-05-09 05:49:00,1518127011.42894,0,0,0,0,0,0,0</t>
  </si>
  <si>
    <t>2025-05-09 05:49:00,-28256945.5838794,-1021889.83530331,,-2,,-50.72,0.0313805236240282,-1.13</t>
  </si>
  <si>
    <t>2025-05-09 05:49:00,30720555.9243417,0,0,0,0,0,0,0</t>
  </si>
  <si>
    <t>2025-05-09 05:50:00,580,,,,580,,,,,,,,,,</t>
  </si>
  <si>
    <t>2025-05-09 05:50:00,500,,,,470,,,,,,,,,,</t>
  </si>
  <si>
    <t>2025-05-09 05:50:00,,5500,,5650,,5800,5680,,,,,5850,5600,5750,5550</t>
  </si>
  <si>
    <t>2025-05-09 05:50:00,20500,,,,19500,,,,,,,,,,</t>
  </si>
  <si>
    <t>2025-05-09 05:50:00,2747930237.11875,0,0,0,0,0,0,0</t>
  </si>
  <si>
    <t>2025-05-09 05:50:00,1523150841.40311,0,0,0,0,0,0,0</t>
  </si>
  <si>
    <t>2025-05-09 05:50:00,-28303282.7185598,-1049898.32460675,,-13,,-330.35,0.117348709650028,-8.4</t>
  </si>
  <si>
    <t>2025-05-09 05:50:00,30724234.6404784,0,0,0,0,0,0,0</t>
  </si>
  <si>
    <t>GEX-OI</t>
  </si>
  <si>
    <t>2025-05-09 05:51:00,580,,,,580,,,,,,,,,,</t>
  </si>
  <si>
    <t>2025-05-09 05:51:00,500,,,,470,,,,,,,,,,</t>
  </si>
  <si>
    <t>2025-05-09 05:51:00,,5500,,5650,,5800,5680,,,,,5850,5600,5750,5550</t>
  </si>
  <si>
    <t>2025-05-09 05:51:00,20500,,,,19500,,,,,,,,,,</t>
  </si>
  <si>
    <t>2025-05-09 05:51:00,2702045532.23651,0,0,0,0,0,0,0</t>
  </si>
  <si>
    <t>2025-05-09 05:51:00,1506158386.58508,0,0,0,0,0,0,0</t>
  </si>
  <si>
    <t>2025-05-09 05:51:00,-27026613.771439,-987278.033704388,,12,,20.13,0.06333570729916,0.93</t>
  </si>
  <si>
    <t>2025-05-09 05:51:00,30722857.2503153,0,0,0,0,0,0,0</t>
  </si>
  <si>
    <t>2025-05-09 05:52:00,580,,,,580,,,,,,,,,,</t>
  </si>
  <si>
    <t>2025-05-09 05:52:00,500,,,,470,,,,,,,,,,</t>
  </si>
  <si>
    <t>2025-05-09 05:52:00,,5500,,5650,,5800,5680,,,,,5850,5550,5750,5550</t>
  </si>
  <si>
    <t>2025-05-09 05:52:00,20500,,,,19500,,,,,,,,,,</t>
  </si>
  <si>
    <t>2025-05-09 05:52:00,2692496588.77899,0,0,0,0,0,0,0</t>
  </si>
  <si>
    <t>2025-05-09 05:52:00,1515018771.04318,0,0,0,0,0,0,0</t>
  </si>
  <si>
    <t>2025-05-09 05:52:00,-26908991.8367981,-975270.360851769,,-16,,-262.28,-0.0551139381456611,-6.07</t>
  </si>
  <si>
    <t>2025-05-09 05:52:00,30721683.6591726,0,0,0,0,0,0,0</t>
  </si>
  <si>
    <t>2025-05-09 05:53:00,580,,,,580,,,,,,,,,,</t>
  </si>
  <si>
    <t>2025-05-09 05:53:00,500,,,,470,,,,,,,,,,</t>
  </si>
  <si>
    <t>2025-05-09 05:53:00,,5500,,5650,,5800,5680,,,,,5850,5600,5750,5550</t>
  </si>
  <si>
    <t>2025-05-09 05:53:00,20500,,,,19500,,,,,,,,,,</t>
  </si>
  <si>
    <t>2025-05-09 05:53:00,2773796463.98783,0,0,0,0,0,0,0</t>
  </si>
  <si>
    <t>2025-05-09 05:53:00,1530397119.41495,0,0,0,0,0,0,0</t>
  </si>
  <si>
    <t>2025-05-09 05:53:00,-29155988.2926817,-1117290.59037805,,-23,,-458.39,0.213945318292077,-11.49</t>
  </si>
  <si>
    <t>2025-05-09 05:53:00,30720367.411663,0,0,0,0,0,0,0</t>
  </si>
  <si>
    <t>2025-05-09 05:54:00,580,,,,580,,,,,,,,,,</t>
  </si>
  <si>
    <t>2025-05-09 05:54:00,500,,,,470,,,,,,,,,,</t>
  </si>
  <si>
    <t>2025-05-09 05:54:00,,5500,,5650,,5800,5680,,,,,5850,5600,5750,5550</t>
  </si>
  <si>
    <t>2025-05-09 05:54:00,20500,,,,19500,,,,,,,,,,</t>
  </si>
  <si>
    <t>2025-05-09 05:54:00,2728969032.43652,0,0,0,0,0,0,0</t>
  </si>
  <si>
    <t>2025-05-09 05:54:00,1485953415.70835,0,0,0,0,0,0,0</t>
  </si>
  <si>
    <t>2025-05-09 05:54:00,-27802765.3847746,-1047790.42416629,,2,,-482.1,0.115786443257803,-8.88</t>
  </si>
  <si>
    <t>2025-05-09 05:54:00,30728444.3114047,0,0,0,0,0,0,0</t>
  </si>
  <si>
    <t>2025-05-09 05:55:00,580,,,,580,,,,,,,,,,</t>
  </si>
  <si>
    <t>2025-05-09 05:55:00,500,,,,470,,,,,,,,,,</t>
  </si>
  <si>
    <t>2025-05-09 05:55:00,,5500,,5650,,5800,5680,,,,,5850,5600,5750,5550</t>
  </si>
  <si>
    <t>2025-05-09 05:55:00,20500,,,,19500,,,,,,,,,,</t>
  </si>
  <si>
    <t>2025-05-09 05:55:00,2773464310.58788,0,0,0,0,0,0,0</t>
  </si>
  <si>
    <t>2025-05-09 05:55:00,1528729553.89187,0,0,0,0,0,0,0</t>
  </si>
  <si>
    <t>2025-05-09 05:55:00,-28987864.2129604,-1120120.4772585,,-8,,-133.82,0.0497828246685667,-3.1</t>
  </si>
  <si>
    <t>2025-05-09 05:55:00,30726865.6779275,0,0,0,0,0,0,0</t>
  </si>
  <si>
    <t>2025-05-09 05:56:00,580,,,,580,,,,,,,,,,</t>
  </si>
  <si>
    <t>2025-05-09 05:56:00,500,,,,470,,,,,,,,,,</t>
  </si>
  <si>
    <t>2025-05-09 05:56:00,,5500,,5650,,5800,5680,,,,,5850,5600,5750,5550</t>
  </si>
  <si>
    <t>2025-05-09 05:56:00,20500,,,,19500,,,,,,,,,,</t>
  </si>
  <si>
    <t>2025-05-09 05:56:00,2807962214.83108,0,0,0,0,0,0,0</t>
  </si>
  <si>
    <t>2025-05-09 05:56:00,1519554904.34757,0,0,0,0,0,0,0</t>
  </si>
  <si>
    <t>2025-05-09 05:56:00,-30361659.6723047,-1197654.03192397,,-21,,-391.23,0.0969366904494677,-7.92</t>
  </si>
  <si>
    <t>2025-05-09 05:56:00,30724533.2103663,0,0,0,0,0,0,0</t>
  </si>
  <si>
    <t>2025-05-09 05:57:00,580,,,,580,,,,,,,,,,</t>
  </si>
  <si>
    <t>2025-05-09 05:57:00,500,,,,470,,,,,,,,,,</t>
  </si>
  <si>
    <t>2025-05-09 05:57:00,,5500,,5650,,5800,5680,,,,,5850,5600,5750,5550</t>
  </si>
  <si>
    <t>2025-05-09 05:57:00,20500,,,,19500,,,,,,,,,,</t>
  </si>
  <si>
    <t>2025-05-09 05:57:00,2691451571.89051,0,0,0,0,0,0,0</t>
  </si>
  <si>
    <t>2025-05-09 05:57:00,1511419345.85216,0,0,0,0,0,0,0</t>
  </si>
  <si>
    <t>2025-05-09 05:57:00,-26463062.8436648,-1014473.04902772,,-4,,-214.02,0.0999082744345107,-4.46</t>
  </si>
  <si>
    <t>2025-05-09 05:57:00,30719128.1743951,0,0,0,0,0,0,0</t>
  </si>
  <si>
    <t>2025-05-09 05:58:00,580,,,,580,,,,,,,,,,</t>
  </si>
  <si>
    <t>2025-05-09 05:58:00,500,,,,470,,,,,,,,,,</t>
  </si>
  <si>
    <t>2025-05-09 05:58:00,5850,,,5650,,5800,5680,,,,,5850,5600,5730,5550</t>
  </si>
  <si>
    <t>2025-05-09 05:58:00,20500,,,,19500,,,,,,,,,,</t>
  </si>
  <si>
    <t>2025-05-09 05:58:00,2644442801.74025,0,0,0,0,0,0,0</t>
  </si>
  <si>
    <t>2025-05-09 05:58:00,1457934951.30141,0,0,0,0,0,0,0</t>
  </si>
  <si>
    <t>2025-05-09 05:58:00,-25908626.2824311,-1022820.41966414,,-2,,-393.43,0.267582998305167,-9.1</t>
  </si>
  <si>
    <t>2025-05-09 05:58:00,30718776.4445288,0,0,0,0,0,0,0</t>
  </si>
  <si>
    <t>2025-05-09 05:59:00,580,,,,580,,,,,,,,,,</t>
  </si>
  <si>
    <t>2025-05-09 05:59:00,500,,,,470,,,,,,,,,,</t>
  </si>
  <si>
    <t>2025-05-09 05:59:00,5850,,,5650,,5800,5680,,,,,5850,5600,5730,5550</t>
  </si>
  <si>
    <t>2025-05-09 05:59:00,20500,,,,19500,,,,,,,,,,</t>
  </si>
  <si>
    <t>2025-05-09 05:59:00,2728060046.112,0,0,0,0,0,0,0</t>
  </si>
  <si>
    <t>2025-05-09 05:59:00,1517045067.28073,0,0,0,0,0,0,0</t>
  </si>
  <si>
    <t>2025-05-09 05:59:00,-27736258.0445911,-1113719.73752014,,4,,-33.84,0.0762536867112573,-0.21</t>
  </si>
  <si>
    <t>2025-05-09 05:59:00,30715319.7730514,0,0,0,0,0,0,0</t>
  </si>
  <si>
    <t>2025-05-09 06:00:00,580,,,,580,,,,,,,,,,</t>
  </si>
  <si>
    <t>2025-05-09 06:00:00,500,,,,470,,,,,,,,,,</t>
  </si>
  <si>
    <t>2025-05-09 06:00:00,5850,,,5650,,5800,5680,,,,,5850,5600,5730,5550</t>
  </si>
  <si>
    <t>2025-05-09 06:00:00,20500,,,,19500,,,,,,,,,,</t>
  </si>
  <si>
    <t>2025-05-09 06:00:00,2699952380.67648,0,0,0,0,0,0,0</t>
  </si>
  <si>
    <t>2025-05-09 06:00:00,1513990327.07448,0,0,0,0,0,0,0</t>
  </si>
  <si>
    <t>2025-05-09 06:00:00,-27403256.2030319,-1172753.02245369,,-212,,-20918.96,0.295817431848114,-209.01</t>
  </si>
  <si>
    <t>2025-05-09 06:00:00,30723160.4776665,0,0,0,0,0,0,0</t>
  </si>
  <si>
    <t>2025-05-09 06:01:00,580,,,,580,,,,,,,,,,</t>
  </si>
  <si>
    <t>2025-05-09 06:01:00,500,,,,470,,,,,,,,,,</t>
  </si>
  <si>
    <t>2025-05-09 06:01:00,5850,,,5650,,5800,5680,,,,,5850,5600,5730,5550</t>
  </si>
  <si>
    <t>2025-05-09 06:01:00,20500,,,,19500,,,,,,,,,,</t>
  </si>
  <si>
    <t>2025-05-09 06:01:00,2727368283.05664,0,0,0,0,0,0,0</t>
  </si>
  <si>
    <t>2025-05-09 06:01:00,1510944401.05473,0,0,0,0,0,0,0</t>
  </si>
  <si>
    <t>2025-05-09 06:01:00,-27744942.9515719,-1249603.79609358,,-209,,-20574.65,0.246912475319123,-200.59</t>
  </si>
  <si>
    <t>2025-05-09 06:01:00,30720565.7144136,0,0,0,0,0,0,0</t>
  </si>
  <si>
    <t>2025-05-09 06:03:00,580,,,,580,,,,,,,,,,</t>
  </si>
  <si>
    <t>2025-05-09 06:03:00,500,,,,470,,,,,,,,,,</t>
  </si>
  <si>
    <t>2025-05-09 06:03:00,5850,,,5650,,5800,5680,,,,,5850,5600,5730,5550</t>
  </si>
  <si>
    <t>2025-05-09 06:03:00,20500,,,,19500,,,,,,,,,,</t>
  </si>
  <si>
    <t>2025-05-09 06:03:00,2699373077.65516,0,0,0,0,0,0,0</t>
  </si>
  <si>
    <t>2025-05-09 06:03:00,1485672630.42901,0,0,0,0,0,0,0</t>
  </si>
  <si>
    <t>2025-05-09 06:03:00,-26229502.6556898,-1220494.25072511,,-206,,-20624.81,0.24538254865006,-201.83</t>
  </si>
  <si>
    <t>2025-05-09 06:03:00,30721139.0623069,0,0,0,0,0,0,0</t>
  </si>
  <si>
    <t>2025-05-09 06:04:00,580,,,,580,,,,,,,,,,</t>
  </si>
  <si>
    <t>2025-05-09 06:04:00,500,,,,470,,,,,,,,,,</t>
  </si>
  <si>
    <t>2025-05-09 06:04:00,5850,,,5650,,5800,5780,,,,,5850,5600,5730,5550</t>
  </si>
  <si>
    <t>2025-05-09 06:04:00,20500,,,,19500,,,,,,,,,,</t>
  </si>
  <si>
    <t>2025-05-09 06:04:00,2717952161.71131,0,0,0,0,0,0,0</t>
  </si>
  <si>
    <t>2025-05-09 06:04:00,1483327532.70351,0,0,0,0,0,0,0</t>
  </si>
  <si>
    <t>2025-05-09 06:04:00,-26869779.9901573,-1308685.79374392,,-217,,-20799.21,0.253951531981931,-205.96</t>
  </si>
  <si>
    <t>2025-05-09 06:04:00,30719595.3936689,0,0,0,0,0,0,0</t>
  </si>
  <si>
    <t>2025-05-09 06:05:00,580,,,,580,,,,,,,,,,</t>
  </si>
  <si>
    <t>2025-05-09 06:05:00,500,,,,470,,,,,,,,,,</t>
  </si>
  <si>
    <t>2025-05-09 06:05:00,5850,,,5650,,5800,5780,,,,,5850,5600,5730,5550</t>
  </si>
  <si>
    <t>2025-05-09 06:05:00,20500,,,,19500,,,,,,,,,,</t>
  </si>
  <si>
    <t>2025-05-09 06:05:00,2671036559.1834,0,0,0,0,0,0,0</t>
  </si>
  <si>
    <t>2025-05-09 06:05:00,1458256691.3725,0,0,0,0,0,0,0</t>
  </si>
  <si>
    <t>2025-05-09 06:05:00,-25648012.1289152,-1263315.2839743,,0,,-8.75,0.0358280061212603,0.1</t>
  </si>
  <si>
    <t>2025-05-09 06:05:00,30719948.4591907,0,0,0,0,0,0,0</t>
  </si>
  <si>
    <t>2025-05-09 06:06:00,580,,,,580,,,,,,,,,,</t>
  </si>
  <si>
    <t>2025-05-09 06:06:00,500,,,,470,,,,,,,,,,</t>
  </si>
  <si>
    <t>2025-05-09 06:06:00,5850,,,5650,,5800,5780,,,,,5850,5600,5730,5550</t>
  </si>
  <si>
    <t>2025-05-09 06:06:00,20500,,,,19500,,,,,,,,,,</t>
  </si>
  <si>
    <t>2025-05-09 06:06:00,2670808617.47559,0,0,0,0,0,0,0</t>
  </si>
  <si>
    <t>2025-05-09 06:06:00,1454563017.91069,0,0,0,0,0,0,0</t>
  </si>
  <si>
    <t>2025-05-09 06:06:00,-25247086.8040503,-1241760.81734291,,-3,,-194.2,0.0103680758371372,-3.47</t>
  </si>
  <si>
    <t>2025-05-09 06:06:00,30717790.2733121,0,0,0,0,0,0,0</t>
  </si>
  <si>
    <t>2025-05-09 06:07:00,580,,,,580,,,,,,,,,,</t>
  </si>
  <si>
    <t>2025-05-09 06:07:00,500,,,,470,,,,,,,,,,</t>
  </si>
  <si>
    <t>2025-05-09 06:07:00,,5500,,5650,,5800,5680,,,,,5850,5600,5750,5550</t>
  </si>
  <si>
    <t>2025-05-09 06:07:00,20500,,,,19500,,,,,,,,,,</t>
  </si>
  <si>
    <t>2025-05-09 06:07:00,2928249186.68911,0,0,0,0,0,0,0</t>
  </si>
  <si>
    <t>2025-05-09 06:07:00,1506961583.11961,0,0,0,0,0,0,0</t>
  </si>
  <si>
    <t>2025-05-09 06:07:00,-32207817.0943883,-1559312.45844556,,-24,,-210.14,0.028333525579894,-4.97</t>
  </si>
  <si>
    <t>2025-05-09 06:07:00,30718074.8349696,0,0,0,0,0,0,0</t>
  </si>
  <si>
    <t>2025-05-09 06:08:00,580,,,,580,,,,,,,,,,</t>
  </si>
  <si>
    <t>2025-05-09 06:08:00,500,,,,470,,,,,,,,,,</t>
  </si>
  <si>
    <t>2025-05-09 06:08:00,,5500,,5650,,5800,5680,,,,,5850,5600,5750,5550</t>
  </si>
  <si>
    <t>2025-05-09 06:08:00,20500,,,,19500,,,,,,,,,,</t>
  </si>
  <si>
    <t>2025-05-09 06:08:00,2918327705.74417,0,0,0,0,0,0,0</t>
  </si>
  <si>
    <t>2025-05-09 06:08:00,1529188430.04207,0,0,0,0,0,0,0</t>
  </si>
  <si>
    <t>2025-05-09 06:08:00,-31731644.951842,-1556347.26012091,,-24,,-276.56,0.0663681384054645,-6.57</t>
  </si>
  <si>
    <t>2025-05-09 06:08:00,30722370.5967776,0,0,0,0,0,0,0</t>
  </si>
  <si>
    <t>2025-05-09 06:09:00,580,,,,580,,,,,,,,,,</t>
  </si>
  <si>
    <t>2025-05-09 06:09:00,500,,,,470,,,,,,,,,,</t>
  </si>
  <si>
    <t>2025-05-09 06:09:00,,5500,,5650,,5800,5680,,,,,5850,5600,5750,5550</t>
  </si>
  <si>
    <t>2025-05-09 06:09:00,20500,,,,19500,,,,,,,,,,</t>
  </si>
  <si>
    <t>2025-05-09 06:09:00,2956632023.30299,0,0,0,0,0,0,0</t>
  </si>
  <si>
    <t>2025-05-09 06:09:00,1506688828.43501,0,0,0,0,0,0,0</t>
  </si>
  <si>
    <t>2025-05-09 06:09:00,-33380606.2753681,-1628727.72522757,,-17,,-153.76,0.078468111334578,-3.16</t>
  </si>
  <si>
    <t>2025-05-09 06:09:00,30718601.9136936,0,0,0,0,0,0,0</t>
  </si>
  <si>
    <t>2025-05-09 06:10:00,580,,,,580,,,,,,,,,,</t>
  </si>
  <si>
    <t>2025-05-09 06:10:00,500,,,,470,,,,,,,,,,</t>
  </si>
  <si>
    <t>2025-05-09 06:10:00,,5500,,5650,,5800,5680,,,,,5850,5600,5750,5550</t>
  </si>
  <si>
    <t>2025-05-09 06:10:00,20500,,,,19500,,,,,,,,,,</t>
  </si>
  <si>
    <t>2025-05-09 06:10:00,2918031619.21069,0,0,0,0,0,0,0</t>
  </si>
  <si>
    <t>2025-05-09 06:10:00,1528085909.82775,0,0,0,0,0,0,0</t>
  </si>
  <si>
    <t>2025-05-09 06:10:00,-32170246.5704667,-1597862.14012866,,-11,,-165.93,0.0903462913435377,-3.29</t>
  </si>
  <si>
    <t>2025-05-09 06:10:00,30717859.5521649,0,0,0,0,0,0,0</t>
  </si>
  <si>
    <t>2025-05-09 06:11:00,580,,,,580,,,,,,,,,,</t>
  </si>
  <si>
    <t>2025-05-09 06:11:00,500,,,,470,,,,,,,,,,</t>
  </si>
  <si>
    <t>2025-05-09 06:11:00,,5650,,5650,,5800,5680,,,,,5850,5600,5750,5550</t>
  </si>
  <si>
    <t>2025-05-09 06:11:00,20500,,,,19500,,,,,,,,,,</t>
  </si>
  <si>
    <t>2025-05-09 06:11:00,3087628894.32242,0,0,0,0,0,0,0</t>
  </si>
  <si>
    <t>2025-05-09 06:11:00,1575198555.68187,0,0,0,0,0,0,0</t>
  </si>
  <si>
    <t>2025-05-09 06:11:00,-36250597.3866065,-1834882.35234443,,-24,,-573.51,0.177475685142002,-14.25</t>
  </si>
  <si>
    <t>2025-05-09 06:11:00,30716076.5052548,0,0,0,0,0,0,0</t>
  </si>
  <si>
    <t>2025-05-09 06:12:00,580,,,,580,,,,,,,,,,</t>
  </si>
  <si>
    <t>2025-05-09 06:12:00,500,,,,470,,,,,,,,,,</t>
  </si>
  <si>
    <t>2025-05-09 06:12:00,,5650,,5650,,5800,5780,,,,,5850,5600,5750,5550</t>
  </si>
  <si>
    <t>2025-05-09 06:12:00,20500,,,,19500,,,,,,,,,,</t>
  </si>
  <si>
    <t>2025-05-09 06:12:00,3051697792.69481,0,0,0,0,0,0,0</t>
  </si>
  <si>
    <t>2025-05-09 06:12:00,1549302126.33364,0,0,0,0,0,0,0</t>
  </si>
  <si>
    <t>2025-05-09 06:12:00,-34317389.2951117,-1783899.11065006,,-199,,-20211.73,0.0855095047117579,-183.55</t>
  </si>
  <si>
    <t>2025-05-09 06:12:00,30716134.7749844,0,0,0,0,0,0,0</t>
  </si>
  <si>
    <t>2025-05-09 06:13:00,580,,,,580,,,,,,,,,,</t>
  </si>
  <si>
    <t>2025-05-09 06:13:00,500,,,,470,,,,,,,,,,</t>
  </si>
  <si>
    <t>2025-05-09 06:13:00,,5650,,5650,,5800,5780,,,,,5850,5600,5750,5550</t>
  </si>
  <si>
    <t>2025-05-09 06:13:00,20500,,,,19500,,,,,,,,,,</t>
  </si>
  <si>
    <t>2025-05-09 06:13:00,3078445117.24304,0,0,0,0,0,0,0</t>
  </si>
  <si>
    <t>2025-05-09 06:13:00,1548988858.25854,0,0,0,0,0,0,0</t>
  </si>
  <si>
    <t>2025-05-09 06:13:00,-34897704.5706219,-1806689.22062189,,-41,,-298.57,-0.047685922434339,-7.69</t>
  </si>
  <si>
    <t>2025-05-09 06:13:00,30712869.2737355,0,0,0,0,0,0,0</t>
  </si>
  <si>
    <t>2025-05-09 06:14:00,580,,,,580,,,,,,,,,,</t>
  </si>
  <si>
    <t>2025-05-09 06:14:00,500,,,,470,,,,,,,,,,</t>
  </si>
  <si>
    <t>2025-05-09 06:14:00,,5650,,5650,,5800,5780,,,,,5850,5600,5750,5550</t>
  </si>
  <si>
    <t>2025-05-09 06:14:00,20500,,,,19500,,,,,,,,,,</t>
  </si>
  <si>
    <t>2025-05-09 06:14:00,3133277863.11162,0,0,0,0,0,0,0</t>
  </si>
  <si>
    <t>2025-05-09 06:14:00,1581239240.9191,0,0,0,0,0,0,0</t>
  </si>
  <si>
    <t>2025-05-09 06:14:00,-36712954.3605291,-1910416.84207331,,-10,,-234.27,0.0935810118035698,-6.13</t>
  </si>
  <si>
    <t>2025-05-09 06:14:00,30721281.2066318,0,0,0,0,0,0,0</t>
  </si>
  <si>
    <t>2025-05-09 06:15:00,580,,,,580,,,,,,,,,,</t>
  </si>
  <si>
    <t>2025-05-09 06:15:00,500,,,,470,,,,,,,,,,</t>
  </si>
  <si>
    <t>2025-05-09 06:15:00,,5650,,5650,,5800,5780,,,,,5850,5600,5750,5550</t>
  </si>
  <si>
    <t>2025-05-09 06:15:00,20500,,,,19500,,,,,,,,,,</t>
  </si>
  <si>
    <t>2025-05-09 06:15:00,3132980610.46355,0,0,0,0,0,0,0</t>
  </si>
  <si>
    <t>2025-05-09 06:15:00,1581183797.64235,0,0,0,0,0,0,0</t>
  </si>
  <si>
    <t>2025-05-09 06:15:00,-36857861.2030536,-1890045.5567684,,-11,,-3033.31,0.080238475659072,-27.7</t>
  </si>
  <si>
    <t>2025-05-09 06:15:00,30716949.5690302,0,0,0,0,0,0,0</t>
  </si>
  <si>
    <t>2025-05-09 06:18:00,580,,,,580,,,,,,,,,,</t>
  </si>
  <si>
    <t>2025-05-09 06:18:00,500,,,,470,,,,,,,,,,</t>
  </si>
  <si>
    <t>2025-05-09 06:18:00,,5650,,5650,,5800,5780,,,,,5850,5600,5750,5550</t>
  </si>
  <si>
    <t>2025-05-09 06:18:00,20500,,,,19500,,,,,,,,,,</t>
  </si>
  <si>
    <t>2025-05-09 06:18:00,3132212918.51518,0,0,0,0,0,0,0</t>
  </si>
  <si>
    <t>2025-05-09 06:18:00,1586349907.25673,0,0,0,0,0,0,0</t>
  </si>
  <si>
    <t>2025-05-09 06:18:00,-37790456.3742492,-1904731.31933968,,-210,,-23515.87,0.316615406559611,-217.08</t>
  </si>
  <si>
    <t>2025-05-09 06:18:00,30706884.2558916,0,0,0,0,0,0,0</t>
  </si>
  <si>
    <t>2025-05-09 06:19:00,580,,,,580,,,,,,,,,,</t>
  </si>
  <si>
    <t>2025-05-09 06:19:00,500,,,,470,,,,,,,,,,</t>
  </si>
  <si>
    <t>2025-05-09 06:19:00,,5650,,5650,,5800,5780,,,,,5850,5600,5750,5550</t>
  </si>
  <si>
    <t>2025-05-09 06:19:00,20500,,,,19500,,,,,,,,,,</t>
  </si>
  <si>
    <t>2025-05-09 06:19:00,3128480442.52474,0,0,0,0,0,0,0</t>
  </si>
  <si>
    <t>2025-05-09 06:19:00,1577630259.67494,0,0,0,0,0,0,0</t>
  </si>
  <si>
    <t>2025-05-09 06:19:00,-37616909.1286429,-1910821.56594531,,-6,,-162.51,0.0277459580417788,-3.93</t>
  </si>
  <si>
    <t>2025-05-09 06:19:00,30700270.9192582,0,0,0,0,0,0,0</t>
  </si>
  <si>
    <t>2025-05-09 06:22:00,580,,,,580,,,,,,,,,,</t>
  </si>
  <si>
    <t>2025-05-09 06:22:00,500,,,,470,,,,,,,,,,</t>
  </si>
  <si>
    <t>2025-05-09 06:22:00,,5650,,5650,,5800,5780,,,,,5850,5600,5750,5550</t>
  </si>
  <si>
    <t>2025-05-09 06:22:00,20500,,,,19500,,,,,,,,,,</t>
  </si>
  <si>
    <t>2025-05-09 06:22:00,3110653216.93387,0,0,0,0,0,0,0</t>
  </si>
  <si>
    <t>2025-05-09 06:22:00,1574559898.23342,0,0,0,0,0,0,0</t>
  </si>
  <si>
    <t>2025-05-09 06:22:00,-37341933.1747924,-1903529.89095384,,-1,,-2.71,-0.0032383473455951,-0.1</t>
  </si>
  <si>
    <t>2025-05-09 06:22:00,30721926.6216627,0,0,0,0,0,0,0</t>
  </si>
  <si>
    <t>2025-05-09 06:23:00,580,,,,580,,,,,,,,,,</t>
  </si>
  <si>
    <t>2025-05-09 06:23:00,500,,,,470,,,,,,,,,,</t>
  </si>
  <si>
    <t>2025-05-09 06:23:00,,5650,,5650,,5800,5780,,,,,5850,5600,5750,5550</t>
  </si>
  <si>
    <t>2025-05-09 06:23:00,20500,,,,19500,,,,,,,,,,</t>
  </si>
  <si>
    <t>2025-05-09 06:23:00,3076360816.88378,0,0,0,0,0,0,0</t>
  </si>
  <si>
    <t>2025-05-09 06:23:00,1563905269.53924,0,0,0,0,0,0,0</t>
  </si>
  <si>
    <t>2025-05-09 06:23:00,-36236385.0147393,-1854542.76780308,,-6,,-127.58,-0.0162869082817952,-2.43</t>
  </si>
  <si>
    <t>2025-05-09 06:23:00,30696595.0283536,0,0,0,0,0,0,0</t>
  </si>
  <si>
    <t>2025-05-09 06:24:00,580,,,,580,,,,,,,,,,</t>
  </si>
  <si>
    <t>2025-05-09 06:24:00,500,,,,470,,,,,,,,,,</t>
  </si>
  <si>
    <t>2025-05-09 06:24:00,,5650,,5650,,5800,5780,,,,,5850,5600,5750,5550</t>
  </si>
  <si>
    <t>2025-05-09 06:24:00,20500,,,,19500,,,,,,,,,,</t>
  </si>
  <si>
    <t>2025-05-09 06:24:00,3048824685.20516,0,0,0,0,0,0,0</t>
  </si>
  <si>
    <t>2025-05-09 06:24:00,1559798928.28974,0,0,0,0,0,0,0</t>
  </si>
  <si>
    <t>2025-05-09 06:24:00,-35438258.663454,-1837364.37553478,,-29,,-229.34,0.0917153567480591,-5.21</t>
  </si>
  <si>
    <t>2025-05-09 06:24:00,30704699.2583007,0,0,0,0,0,0,0</t>
  </si>
  <si>
    <t>2025-05-09 06:29:00,580,,,,580,,,,,,,,,,</t>
  </si>
  <si>
    <t>2025-05-09 06:29:00,500,,,,470,,,,,,,,,,</t>
  </si>
  <si>
    <t>2025-05-09 06:29:00,5850,,5730,,,5800,5780,,,,,5850,5600,5750,5550</t>
  </si>
  <si>
    <t>2025-05-09 06:29:00,20500,,,,19500,,,,,,,,,,</t>
  </si>
  <si>
    <t>2025-05-09 06:29:00,2019400560.56641,0,0,0,0,0,0,0</t>
  </si>
  <si>
    <t>2025-05-09 06:29:00,1285560229.53719,0,0,0,0,0,0,0</t>
  </si>
  <si>
    <t>2025-05-09 06:29:00,-9027462.25144388,-1096809.18771497,,-559,,-10247.87,4.11008074563562,-225.82</t>
  </si>
  <si>
    <t>2025-05-09 06:29:00,30693240.2267824,0,0,0,0,0,0,0</t>
  </si>
  <si>
    <t>2025-05-09 06:30:00,580,,,,580,,,,,,,,,,</t>
  </si>
  <si>
    <t>2025-05-09 06:30:00,500,,,,470,,,,,,,,,,</t>
  </si>
  <si>
    <t>2025-05-09 06:30:00,5850,,5730,,,5800,5780,,,,,5850,5600,5750,5550</t>
  </si>
  <si>
    <t>2025-05-09 06:30:00,20500,,,,19500,,,,,,,,,,</t>
  </si>
  <si>
    <t>2025-05-09 06:30:00,1746659081.10523,0,0,0,0,0,0,0</t>
  </si>
  <si>
    <t>2025-05-09 06:30:00,1085423944.39447,0,0,0,0,0,0,0</t>
  </si>
  <si>
    <t>2025-05-09 06:30:00,-3129853.17834868,-832640.024193465,,-59,,-1302.59,0.875584256659055,-24.44</t>
  </si>
  <si>
    <t>2025-05-09 06:30:00,30690393.8579882,0,0,0,0,0,0,0</t>
  </si>
  <si>
    <t>2025-05-09 06:31:00,580,,,,580,,,,,,,,,,</t>
  </si>
  <si>
    <t>2025-05-09 06:31:00,500,,,,470,,,,,,,,,,</t>
  </si>
  <si>
    <t>2025-05-09 06:31:00,5850,,5730,,,5800,5780,,,,,5850,5600,5750,5550</t>
  </si>
  <si>
    <t>2025-05-09 06:31:00,20500,,,,19500,,,,,,,,,,</t>
  </si>
  <si>
    <t>2025-05-09 06:31:00,1941840936.65972,0,0,0,0,0,0,0</t>
  </si>
  <si>
    <t>2025-05-09 06:31:00,1178916447.68525,0,0,0,0,0,0,0</t>
  </si>
  <si>
    <t>2025-05-09 06:31:00,-7252440.08019451,-1044974.15503188,,-1,,-393.22,0.516681036955451,-6.12</t>
  </si>
  <si>
    <t>2025-05-09 06:31:00,30686874.9511874,0,0,0,0,0,0,0</t>
  </si>
  <si>
    <t>2025-05-09 06:32:00,580,,,,580,,,,,,,,,,</t>
  </si>
  <si>
    <t>2025-05-09 06:32:00,500,,,,470,,,,,,,,,,</t>
  </si>
  <si>
    <t>2025-05-09 06:32:00,5850,,5730,,,5800,5780,,,,,5850,5600,5750,5600</t>
  </si>
  <si>
    <t>2025-05-09 06:32:00,20500,,,,19500,,,,,,,,,,</t>
  </si>
  <si>
    <t>2025-05-09 06:32:00,1855143619.30111,0,0,0,0,0,0,0</t>
  </si>
  <si>
    <t>2025-05-09 06:32:00,1124072647.25948,0,0,0,0,0,0,0</t>
  </si>
  <si>
    <t>2025-05-09 06:32:00,-5278828.30231389,-918992.846507352,,37,,103.18,0.588490771627022,3.13</t>
  </si>
  <si>
    <t>2025-05-09 06:32:00,30694997.7005399,0,0,0,0,0,0,0</t>
  </si>
  <si>
    <t>2025-05-09 06:33:00,580,,,,580,,,,,,,,,,</t>
  </si>
  <si>
    <t>2025-05-09 06:33:00,500,,,,470,,,,,,,,,,</t>
  </si>
  <si>
    <t>2025-05-09 06:33:00,5850,,5730,,,5800,5780,,,,,5850,5600,5750,5600</t>
  </si>
  <si>
    <t>2025-05-09 06:33:00,20500,,,,19500,,,,,,,,,,</t>
  </si>
  <si>
    <t>2025-05-09 06:33:00,2399023875.79288,0,0,0,0,0,0,0</t>
  </si>
  <si>
    <t>2025-05-09 06:33:00,1328779322.58523,0,0,0,0,0,0,0</t>
  </si>
  <si>
    <t>2025-05-09 06:33:00,-19875968.5701282,-1700274.80729399,,-193,,-4839.35,0.505352119222979,-108.6</t>
  </si>
  <si>
    <t>2025-05-09 06:33:00,30694037.9034934,0,0,0,0,0,0,0</t>
  </si>
  <si>
    <t>2025-05-09 06:34:00,580,,,,580,,,,,,,,,,</t>
  </si>
  <si>
    <t>2025-05-09 06:34:00,500,,,,470,,,,,,,,,,</t>
  </si>
  <si>
    <t>2025-05-09 06:34:00,5850,,5730,,,5800,5780,,,,,5850,5600,5730,5600</t>
  </si>
  <si>
    <t>2025-05-09 06:34:00,20500,,,,19500,,,,,,,,,,</t>
  </si>
  <si>
    <t>2025-05-09 06:34:00,1774151866.46254,0,0,0,0,0,0,0</t>
  </si>
  <si>
    <t>2025-05-09 06:34:00,1069103044.67195,0,0,0,0,0,0,0</t>
  </si>
  <si>
    <t>2025-05-09 06:34:00,-3392357.06642755,-793831.019647147,,30,,206.28,0.227461471449141,5.2</t>
  </si>
  <si>
    <t>2025-05-09 06:34:00,30687835.6492529,0,0,0,0,0,0,0</t>
  </si>
  <si>
    <t>2025-05-09 06:36:00,580,,,,580,,,,,,,,,,</t>
  </si>
  <si>
    <t>2025-05-09 06:36:00,500,,,,470,,,,,,,,,,</t>
  </si>
  <si>
    <t>2025-05-09 06:36:00,5850,,5730,,,5800,5780,,,,,5850,5600,5730,5600</t>
  </si>
  <si>
    <t>2025-05-09 06:36:00,20500,,,,19500,,,,,,,,,,</t>
  </si>
  <si>
    <t>2025-05-09 06:36:00,1919699935.54392,0,0,0,0,0,0,0</t>
  </si>
  <si>
    <t>2025-05-09 06:36:00,1084966503.94273,0,0,0,0,0,0,0</t>
  </si>
  <si>
    <t>2025-05-09 06:36:00,-8225142.31024221,-1054980.19442573,,4,,-123.55,0.100542953233493,-2.31</t>
  </si>
  <si>
    <t>2025-05-09 06:36:00,30689299.0106397,0,0,0,0,0,0,0</t>
  </si>
  <si>
    <t>2025-05-09 06:37:00,580,,,,580,,,,,,,,,,</t>
  </si>
  <si>
    <t>2025-05-09 06:37:00,500,,,,470,,,,,,,,,,</t>
  </si>
  <si>
    <t>2025-05-09 06:37:00,5850,,5730,,,5800,5780,,,,,5850,5600,5730,5600</t>
  </si>
  <si>
    <t>2025-05-09 06:37:00,20500,,,,19500,,,,,,,,,,</t>
  </si>
  <si>
    <t>2025-05-09 06:37:00,1719688165.5966,0,0,0,0,0,0,0</t>
  </si>
  <si>
    <t>2025-05-09 06:37:00,1018834943.9919,0,0,0,0,0,0,0</t>
  </si>
  <si>
    <t>2025-05-09 06:37:00,-2150442.73920064,-763848.099799018,,-8,,-381.79,0.307121588363809,-8.54</t>
  </si>
  <si>
    <t>2025-05-09 06:37:00,30688205.7495361,0,0,0,0,0,0,0</t>
  </si>
  <si>
    <t>2025-05-09 06:38:00,580,,,,580,,,,,,,,,,</t>
  </si>
  <si>
    <t>2025-05-09 06:38:00,500,,,,470,,,,,,,,,,</t>
  </si>
  <si>
    <t>2025-05-09 06:38:00,5850,,5730,,,5800,5780,,,,,5850,5600,5730,5600</t>
  </si>
  <si>
    <t>2025-05-09 06:38:00,20500,,,,19500,,,,,,,,,,</t>
  </si>
  <si>
    <t>2025-05-09 06:38:00,1539202401.18013,0,0,0,0,0,0,0</t>
  </si>
  <si>
    <t>2025-05-09 06:38:00,953735641.984443,0,0,0,0,0,0,0</t>
  </si>
  <si>
    <t>2025-05-09 06:38:00,3896488.65604176,-455104.889464264,,-9,,-404.13,0.308621403894945,-8.3</t>
  </si>
  <si>
    <t>2025-05-09 06:38:00,30696477.3040397,0,0,0,0,0,0,0</t>
  </si>
  <si>
    <t>2025-05-09 06:39:00,580,,,,580,,,,,,,,,,</t>
  </si>
  <si>
    <t>2025-05-09 06:39:00,500,,,,470,,,,,,,,,,</t>
  </si>
  <si>
    <t>2025-05-09 06:39:00,5850,,5730,,,5800,5780,,,,,5850,5600,5730,5600</t>
  </si>
  <si>
    <t>2025-05-09 06:39:00,20500,,,,19500,,,,,,,,,,</t>
  </si>
  <si>
    <t>2025-05-09 06:39:00,1471589661.31172,0,0,0,0,0,0,0</t>
  </si>
  <si>
    <t>2025-05-09 06:39:00,850744693.952492,0,0,0,0,0,0,0</t>
  </si>
  <si>
    <t>2025-05-09 06:39:00,10807969.1825083,-92176.0989453372,,17,,222.05,0.342364275732841,3.99</t>
  </si>
  <si>
    <t>2025-05-09 06:39:00,30693507.4449995,0,0,0,0,0,0,0</t>
  </si>
  <si>
    <t>2025-05-09 06:40:00,580,,,,580,,,,,,,,,,</t>
  </si>
  <si>
    <t>2025-05-09 06:40:00,500,,,,470,,,,,,,,,,</t>
  </si>
  <si>
    <t>2025-05-09 06:40:00,5850,,5730,,,5800,5780,,,,,5850,5600,5730,5600</t>
  </si>
  <si>
    <t>2025-05-09 06:40:00,20500,,,,19500,,,,,,,,,,</t>
  </si>
  <si>
    <t>2025-05-09 06:40:00,1634766309.37797,0,0,0,0,0,0,0</t>
  </si>
  <si>
    <t>2025-05-09 06:40:00,984878365.943677,0,0,0,0,0,0,0</t>
  </si>
  <si>
    <t>2025-05-09 06:40:00,963648.91993269,-645757.651260701,,-30,,-325.05,0.498403080715943,-8.08</t>
  </si>
  <si>
    <t>2025-05-09 06:40:00,30690839.8895721,0,0,0,0,0,0,0</t>
  </si>
  <si>
    <t>2025-05-09 06:41:00,580,,,,580,,,,,,,,,,</t>
  </si>
  <si>
    <t>2025-05-09 06:41:00,500,,,,470,,,,,,,,,,</t>
  </si>
  <si>
    <t>2025-05-09 06:41:00,5850,,5730,,,5800,5780,,,,,5850,5600,5730,5600</t>
  </si>
  <si>
    <t>2025-05-09 06:41:00,20500,,,,19500,,,,,,,,,,</t>
  </si>
  <si>
    <t>2025-05-09 06:41:00,1627261963.14422,0,0,0,0,0,0,0</t>
  </si>
  <si>
    <t>2025-05-09 06:41:00,970904014.744348,0,0,0,0,0,0,0</t>
  </si>
  <si>
    <t>2025-05-09 06:41:00,1179583.68856555,-614940.077721344,,3,,139.74,0.195778439358038,2.17</t>
  </si>
  <si>
    <t>2025-05-09 06:41:00,30687074.2549608,0,0,0,0,0,0,0</t>
  </si>
  <si>
    <t>2025-05-09 06:42:00,580,,,,580,,,,,,,,,,</t>
  </si>
  <si>
    <t>2025-05-09 06:42:00,500,,,,470,,,,,,,,,,</t>
  </si>
  <si>
    <t>2025-05-09 06:42:00,5850,,5730,,,5800,5780,,,,,5850,5600,5730,5600</t>
  </si>
  <si>
    <t>2025-05-09 06:42:00,20500,,,,19500,,,,,,,,,,</t>
  </si>
  <si>
    <t>2025-05-09 06:42:00,1860718414.82544,0,0,0,0,0,0,0</t>
  </si>
  <si>
    <t>2025-05-09 06:42:00,1083125066.89892,0,0,0,0,0,0,0</t>
  </si>
  <si>
    <t>2025-05-09 06:42:00,-5400061.53582358,-944354.534674736,,-7,,379.82,0.467035969407495,9.98</t>
  </si>
  <si>
    <t>2025-05-09 06:42:00,30686715.1437613,0,0,0,0,0,0,0</t>
  </si>
  <si>
    <t>2025-05-09 06:43:00,580,,,,580,,,,,,,,,,</t>
  </si>
  <si>
    <t>2025-05-09 06:43:00,500,,,,470,,,,,,,,,,</t>
  </si>
  <si>
    <t>2025-05-09 06:43:00,5850,,5730,,,5800,5780,,,,,5850,5600,5730,5600</t>
  </si>
  <si>
    <t>2025-05-09 06:43:00,20500,,,,19500,,,,,,,,,,</t>
  </si>
  <si>
    <t>2025-05-09 06:43:00,2024504315.8178,0,0,0,0,0,0,0</t>
  </si>
  <si>
    <t>2025-05-09 06:43:00,1139143020.63985,0,0,0,0,0,0,0</t>
  </si>
  <si>
    <t>2025-05-09 06:43:00,-9829646.75874613,-1178454.13405642,,-31,,-268.24,0.127335896551625,-5.25</t>
  </si>
  <si>
    <t>2025-05-09 06:43:00,30683661.6346399,0,0,0,0,0,0,0</t>
  </si>
  <si>
    <t>2025-05-09 06:44:00,580,,,,580,,,,,,,,,,</t>
  </si>
  <si>
    <t>2025-05-09 06:44:00,500,,,,470,,,,,,,,,,</t>
  </si>
  <si>
    <t>2025-05-09 06:44:00,5850,,5730,,,5800,5780,,,,,5850,5600,5730,5600</t>
  </si>
  <si>
    <t>2025-05-09 06:44:00,20500,,,,19500,,,,,,,,,,</t>
  </si>
  <si>
    <t>2025-05-09 06:44:00,2188063817.05887,0,0,0,0,0,0,0</t>
  </si>
  <si>
    <t>2025-05-09 06:44:00,1181500293.71433,0,0,0,0,0,0,0</t>
  </si>
  <si>
    <t>2025-05-09 06:44:00,-15192576.0414464,-1457858.86892923,,-84,,-1633.2,0.0731007884952305,-38.74</t>
  </si>
  <si>
    <t>2025-05-09 06:44:00,30691974.6900044,0,0,0,0,0,0,0</t>
  </si>
  <si>
    <t>2025-05-09 06:45:00,580,,,,580,,,,,,,,,,</t>
  </si>
  <si>
    <t>2025-05-09 06:45:00,500,,,,470,,,,,,,,,,</t>
  </si>
  <si>
    <t>2025-05-09 06:45:00,5850,,5730,,,5800,5780,,,,,5850,5600,5730,5600</t>
  </si>
  <si>
    <t>2025-05-09 06:45:00,20500,,,,19500,,,,,,,,,,</t>
  </si>
  <si>
    <t>2025-05-09 06:45:00,2290858049.61372,0,0,0,0,0,0,0</t>
  </si>
  <si>
    <t>2025-05-09 06:45:00,1142376212.58084,0,0,0,0,0,0,0</t>
  </si>
  <si>
    <t>2025-05-09 06:45:00,-18713006.0833885,-1659244.62180907,,-12,,-198.78,0.11676895057109,-4.11</t>
  </si>
  <si>
    <t>2025-05-09 06:45:00,30689639.749034,0,0,0,0,0,0,0</t>
  </si>
  <si>
    <t>2025-05-09 06:46:00,580,,,,580,,,,,,,,,,</t>
  </si>
  <si>
    <t>2025-05-09 06:46:00,500,,,,470,,,,,,,,,,</t>
  </si>
  <si>
    <t>2025-05-09 06:46:00,,5500,,5650,,5800,5780,,,,,5850,5600,5730,5600</t>
  </si>
  <si>
    <t>2025-05-09 06:46:00,20500,,,,19500,,,,,,,,,,</t>
  </si>
  <si>
    <t>2025-05-09 06:46:00,2797078717.17068,0,0,0,0,0,0,0</t>
  </si>
  <si>
    <t>2025-05-09 06:46:00,1407324432.41307,0,0,0,0,0,0,0</t>
  </si>
  <si>
    <t>2025-05-09 06:46:00,-30385587.6900059,-2339105.41724118,,-86,,-1326.96,0.293574864686527,-31.03</t>
  </si>
  <si>
    <t>2025-05-09 06:46:00,30687464.6225718,0,0,0,0,0,0,0</t>
  </si>
  <si>
    <t>2025-05-09 06:47:00,580,,,,580,,,,,,,,,,</t>
  </si>
  <si>
    <t>2025-05-09 06:47:00,500,,,,470,,,,,,,,,,</t>
  </si>
  <si>
    <t>2025-05-09 06:47:00,,5500,,5650,,5800,5780,,,,,5850,5600,5730,5600</t>
  </si>
  <si>
    <t>2025-05-09 06:47:00,20500,,,,19500,,,,,,,,,,</t>
  </si>
  <si>
    <t>2025-05-09 06:47:00,2769445450.9744,0,0,0,0,0,0,0</t>
  </si>
  <si>
    <t>2025-05-09 06:47:00,1418726844.2079,0,0,0,0,0,0,0</t>
  </si>
  <si>
    <t>2025-05-09 06:47:00,-29537963.6042381,-2366657.24934442,,-175,,-1166.06,0.310189113024932,-24.83</t>
  </si>
  <si>
    <t>2025-05-09 06:47:00,30686033.2086822,0,0,0,0,0,0,0</t>
  </si>
  <si>
    <t>2025-05-09 06:48:00,580,,,,580,,,,,,,,,,</t>
  </si>
  <si>
    <t>2025-05-09 06:48:00,500,,,,470,,,,,,,,,,</t>
  </si>
  <si>
    <t>2025-05-09 06:48:00,,5500,,5650,,5800,5780,,,,,5850,5600,5730,5600</t>
  </si>
  <si>
    <t>2025-05-09 06:48:00,20500,,,,19500,,,,,,,,,,</t>
  </si>
  <si>
    <t>2025-05-09 06:48:00,2850572898.17404,0,0,0,0,0,0,0</t>
  </si>
  <si>
    <t>2025-05-09 06:48:00,1448496425.46343,0,0,0,0,0,0,0</t>
  </si>
  <si>
    <t>2025-05-09 06:48:00,-31169605.6355419,-2390639.26383666,,-271,,-1425.61,-0.251409817462955,-41.49</t>
  </si>
  <si>
    <t>2025-05-09 06:48:00,30671814.7743612,0,0,0,0,0,0,0</t>
  </si>
  <si>
    <t>2025-05-09 06:49:00,580,,,,580,,,,,,,,,,</t>
  </si>
  <si>
    <t>2025-05-09 06:49:00,500,,,,470,,,,,,,,,,</t>
  </si>
  <si>
    <t>2025-05-09 06:49:00,,5500,,5650,,5800,5780,,,,,5850,5600,5730,5600</t>
  </si>
  <si>
    <t>2025-05-09 06:49:00,20500,,,,19500,,,,,,,,,,</t>
  </si>
  <si>
    <t>2025-05-09 06:49:00,2790944796.79966,0,0,0,0,0,0,0</t>
  </si>
  <si>
    <t>2025-05-09 06:49:00,1444985494.1851,0,0,0,0,0,0,0</t>
  </si>
  <si>
    <t>2025-05-09 06:49:00,-30836618.7073138,-2262686.4707956,,-217,,-1268.98,-0.470169017685123,-37.23</t>
  </si>
  <si>
    <t>2025-05-09 06:49:00,30680208.113413,0,0,0,0,0,0,0</t>
  </si>
  <si>
    <t>2025-05-09 06:50:00,580,,,,580,,,,,,,,,,</t>
  </si>
  <si>
    <t>2025-05-09 06:50:00,500,,,,470,,,,,,,,,,</t>
  </si>
  <si>
    <t>2025-05-09 06:50:00,5850,,5730,,,5800,5780,,,,,5740,5600,5730,5600</t>
  </si>
  <si>
    <t>2025-05-09 06:50:00,20500,,,,19500,,,,,,,,,,</t>
  </si>
  <si>
    <t>2025-05-09 06:50:00,2603907944.85893,0,0,0,0,0,0,0</t>
  </si>
  <si>
    <t>2025-05-09 06:50:00,1340874140.73333,0,0,0,0,0,0,0</t>
  </si>
  <si>
    <t>2025-05-09 06:50:00,-26965952.9067207,-1839759.0948286,,-125,,-765.88,-0.268022861293088,-22.26</t>
  </si>
  <si>
    <t>2025-05-09 06:50:00,30676946.1545954,0,0,0,0,0,0,0</t>
  </si>
  <si>
    <t>2025-05-09 06:51:00,580,,,,580,,,,,,,,,,</t>
  </si>
  <si>
    <t>2025-05-09 06:51:00,500,,,,470,,,,,,,,,,</t>
  </si>
  <si>
    <t>2025-05-09 06:51:00,5850,,,5650,,5800,5780,,,,,5740,5600,5750,5600</t>
  </si>
  <si>
    <t>2025-05-09 06:51:00,20500,,,,19500,,,,,,,,,,</t>
  </si>
  <si>
    <t>2025-05-09 06:51:00,2613443526.00229,0,0,0,0,0,0,0</t>
  </si>
  <si>
    <t>2025-05-09 06:51:00,1398889843.29929,0,0,0,0,0,0,0</t>
  </si>
  <si>
    <t>2025-05-09 06:51:00,-27024255.571877,-1868418.6280685,,-109,,-841.91,0.209422076480581,-20.1</t>
  </si>
  <si>
    <t>2025-05-09 06:51:00,30674246.5160459,0,0,0,0,0,0,0</t>
  </si>
  <si>
    <t>2025-05-09 06:52:00,580,,,,580,,,,,,,,,,</t>
  </si>
  <si>
    <t>2025-05-09 06:52:00,500,,,,470,,,,,,,,,,</t>
  </si>
  <si>
    <t>2025-05-09 06:52:00,5850,,5740,,,5800,5780,,,,,5740,5600,5750,5600</t>
  </si>
  <si>
    <t>2025-05-09 06:52:00,20500,,,,19500,,,,,,,,,,</t>
  </si>
  <si>
    <t>2025-05-09 06:52:00,2430593724.1186,0,0,0,0,0,0,0</t>
  </si>
  <si>
    <t>2025-05-09 06:52:00,1318724341.76101,0,0,0,0,0,0,0</t>
  </si>
  <si>
    <t>2025-05-09 06:52:00,-22328977.3228553,-1588701.83791965,,97,,92.75,0.429035837563455,6.31</t>
  </si>
  <si>
    <t>2025-05-09 06:52:00,30673144.9141321,0,0,0,0,0,0,0</t>
  </si>
  <si>
    <t>2025-05-09 06:53:00,580,,,,580,,,,,,,,,,</t>
  </si>
  <si>
    <t>2025-05-09 06:53:00,500,,,,470,,,,,,,,,,</t>
  </si>
  <si>
    <t>2025-05-09 06:53:00,5850,,5740,,,5800,5780,,,,,5740,5600,5750,5600</t>
  </si>
  <si>
    <t>2025-05-09 06:53:00,20500,,,,19500,,,,,,,,,,</t>
  </si>
  <si>
    <t>2025-05-09 06:53:00,2279808392.88836,0,0,0,0,0,0,0</t>
  </si>
  <si>
    <t>2025-05-09 06:53:00,1289832332.92767,0,0,0,0,0,0,0</t>
  </si>
  <si>
    <t>2025-05-09 06:53:00,-18975235.1114308,-1391838.33954198,,3,,-291.27,0.184638798899463,-5.25</t>
  </si>
  <si>
    <t>2025-05-09 06:53:00,30670133.4837146,0,0,0,0,0,0,0</t>
  </si>
  <si>
    <t>2025-05-09 06:54:00,580,,,,580,,,,,,,,,,</t>
  </si>
  <si>
    <t>2025-05-09 06:54:00,500,,,,470,,,,,,,,,,</t>
  </si>
  <si>
    <t>2025-05-09 06:54:00,5850,,5740,,,5800,5780,,,,,5740,5600,5750,5600</t>
  </si>
  <si>
    <t>2025-05-09 06:54:00,20500,,,,19500,,,,,,,,,,</t>
  </si>
  <si>
    <t>2025-05-09 06:54:00,2456214243.21192,0,0,0,0,0,0,0</t>
  </si>
  <si>
    <t>2025-05-09 06:54:00,1343210133.54874,0,0,0,0,0,0,0</t>
  </si>
  <si>
    <t>2025-05-09 06:54:00,-22726708.1938131,-1578689.41287894,,-52,,-391.67,-0.0337278680433098,-10.57</t>
  </si>
  <si>
    <t>2025-05-09 06:54:00,30666694.7277009,0,0,0,0,0,0,0</t>
  </si>
  <si>
    <t>2025-05-09 06:55:00,580,,,,580,,,,,,,,,,</t>
  </si>
  <si>
    <t>2025-05-09 06:55:00,500,,,,470,,,,,,,,,,</t>
  </si>
  <si>
    <t>2025-05-09 06:55:00,5850,,5740,,,5800,5780,,,,,5740,5600,5750,5600</t>
  </si>
  <si>
    <t>2025-05-09 06:55:00,20500,,,,19500,,,,,,,,,,</t>
  </si>
  <si>
    <t>2025-05-09 06:55:00,2408621543.40511,0,0,0,0,0,0,0</t>
  </si>
  <si>
    <t>2025-05-09 06:55:00,1314078523.97573,0,0,0,0,0,0,0</t>
  </si>
  <si>
    <t>2025-05-09 06:55:00,-20201565.5214746,-1533391.08183085,,-45,,-1042.37,0.268729699644064,-24.9</t>
  </si>
  <si>
    <t>2025-05-09 06:55:00,30675644.5450643,0,0,0,0,0,0,0</t>
  </si>
  <si>
    <t>2025-05-09 06:56:00,580,,,,580,,,,,,,,,,</t>
  </si>
  <si>
    <t>2025-05-09 06:56:00,500,,,,470,,,,,,,,,,</t>
  </si>
  <si>
    <t>2025-05-09 06:56:00,5850,,5740,,,5800,5780,,,,,5740,5600,5750,5600</t>
  </si>
  <si>
    <t>2025-05-09 06:56:00,20500,,,,19500,,,,,,,,,,</t>
  </si>
  <si>
    <t>2025-05-09 06:56:00,2489071218.3692,0,0,0,0,0,0,0</t>
  </si>
  <si>
    <t>2025-05-09 06:56:00,1336383059.72076,0,0,0,0,0,0,0</t>
  </si>
  <si>
    <t>2025-05-09 06:56:00,-22602671.8333783,-1567703.92839526,,-1,,-105.6,0.0885851489273804,-2.05</t>
  </si>
  <si>
    <t>2025-05-09 06:56:00,30671707.126523,0,0,0,0,0,0,0</t>
  </si>
  <si>
    <t>2025-05-09 06:57:00,580,,,,580,,,,,,,,,,</t>
  </si>
  <si>
    <t>2025-05-09 06:57:00,500,,,,470,,,,,,,,,,</t>
  </si>
  <si>
    <t>2025-05-09 06:57:00,5850,,5740,,,5800,5780,,,,,5740,5600,5750,5600</t>
  </si>
  <si>
    <t>2025-05-09 06:57:00,20500,,,,19500,,,,,,,,,,</t>
  </si>
  <si>
    <t>2025-05-09 06:57:00,2437738595.46318,0,0,0,0,0,0,0</t>
  </si>
  <si>
    <t>2025-05-09 06:57:00,1310531027.53926,0,0,0,0,0,0,0</t>
  </si>
  <si>
    <t>2025-05-09 06:57:00,-22273137.8093822,-1604172.15143855,,-19,,-307.53,0.0376236586983702,-7.52</t>
  </si>
  <si>
    <t>2025-05-09 06:57:00,30667475.6512714,0,0,0,0,0,0,0</t>
  </si>
  <si>
    <t>2025-05-09 06:58:00,580,,,,580,,,,,,,,,,</t>
  </si>
  <si>
    <t>2025-05-09 06:58:00,500,,,,470,,,,,,,,,,</t>
  </si>
  <si>
    <t>2025-05-09 06:58:00,5850,,5740,,,5800,5780,,,,,5740,5600,5750,5600</t>
  </si>
  <si>
    <t>2025-05-09 06:58:00,20500,,,,19500,,,,,,,,,,</t>
  </si>
  <si>
    <t>2025-05-09 06:58:00,2437547997.56348,0,0,0,0,0,0,0</t>
  </si>
  <si>
    <t>2025-05-09 06:58:00,1325307184.13419,0,0,0,0,0,0,0</t>
  </si>
  <si>
    <t>2025-05-09 06:58:00,-22020469.2047913,-1599313.15366378,,-10,,-157.58,0.0937867875176018,-3.44</t>
  </si>
  <si>
    <t>2025-05-09 06:58:00,30662025.6785015,0,0,0,0,0,0,0</t>
  </si>
  <si>
    <t>2025-05-09 06:59:00,580,,,,580,,,,,,,,,,</t>
  </si>
  <si>
    <t>2025-05-09 06:59:00,500,,,,470,,,,,,,,,,</t>
  </si>
  <si>
    <t>2025-05-09 06:59:00,5850,,5740,,,5800,5780,,,,,5740,5600,5750,5600</t>
  </si>
  <si>
    <t>2025-05-09 06:59:00,20500,,,,19500,,,,,,,,,,</t>
  </si>
  <si>
    <t>2025-05-09 06:59:00,2428430262.59365,0,0,0,0,0,0,0</t>
  </si>
  <si>
    <t>2025-05-09 06:59:00,1310108027.53467,0,0,0,0,0,0,0</t>
  </si>
  <si>
    <t>2025-05-09 06:59:00,-20946945.4111389,-1553663.9979926,,23,,-126.49,0.141012980675629,-1.99</t>
  </si>
  <si>
    <t>2025-05-09 06:59:00,30657872.3920672,0,0,0,0,0,0,0</t>
  </si>
  <si>
    <t>2025-05-09 07:00:00,580,,,,580,,,,,,,,,,</t>
  </si>
  <si>
    <t>2025-05-09 07:00:00,500,,,,470,,,,,,,,,,</t>
  </si>
  <si>
    <t>2025-05-09 07:00:00,5850,,5740,,,5800,5780,,,,,5740,5600,5750,5600</t>
  </si>
  <si>
    <t>2025-05-09 07:00:00,20500,,,,19500,,,,,,,,,,</t>
  </si>
  <si>
    <t>2025-05-09 07:00:00,2446072604.20662,0,0,0,0,0,0,0</t>
  </si>
  <si>
    <t>2025-05-09 07:00:00,1298610851.96595,0,0,0,0,0,0,0</t>
  </si>
  <si>
    <t>2025-05-09 07:00:00,-22030946.3830188,-1568350.73174809,,76,,-353.3,0.355602747021099,-6.71</t>
  </si>
  <si>
    <t>2025-05-09 07:00:00,30655955.8500278,0,0,0,0,0,0,0</t>
  </si>
  <si>
    <t>2025-05-09 07:01:00,580,,,,580,,,,,,,,,,</t>
  </si>
  <si>
    <t>2025-05-09 07:01:00,500,,,,470,,,,,,,,,,</t>
  </si>
  <si>
    <t>2025-05-09 07:01:00,5850,,5740,,,5800,5780,,,,,5740,5600,5750,5600</t>
  </si>
  <si>
    <t>2025-05-09 07:01:00,20500,,,,19500,,,,,,,,,,</t>
  </si>
  <si>
    <t>2025-05-09 07:01:00,2512213470.79904,0,0,0,0,0,0,0</t>
  </si>
  <si>
    <t>2025-05-09 07:01:00,1335450383.56327,0,0,0,0,0,0,0</t>
  </si>
  <si>
    <t>2025-05-09 07:01:00,-26745346.6420073,-1787909.52782667,,-86,,-614.26,0.0212942899237435,-15.32</t>
  </si>
  <si>
    <t>2025-05-09 07:01:00,30664604.7691108,0,0,0,0,0,0,0</t>
  </si>
  <si>
    <t>2025-05-09 07:02:00,580,,,,580,,,,,,,,,,</t>
  </si>
  <si>
    <t>2025-05-09 07:02:00,500,,,,470,,,,,,,,,,</t>
  </si>
  <si>
    <t>2025-05-09 07:02:00,5850,,5740,,,5800,5780,,,,,5740,5600,5750,5600</t>
  </si>
  <si>
    <t>2025-05-09 07:02:00,20500,,,,19500,,,,,,,,,,</t>
  </si>
  <si>
    <t>2025-05-09 07:02:00,2495584906.49196,0,0,0,0,0,0,0</t>
  </si>
  <si>
    <t>2025-05-09 07:02:00,1324596300.56107,0,0,0,0,0,0,0</t>
  </si>
  <si>
    <t>2025-05-09 07:02:00,-23965571.5514686,-1648675.9729331,,-3,,-109.08,0.113892175940239,-1.82</t>
  </si>
  <si>
    <t>2025-05-09 07:02:00,30662676.0662627,0,0,0,0,0,0,0</t>
  </si>
  <si>
    <t>2025-05-09 07:03:00,580,,,,580,,,,,,,,,,</t>
  </si>
  <si>
    <t>2025-05-09 07:03:00,500,,,,470,,,,,,,,,,</t>
  </si>
  <si>
    <t>2025-05-09 07:03:00,5850,,5740,,,5800,5780,,,,,5740,5600,5750,5600</t>
  </si>
  <si>
    <t>2025-05-09 07:03:00,20500,,,,19500,,,,,,,,,,</t>
  </si>
  <si>
    <t>2025-05-09 07:03:00,2453835773.33005,0,0,0,0,0,0,0</t>
  </si>
  <si>
    <t>2025-05-09 07:03:00,1292152507.70755,0,0,0,0,0,0,0</t>
  </si>
  <si>
    <t>2025-05-09 07:03:00,-21047062.17975,-1504126.64941093,,-7,,-134.72,0.0713566301571946,-2.99</t>
  </si>
  <si>
    <t>2025-05-09 07:03:00,30653858.3216294,0,0,0,0,0,0,0</t>
  </si>
  <si>
    <t>2025-05-09 07:04:00,580,,,,580,,,,,,,,,,</t>
  </si>
  <si>
    <t>2025-05-09 07:04:00,500,,,,470,,,,,,,,,,</t>
  </si>
  <si>
    <t>2025-05-09 07:04:00,5850,,5740,,,5800,5680,,,,,5740,5600,5750,5600</t>
  </si>
  <si>
    <t>2025-05-09 07:04:00,20500,,,,19500,,,,,,,,,,</t>
  </si>
  <si>
    <t>2025-05-09 07:04:00,2572551497.53481,0,0,0,0,0,0,0</t>
  </si>
  <si>
    <t>2025-05-09 07:04:00,1347255694.67672,0,0,0,0,0,0,0</t>
  </si>
  <si>
    <t>2025-05-09 07:04:00,-25339434.1277528,-1689871.86629411,,-25,,-577.32,0.00796941684952302,-14.68</t>
  </si>
  <si>
    <t>2025-05-09 07:04:00,30653939.4594245,0,0,0,0,0,0,0</t>
  </si>
  <si>
    <t>2025-05-09 07:05:00,580,,,,580,,,,,,,,,,</t>
  </si>
  <si>
    <t>2025-05-09 07:05:00,500,,,,470,,,,,,,,,,</t>
  </si>
  <si>
    <t>2025-05-09 07:05:00,,5500,5740,,,5800,5680,,,,,5740,5600,5750,5600</t>
  </si>
  <si>
    <t>2025-05-09 07:05:00,20500,,,,19500,,,,,,,,,,</t>
  </si>
  <si>
    <t>2025-05-09 07:05:00,2787047597.40087,0,0,0,0,0,0,0</t>
  </si>
  <si>
    <t>2025-05-09 07:05:00,1462929924.15619,0,0,0,0,0,0,0</t>
  </si>
  <si>
    <t>2025-05-09 07:05:00,-30147443.4087117,-2059386.42259249,,-50,,-338.09,-0.051299562559436,-8.83</t>
  </si>
  <si>
    <t>2025-05-09 07:05:00,30650803.1557705,0,0,0,0,0,0,0</t>
  </si>
  <si>
    <t>2025-05-09 07:06:00,580,,,,580,,,,,,,,,,</t>
  </si>
  <si>
    <t>2025-05-09 07:06:00,500,,,,470,,,,,,,,,,</t>
  </si>
  <si>
    <t>2025-05-09 07:06:00,,5500,5740,,,5800,5680,,,,,5740,5600,5750,5600</t>
  </si>
  <si>
    <t>2025-05-09 07:06:00,20500,,,,19500,,,,,,,,,,</t>
  </si>
  <si>
    <t>2025-05-09 07:06:00,2769716954.84958,0,0,0,0,0,0,0</t>
  </si>
  <si>
    <t>2025-05-09 07:06:00,1476582454.15536,0,0,0,0,0,0,0</t>
  </si>
  <si>
    <t>2025-05-09 07:06:00,-30481819.3209872,-2123132.46979576,,-89,,-669.04,0.0425217123194641,-16.68</t>
  </si>
  <si>
    <t>2025-05-09 07:06:00,30647655.6535251,0,0,0,0,0,0,0</t>
  </si>
  <si>
    <t>2025-05-09 07:07:00,580,,,,580,,,,,,,,,,</t>
  </si>
  <si>
    <t>2025-05-09 07:07:00,500,,,,470,,,,,,,,,,</t>
  </si>
  <si>
    <t>2025-05-09 07:07:00,,5500,5740,,,5800,5680,,,,,5740,5600,5750,5600</t>
  </si>
  <si>
    <t>2025-05-09 07:07:00,20500,,,,19500,,,,,,,,,,</t>
  </si>
  <si>
    <t>2025-05-09 07:07:00,2923035697.88808,0,0,0,0,0,0,0</t>
  </si>
  <si>
    <t>2025-05-09 07:07:00,1502239483.70881,0,0,0,0,0,0,0</t>
  </si>
  <si>
    <t>2025-05-09 07:07:00,-32336985.4717983,-2300611.42472905,,-31,,-279.83,0.020902286998652,-7.37</t>
  </si>
  <si>
    <t>2025-05-09 07:07:00,30656531.4303952,0,0,0,0,0,0,0</t>
  </si>
  <si>
    <t>2025-05-09 07:08:00,580,,,,580,,,,,,,,,,</t>
  </si>
  <si>
    <t>2025-05-09 07:08:00,500,,,,470,,,,,,,,,,</t>
  </si>
  <si>
    <t>2025-05-09 07:08:00,,5500,5740,,,5800,5680,,,,,5740,5600,5750,5600</t>
  </si>
  <si>
    <t>2025-05-09 07:08:00,20500,,,,19500,,,,,,,,,,</t>
  </si>
  <si>
    <t>2025-05-09 07:08:00,2763909822.47669,0,0,0,0,0,0,0</t>
  </si>
  <si>
    <t>2025-05-09 07:08:00,1422809914.06158,0,0,0,0,0,0,0</t>
  </si>
  <si>
    <t>2025-05-09 07:08:00,-29286120.0068154,-2017929.52137434,,-17,,-156.24,-0.0537732778112438,-4.37</t>
  </si>
  <si>
    <t>2025-05-09 07:08:00,30652864.3164409,0,0,0,0,0,0,0</t>
  </si>
  <si>
    <t>2025-05-09 07:09:00,580,,,,580,,,,,,,,,,</t>
  </si>
  <si>
    <t>2025-05-09 07:09:00,500,,,,470,,,,,,,,,,</t>
  </si>
  <si>
    <t>2025-05-09 07:09:00,,5500,5740,,,5800,5680,,,,,5740,5600,5750,5600</t>
  </si>
  <si>
    <t>2025-05-09 07:09:00,20500,,,,19500,,,,,,,,,,</t>
  </si>
  <si>
    <t>2025-05-09 07:09:00,2746519051.07553,0,0,0,0,0,0,0</t>
  </si>
  <si>
    <t>2025-05-09 07:09:00,1419010331.1227,0,0,0,0,0,0,0</t>
  </si>
  <si>
    <t>2025-05-09 07:09:00,-29559739.6847393,-2002780.17550178,,-18,,-162.03,0.0186487177804864,-3.76</t>
  </si>
  <si>
    <t>2025-05-09 07:09:00,30650300.8651149,0,0,0,0,0,0,0</t>
  </si>
  <si>
    <t>2025-05-09 07:10:00,580,,,,580,,,,,,,,,,</t>
  </si>
  <si>
    <t>2025-05-09 07:10:00,500,,,,470,,,,,,,,,,</t>
  </si>
  <si>
    <t>2025-05-09 07:10:00,5850,,5740,,,5800,5680,,,,,5740,5600,5750,5600</t>
  </si>
  <si>
    <t>2025-05-09 07:10:00,20500,,,,19500,,,,,,,,,,</t>
  </si>
  <si>
    <t>2025-05-09 07:10:00,2580331908.24971,0,0,0,0,0,0,0</t>
  </si>
  <si>
    <t>2025-05-09 07:10:00,1348558150.04688,0,0,0,0,0,0,0</t>
  </si>
  <si>
    <t>2025-05-09 07:10:00,-25337824.682715,-1750248.84008261,,-40,,-888.93,0.274343957746489,-19.31</t>
  </si>
  <si>
    <t>2025-05-09 07:10:00,30646782.3120415,0,0,0,0,0,0,0</t>
  </si>
  <si>
    <t>2025-05-09 07:11:00,580,,,,580,,,,,,,,,,</t>
  </si>
  <si>
    <t>2025-05-09 07:11:00,500,,,,470,,,,,,,,,,</t>
  </si>
  <si>
    <t>2025-05-09 07:11:00,5850,,5740,,,5800,5680,,,,,5740,5600,5750,5600</t>
  </si>
  <si>
    <t>2025-05-09 07:11:00,20500,,,,19500,,,,,,,,,,</t>
  </si>
  <si>
    <t>2025-05-09 07:11:00,2494309123.77366,0,0,0,0,0,0,0</t>
  </si>
  <si>
    <t>2025-05-09 07:11:00,1346207730.35398,0,0,0,0,0,0,0</t>
  </si>
  <si>
    <t>2025-05-09 07:11:00,-24163282.5079304,-1668411.33078516,,17,,-284.89,0.178269747726043,-5.51</t>
  </si>
  <si>
    <t>2025-05-09 07:11:00,30646718.6218462,0,0,0,0,0,0,0</t>
  </si>
  <si>
    <t>2025-05-09 07:12:00,580,,,,580,,,,,,,,,,</t>
  </si>
  <si>
    <t>2025-05-09 07:12:00,500,,,,470,,,,,,,,,,</t>
  </si>
  <si>
    <t>2025-05-09 07:12:00,5850,,5740,,,5800,5680,,,,,5740,5600,5750,5600</t>
  </si>
  <si>
    <t>2025-05-09 07:12:00,20500,,,,19500,,,,,,,,,,</t>
  </si>
  <si>
    <t>2025-05-09 07:12:00,2460069111.4346,0,0,0,0,0,0,0</t>
  </si>
  <si>
    <t>2025-05-09 07:12:00,1315796186.45698,0,0,0,0,0,0,0</t>
  </si>
  <si>
    <t>2025-05-09 07:12:00,-21818677.5495887,-1452504.81746493,,-6,,-256.45,0.0298673743656217,-5.86</t>
  </si>
  <si>
    <t>2025-05-09 07:12:00,30641802.4881139,0,0,0,0,0,0,0</t>
  </si>
  <si>
    <t>2025-05-09 07:13:00,580,,,,580,,,,,,,,,,</t>
  </si>
  <si>
    <t>2025-05-09 07:13:00,500,,,,470,,,,,,,,,,</t>
  </si>
  <si>
    <t>2025-05-09 07:13:00,5850,,5740,,,5800,5680,,,,,5740,5600,5750,5600</t>
  </si>
  <si>
    <t>2025-05-09 07:13:00,20500,,,,19500,,,,,,,,,,</t>
  </si>
  <si>
    <t>2025-05-09 07:13:00,2388602164.98311,0,0,0,0,0,0,0</t>
  </si>
  <si>
    <t>2025-05-09 07:13:00,1290514985.08401,0,0,0,0,0,0,0</t>
  </si>
  <si>
    <t>2025-05-09 07:13:00,-20810225.5351374,-1472768.13874228,,2,,-38.55,0.0436946669984,-0.72</t>
  </si>
  <si>
    <t>2025-05-09 07:13:00,30650575.2423989,0,0,0,0,0,0,0</t>
  </si>
  <si>
    <t>2025-05-09 07:14:00,580,,,,580,,,,,,,,,,</t>
  </si>
  <si>
    <t>2025-05-09 07:14:00,500,,,,470,,,,,,,,,,</t>
  </si>
  <si>
    <t>2025-05-09 07:14:00,5850,,5740,,,5800,5680,,,,,5740,5600,5750,5600</t>
  </si>
  <si>
    <t>2025-05-09 07:14:00,20500,,,,19500,,,,,,,,,,</t>
  </si>
  <si>
    <t>2025-05-09 07:14:00,2343256423.09915,0,0,0,0,0,0,0</t>
  </si>
  <si>
    <t>2025-05-09 07:14:00,1290190204.46159,0,0,0,0,0,0,0</t>
  </si>
  <si>
    <t>2025-05-09 07:14:00,-19618883.6786,-1393888.75906324,,5,,-221.82,0.0959182472454392,-4.32</t>
  </si>
  <si>
    <t>2025-05-09 07:14:00,30648946.4888435,0,0,0,0,0,0,0</t>
  </si>
  <si>
    <t>2025-05-09 07:15:00,580,,,,580,,,,,,,,,,</t>
  </si>
  <si>
    <t>2025-05-09 07:15:00,500,,,,470,,,,,,,,,,</t>
  </si>
  <si>
    <t>2025-05-09 07:15:00,5850,,5740,,,5800,5680,,,,,5740,5600,5750,5600</t>
  </si>
  <si>
    <t>2025-05-09 07:15:00,20500,,,,19500,,,,,,,,,,</t>
  </si>
  <si>
    <t>2025-05-09 07:15:00,2388141978.82319,0,0,0,0,0,0,0</t>
  </si>
  <si>
    <t>2025-05-09 07:15:00,1307731748.77874,0,0,0,0,0,0,0</t>
  </si>
  <si>
    <t>2025-05-09 07:15:00,-20401593.1404222,-1563329.87207418,,-112,,-5266.94,0.609501641192693,-88.97</t>
  </si>
  <si>
    <t>2025-05-09 07:15:00,30646530.7696693,0,0,0,0,0,0,0</t>
  </si>
  <si>
    <t>2025-05-09 07:17:00,580,,,,580,,,,,,,,,,</t>
  </si>
  <si>
    <t>2025-05-09 07:17:00,500,,,,470,,,,,,,,,,</t>
  </si>
  <si>
    <t>2025-05-09 07:17:00,5850,,5740,,,5800,5680,,,,,5740,5600,5750,5600</t>
  </si>
  <si>
    <t>2025-05-09 07:17:00,20500,,,,19500,,,,,,,,,,</t>
  </si>
  <si>
    <t>2025-05-09 07:17:00,2422660296.37723,0,0,0,0,0,0,0</t>
  </si>
  <si>
    <t>2025-05-09 07:17:00,1336371815.73828,0,0,0,0,0,0,0</t>
  </si>
  <si>
    <t>2025-05-09 07:17:00,-21132764.0914703,-1559343.08414145,,-6,,-246.71,0.113823401206251,-5.55</t>
  </si>
  <si>
    <t>2025-05-09 07:17:00,30646455.6288807,0,0,0,0,0,0,0</t>
  </si>
  <si>
    <t>2025-05-09 07:18:00,580,,,,580,,,,,,,,,,</t>
  </si>
  <si>
    <t>2025-05-09 07:18:00,500,,,,470,,,,,,,,,,</t>
  </si>
  <si>
    <t>2025-05-09 07:18:00,5850,,5740,,,5800,5680,,,,,5740,5600,5750,5600</t>
  </si>
  <si>
    <t>2025-05-09 07:18:00,20500,,,,19500,,,,,,,,,,</t>
  </si>
  <si>
    <t>2025-05-09 07:18:00,2441177811.92356,0,0,0,0,0,0,0</t>
  </si>
  <si>
    <t>2025-05-09 07:18:00,1339395700.26358,0,0,0,0,0,0,0</t>
  </si>
  <si>
    <t>2025-05-09 07:18:00,-21895565.2695822,-1484672.55106833,,-7,,-172.22,0.0255472325411611,-3.64</t>
  </si>
  <si>
    <t>2025-05-09 07:18:00,30641895.1068424,0,0,0,0,0,0,0</t>
  </si>
  <si>
    <t>2025-05-09 07:19:00,580,,,,580,,,,,,,,,,</t>
  </si>
  <si>
    <t>2025-05-09 07:19:00,500,,,,470,,,,,,,,,,</t>
  </si>
  <si>
    <t>2025-05-09 07:19:00,5850,,5740,,,5800,5680,,,,,5740,5600,5750,5600</t>
  </si>
  <si>
    <t>2025-05-09 07:19:00,20500,,,,19500,,,,,,,,,,</t>
  </si>
  <si>
    <t>2025-05-09 07:19:00,2503082815.8731,0,0,0,0,0,0,0</t>
  </si>
  <si>
    <t>2025-05-09 07:19:00,1347014845.69075,0,0,0,0,0,0,0</t>
  </si>
  <si>
    <t>2025-05-09 07:19:00,-23072719.151821,-1690371.83200898,,13,,-57.07,0.0264882279121491,-0.61</t>
  </si>
  <si>
    <t>2025-05-09 07:19:00,30637417.2662811,0,0,0,0,0,0,0</t>
  </si>
  <si>
    <t>2025-05-09 07:20:00,580,,,,580,,,,,,,,,,</t>
  </si>
  <si>
    <t>2025-05-09 07:20:00,500,,,,470,,,,,,,,,,</t>
  </si>
  <si>
    <t>2025-05-09 07:20:00,5850,,5740,,,5800,5680,,,,,5740,5600,5750,5600</t>
  </si>
  <si>
    <t>2025-05-09 07:20:00,20500,,,,19500,,,,,,,,,,</t>
  </si>
  <si>
    <t>2025-05-09 07:20:00,2457891698.13587,0,0,0,0,0,0,0</t>
  </si>
  <si>
    <t>2025-05-09 07:20:00,1344996914.73702,0,0,0,0,0,0,0</t>
  </si>
  <si>
    <t>2025-05-09 07:20:00,-22378633.2566522,-1654772.72071675,,-9,,-360.03,0.22977179355879,-7.18</t>
  </si>
  <si>
    <t>2025-05-09 07:20:00,30635072.184608,0,0,0,0,0,0,0</t>
  </si>
  <si>
    <t>2025-05-09 07:21:00,580,,,,580,,,,,,,,,,</t>
  </si>
  <si>
    <t>2025-05-09 07:21:00,500,,,,470,,,,,,,,,,</t>
  </si>
  <si>
    <t>2025-05-09 07:21:00,5850,,5740,,,5800,5680,,,,,5740,5600,5750,5600</t>
  </si>
  <si>
    <t>2025-05-09 07:21:00,20500,,,,19500,,,,,,,,,,</t>
  </si>
  <si>
    <t>2025-05-09 07:21:00,2377858357.18781,0,0,0,0,0,0,0</t>
  </si>
  <si>
    <t>2025-05-09 07:21:00,1318051213.38492,0,0,0,0,0,0,0</t>
  </si>
  <si>
    <t>2025-05-09 07:21:00,-20463599.2313709,-1578794.45844968,,-14,,-218.29,0.103094127016569,-4.85</t>
  </si>
  <si>
    <t>2025-05-09 07:21:00,30644557.6289006,0,0,0,0,0,0,0</t>
  </si>
  <si>
    <t>2025-05-09 07:22:00,580,,,,580,,,,,,,,,,</t>
  </si>
  <si>
    <t>2025-05-09 07:22:00,500,,,,470,,,,,,,,,,</t>
  </si>
  <si>
    <t>2025-05-09 07:22:00,5850,,5740,,,5800,5680,,,,,5740,5600,5750,5600</t>
  </si>
  <si>
    <t>2025-05-09 07:22:00,20500,,,,19500,,,,,,,,,,</t>
  </si>
  <si>
    <t>2025-05-09 07:22:00,2449004609.27984,0,0,0,0,0,0,0</t>
  </si>
  <si>
    <t>2025-05-09 07:22:00,1335645424.8557,0,0,0,0,0,0,0</t>
  </si>
  <si>
    <t>2025-05-09 07:22:00,-21985409.7196186,-1645577.59650898,,13,,-76.03,0.190752397001644,-0.75</t>
  </si>
  <si>
    <t>2025-05-09 07:22:00,30642613.2622753,0,0,0,0,0,0,0</t>
  </si>
  <si>
    <t>2025-05-09 07:23:00,580,,,,580,,,,,,,,,,</t>
  </si>
  <si>
    <t>2025-05-09 07:23:00,500,,,,470,,,,,,,,,,</t>
  </si>
  <si>
    <t>2025-05-09 07:23:00,5850,,5740,,,5800,5680,,,,,5740,5600,5750,5600</t>
  </si>
  <si>
    <t>2025-05-09 07:23:00,20500,,,,19500,,,,,,,,,,</t>
  </si>
  <si>
    <t>2025-05-09 07:23:00,2465636651.69223,0,0,0,0,0,0,0</t>
  </si>
  <si>
    <t>2025-05-09 07:23:00,1344517641.03592,0,0,0,0,0,0,0</t>
  </si>
  <si>
    <t>2025-05-09 07:23:00,-22569581.7683994,-1679958.31634071,,-3,,-124.86,0.0259723033568671,-2.31</t>
  </si>
  <si>
    <t>2025-05-09 07:23:00,30639674.252026,0,0,0,0,0,0,0</t>
  </si>
  <si>
    <t>2025-05-09 07:24:00,580,,,,580,,,,,,,,,,</t>
  </si>
  <si>
    <t>2025-05-09 07:24:00,500,,,,470,,,,,,,,,,</t>
  </si>
  <si>
    <t>2025-05-09 07:24:00,5850,,5740,,,5800,5680,,,,,5740,5600,5750,5600</t>
  </si>
  <si>
    <t>2025-05-09 07:24:00,20500,,,,19500,,,,,,,,,,</t>
  </si>
  <si>
    <t>2025-05-09 07:24:00,2481769319.20854,0,0,0,0,0,0,0</t>
  </si>
  <si>
    <t>2025-05-09 07:24:00,1331368079.1933,0,0,0,0,0,0,0</t>
  </si>
  <si>
    <t>2025-05-09 07:24:00,-22856119.7761396,-1718893.88678163,,7,,-34.98,0.0415714627345422,-0.77</t>
  </si>
  <si>
    <t>2025-05-09 07:24:00,30637891.0667992,0,0,0,0,0,0,0</t>
  </si>
  <si>
    <t>2025-05-09 07:25:00,580,,,,580,,,,,,,,,,</t>
  </si>
  <si>
    <t>2025-05-09 07:25:00,500,,,,470,,,,,,,,,,</t>
  </si>
  <si>
    <t>2025-05-09 07:25:00,5850,,5740,,,5800,5680,,,,,5740,5600,5750,5600</t>
  </si>
  <si>
    <t>2025-05-09 07:25:00,20500,,,,19500,,,,,,,,,,</t>
  </si>
  <si>
    <t>2025-05-09 07:25:00,2439214553.15777,0,0,0,0,0,0,0</t>
  </si>
  <si>
    <t>2025-05-09 07:25:00,1341494071.62451,0,0,0,0,0,0,0</t>
  </si>
  <si>
    <t>2025-05-09 07:25:00,-21821117.0006242,-1629050.29273912,,1,,-74.34,0.0472429743242332,-1.65</t>
  </si>
  <si>
    <t>2025-05-09 07:25:00,30633337.1527861,0,0,0,0,0,0,0</t>
  </si>
  <si>
    <t>2025-05-09 07:26:00,580,,,,580,,,,,,,,,,</t>
  </si>
  <si>
    <t>2025-05-09 07:26:00,500,,,,470,,,,,,,,,,</t>
  </si>
  <si>
    <t>2025-05-09 07:26:00,5850,,5740,,,5800,5680,,,,,5740,5600,5750,5600</t>
  </si>
  <si>
    <t>2025-05-09 07:26:00,20500,,,,19500,,,,,,,,,,</t>
  </si>
  <si>
    <t>2025-05-09 07:26:00,2282550560.44431,0,0,0,0,0,0,0</t>
  </si>
  <si>
    <t>2025-05-09 07:26:00,1281313971.6736,0,0,0,0,0,0,0</t>
  </si>
  <si>
    <t>2025-05-09 07:26:00,-18319685.1084312,-1476380.154469,,-15,,-191.89,0.0680278798881261,-4.49</t>
  </si>
  <si>
    <t>2025-05-09 07:26:00,30629592.6885787,0,0,0,0,0,0,0</t>
  </si>
  <si>
    <t>2025-05-09 07:27:00,580,,,,580,,,,,,,,,,</t>
  </si>
  <si>
    <t>2025-05-09 07:27:00,500,,,,470,,,,,,,,,,</t>
  </si>
  <si>
    <t>2025-05-09 07:27:00,,5500,5740,,,5800,5680,,,,,5740,5600,5750,5600</t>
  </si>
  <si>
    <t>2025-05-09 07:27:00,20500,,,,19500,,,,,,,,,,</t>
  </si>
  <si>
    <t>2025-05-09 07:27:00,2282229546.25205,0,0,0,0,0,0,0</t>
  </si>
  <si>
    <t>2025-05-09 07:27:00,1254813367.97089,0,0,0,0,0,0,0</t>
  </si>
  <si>
    <t>2025-05-09 07:27:00,-18286584.7833459,-1432333.58732928,,-37,,-365.7,0.0332693975780552,-8.07</t>
  </si>
  <si>
    <t>2025-05-09 07:27:00,30638692.7024331,0,0,0,0,0,0,0</t>
  </si>
  <si>
    <t>2025-05-09 07:28:00,580,,,,580,,,,,,,,,,</t>
  </si>
  <si>
    <t>2025-05-09 07:28:00,500,,,,470,,,,,,,,,,</t>
  </si>
  <si>
    <t>2025-05-09 07:28:00,,5500,5740,,,5800,5680,,,,,5740,5600,5750,5600</t>
  </si>
  <si>
    <t>2025-05-09 07:28:00,20500,,,,19500,,,,,,,,,,</t>
  </si>
  <si>
    <t>2025-05-09 07:28:00,2261559440.65486,0,0,0,0,0,0,0</t>
  </si>
  <si>
    <t>2025-05-09 07:28:00,1250659547.07152,0,0,0,0,0,0,0</t>
  </si>
  <si>
    <t>2025-05-09 07:28:00,-17995231.8687652,-1441331.35455634,,-35,,-253.84,0.140000922411997,-5.43</t>
  </si>
  <si>
    <t>2025-05-09 07:28:00,30634225.9477525,0,0,0,0,0,0,0</t>
  </si>
  <si>
    <t>2025-05-09 07:29:00,580,,,,580,,,,,,,,,,</t>
  </si>
  <si>
    <t>2025-05-09 07:29:00,500,,,,470,,,,,,,,,,</t>
  </si>
  <si>
    <t>2025-05-09 07:29:00,5850,,5740,,,5800,5680,,,,,5740,5600,5750,5600</t>
  </si>
  <si>
    <t>2025-05-09 07:29:00,20500,,,,19500,,,,,,,,,,</t>
  </si>
  <si>
    <t>2025-05-09 07:29:00,2245363323.56573,0,0,0,0,0,0,0</t>
  </si>
  <si>
    <t>2025-05-09 07:29:00,1131289967.51678,0,0,0,0,0,0,0</t>
  </si>
  <si>
    <t>2025-05-09 07:29:00,-16687418.6806891,-1357295.68894282,,-5,,-273.88,0.0494906913561844,-4.75</t>
  </si>
  <si>
    <t>2025-05-09 07:29:00,30634351.9464733,0,0,0,0,0,0,0</t>
  </si>
  <si>
    <t>2025-05-09 07:30:00,580,,,,580,,,,,,,,,,</t>
  </si>
  <si>
    <t>2025-05-09 07:30:00,500,,,,470,,,,,,,,,,</t>
  </si>
  <si>
    <t>2025-05-09 07:30:00,5850,,5740,,,5800,5680,,,,,5740,5600,5750,5600</t>
  </si>
  <si>
    <t>2025-05-09 07:30:00,20500,,,,19500,,,,,,,,,,</t>
  </si>
  <si>
    <t>2025-05-09 07:30:00,2269561118.27286,0,0,0,0,0,0,0</t>
  </si>
  <si>
    <t>2025-05-09 07:30:00,1261837734.10103,0,0,0,0,0,0,0</t>
  </si>
  <si>
    <t>2025-05-09 07:30:00,-17201474.0635066,-1451579.4298516,,-2,,-196.02,0.0612091040665131,-4.47</t>
  </si>
  <si>
    <t>2025-05-09 07:30:00,30632754.8251841,0,0,0,0,0,0,0</t>
  </si>
  <si>
    <t>2025-05-09 07:31:00,580,,,,580,,,,,,,,,,</t>
  </si>
  <si>
    <t>2025-05-09 07:31:00,500,,,,470,,,,,,,,,,</t>
  </si>
  <si>
    <t>2025-05-09 07:31:00,5850,,5740,,,5800,5680,,,,,5740,5600,5750,5600</t>
  </si>
  <si>
    <t>2025-05-09 07:31:00,20500,,,,19500,,,,,,,,,,</t>
  </si>
  <si>
    <t>2025-05-09 07:31:00,2446121360.44401,0,0,0,0,0,0,0</t>
  </si>
  <si>
    <t>2025-05-09 07:31:00,1346849116.21759,0,0,0,0,0,0,0</t>
  </si>
  <si>
    <t>2025-05-09 07:31:00,-22350307.3648846,-1734775.82963577,,-95,,-2162.42,0.25488762430163,-52.95</t>
  </si>
  <si>
    <t>2025-05-09 07:31:00,30629174.0236173,0,0,0,0,0,0,0</t>
  </si>
  <si>
    <t>2025-05-09 07:32:00,580,,,,580,,,,,,,,,,</t>
  </si>
  <si>
    <t>2025-05-09 07:32:00,500,,,,470,,,,,,,,,,</t>
  </si>
  <si>
    <t>2025-05-09 07:32:00,,5500,5740,,,5800,5680,,,,,5740,5600,5750,5600</t>
  </si>
  <si>
    <t>2025-05-09 07:32:00,20500,,,,19500,,,,,,,,,,</t>
  </si>
  <si>
    <t>2025-05-09 07:32:00,2611385910.34923,0,0,0,0,0,0,0</t>
  </si>
  <si>
    <t>2025-05-09 07:32:00,1415127097.821,0,0,0,0,0,0,0</t>
  </si>
  <si>
    <t>2025-05-09 07:32:00,-26702583.0677365,-2067275.72208605,,11,,-285.4,0.147963457947091,-6.24</t>
  </si>
  <si>
    <t>2025-05-09 07:32:00,30638265.0942289,0,0,0,0,0,0,0</t>
  </si>
  <si>
    <t>2025-05-09 07:33:00,580,,,,580,,,,,,,,,,</t>
  </si>
  <si>
    <t>2025-05-09 07:33:00,500,,,,470,,,,,,,,,,</t>
  </si>
  <si>
    <t>2025-05-09 07:33:00,,5500,5740,,,5800,5680,,,,,5740,5600,5750,5600</t>
  </si>
  <si>
    <t>2025-05-09 07:33:00,20500,,,,19500,,,,,,,,,,</t>
  </si>
  <si>
    <t>2025-05-09 07:33:00,2667129349.70104,0,0,0,0,0,0,0</t>
  </si>
  <si>
    <t>2025-05-09 07:33:00,1444722698.12148,0,0,0,0,0,0,0</t>
  </si>
  <si>
    <t>2025-05-09 07:33:00,-28885116.204661,-2214350.54006697,,-7,,-267.87,0.034379966362662,-5.74</t>
  </si>
  <si>
    <t>2025-05-09 07:33:00,30636318.5994639,0,0,0,0,0,0,0</t>
  </si>
  <si>
    <t>2025-05-09 07:34:00,580,,,,580,,,,,,,,,,</t>
  </si>
  <si>
    <t>2025-05-09 07:34:00,500,,,,470,,,,,,,,,,</t>
  </si>
  <si>
    <t>2025-05-09 07:34:00,,5500,5740,,,5800,5680,,,,,5740,5600,5750,5600</t>
  </si>
  <si>
    <t>2025-05-09 07:34:00,20500,,,,19500,,,,,,,,,,</t>
  </si>
  <si>
    <t>2025-05-09 07:34:00,2703611987.47852,0,0,0,0,0,0,0</t>
  </si>
  <si>
    <t>2025-05-09 07:34:00,1464319151.63399,0,0,0,0,0,0,0</t>
  </si>
  <si>
    <t>2025-05-09 07:34:00,-29298090.9876859,-2303930.15141386,,11,,-344.35,0.208449437196439,-8.34</t>
  </si>
  <si>
    <t>2025-05-09 07:34:00,30632106.178118,0,0,0,0,0,0,0</t>
  </si>
  <si>
    <t>2025-05-09 07:35:00,580,,,,580,,,,,,,,,,</t>
  </si>
  <si>
    <t>2025-05-09 07:35:00,500,,,,470,,,,,,,,,,</t>
  </si>
  <si>
    <t>2025-05-09 07:35:00,,5500,5740,,,5800,5680,,,,,5740,5600,5750,5600</t>
  </si>
  <si>
    <t>2025-05-09 07:35:00,20500,,,,19500,,,,,,,,,,</t>
  </si>
  <si>
    <t>2025-05-09 07:35:00,2657330838.95729,0,0,0,0,0,0,0</t>
  </si>
  <si>
    <t>2025-05-09 07:35:00,1444459174.2842,0,0,0,0,0,0,0</t>
  </si>
  <si>
    <t>2025-05-09 07:35:00,-27645609.8702945,-2140744.75961541,,158,,-264.87,0.355461520503059,-5.8</t>
  </si>
  <si>
    <t>2025-05-09 07:35:00,30629769.2486957,0,0,0,0,0,0,0</t>
  </si>
  <si>
    <t>2025-05-09 07:36:00,580,,,,580,,,,,,,,,,</t>
  </si>
  <si>
    <t>2025-05-09 07:36:00,500,,,,470,,,,,,,,,,</t>
  </si>
  <si>
    <t>2025-05-09 07:36:00,,5500,5740,,,5800,5680,,,,,5740,5600,5750,5600</t>
  </si>
  <si>
    <t>2025-05-09 07:36:00,20500,,,,19500,,,,,,,,,,</t>
  </si>
  <si>
    <t>2025-05-09 07:36:00,2760856028.75292,0,0,0,0,0,0,0</t>
  </si>
  <si>
    <t>2025-05-09 07:36:00,1497575455.52561,0,0,0,0,0,0,0</t>
  </si>
  <si>
    <t>2025-05-09 07:36:00,-32118179.0876024,-2498118.72375325,,57,,-248.68,0.155111024779977,-5.93</t>
  </si>
  <si>
    <t>2025-05-09 07:36:00,30626577.4940822,0,0,0,0,0,0,0</t>
  </si>
  <si>
    <t>2025-05-09 07:37:00,580,,,,580,,,,,,,,,,</t>
  </si>
  <si>
    <t>2025-05-09 07:37:00,500,,,,470,,,,,,,,,,</t>
  </si>
  <si>
    <t>2025-05-09 07:37:00,,5500,5740,,,5800,5680,,,,,5740,5600,5750,5600</t>
  </si>
  <si>
    <t>2025-05-09 07:37:00,20500,,,,19500,,,,,,,,,,</t>
  </si>
  <si>
    <t>2025-05-09 07:37:00,2760536464.02409,0,0,0,0,0,0,0</t>
  </si>
  <si>
    <t>2025-05-09 07:37:00,1473096971.50452,0,0,0,0,0,0,0</t>
  </si>
  <si>
    <t>2025-05-09 07:37:00,-32183520.8771316,-2497499.05225367,,66,,-387.07,0.257028030297878,-9.37</t>
  </si>
  <si>
    <t>2025-05-09 07:37:00,30622531.4957455,0,0,0,0,0,0,0</t>
  </si>
  <si>
    <t>2025-05-09 07:38:00,580,,,,580,,,,,,,,,,</t>
  </si>
  <si>
    <t>2025-05-09 07:38:00,500,,,,470,,,,,,,,,,</t>
  </si>
  <si>
    <t>2025-05-09 07:38:00,,5500,5740,,,5800,5680,,,,,5740,5600,5750,5600</t>
  </si>
  <si>
    <t>2025-05-09 07:38:00,20500,,,,19500,,,,,,,,,,</t>
  </si>
  <si>
    <t>2025-05-09 07:38:00,2856923010.17877,0,0,0,0,0,0,0</t>
  </si>
  <si>
    <t>2025-05-09 07:38:00,1445166529.63279,0,0,0,0,0,0,0</t>
  </si>
  <si>
    <t>2025-05-09 07:38:00,-32837524.2399104,-2602710.42963012,,-8,,-360.68,0.191387726258238,-8.22</t>
  </si>
  <si>
    <t>2025-05-09 07:38:00,30631723.0448797,0,0,0,0,0,0,0</t>
  </si>
  <si>
    <t>2025-05-09 07:39:00,580,,,,580,,,,,,,,,,</t>
  </si>
  <si>
    <t>2025-05-09 07:39:00,500,,,,470,,,,,,,,,,</t>
  </si>
  <si>
    <t>2025-05-09 07:39:00,,5500,5740,,,5800,5680,,,,,5740,5600,5750,5600</t>
  </si>
  <si>
    <t>2025-05-09 07:39:00,20500,,,,19500,,,,,,,,,,</t>
  </si>
  <si>
    <t>2025-05-09 07:39:00,2894568372.70487,0,0,0,0,0,0,0</t>
  </si>
  <si>
    <t>2025-05-09 07:39:00,1474292887.17122,0,0,0,0,0,0,0</t>
  </si>
  <si>
    <t>2025-05-09 07:39:00,-33657056.4300415,-2703991.42078315,,-7,,-369.07,0.221244820613627,-7.85</t>
  </si>
  <si>
    <t>2025-05-09 07:39:00,30625923.3959557,0,0,0,0,0,0,0</t>
  </si>
  <si>
    <t>2025-05-09 07:40:00,580,,,,580,,,,,,,,,,</t>
  </si>
  <si>
    <t>2025-05-09 07:40:00,500,,,,470,,,,,,,,,,</t>
  </si>
  <si>
    <t>2025-05-09 07:40:00,,5650,5740,,,5800,5680,,,,,5740,5600,5800,5600</t>
  </si>
  <si>
    <t>2025-05-09 07:40:00,20500,,,,19500,,,,,,,,,,</t>
  </si>
  <si>
    <t>2025-05-09 07:40:00,3102461739.96382,0,0,0,0,0,0,0</t>
  </si>
  <si>
    <t>2025-05-09 07:40:00,1496501784.4241,0,0,0,0,0,0,0</t>
  </si>
  <si>
    <t>2025-05-09 07:40:00,-37704896.1945486,-3271902.08065891,,-187,,-2398.7,0.595996043734198,-61.58</t>
  </si>
  <si>
    <t>2025-05-09 07:40:00,30622429.2543419,0,0,0,0,0,0,0</t>
  </si>
  <si>
    <t>2025-05-09 07:41:00,580,,,,580,,,,,,,,,,</t>
  </si>
  <si>
    <t>2025-05-09 07:41:00,500,,,,470,,,,,,,,,,</t>
  </si>
  <si>
    <t>2025-05-09 07:41:00,,5650,5740,,,5800,5680,,,,,5740,5600,5800,5600</t>
  </si>
  <si>
    <t>2025-05-09 07:41:00,20500,,,,19500,,,,,,,,,,</t>
  </si>
  <si>
    <t>2025-05-09 07:41:00,3020335914.17395,0,0,0,0,0,0,0</t>
  </si>
  <si>
    <t>2025-05-09 07:41:00,1513617145.75258,0,0,0,0,0,0,0</t>
  </si>
  <si>
    <t>2025-05-09 07:41:00,-36854165.7073046,-3299882.3219409,,-102,,-1811.36,0.544968676226978,-41.75</t>
  </si>
  <si>
    <t>2025-05-09 07:41:00,30617523.0793093,0,0,0,0,0,0,0</t>
  </si>
  <si>
    <t>2025-05-09 07:42:00,580,,,,580,,,,,,,,,,</t>
  </si>
  <si>
    <t>2025-05-09 07:42:00,500,,,,470,,,,,,,,,,</t>
  </si>
  <si>
    <t>2025-05-09 07:42:00,,5650,5740,,,5800,5680,,,,,5740,5600,5800,5600</t>
  </si>
  <si>
    <t>2025-05-09 07:42:00,20500,,,,19500,,,,,,,,,,</t>
  </si>
  <si>
    <t>2025-05-09 07:42:00,3027462771.21115,0,0,0,0,0,0,0</t>
  </si>
  <si>
    <t>2025-05-09 07:42:00,1511658466.19484,0,0,0,0,0,0,0</t>
  </si>
  <si>
    <t>2025-05-09 07:42:00,-36556607.8595481,-3282908.02435928,,-27,,-539.29,0.0637039892544947,-13.84</t>
  </si>
  <si>
    <t>2025-05-09 07:42:00,30615343.6761154,0,0,0,0,0,0,0</t>
  </si>
  <si>
    <t>2025-05-09 07:43:00,580,,,,580,,,,,,,,,,</t>
  </si>
  <si>
    <t>2025-05-09 07:43:00,500,,,,470,,,,,,,,,,</t>
  </si>
  <si>
    <t>2025-05-09 07:43:00,,5650,5740,,,5800,5680,,,,,5740,5600,5800,5600</t>
  </si>
  <si>
    <t>2025-05-09 07:43:00,20500,,,,19500,,,,,,,,,,</t>
  </si>
  <si>
    <t>2025-05-09 07:43:00,3063271260.90477,0,0,0,0,0,0,0</t>
  </si>
  <si>
    <t>2025-05-09 07:43:00,1496344696.48004,0,0,0,0,0,0,0</t>
  </si>
  <si>
    <t>2025-05-09 07:43:00,-37447409.3754236,-3473289.98257011,,-237,,-3246.9,0.512925851990439,-80.9</t>
  </si>
  <si>
    <t>2025-05-09 07:43:00,30624629.0317041,0,0,0,0,0,0,0</t>
  </si>
  <si>
    <t>2025-05-09 07:44:00,580,,,,580,,,,,,,,,,</t>
  </si>
  <si>
    <t>2025-05-09 07:44:00,500,,,,470,,,,,,,,,,</t>
  </si>
  <si>
    <t>2025-05-09 07:44:00,,5650,5740,,,5800,5680,,,,,5740,5600,5800,5600</t>
  </si>
  <si>
    <t>2025-05-09 07:44:00,20500,,,,19500,,,,,,,,,,</t>
  </si>
  <si>
    <t>2025-05-09 07:44:00,3037705768.511,0,0,0,0,0,0,0</t>
  </si>
  <si>
    <t>2025-05-09 07:44:00,1512903903.59693,0,0,0,0,0,0,0</t>
  </si>
  <si>
    <t>2025-05-09 07:44:00,-38812183.1471939,-3665103.10726321,,-70,,-922.04,0.324436281259083,-24.72</t>
  </si>
  <si>
    <t>2025-05-09 07:44:00,30618833.860113,0,0,0,0,0,0,0</t>
  </si>
  <si>
    <t>2025-05-09 07:45:00,580,,,,580,,,,,,,,,,</t>
  </si>
  <si>
    <t>2025-05-09 07:45:00,500,,,,470,,,,,,,,,,</t>
  </si>
  <si>
    <t>2025-05-09 07:45:00,,5650,5740,,,5800,5680,,,,,5740,5600,5800,5600</t>
  </si>
  <si>
    <t>2025-05-09 07:45:00,20500,,,,19500,,,,,,,,,,</t>
  </si>
  <si>
    <t>2025-05-09 07:45:00,3079663138.1518,0,0,0,0,0,0,0</t>
  </si>
  <si>
    <t>2025-05-09 07:45:00,1512693348.45637,0,0,0,0,0,0,0</t>
  </si>
  <si>
    <t>2025-05-09 07:45:00,-37642906.5931306,-3552027.29179008,,-21,,-216.38,0.0194269264360278,-5.66</t>
  </si>
  <si>
    <t>2025-05-09 07:45:00,30615336.1285251,0,0,0,0,0,0,0</t>
  </si>
  <si>
    <t>2025-05-09 07:46:00,580,,,,580,,,,,,,,,,</t>
  </si>
  <si>
    <t>2025-05-09 07:46:00,500,,,,470,,,,,,,,,,</t>
  </si>
  <si>
    <t>2025-05-09 07:46:00,,5650,5740,,,5800,5680,,,,,5740,5600,5800,5600</t>
  </si>
  <si>
    <t>2025-05-09 07:46:00,20500,,,,19500,,,,,,,,,,</t>
  </si>
  <si>
    <t>2025-05-09 07:46:00,3017092640.31857,0,0,0,0,0,0,0</t>
  </si>
  <si>
    <t>2025-05-09 07:46:00,1498784147.92831,0,0,0,0,0,0,0</t>
  </si>
  <si>
    <t>2025-05-09 07:46:00,-36310534.5402302,-3426504.42559944,,-15,,-78.9,-0.00459719011634964,-2.05</t>
  </si>
  <si>
    <t>2025-05-09 07:46:00,30614543.8886299,0,0,0,0,0,0,0</t>
  </si>
  <si>
    <t>2025-05-09 07:47:00,580,,,,580,,,,,,,,,,</t>
  </si>
  <si>
    <t>2025-05-09 07:47:00,500,,,,470,,,,,,,,,,</t>
  </si>
  <si>
    <t>2025-05-09 07:47:00,,5650,5740,,,5800,5680,,,,,5740,5600,5800,5600</t>
  </si>
  <si>
    <t>2025-05-09 07:47:00,20500,,,,19500,,,,,,,,,,</t>
  </si>
  <si>
    <t>2025-05-09 07:47:00,3112268773.89111,0,0,0,0,0,0,0</t>
  </si>
  <si>
    <t>2025-05-09 07:47:00,1490818392.31382,0,0,0,0,0,0,0</t>
  </si>
  <si>
    <t>2025-05-09 07:47:00,-39461042.1595168,-3791059.52145632,,-46,,-1434.65,0.144032516264011,-23.71</t>
  </si>
  <si>
    <t>2025-05-09 07:47:00,30604244.8918543,0,0,0,0,0,0,0</t>
  </si>
  <si>
    <t>2025-05-09 07:48:00,580,,,,580,,,,,,,,,,</t>
  </si>
  <si>
    <t>2025-05-09 07:48:00,500,,,,470,,,,,,,,,,</t>
  </si>
  <si>
    <t>2025-05-09 07:48:00,,5650,5740,,,5800,5680,,,,,5740,5600,5800,5600</t>
  </si>
  <si>
    <t>2025-05-09 07:48:00,20500,,,,19500,,,,,,,,,,</t>
  </si>
  <si>
    <t>2025-05-09 07:48:00,3105906845.50442,0,0,0,0,0,0,0</t>
  </si>
  <si>
    <t>2025-05-09 07:48:00,1490379436.93667,0,0,0,0,0,0,0</t>
  </si>
  <si>
    <t>2025-05-09 07:48:00,-38912614.1496351,-3730052.60850298,,-69,,-741.61,0.13607409588505,-14.12</t>
  </si>
  <si>
    <t>2025-05-09 07:48:00,30599998.1552579,0,0,0,0,0,0,0</t>
  </si>
  <si>
    <t>2025-05-09 07:49:00,580,,,,580,,,,,,,,,,</t>
  </si>
  <si>
    <t>2025-05-09 07:49:00,500,,,,470,,,,,,,,,,</t>
  </si>
  <si>
    <t>2025-05-09 07:49:00,,5650,5740,,,5800,5680,,,,,5740,5600,5800,5600</t>
  </si>
  <si>
    <t>2025-05-09 07:49:00,20500,,,,19500,,,,,,,,,,</t>
  </si>
  <si>
    <t>2025-05-09 07:49:00,3105678788.67766,0,0,0,0,0,0,0</t>
  </si>
  <si>
    <t>2025-05-09 07:49:00,1490148630.1719,0,0,0,0,0,0,0</t>
  </si>
  <si>
    <t>2025-05-09 07:49:00,-38600515.1900182,-3684194.88409011,,-10,,-53.35,0.00667228039857993,-1.27</t>
  </si>
  <si>
    <t>2025-05-09 07:49:00,30609379.2390521,0,0,0,0,0,0,0</t>
  </si>
  <si>
    <t>2025-05-09 07:50:00,580,,,,580,,,,,,,,,,</t>
  </si>
  <si>
    <t>2025-05-09 07:50:00,500,,,,470,,,,,,,,,,</t>
  </si>
  <si>
    <t>2025-05-09 07:50:00,,5500,5740,,,5800,5680,,,,,5740,5600,5800,5600</t>
  </si>
  <si>
    <t>2025-05-09 07:50:00,20500,,,,19500,,,,,,,,,,</t>
  </si>
  <si>
    <t>2025-05-09 07:50:00,2902021138.5471,0,0,0,0,0,0,0</t>
  </si>
  <si>
    <t>2025-05-09 07:50:00,1487834845.28058,0,0,0,0,0,0,0</t>
  </si>
  <si>
    <t>2025-05-09 07:50:00,-33346246.365602,-3306170.54402628,,-99,,-1099.62,0.0942882884021225,-30.83</t>
  </si>
  <si>
    <t>2025-05-09 07:50:00,30605743.8940357,0,0,0,0,0,0,0</t>
  </si>
  <si>
    <t>2025-05-09 07:51:00,580,,,,580,,,,,,,,,,</t>
  </si>
  <si>
    <t>2025-05-09 07:51:00,500,,,,470,,,,,,,,,,</t>
  </si>
  <si>
    <t>2025-05-09 07:51:00,,5650,5740,,,5800,5680,,,,,5740,5600,5800,5600</t>
  </si>
  <si>
    <t>2025-05-09 07:51:00,20500,,,,19500,,,,,,,,,,</t>
  </si>
  <si>
    <t>2025-05-09 07:51:00,2987221475.38628,0,0,0,0,0,0,0</t>
  </si>
  <si>
    <t>2025-05-09 07:51:00,1500531777.78169,0,0,0,0,0,0,0</t>
  </si>
  <si>
    <t>2025-05-09 07:51:00,-34433323.8104544,-3400169.82515876,,-40,,-420.11,0.0161870087423126,-10.52</t>
  </si>
  <si>
    <t>2025-05-09 07:51:00,30605680.7707249,0,0,0,0,0,0,0</t>
  </si>
  <si>
    <t>2025-05-09 07:52:00,580,,,,580,,,,,,,,,,</t>
  </si>
  <si>
    <t>2025-05-09 07:52:00,500,,,,470,,,,,,,,,,</t>
  </si>
  <si>
    <t>2025-05-09 07:52:00,,5500,5740,,,5800,5680,,,,,5740,5600,5800,5600</t>
  </si>
  <si>
    <t>2025-05-09 07:52:00,20500,,,,19500,,,,,,,,,,</t>
  </si>
  <si>
    <t>2025-05-09 07:52:00,2929403963.93587,0,0,0,0,0,0,0</t>
  </si>
  <si>
    <t>2025-05-09 07:52:00,1442449975.19951,0,0,0,0,0,0,0</t>
  </si>
  <si>
    <t>2025-05-09 07:52:00,-33997472.7215843,-3360219.62500436,,-25,,-319.49,0.0948496545625119,-7.09</t>
  </si>
  <si>
    <t>2025-05-09 07:52:00,30601587.8161987,0,0,0,0,0,0,0</t>
  </si>
  <si>
    <t>2025-05-09 07:53:00,580,,,,580,,,,,,,,,,</t>
  </si>
  <si>
    <t>2025-05-09 07:53:00,500,,,,470,,,,,,,,,,</t>
  </si>
  <si>
    <t>2025-05-09 07:53:00,,5500,5740,,,5800,5680,,,,,5740,5600,5800,5600</t>
  </si>
  <si>
    <t>2025-05-09 07:53:00,20500,,,,19500,,,,,,,,,,</t>
  </si>
  <si>
    <t>2025-05-09 07:53:00,2948146048.36066,0,0,0,0,0,0,0</t>
  </si>
  <si>
    <t>2025-05-09 07:53:00,1500171304.85658,0,0,0,0,0,0,0</t>
  </si>
  <si>
    <t>2025-05-09 07:53:00,-33980935.6780019,-3411037.53866914,,-13,,-113.96,0.0255587136127531,-2.86</t>
  </si>
  <si>
    <t>2025-05-09 07:53:00,30599686.2468328,0,0,0,0,0,0,0</t>
  </si>
  <si>
    <t>2025-05-09 07:54:00,580,,,,580,,,,,,,,,,</t>
  </si>
  <si>
    <t>2025-05-09 07:54:00,500,,,,470,,,,,,,,,,</t>
  </si>
  <si>
    <t>2025-05-09 07:54:00,,5650,5740,,,5800,5680,,,,,5740,5600,5800,5600</t>
  </si>
  <si>
    <t>2025-05-09 07:54:00,20500,,,,19500,,,,,,,,,,</t>
  </si>
  <si>
    <t>2025-05-09 07:54:00,2976839714.72344,0,0,0,0,0,0,0</t>
  </si>
  <si>
    <t>2025-05-09 07:54:00,1513308692.10285,0,0,0,0,0,0,0</t>
  </si>
  <si>
    <t>2025-05-09 07:54:00,-34502509.9472823,-3473538.4648523,,-31,,-201.41,0.0868953160734165,-4.28</t>
  </si>
  <si>
    <t>2025-05-09 07:54:00,30609017.5252633,0,0,0,0,0,0,0</t>
  </si>
  <si>
    <t>2025-05-09 07:55:00,580,,,,580,,,,,,,,,,</t>
  </si>
  <si>
    <t>2025-05-09 07:55:00,500,,,,470,,,,,,,,,,</t>
  </si>
  <si>
    <t>2025-05-09 07:55:00,,5500,5740,,,5800,5680,,,,,5740,5600,5800,5600</t>
  </si>
  <si>
    <t>2025-05-09 07:55:00,20500,,,,19500,,,,,,,,,,</t>
  </si>
  <si>
    <t>2025-05-09 07:55:00,2947742872.15811,0,0,0,0,0,0,0</t>
  </si>
  <si>
    <t>2025-05-09 07:55:00,1504888445.16339,0,0,0,0,0,0,0</t>
  </si>
  <si>
    <t>2025-05-09 07:55:00,-32079953.3009556,-4122295.24477014,,-218,,-5991.47,2.84857293675595,-168.8</t>
  </si>
  <si>
    <t>2025-05-09 07:55:00,30605384.4463319,0,0,0,0,0,0,0</t>
  </si>
  <si>
    <t>2025-05-09 07:57:00,580,,,,580,,,,,,,,,,</t>
  </si>
  <si>
    <t>2025-05-09 07:57:00,500,,,,470,,,,,,,,,,</t>
  </si>
  <si>
    <t>2025-05-09 07:57:00,,5650,5740,,,5800,5680,,,,,5740,5600,5800,5600</t>
  </si>
  <si>
    <t>2025-05-09 07:57:00,20500,,,,19500,,,,,,,,,,</t>
  </si>
  <si>
    <t>2025-05-09 07:57:00,2994723045.11881,0,0,0,0,0,0,0</t>
  </si>
  <si>
    <t>2025-05-09 07:57:00,1514165193.99525,0,0,0,0,0,0,0</t>
  </si>
  <si>
    <t>2025-05-09 07:57:00,-33572184.6000737,-4295314.97957206,,-7,,-72.51,0.00317553635480209,-1.71</t>
  </si>
  <si>
    <t>2025-05-09 07:57:00,30602167.814381,0,0,0,0,0,0,0</t>
  </si>
  <si>
    <t>2025-05-09 07:58:00,580,,,,580,,,,,,,,,,</t>
  </si>
  <si>
    <t>2025-05-09 07:58:00,500,,,,470,,,,,,,,,,</t>
  </si>
  <si>
    <t>2025-05-09 07:58:00,5800,,5740,,,5800,5680,,,,,5740,5600,5800,5600</t>
  </si>
  <si>
    <t>2025-05-09 07:58:00,20500,,,,19500,,,,,,,,,,</t>
  </si>
  <si>
    <t>2025-05-09 07:58:00,3013395026.37917,0,0,0,0,0,0,0</t>
  </si>
  <si>
    <t>2025-05-09 07:58:00,1510818549.31955,0,0,0,0,0,0,0</t>
  </si>
  <si>
    <t>2025-05-09 07:58:00,-31745774.610492,-4317203.01812037,,-28,,-534.45,0.0956945402747739,-14.24</t>
  </si>
  <si>
    <t>2025-05-09 07:58:00,30598372.6874664,0,0,0,0,0,0,0</t>
  </si>
  <si>
    <t>2025-05-09 07:59:00,580,,,,580,,,,,,,,,,</t>
  </si>
  <si>
    <t>2025-05-09 07:59:00,500,,,,470,,,,,,,,,,</t>
  </si>
  <si>
    <t>2025-05-09 07:59:00,5800,,5740,,,5800,5680,,,,,5740,5600,5800,5600</t>
  </si>
  <si>
    <t>2025-05-09 07:59:00,20500,,,,19500,,,,,,,,,,</t>
  </si>
  <si>
    <t>2025-05-09 07:59:00,3012888191.6997,0,0,0,0,0,0,0</t>
  </si>
  <si>
    <t>2025-05-09 07:59:00,1506661499.55185,0,0,0,0,0,0,0</t>
  </si>
  <si>
    <t>2025-05-09 07:59:00,-31889954.2260385,-4330806.36742135,,-7,,-149.69,0.0601953862136121,-3.33</t>
  </si>
  <si>
    <t>2025-05-09 07:59:00,30594806.2321887,0,0,0,0,0,0,0</t>
  </si>
  <si>
    <t>2025-05-09 08:00:00,580,,,,580,,,,,,,,,,</t>
  </si>
  <si>
    <t>2025-05-09 08:00:00,500,,,,470,,,,,,,,,,</t>
  </si>
  <si>
    <t>2025-05-09 08:00:00,5800,,5740,,,5800,5680,,,,,5740,5600,5800,5600</t>
  </si>
  <si>
    <t>2025-05-09 08:00:00,20500,,,,19500,,,,,,,,,,</t>
  </si>
  <si>
    <t>2025-05-09 08:00:00,3079799083.84302,0,0,0,0,0,0,0</t>
  </si>
  <si>
    <t>2025-05-09 08:00:00,1498924904.99719,0,0,0,0,0,0,0</t>
  </si>
  <si>
    <t>2025-05-09 08:00:00,-30850000.5193515,-4315516.80135564,,-24,,-260.35,0.0603243340665932,-6.34</t>
  </si>
  <si>
    <t>2025-05-09 08:00:00,30592723.1880853,0,0,0,0,0,0,0</t>
  </si>
  <si>
    <t>2025-05-09 08:01:00,580,,,,580,,,,,,,,,,</t>
  </si>
  <si>
    <t>2025-05-09 08:01:00,500,,,,470,,,,,,,,,,</t>
  </si>
  <si>
    <t>2025-05-09 08:01:00,,5650,5740,,,5800,5680,,,,,5740,5600,5800,5600</t>
  </si>
  <si>
    <t>2025-05-09 08:01:00,20500,,,,19500,,,,,,,,,,</t>
  </si>
  <si>
    <t>2025-05-09 08:01:00,3096650775.37863,0,0,0,0,0,0,0</t>
  </si>
  <si>
    <t>2025-05-09 08:01:00,1488178589.76322,0,0,0,0,0,0,0</t>
  </si>
  <si>
    <t>2025-05-09 08:01:00,-37835654.7904844,-4582998.92540002,,-28,,-347.09,0.0244926418777133,-7.64</t>
  </si>
  <si>
    <t>2025-05-09 08:01:00,30602324.3509735,0,0,0,0,0,0,0</t>
  </si>
  <si>
    <t>2025-05-09 08:02:00,580,,,,580,,,,,,,,,,</t>
  </si>
  <si>
    <t>2025-05-09 08:02:00,500,,,,470,,,,,,,,,,</t>
  </si>
  <si>
    <t>2025-05-09 08:02:00,,5650,5740,,,5800,5680,,,,,5740,5600,5800,5600</t>
  </si>
  <si>
    <t>2025-05-09 08:02:00,20500,,,,19500,,,,,,,,,,</t>
  </si>
  <si>
    <t>2025-05-09 08:02:00,3295865282.21627,0,0,0,0,0,0,0</t>
  </si>
  <si>
    <t>2025-05-09 08:02:00,1530613496.43686,0,0,0,0,0,0,0</t>
  </si>
  <si>
    <t>2025-05-09 08:02:00,-42699537.2333755,-4198513.52791104,,-167,,-1234.39,0.265946735033409,-29.74</t>
  </si>
  <si>
    <t>2025-05-09 08:02:00,30598479.6544257,0,0,0,0,0,0,0</t>
  </si>
  <si>
    <t>2025-05-09 08:03:00,580,,,,580,,,,,,,,,,</t>
  </si>
  <si>
    <t>2025-05-09 08:03:00,500,,,,470,,,,,,,,,,</t>
  </si>
  <si>
    <t>2025-05-09 08:03:00,,5650,5740,,,5800,5680,,,,,5740,5600,5800,5600</t>
  </si>
  <si>
    <t>2025-05-09 08:03:00,20500,,,,19500,,,,,,,,,,</t>
  </si>
  <si>
    <t>2025-05-09 08:03:00,3360828776.71183,0,0,0,0,0,0,0</t>
  </si>
  <si>
    <t>2025-05-09 08:03:00,1611570242.12423,0,0,0,0,0,0,0</t>
  </si>
  <si>
    <t>2025-05-09 08:03:00,-45384599.4577848,-4385179.07474448,,-37,,-654.53,0.0466335901324205,-16.57</t>
  </si>
  <si>
    <t>2025-05-09 08:03:00,30595290.0028094,0,0,0,0,0,0,0</t>
  </si>
  <si>
    <t>2025-05-09 08:04:00,580,,,,580,,,,,,,,,,</t>
  </si>
  <si>
    <t>2025-05-09 08:04:00,500,,,,470,,,,,,,,,,</t>
  </si>
  <si>
    <t>2025-05-09 08:04:00,,5650,,5670,,5800,5680,,,,,5740,5600,5800,5600</t>
  </si>
  <si>
    <t>2025-05-09 08:04:00,20500,,,,19500,,,,,,,,,,</t>
  </si>
  <si>
    <t>2025-05-09 08:04:00,3399122008.60357,0,0,0,0,0,0,0</t>
  </si>
  <si>
    <t>2025-05-09 08:04:00,1718521500.16649,0,0,0,0,0,0,0</t>
  </si>
  <si>
    <t>2025-05-09 08:04:00,-49697100.2977997,-5041592.36721966,,-181,,-3523.87,1.1353504803542,-73.24</t>
  </si>
  <si>
    <t>2025-05-09 08:04:00,30596672.1846493,0,0,0,0,0,0,0</t>
  </si>
  <si>
    <t>2025-05-09 08:05:00,580,,,,580,,,,,,,,,,</t>
  </si>
  <si>
    <t>2025-05-09 08:05:00,500,,,,470,,,,,,,,,,</t>
  </si>
  <si>
    <t>2025-05-09 08:05:00,,5650,,5670,,5800,5680,,,,,5740,5600,5800,5600</t>
  </si>
  <si>
    <t>2025-05-09 08:05:00,20500,,,,19500,,,,,,,,,,</t>
  </si>
  <si>
    <t>2025-05-09 08:05:00,3415895070.4497,0,0,0,0,0,0,0</t>
  </si>
  <si>
    <t>2025-05-09 08:05:00,1717682354.63673,0,0,0,0,0,0,0</t>
  </si>
  <si>
    <t>2025-05-09 08:05:00,-49854863.2019548,-5047480.58162366,,-25,,-181.59,0.00382908475774421,-4.69</t>
  </si>
  <si>
    <t>2025-05-09 08:05:00,30593552.5457203,0,0,0,0,0,0,0</t>
  </si>
  <si>
    <t>2025-05-09 08:06:00,580,,,,580,,,,,,,,,,</t>
  </si>
  <si>
    <t>2025-05-09 08:06:00,500,,,,470,,,,,,,,,,</t>
  </si>
  <si>
    <t>2025-05-09 08:06:00,,5650,,5670,,5800,5680,,,,,5740,5600,5800,5600</t>
  </si>
  <si>
    <t>2025-05-09 08:06:00,20500,,,,19500,,,,,,,,,,</t>
  </si>
  <si>
    <t>2025-05-09 08:06:00,3399033888.01731,0,0,0,0,0,0,0</t>
  </si>
  <si>
    <t>2025-05-09 08:06:00,1730323824.93607,0,0,0,0,0,0,0</t>
  </si>
  <si>
    <t>2025-05-09 08:06:00,-49345061.9576674,-5051725.88260842,,-41,,-459.36,0.105040394041246,-12.52</t>
  </si>
  <si>
    <t>2025-05-09 08:06:00,30587902.3344188,0,0,0,0,0,0,0</t>
  </si>
  <si>
    <t>2025-05-09 08:07:00,580,,,,580,,,,,,,,,,</t>
  </si>
  <si>
    <t>2025-05-09 08:07:00,500,,,,470,,,,,,,,,,</t>
  </si>
  <si>
    <t>2025-05-09 08:07:00,,5650,,5670,,5800,5680,,,,,5740,5600,5800,5600</t>
  </si>
  <si>
    <t>2025-05-09 08:07:00,20500,,,,19500,,,,,,,,,,</t>
  </si>
  <si>
    <t>2025-05-09 08:07:00,3380193787.38723,0,0,0,0,0,0,0</t>
  </si>
  <si>
    <t>2025-05-09 08:07:00,1718537226.66549,0,0,0,0,0,0,0</t>
  </si>
  <si>
    <t>2025-05-09 08:07:00,-48154724.4510172,-4915651.60254012,,-55,,-532.85,0.132525526201195,-14.34</t>
  </si>
  <si>
    <t>2025-05-09 08:07:00,30597605.7852316,0,0,0,0,0,0,0</t>
  </si>
  <si>
    <t>2025-05-09 08:08:00,580,,,,580,,,,,,,,,,</t>
  </si>
  <si>
    <t>2025-05-09 08:08:00,500,,,,470,,,,,,,,,,</t>
  </si>
  <si>
    <t>2025-05-09 08:08:00,,5650,,5670,,5800,5690,,,,,5740,5600,5800,5600</t>
  </si>
  <si>
    <t>2025-05-09 08:08:00,20500,,,,19500,,,,,,,,,,</t>
  </si>
  <si>
    <t>2025-05-09 08:08:00,3373384028.36729,0,0,0,0,0,0,0</t>
  </si>
  <si>
    <t>2025-05-09 08:08:00,1617754953.90155,0,0,0,0,0,0,0</t>
  </si>
  <si>
    <t>2025-05-09 08:08:00,-47711804.7426717,-4962341.64019249,,-81,,-1448.96,0.148798769787771,-42.93</t>
  </si>
  <si>
    <t>2025-05-09 08:08:00,30592962.5396558,0,0,0,0,0,0,0</t>
  </si>
  <si>
    <t>2025-05-09 08:09:00,580,,,,580,,,,,,,,,,</t>
  </si>
  <si>
    <t>2025-05-09 08:09:00,500,,,,470,,,,,,,,,,</t>
  </si>
  <si>
    <t>2025-05-09 08:09:00,,5650,,5670,,5800,5690,,,,,5740,5600,5800,5600</t>
  </si>
  <si>
    <t>2025-05-09 08:09:00,20500,,,,19500,,,,,,,,,,</t>
  </si>
  <si>
    <t>2025-05-09 08:09:00,3379704089.95706,0,0,0,0,0,0,0</t>
  </si>
  <si>
    <t>2025-05-09 08:09:00,1723503920.79783,0,0,0,0,0,0,0</t>
  </si>
  <si>
    <t>2025-05-09 08:09:00,-47843589.8573893,-4992840.80581975,,-1,,-361.43,0.124765255862525,-9.36</t>
  </si>
  <si>
    <t>2025-05-09 08:09:00,30590476.8234704,0,0,0,0,0,0,0</t>
  </si>
  <si>
    <t>2025-05-09 08:10:00,580,,,,580,,,,,,,,,,</t>
  </si>
  <si>
    <t>2025-05-09 08:10:00,500,,,,470,,,,,,,,,,</t>
  </si>
  <si>
    <t>2025-05-09 08:10:00,,5650,,5670,,5800,5690,,,,,5740,5600,5800,5600</t>
  </si>
  <si>
    <t>2025-05-09 08:10:00,20500,,,,19500,,,,,,,,,,</t>
  </si>
  <si>
    <t>2025-05-09 08:10:00,3372126893.36576,0,0,0,0,0,0,0</t>
  </si>
  <si>
    <t>2025-05-09 08:10:00,1606789763.25416,0,0,0,0,0,0,0</t>
  </si>
  <si>
    <t>2025-05-09 08:10:00,-46498691.864306,-4880400.46310268,,-36,,-366.94,-0.029861525959145,-9.3</t>
  </si>
  <si>
    <t>2025-05-09 08:10:00,30586884.7879429,0,0,0,0,0,0,0</t>
  </si>
  <si>
    <t>2025-05-09 08:11:00,580,,,,580,,,,,,,,,,</t>
  </si>
  <si>
    <t>2025-05-09 08:11:00,500,,,,470,,,,,,,,,,</t>
  </si>
  <si>
    <t>2025-05-09 08:11:00,,5650,,5670,,5800,5690,,,,,5740,5600,5800,5600</t>
  </si>
  <si>
    <t>2025-05-09 08:11:00,20500,,,,19500,,,,,,,,,,</t>
  </si>
  <si>
    <t>2025-05-09 08:11:00,3372027677.23628,0,0,0,0,0,0,0</t>
  </si>
  <si>
    <t>2025-05-09 08:11:00,1606742797.90766,0,0,0,0,0,0,0</t>
  </si>
  <si>
    <t>2025-05-09 08:11:00,-46210935.0887539,-4816360.15574032,,6,,-183.88,0.0719802468920011,-4.59</t>
  </si>
  <si>
    <t>2025-05-09 08:11:00,30583455.7782083,0,0,0,0,0,0,0</t>
  </si>
  <si>
    <t>2025-05-09 08:12:00,580,,,,580,,,,,,,,,,</t>
  </si>
  <si>
    <t>2025-05-09 08:12:00,500,,,,470,,,,,,,,,,</t>
  </si>
  <si>
    <t>2025-05-09 08:12:00,,5650,,5670,,5800,5690,,,,,5740,5600,5800,5600</t>
  </si>
  <si>
    <t>2025-05-09 08:12:00,20500,,,,19500,,,,,,,,,,</t>
  </si>
  <si>
    <t>2025-05-09 08:12:00,3371874808.01104,0,0,0,0,0,0,0</t>
  </si>
  <si>
    <t>2025-05-09 08:12:00,1595018858.1928,0,0,0,0,0,0,0</t>
  </si>
  <si>
    <t>2025-05-09 08:12:00,-46377727.7933239,-4868755.38241997,,-16,,-122.59,0.0818033974987118,-2.16</t>
  </si>
  <si>
    <t>2025-05-09 08:12:00,30593278.3131137,0,0,0,0,0,0,0</t>
  </si>
  <si>
    <t>2025-05-09 08:13:00,580,,,,580,,,,,,,,,,</t>
  </si>
  <si>
    <t>2025-05-09 08:13:00,500,,,,470,,,,,,,,,,</t>
  </si>
  <si>
    <t>2025-05-09 08:13:00,,5650,,5670,,5800,5690,,,,,5740,5600,5800,5600</t>
  </si>
  <si>
    <t>2025-05-09 08:13:00,20500,,,,19500,,,,,,,,,,</t>
  </si>
  <si>
    <t>2025-05-09 08:13:00,3355816141.43891,0,0,0,0,0,0,0</t>
  </si>
  <si>
    <t>2025-05-09 08:13:00,1710736911.92433,0,0,0,0,0,0,0</t>
  </si>
  <si>
    <t>2025-05-09 08:13:00,-46480100.7784921,-4890159.06894299,,88,,-394.16,0.12286825539437,-9.7</t>
  </si>
  <si>
    <t>2025-05-09 08:13:00,30589132.3097929,0,0,0,0,0,0,0</t>
  </si>
  <si>
    <t>2025-05-09 08:14:00,580,,,,580,,,,,,,,,,</t>
  </si>
  <si>
    <t>2025-05-09 08:14:00,500,,,,470,,,,,,,,,,</t>
  </si>
  <si>
    <t>2025-05-09 08:14:00,,5650,5740,,,5800,5690,,,,,5740,5600,5800,5600</t>
  </si>
  <si>
    <t>2025-05-09 08:14:00,20500,,,,19500,,,,,,,,,,</t>
  </si>
  <si>
    <t>2025-05-09 08:14:00,3357418275.54208,0,0,0,0,0,0,0</t>
  </si>
  <si>
    <t>2025-05-09 08:14:00,1717029198.03372,0,0,0,0,0,0,0</t>
  </si>
  <si>
    <t>2025-05-09 08:14:00,-45617041.5836618,-4800913.18517647,,-75,,-689.4,-0.0235258589523252,-21.52</t>
  </si>
  <si>
    <t>2025-05-09 08:14:00,30585141.2920387,0,0,0,0,0,0,0</t>
  </si>
  <si>
    <t>2025-05-09 08:15:00,580,,,,580,,,,,,,,,,</t>
  </si>
  <si>
    <t>2025-05-09 08:15:00,500,,,,470,,,,,,,,,,</t>
  </si>
  <si>
    <t>2025-05-09 08:15:00,,5650,5740,,,5800,5690,,,,,5740,5600,5800,5600</t>
  </si>
  <si>
    <t>2025-05-09 08:15:00,20500,,,,19500,,,,,,,,,,</t>
  </si>
  <si>
    <t>2025-05-09 08:15:00,3309662238.00946,0,0,0,0,0,0,0</t>
  </si>
  <si>
    <t>2025-05-09 08:15:00,1719700753.0333,0,0,0,0,0,0,0</t>
  </si>
  <si>
    <t>2025-05-09 08:15:00,-44184596.4697189,-4794999.55982179,,-63,,-819.81,0.190240355154439,-23.05</t>
  </si>
  <si>
    <t>2025-05-09 08:15:00,30582547.3986179,0,0,0,0,0,0,0</t>
  </si>
  <si>
    <t>2025-05-09 08:16:00,580,,,,580,,,,,,,,,,</t>
  </si>
  <si>
    <t>2025-05-09 08:16:00,500,,,,470,,,,,,,,,,</t>
  </si>
  <si>
    <t>2025-05-09 08:16:00,,5650,5740,,,5800,5690,,,,,5740,5600,5800,5600</t>
  </si>
  <si>
    <t>2025-05-09 08:16:00,20500,,,,19500,,,,,,,,,,</t>
  </si>
  <si>
    <t>2025-05-09 08:16:00,3169186965.97262,0,0,0,0,0,0,0</t>
  </si>
  <si>
    <t>2025-05-09 08:16:00,1556948187.73164,0,0,0,0,0,0,0</t>
  </si>
  <si>
    <t>2025-05-09 08:16:00,-40300095.5682969,-4460453.99086744,,-16,,-465.16,0.131620481796149,-12.75</t>
  </si>
  <si>
    <t>2025-05-09 08:16:00,30577263.039583,0,0,0,0,0,0,0</t>
  </si>
  <si>
    <t>2025-05-09 08:17:00,580,,,,580,,,,,,,,,,</t>
  </si>
  <si>
    <t>2025-05-09 08:17:00,500,,,,470,,,,,,,,,,</t>
  </si>
  <si>
    <t>2025-05-09 08:17:00,,5650,5740,,,5800,5690,,,,,5740,5600,5800,5600</t>
  </si>
  <si>
    <t>2025-05-09 08:17:00,20500,,,,19500,,,,,,,,,,</t>
  </si>
  <si>
    <t>2025-05-09 08:17:00,3267864587.00914,0,0,0,0,0,0,0</t>
  </si>
  <si>
    <t>2025-05-09 08:17:00,1612665355.49989,0,0,0,0,0,0,0</t>
  </si>
  <si>
    <t>2025-05-09 08:17:00,-43045666.8326688,-4738511.30006543,,-39,,-753.64,0.519528343561397,-14.01</t>
  </si>
  <si>
    <t>2025-05-09 08:17:00,30574868.5042425,0,0,0,0,0,0,0</t>
  </si>
  <si>
    <t>2025-05-09 08:18:00,580,,,,580,,,,,,,,,,</t>
  </si>
  <si>
    <t>2025-05-09 08:18:00,500,,,,470,,,,,,,,,,</t>
  </si>
  <si>
    <t>2025-05-09 08:18:00,,5650,5740,,,5800,5690,,,,,5740,5600,5800,5600</t>
  </si>
  <si>
    <t>2025-05-09 08:18:00,20500,,,,19500,,,,,,,,,,</t>
  </si>
  <si>
    <t>2025-05-09 08:18:00,3302076753.05394,0,0,0,0,0,0,0</t>
  </si>
  <si>
    <t>2025-05-09 08:18:00,1616102305.7745,0,0,0,0,0,0,0</t>
  </si>
  <si>
    <t>2025-05-09 08:18:00,-44001252.0181174,-4854903.21666386,,-13,,-151.74,0.0432098347093802,-3.41</t>
  </si>
  <si>
    <t>2025-05-09 08:18:00,30584967.6355877,0,0,0,0,0,0,0</t>
  </si>
  <si>
    <t>2025-05-09 08:19:00,580,,,,580,,,,,,,,,,</t>
  </si>
  <si>
    <t>2025-05-09 08:19:00,500,,,,470,,,,,,,,,,</t>
  </si>
  <si>
    <t>2025-05-09 08:19:00,,5650,5740,,,5800,5690,,,,,5740,5600,5800,5600</t>
  </si>
  <si>
    <t>2025-05-09 08:19:00,20500,,,,19500,,,,,,,,,,</t>
  </si>
  <si>
    <t>2025-05-09 08:19:00,3097147899.07393,0,0,0,0,0,0,0</t>
  </si>
  <si>
    <t>2025-05-09 08:19:00,1549188798.26156,0,0,0,0,0,0,0</t>
  </si>
  <si>
    <t>2025-05-09 08:19:00,-39224899.4571267,-5224641.83125552,,-46,,-1302.71,0.239836686341329,-32.47</t>
  </si>
  <si>
    <t>2025-05-09 08:19:00,30576972.6999211,0,0,0,0,0,0,0</t>
  </si>
  <si>
    <t>2025-05-09 08:20:00,580,,,,580,,,,,,,,,,</t>
  </si>
  <si>
    <t>2025-05-09 08:20:00,500,,,,470,,,,,,,,,,</t>
  </si>
  <si>
    <t>2025-05-09 08:20:00,,5650,5740,,,5800,5690,,,,,5740,5600,5800,5600</t>
  </si>
  <si>
    <t>2025-05-09 08:20:00,20500,,,,19500,,,,,,,,,,</t>
  </si>
  <si>
    <t>2025-05-09 08:20:00,3148779517.94284,0,0,0,0,0,0,0</t>
  </si>
  <si>
    <t>2025-05-09 08:20:00,1526568245.00785,0,0,0,0,0,0,0</t>
  </si>
  <si>
    <t>2025-05-09 08:20:00,-40024662.3817908,-4508732.43332265,,-28,,-1006.11,0.0977248103136204,-22.71</t>
  </si>
  <si>
    <t>2025-05-09 08:20:00,30574899.397389,0,0,0,0,0,0,0</t>
  </si>
  <si>
    <t>2025-05-09 08:21:00,580,,,,580,,,,,,,,,,</t>
  </si>
  <si>
    <t>2025-05-09 08:21:00,500,,,,470,,,,,,,,,,</t>
  </si>
  <si>
    <t>2025-05-09 08:21:00,,5650,5740,,,5800,5690,,,,,5740,5600,5800,5600</t>
  </si>
  <si>
    <t>2025-05-09 08:21:00,20500,,,,19500,,,,,,,,,,</t>
  </si>
  <si>
    <t>2025-05-09 08:21:00,3067610961.93217,0,0,0,0,0,0,0</t>
  </si>
  <si>
    <t>2025-05-09 08:21:00,1564257553.02822,0,0,0,0,0,0,0</t>
  </si>
  <si>
    <t>2025-05-09 08:21:00,-38177473.7145025,-5274856.40923443,,20,,-323.92,0.133856859442109,-7.14</t>
  </si>
  <si>
    <t>2025-05-09 08:21:00,30571268.4564544,0,0,0,0,0,0,0</t>
  </si>
  <si>
    <t>2025-05-09 08:22:00,580,,,,580,,,,,,,,,,</t>
  </si>
  <si>
    <t>2025-05-09 08:22:00,500,,,,470,,,,,,,,,,</t>
  </si>
  <si>
    <t>2025-05-09 08:22:00,,5650,5740,,,5800,5690,,,,,5740,5600,5800,5600</t>
  </si>
  <si>
    <t>2025-05-09 08:22:00,20500,,,,19500,,,,,,,,,,</t>
  </si>
  <si>
    <t>2025-05-09 08:22:00,3095163207.82593,0,0,0,0,0,0,0</t>
  </si>
  <si>
    <t>2025-05-09 08:22:00,1581472727.77775,0,0,0,0,0,0,0</t>
  </si>
  <si>
    <t>2025-05-09 08:22:00,-38939011.5714883,-5276228.57597186,,43,,-277.52,0.320001510570871,-3.85</t>
  </si>
  <si>
    <t>2025-05-09 08:22:00,30572701.3167867,0,0,0,0,0,0,0</t>
  </si>
  <si>
    <t>2025-05-09 08:23:00,580,,,,580,,,,,,,,,,</t>
  </si>
  <si>
    <t>2025-05-09 08:23:00,500,,,,470,,,,,,,,,,</t>
  </si>
  <si>
    <t>2025-05-09 08:23:00,,5650,5740,,,5800,5690,,,,,5740,5600,5800,5600</t>
  </si>
  <si>
    <t>2025-05-09 08:23:00,20500,,,,19500,,,,,,,,,,</t>
  </si>
  <si>
    <t>2025-05-09 08:23:00,3062141250.78925,0,0,0,0,0,0,0</t>
  </si>
  <si>
    <t>2025-05-09 08:23:00,1585287018.68967,0,0,0,0,0,0,0</t>
  </si>
  <si>
    <t>2025-05-09 08:23:00,-39590682.9342269,-5004430.64874458,,-58,,-453.48,-0.169430282194344,-13.8</t>
  </si>
  <si>
    <t>2025-05-09 08:23:00,30566233.2845285,0,0,0,0,0,0,0</t>
  </si>
  <si>
    <t>2025-05-09 08:24:00,580,,,,580,,,,,,,,,,</t>
  </si>
  <si>
    <t>2025-05-09 08:24:00,500,,,,470,,,,,,,,,,</t>
  </si>
  <si>
    <t>2025-05-09 08:24:00,,5650,5740,,,5800,5690,,,,,5740,5600,5800,5600</t>
  </si>
  <si>
    <t>2025-05-09 08:24:00,20500,,,,19500,,,,,,,,,,</t>
  </si>
  <si>
    <t>2025-05-09 08:24:00,3098910214.01073,0,0,0,0,0,0,0</t>
  </si>
  <si>
    <t>2025-05-09 08:24:00,1525696395.87157,0,0,0,0,0,0,0</t>
  </si>
  <si>
    <t>2025-05-09 08:24:00,-39009634.5164516,-5281262.1318637,,-14,,-365.47,0.172238320950392,-8.19</t>
  </si>
  <si>
    <t>2025-05-09 08:24:00,30576295.565391,0,0,0,0,0,0,0</t>
  </si>
  <si>
    <t>2025-05-09 08:25:00,580,,,,580,,,,,,,,,,</t>
  </si>
  <si>
    <t>2025-05-09 08:25:00,500,,,,470,,,,,,,,,,</t>
  </si>
  <si>
    <t>2025-05-09 08:25:00,,5650,,5670,5500,,5690,,,,,5740,5600,5800,5600</t>
  </si>
  <si>
    <t>2025-05-09 08:25:00,20500,,,,19500,,,,,,,,,,</t>
  </si>
  <si>
    <t>2025-05-09 08:25:00,3013120982.72547,0,0,0,0,0,0,0</t>
  </si>
  <si>
    <t>2025-05-09 08:25:00,1512885085.59647,0,0,0,0,0,0,0</t>
  </si>
  <si>
    <t>2025-05-09 08:25:00,-31371043.4542018,-9238401.35290734,,-24,,-334.96,0.211940793776739,-7.72</t>
  </si>
  <si>
    <t>2025-05-09 08:25:00,30572020.9790037,0,0,0,0,0,0,0</t>
  </si>
  <si>
    <t>2025-05-09 08:26:00,580,,,,580,,,,,,,,,,</t>
  </si>
  <si>
    <t>2025-05-09 08:26:00,500,,,,470,,,,,,,,,,</t>
  </si>
  <si>
    <t>2025-05-09 08:26:00,,5650,,5670,5500,,5690,,,,,5740,5600,5800,5600</t>
  </si>
  <si>
    <t>2025-05-09 08:26:00,20500,,,,19500,,,,,,,,,,</t>
  </si>
  <si>
    <t>2025-05-09 08:26:00,2956272737.77464,0,0,0,0,0,0,0</t>
  </si>
  <si>
    <t>2025-05-09 08:26:00,1495685537.96202,0,0,0,0,0,0,0</t>
  </si>
  <si>
    <t>2025-05-09 08:26:00,-31371321.0825634,-9238658.22466416,,0,,0,0,0</t>
  </si>
  <si>
    <t>2025-05-09 08:26:00,30567934.4147306,0,0,0,0,0,0,0</t>
  </si>
  <si>
    <t>2025-05-09 08:27:00,580,,,,580,,,,,,,,,,</t>
  </si>
  <si>
    <t>2025-05-09 08:27:00,500,,,,470,,,,,,,,,,</t>
  </si>
  <si>
    <t>2025-05-09 08:27:00,,5650,,5670,5500,,5690,,,,,5740,5600,5800,5600</t>
  </si>
  <si>
    <t>2025-05-09 08:27:00,20500,,,,19500,,,,,,,,,,</t>
  </si>
  <si>
    <t>2025-05-09 08:27:00,2888843231.8122,0,0,0,0,0,0,0</t>
  </si>
  <si>
    <t>2025-05-09 08:27:00,1507388704.50498,0,0,0,0,0,0,0</t>
  </si>
  <si>
    <t>2025-05-09 08:27:00,-31371834.5688902,-9232836.80428866,,0,,0,0,0</t>
  </si>
  <si>
    <t>2025-05-09 08:27:00,30564859.4559972,0,0,0,0,0,0,0</t>
  </si>
  <si>
    <t>2025-05-09 08:28:00,580,,,,580,,,,,,,,,,</t>
  </si>
  <si>
    <t>2025-05-09 08:28:00,500,,,,470,,,,,,,,,,</t>
  </si>
  <si>
    <t>2025-05-09 08:28:00,,5650,,5670,5500,,5690,,,,,5740,5600,5800,5600</t>
  </si>
  <si>
    <t>2025-05-09 08:28:00,20500,,,,19500,,,,,,,,,,</t>
  </si>
  <si>
    <t>2025-05-09 08:28:00,2888598253.43262,0,0,0,0,0,0,0</t>
  </si>
  <si>
    <t>2025-05-09 08:28:00,1506018750.82092,0,0,0,0,0,0,0</t>
  </si>
  <si>
    <t>2025-05-09 08:28:00,-31368006.9778626,-9233863.34266175,,0,,0,0,0</t>
  </si>
  <si>
    <t>2025-05-09 08:28:00,30557591.8638267,0,0,0,0,0,0,0</t>
  </si>
  <si>
    <t>2025-05-09 08:29:00,580,,,,580,,,,,,,,,,</t>
  </si>
  <si>
    <t>2025-05-09 08:29:00,500,,,,470,,,,,,,,,,</t>
  </si>
  <si>
    <t>2025-05-09 08:29:00,,5650,,5670,5500,,5690,,,,,5740,5600,5800,5600</t>
  </si>
  <si>
    <t>2025-05-09 08:29:00,20500,,,,19500,,,,,,,,,,</t>
  </si>
  <si>
    <t>2025-05-09 08:29:00,2658229896.84554,0,0,0,0,0,0,0</t>
  </si>
  <si>
    <t>2025-05-09 08:29:00,1458964576.58162,0,0,0,0,0,0,0</t>
  </si>
  <si>
    <t>2025-05-09 08:29:00,-31339106.7992967,-9229736.3495297,,0,,0,0,0</t>
  </si>
  <si>
    <t>2025-05-09 08:29:00,30567600.3854342,0,0,0,0,0,0,0</t>
  </si>
  <si>
    <t>2025-05-09 08:30:00,580,,567,,580,,565.5,,,,,567,560,567,569</t>
  </si>
  <si>
    <t>2025-05-09 08:30:00,500,,498,,470,,491,,,,,500,485,500,490</t>
  </si>
  <si>
    <t>2025-05-09 08:30:00,5850,,5740,,5500,,5780,,,,,5740,5600,5800,5600</t>
  </si>
  <si>
    <t>2025-05-09 08:30:00,20500,,20100,,19500,,,,,,,20100,20050,19600,20100</t>
  </si>
  <si>
    <t>2025-05-09 08:30:00,2131637074.53815,57892280.2916653,-264.85862421892,-2063,-688.156015944846,-2410.51,-17.6483952757943,-629.4</t>
  </si>
  <si>
    <t>2025-05-09 08:30:00,1114286443.31866,45681446.5680913,5015.62911957324,3318,1323.28300679059,-2303.09,188.853407338416,-321.98</t>
  </si>
  <si>
    <t>2025-05-09 08:30:00,26875315.5407448,4182334.85848681,,-1431,,-15346.54,-0.115565269520862,-327.73</t>
  </si>
  <si>
    <t>2025-05-09 08:30:00,36603861.0070614,1057.42912116005,-11.0922631420259,-23,671.131457553279,-5993.23,-0.0058836558445725,-15.04</t>
  </si>
  <si>
    <t>2025-05-09 08:31:00,580,,570,,580,,565.5,,567,,,570,555,570,568</t>
  </si>
  <si>
    <t>2025-05-09 08:31:00,500,,495,,470,,489,,,,,500,480,500,490</t>
  </si>
  <si>
    <t>2025-05-09 08:31:00,5700,,5740,,5500,,5780,,,,,5740,5600,5730,5600</t>
  </si>
  <si>
    <t>2025-05-09 08:31:00,20500,,20200,,19500,,,,,,,20200,19600,19600,20050</t>
  </si>
  <si>
    <t>2025-05-09 08:31:00,2163562020.81679,221867302.56999,6158.2373307852,8749,4343.9989482668,5037.02,12.5197984729095,1859.5</t>
  </si>
  <si>
    <t>2025-05-09 08:31:00,1082313511.94555,78698189.7086926,2341.2710858586,435,5784.71231186871,1758.59,95.6941241862336,379.36</t>
  </si>
  <si>
    <t>2025-05-09 08:31:00,28027640.3448172,5003975.90946552,,472,,978.049999999999,1.28136697018019,40.09</t>
  </si>
  <si>
    <t>2025-05-09 08:31:00,37154462.1594421,6640.80136825188,33.2233044733044,80,2747.56755483405,1681.92,0.0260324057099183,11.73</t>
  </si>
  <si>
    <t>2025-05-09 08:32:00,580,,570,,580,,565.5,567,,,,572,566,569,572</t>
  </si>
  <si>
    <t>2025-05-09 08:32:00,500,,492,,470,,489,,491,,,500,480,500,490</t>
  </si>
  <si>
    <t>2025-05-09 08:32:00,5700,,5740,,5500,,5780,,,,,5740,5600,5730,5600</t>
  </si>
  <si>
    <t>2025-05-09 08:32:00,20500,,20200,,19500,,,,,,,20200,19600,19600,19300</t>
  </si>
  <si>
    <t>2025-05-09 08:32:00,2164048338.04593,336874542.45061,-5811.85327450324,-7998,-8484.51504981122,-4931.59,184.253527409947,-1739.96</t>
  </si>
  <si>
    <t>2025-05-09 08:32:00,1129608148.30312,100178112.95251,-5198.69738162171,-5030,-12991.2946125853,-9239.2,-83.6633031329596,-1978.45</t>
  </si>
  <si>
    <t>2025-05-09 08:32:00,29087486.2680452,5881634.21058991,,-3310,,-22217.35,-2.55442735603563,-683.65</t>
  </si>
  <si>
    <t>2025-05-09 08:32:00,37138161.5886513,10413.457923059,-72.0285847074171,-121,-467.191555627002,-1185.58,-0.00955762454995251,-9.33</t>
  </si>
  <si>
    <t>2025-05-09 08:33:00,580,,572,,580,,565.5,,,,,572,565,569,572</t>
  </si>
  <si>
    <t>2025-05-09 08:33:00,500,,495,,470,,489,491,,,,500,480,500,480</t>
  </si>
  <si>
    <t>2025-05-09 08:33:00,5850,,5740,,5500,,5680,,,,,5740,5600,5730,5600</t>
  </si>
  <si>
    <t>2025-05-09 08:33:00,20500,,,,19500,,19625,,,,,20200,19600,19600,19700</t>
  </si>
  <si>
    <t>2025-05-09 08:33:00,2179941721.54503,387038589.883395,5673.03116883118,9574,-1615.97715584414,4473.4,224.181389470664,1958.5</t>
  </si>
  <si>
    <t>2025-05-09 08:33:00,1128077889.83888,121431788.689979,-1326.62371823579,-2038,281.730796043032,684.46,23.6696844620145,8.21000000000005</t>
  </si>
  <si>
    <t>2025-05-09 08:33:00,28049323.0246576,6429222.37946371,,-592,,10097.79,-1.48348840165551,292.24</t>
  </si>
  <si>
    <t>2025-05-09 08:33:00,37580579.3860932,2369.5923780356,-78.072152194211,267,-47.43639729225,62.07,-0.0424071653148864,0.53</t>
  </si>
  <si>
    <t>2025-05-09 08:34:00,580,,570,,580,,565.5,,,,,572,566,569,568</t>
  </si>
  <si>
    <t>2025-05-09 08:34:00,500,,495,,470,,488,,,,,495,480,498,495</t>
  </si>
  <si>
    <t>2025-05-09 08:34:00,5850,,5740,,5500,,5680,,,,,5740,5600,5730,5600</t>
  </si>
  <si>
    <t>2025-05-09 08:34:00,20500,,,,19500,,20075,,,,,20200,19600,19600,19700</t>
  </si>
  <si>
    <t>2025-05-09 08:34:00,2211885604.25213,496649031.767874,6971.69412254422,3098,4151.89348002011,-31.1500000000004,107.623078058924,492.82</t>
  </si>
  <si>
    <t>2025-05-09 08:34:00,1149424459.36253,219853405.901986,5214.6380605027,1104,11626.2160795755,8460.28,129.896485836447,1792.05</t>
  </si>
  <si>
    <t>2025-05-09 08:34:00,28149835.48353,6876589.02033384,,-1246,,-4131.32,-2.73640555090682,-110.7</t>
  </si>
  <si>
    <t>2025-05-09 08:34:00,37827473.4503821,4923.79901003141,-7.11167620258529,-12,248.13927979798,57.89,0.00864630711591401,0.23</t>
  </si>
  <si>
    <t>2025-05-09 08:35:00,580,,570,,580,,565.5,,567,,,572,565,570,572</t>
  </si>
  <si>
    <t>2025-05-09 08:35:00,500,,495,,470,,488,,,,,495,480,498,490</t>
  </si>
  <si>
    <t>2025-05-09 08:35:00,5850,,5740,,5500,,5680,,,,,5740,5600,5730,5600</t>
  </si>
  <si>
    <t>2025-05-09 08:35:00,20500,,,,19500,,20075,,,,,20200,19600,19600,19700</t>
  </si>
  <si>
    <t>2025-05-09 08:35:00,2293553548.18121,609646451.213664,1965.23516694033,1230,-475.287790366726,-2362.78,-197.786242010603,-369.8</t>
  </si>
  <si>
    <t>2025-05-09 08:35:00,1185362597.59527,337654180.982742,6429.91648123534,4930,3845.65167814322,-472.09,547.781827554314,292.89</t>
  </si>
  <si>
    <t>2025-05-09 08:35:00,29633748.4653194,9079574.52695852,,-36,,-7086.07,-3.33959357206593,-144.16</t>
  </si>
  <si>
    <t>2025-05-09 08:35:00,38731782.1173545,14093.3219348344,-28.1952421994439,-18,-65.9350650773129,-1026.67,-0.016905622534406,-7.89</t>
  </si>
  <si>
    <t>2025-05-09 08:36:00,580,,570,,580,,565.5,,,,,570,565,569,567</t>
  </si>
  <si>
    <t>2025-05-09 08:36:00,500,,495,,470,,490,,,,,495,485,498,490</t>
  </si>
  <si>
    <t>2025-05-09 08:36:00,5850,,5740,,5500,,5680,,,,,5740,5600,5730,5600</t>
  </si>
  <si>
    <t>2025-05-09 08:36:00,20500,,,,19500,,20075,,,,,20200,19600,19600,19700</t>
  </si>
  <si>
    <t>2025-05-09 08:36:00,2316072183.84211,695415118.361495,8646.10879120884,2729,7107.10694871804,-909.01,-128.614475587189,-148.35</t>
  </si>
  <si>
    <t>2025-05-09 08:36:00,1167868619.80224,417812899.280271,11705.6522993233,6454,14444.9952388766,9406.75,102.210539776451,2176.38</t>
  </si>
  <si>
    <t>2025-05-09 08:36:00,30165730.0781277,9302032.1277853,,1758,,20670.77,3.52643266839489,490.38</t>
  </si>
  <si>
    <t>2025-05-09 08:36:00,38696469.4946743,13035.813854561,70.362992270887,69,2819.88779801777,1940.62,0.00401797331395123,14.96</t>
  </si>
  <si>
    <t>2025-05-09 08:37:00,580,,570,,580,,565.5,,,,,570,565,571,567</t>
  </si>
  <si>
    <t>2025-05-09 08:37:00,500,,495,,470,,490,,,,,495,485,491,492</t>
  </si>
  <si>
    <t>2025-05-09 08:37:00,5850,,5700,,5500,,5680,,,,,5740,5600,5730,5600</t>
  </si>
  <si>
    <t>2025-05-09 08:37:00,20500,,,,19500,,20125,,,,,20200,19600,19600,19700</t>
  </si>
  <si>
    <t>2025-05-09 08:37:00,2363117126.57112,842981949.843406,16609.9083333333,8639,21914.3997142856,7103.03,273.713277287904,2476.05</t>
  </si>
  <si>
    <t>2025-05-09 08:37:00,1206041732.17227,472739619.626814,-1528.6565055315,-1253,-1773.04297955747,-2088.33,-39.5572552610003,-422.34</t>
  </si>
  <si>
    <t>2025-05-09 08:37:00,31045751.1964405,11023043.6868428,,755,,5139.66,2.00105168541998,215.89</t>
  </si>
  <si>
    <t>2025-05-09 08:37:00,38837301.5953719,14863.0061112035,-2.24450123264061,15,-3.55408373606359,577.32,0.00385117837371355,4.81</t>
  </si>
  <si>
    <t>2025-05-09 08:38:00,580,,570,,580,,565.5,,,,,572,565,569,555</t>
  </si>
  <si>
    <t>2025-05-09 08:38:00,500,,495,,470,,490,,491,,,495,485,491,492</t>
  </si>
  <si>
    <t>2025-05-09 08:38:00,5700,,5700,,5500,,5680,,,,,5740,5600,5730,5600</t>
  </si>
  <si>
    <t>2025-05-09 08:38:00,20500,,20300,,19500,,20150,,,,,20300,19600,19600,19700</t>
  </si>
  <si>
    <t>2025-05-09 08:38:00,2351870859.62587,990949416.392641,9213.4095959596,3476,9096.53838167387,788.95,137.307566802788,769.87</t>
  </si>
  <si>
    <t>2025-05-09 08:38:00,1230954315.45151,538484932.012488,263.387740831966,-2467,-2137.78497705255,-6213.27,0.332222707473454,-1389.63</t>
  </si>
  <si>
    <t>2025-05-09 08:38:00,32005035.3662017,12919830.0551462,,-563,,-12312.11,-1.21828269949881,-349.67</t>
  </si>
  <si>
    <t>2025-05-09 08:38:00,38810892.0946914,23243.8403585848,-35.1995745845265,-51,-988.729710913318,-2014,-0.0165279361467092,-13.96</t>
  </si>
  <si>
    <t>2025-05-09 08:39:00,580,,570,,580,,565.5,,,,,572,565,571,555</t>
  </si>
  <si>
    <t>2025-05-09 08:39:00,500,,495,,470,,490,,,,,495,485,491,492</t>
  </si>
  <si>
    <t>2025-05-09 08:39:00,5700,,5700,,5500,,5680,,,,,5740,5600,5730,5690</t>
  </si>
  <si>
    <t>2025-05-09 08:39:00,20500,,20300,,19500,,20150,,,,,20300,19600,19600,19650</t>
  </si>
  <si>
    <t>2025-05-09 08:39:00,2294529685.83681,1030001440.47285,764.882936507936,-1837,-693.040857142863,-4589.03,12.5911824154917,-1234.86</t>
  </si>
  <si>
    <t>2025-05-09 08:39:00,1177773763.22944,528678723.980903,-2662.42379926109,-2481,-2844.3131403941,-3584.08,52.0121485301413,-1037</t>
  </si>
  <si>
    <t>2025-05-09 08:39:00,30362340.1811233,11080294.9686311,,25,,14139.31,-0.255941809764621,17.39</t>
  </si>
  <si>
    <t>2025-05-09 08:39:00,38109390.6858272,3909.60065669216,-91.9351323601457,-38,1748.82174389906,700.75,-0.00731765343788749,6.84</t>
  </si>
  <si>
    <t>2025-05-09 08:40:00,580,,570,,580,,565.5,,567,,,570,565,565,567</t>
  </si>
  <si>
    <t>2025-05-09 08:40:00,500,,495,,470,,490,,,,,495,485,493,492</t>
  </si>
  <si>
    <t>2025-05-09 08:40:00,5700,,5700,,5500,,5680,,,,,5740,5600,5730,5690</t>
  </si>
  <si>
    <t>2025-05-09 08:40:00,20500,,,,19500,,20150,,,,,20300,19600,19600,19650</t>
  </si>
  <si>
    <t>2025-05-09 08:40:00,2194733412.95405,883754239.235786,-7391.84047619036,-5511,-17297.2189920632,-8847.56,-400.977316902095,-2315.59</t>
  </si>
  <si>
    <t>2025-05-09 08:40:00,1161985346.1675,523984631.088029,-12085.846530978,-10455,-19625.0068264209,-14624.55,173.306839663886,-3880.92</t>
  </si>
  <si>
    <t>2025-05-09 08:40:00,28529133.2078071,8690696.95478684,,-3822,,-39062.27,1.30108591953404,-863.68</t>
  </si>
  <si>
    <t>2025-05-09 08:40:00,38920736.3155473,-2344.39194486673,-5.91622787296845,-14,-49.1903561070145,-250.58,-0.0153570762988826,-2.12</t>
  </si>
  <si>
    <t>2025-05-09 08:41:00,580,,570,,580,,565.5,,,,,570,565,565,561</t>
  </si>
  <si>
    <t>2025-05-09 08:41:00,500,,495,,470,,490,,,,,495,485,493,492</t>
  </si>
  <si>
    <t>2025-05-09 08:41:00,5700,,5700,,5500,,5680,,,,,5740,5600,5730,5690</t>
  </si>
  <si>
    <t>2025-05-09 08:41:00,20500,,20300,,19500,,20150,,,,,20300,19600,19600,19650</t>
  </si>
  <si>
    <t>2025-05-09 08:41:00,2224020019.08406,946717376.103572,4260.76540404048,4777,6194.51896897565,9191.95,199.747218503747,2818.5</t>
  </si>
  <si>
    <t>2025-05-09 08:41:00,1176489460.55343,563938377.605204,-937.684094003056,103,-1319.79812741217,-583.3,-40.8032467865033,277.45</t>
  </si>
  <si>
    <t>2025-05-09 08:41:00,29288632.0863342,10261186.6367981,,-1394,,-28309.09,-8.69668130813683,-720.81</t>
  </si>
  <si>
    <t>2025-05-09 08:41:00,38386677.3668783,12057.1428526222,-57.5831417782424,-67,-2042.44370082861,-1587.05,-0.0457872491214091,-14.39</t>
  </si>
  <si>
    <t>2025-05-09 08:42:00,580,,570,,580,,565.5,,,,,570,565,566,562</t>
  </si>
  <si>
    <t>2025-05-09 08:42:00,500,,495,,470,,490,,,,,495,485,491,492</t>
  </si>
  <si>
    <t>2025-05-09 08:42:00,5700,,5700,,5500,,5680,,,,,5740,5600,5730,5690</t>
  </si>
  <si>
    <t>2025-05-09 08:42:00,20500,,20300,,19500,,20125,,,,,20500,19600,19600,20375</t>
  </si>
  <si>
    <t>2025-05-09 08:42:00,2168947068.69411,933930915.762218,602.472760572762,1060,4662.84874242425,7381.16,-147.155975046945,2042.57</t>
  </si>
  <si>
    <t>2025-05-09 08:42:00,1156170034.68257,546313849.817969,90.9868472590242,-1752,1250.03174498159,-607.72,-80.5565886861758,-315.75</t>
  </si>
  <si>
    <t>2025-05-09 08:42:00,28656385.8323116,9393232.1056383,,-973,,-3061.45,1.78731589556396,-154.65</t>
  </si>
  <si>
    <t>2025-05-09 08:42:00,38133994.6675141,17301.1758470075,28.26482771704,98,1002.67874760135,405.35,0.00602110423981077,3.23</t>
  </si>
  <si>
    <t>2025-05-09 08:43:00,580,,570,,580,,565.5,,567,,,570,565,566,567</t>
  </si>
  <si>
    <t>2025-05-09 08:43:00,500,,495,,470,,490,,,,,495,485,491,492</t>
  </si>
  <si>
    <t>2025-05-09 08:43:00,5700,,5700,,5500,,5680,,,,,5740,5600,5730,5690</t>
  </si>
  <si>
    <t>2025-05-09 08:43:00,20500,,20300,,19500,,20125,,,,,20500,19600,19600,19650</t>
  </si>
  <si>
    <t>2025-05-09 08:43:00,2103346207.94727,883227066.63019,-9172.0027777778,-10678,-12853.7877301588,-14727.1,231.510981177058,-4312.2</t>
  </si>
  <si>
    <t>2025-05-09 08:43:00,1135128965.03664,551614803.489844,1207.98673740053,1392,1436.59154540861,868.12,-67.7936669369535,352.09</t>
  </si>
  <si>
    <t>2025-05-09 08:43:00,27042067.7158191,7025810.89928956,,-1531,,-14811.05,2.85498962999084,-430.16</t>
  </si>
  <si>
    <t>2025-05-09 08:43:00,37745831.7210082,12746.635575962,11.7493423456339,8,511.332621970527,270.1,-0.00661709661117989,2.12</t>
  </si>
  <si>
    <t>2025-05-09 08:45:00,580,,570,,580,,565.5,,,566,,570,565,566,562</t>
  </si>
  <si>
    <t>2025-05-09 08:45:00,500,,495,,470,,490,,,490,,495,488,498,492</t>
  </si>
  <si>
    <t>2025-05-09 08:45:00,5700,,5700,,5500,,5680,,,,,5740,5600,5730,5690</t>
  </si>
  <si>
    <t>2025-05-09 08:45:00,20500,,,20000,19500,,20150,,,,,20500,19600,19600,19650</t>
  </si>
  <si>
    <t>2025-05-09 08:45:00,1960485503.58465,694296431.181881,-7376.94459689768,-5541,-13849.8334810744,-7111.83,26.073849609947,-2348.62</t>
  </si>
  <si>
    <t>2025-05-09 08:45:00,1084719359.86488,481257241.688542,-2419.49430787853,-2256,-2327.31753891685,-2377.26,-231.516193439147,-628.04</t>
  </si>
  <si>
    <t>2025-05-09 08:45:00,26534870.1032478,4462182.86144478,,-1321,,-5526.96,-3.60128171531545,-274.52</t>
  </si>
  <si>
    <t>2025-05-09 08:45:00,36896874.0527304,-2847.70151989175,-72.1891341991342,-63,-222.890883549785,-310.03,0.0353513881676504,-3.13</t>
  </si>
  <si>
    <t>2025-05-09 08:46:00,580,,570,,580,,565.5,,,566,,570,565,566,567</t>
  </si>
  <si>
    <t>2025-05-09 08:46:00,500,,495,,470,,490,,,,,495,488,498,492</t>
  </si>
  <si>
    <t>2025-05-09 08:46:00,5700,,5700,,5500,,5680,,,,,5740,5600,5730,5690</t>
  </si>
  <si>
    <t>2025-05-09 08:46:00,20500,,20200,,19500,,20150,,,,,20500,19650,19600,19650</t>
  </si>
  <si>
    <t>2025-05-09 08:46:00,2050152380.67832,679867936.238287,13261.3877658289,9308,16367.4584691061,11177.37,-760.8894875434,3517.37</t>
  </si>
  <si>
    <t>2025-05-09 08:46:00,1122860345.662,504188634.083066,863.838102701893,1581,-981.47699196398,-1186.41,289.182408739693,85.89</t>
  </si>
  <si>
    <t>2025-05-09 08:46:00,26944027.1372705,5843894.61773257,,2934,,11258.89,2.83601896385124,648.86</t>
  </si>
  <si>
    <t>2025-05-09 08:46:00,37389549.9940365,7610.73845337217,-112.224546287046,-98,-2838.89121031746,-1784.56,-0.0201063162755704,-13.97</t>
  </si>
  <si>
    <t>2025-05-09 08:47:00,580,,570,,580,,565.5,567,,,,570,565,566,562</t>
  </si>
  <si>
    <t>2025-05-09 08:47:00,500,,495,,470,,490,,,,,495,488,498,490</t>
  </si>
  <si>
    <t>2025-05-09 08:47:00,5850,,5700,,5500,,5680,,,,,5740,5600,5730,5690</t>
  </si>
  <si>
    <t>2025-05-09 08:47:00,20500,,20300,,19500,,20150,,,,,20500,19650,19600,19650</t>
  </si>
  <si>
    <t>2025-05-09 08:47:00,2153497394.11227,931735825.254793,4405.37515632516,4226,1848.18025180375,1906.01,940.359188575963,810.95</t>
  </si>
  <si>
    <t>2025-05-09 08:47:00,1120517979.86243,572819347.745419,-9020.63569763568,-3894,-15649.709030969,-5693.85,40.1596093243321,-1502.5</t>
  </si>
  <si>
    <t>2025-05-09 08:47:00,28296698.5948502,7532474.26107831,,-849,,-19197.85,2.22892244595977,-435.79</t>
  </si>
  <si>
    <t>2025-05-09 08:47:00,38034728.3175743,6683.81360097513,-58.3781946854315,-26,-1408.3702923334,-1110.72,-0.00022988034015292,-8.21</t>
  </si>
  <si>
    <t>2025-05-09 08:48:00,580,,570,,580,,565.5,,,,,570,565,566,567</t>
  </si>
  <si>
    <t>2025-05-09 08:48:00,500,,495,,470,,490,,,,,495,488,498,492</t>
  </si>
  <si>
    <t>2025-05-09 08:48:00,5700,,5700,,5500,,5680,,,,,5740,5550,5730,5690</t>
  </si>
  <si>
    <t>2025-05-09 08:48:00,20500,,20300,,19500,,20150,,,,,20500,19650,19600,19650</t>
  </si>
  <si>
    <t>2025-05-09 08:48:00,2034136031.17832,930450878.08538,5363.79404761905,3025,3315.07579761905,-1635.61,-290.060748692715,-203.65</t>
  </si>
  <si>
    <t>2025-05-09 08:48:00,1140226561.9141,561516001.03695,4561.51429440928,3591,8037.71994331962,5015.49,-9.77174464802976,1353.88</t>
  </si>
  <si>
    <t>2025-05-09 08:48:00,26564904.8150509,4663314.8549264,,1704,,16772.1,4.1576163398903,537.34</t>
  </si>
  <si>
    <t>2025-05-09 08:48:00,37373678.4091827,2827.72170626481,-41.0365555555556,-55,50.4648577777783,108.15,0.0295129349419134,0.48</t>
  </si>
  <si>
    <t>2025-05-09 08:49:00,580,,570,,580,,565.5,,,,,570,565,566,562</t>
  </si>
  <si>
    <t>2025-05-09 08:49:00,500,,495,,470,,490,,,,,495,488,498,492</t>
  </si>
  <si>
    <t>2025-05-09 08:49:00,5700,,5700,,5500,,5680,,,,,5740,5550,5730,5690</t>
  </si>
  <si>
    <t>2025-05-09 08:49:00,20500,,,,19500,,20150,,,,,20500,19650,19600,19350</t>
  </si>
  <si>
    <t>2025-05-09 08:49:00,2078560815.88197,1066587686.81949,-5210.40162337662,-4520,-5308.90573917748,-3587.53,83.8488290831626,-1327.49</t>
  </si>
  <si>
    <t>2025-05-09 08:49:00,1133280982.75362,606303883.265718,-1471.68179779158,-2280,-976.910711525191,-2408.15,25.8855621311297,-723.34</t>
  </si>
  <si>
    <t>2025-05-09 08:49:00,27609014.8389916,4491507.74081894,,-1680,,-10929.44,-1.38322086998829,-386.22</t>
  </si>
  <si>
    <t>2025-05-09 08:49:00,37956885.6275332,-1568.94688457943,-15.9522107035264,20,891.14352529683,751.98,-0.0117723938665464,6.09</t>
  </si>
  <si>
    <t>2025-05-09 08:50:00,580,,570,,580,,565.5,,,,566,570,565,566,562</t>
  </si>
  <si>
    <t>2025-05-09 08:50:00,500,,495,,470,,490,490,,,,495,488,498,492</t>
  </si>
  <si>
    <t>2025-05-09 08:50:00,5700,,5700,,5500,,5680,,,,,5740,5600,5730,5690</t>
  </si>
  <si>
    <t>2025-05-09 08:50:00,20500,,,19650,19500,,20150,,,,,20500,19650,19600,19350</t>
  </si>
  <si>
    <t>2025-05-09 08:50:00,2043031271.4049,907056665.09996,-4558.27389610396,-3751,-7564.75604935079,-5606.93,250.20126269202,-1610.37</t>
  </si>
  <si>
    <t>2025-05-09 08:50:00,1132909206.51922,569301414.324852,914.334978668679,1141,2020.80629390176,1866.76,171.193807649428,551.66</t>
  </si>
  <si>
    <t>2025-05-09 08:50:00,26321220.8999394,2873596.15050678,,-251,,-1371.1,0.169628969546345,-52.18</t>
  </si>
  <si>
    <t>2025-05-09 08:50:00,37563563.8663927,-10414.5122394805,-39.973026684358,-13,-128.773564617426,-43.04,-0.00831868177715211,-0.43</t>
  </si>
  <si>
    <t>2025-05-09 08:51:00,580,,570,,580,,565.5,567,,,,570,565,566,562</t>
  </si>
  <si>
    <t>2025-05-09 08:51:00,500,,495,,470,,490,,,,,495,488,493,492</t>
  </si>
  <si>
    <t>2025-05-09 08:51:00,5850,,5700,,5500,,5680,,,,,5740,5600,5730,5690</t>
  </si>
  <si>
    <t>2025-05-09 08:51:00,20500,,,19650,19500,,20150,,,,,20500,19650,19600,19350</t>
  </si>
  <si>
    <t>2025-05-09 08:51:00,2052016128.27936,931706712.654381,-5566.8512987013,-3481,-5863.84102525253,-2284.52,336.106752437189,-784.87</t>
  </si>
  <si>
    <t>2025-05-09 08:51:00,1126730214.3569,551417668.641099,535.523439241915,484,-949.445943143819,-1367.63,68.2394812228411,-202.67</t>
  </si>
  <si>
    <t>2025-05-09 08:51:00,26530444.2907063,2204753.53274358,,-1401,,-68484.32,1.09710864067603,-728.47</t>
  </si>
  <si>
    <t>2025-05-09 08:51:00,37800220.3444498,-8898.62542874038,-49.1839608104314,-52,-310.79163903417,-487.94,0.00955541326370198,-4.66</t>
  </si>
  <si>
    <t>2025-05-09 08:52:00,580,,570,,580,,565.5,,,,,570,565,566,562</t>
  </si>
  <si>
    <t>2025-05-09 08:52:00,500,,495,,470,,490,,,,490,495,488,493,490</t>
  </si>
  <si>
    <t>2025-05-09 08:52:00,5700,,5700,,5500,,5680,,,,,5740,5600,5730,5690</t>
  </si>
  <si>
    <t>2025-05-09 08:52:00,20500,,,19650,19500,,20150,,,,,20500,19650,19600,19350</t>
  </si>
  <si>
    <t>2025-05-09 08:52:00,1956048424.01335,649732424.706727,16345.9437506938,1125,21907.8677719503,3680.47,27.0079745481142,1027.99</t>
  </si>
  <si>
    <t>2025-05-09 08:52:00,1093167556.06503,436590034.621609,6795.33422181266,1080,6537.18072916162,-172.96,414.497545443394,49.6899999999998</t>
  </si>
  <si>
    <t>2025-05-09 08:52:00,25983010.1631056,-526990.194133855,,486,,-26709.56,-3.68657768465197,-214.26</t>
  </si>
  <si>
    <t>2025-05-09 08:52:00,37908866.2125224,-27433.0928981681,4.31081137017066,-26,1444.64252439133,631.87,-0.0234286408440361,3.44</t>
  </si>
  <si>
    <t>2025-05-09 08:53:00,580,,570,,580,,565.5,,,566,,570,565,566,562</t>
  </si>
  <si>
    <t>2025-05-09 08:53:00,500,,495,,470,,490,,,,,495,490,491,490</t>
  </si>
  <si>
    <t>2025-05-09 08:53:00,5700,,5700,,5500,,5680,,,5670,,5740,5600,5730,5600</t>
  </si>
  <si>
    <t>2025-05-09 08:53:00,20500,,,19650,19500,,20150,,,,,20500,19650,19600,19350</t>
  </si>
  <si>
    <t>2025-05-09 08:53:00,1949224929.08907,595953461.25858,35741.5297979798,17681,40143.2360151515,18923.54,-59.7490950938696,6421.66</t>
  </si>
  <si>
    <t>2025-05-09 08:53:00,1088268345.93256,384606063.952796,1357.59515848132,3200,2166.38304547933,5699.62,-154.85608267878,1691.19</t>
  </si>
  <si>
    <t>2025-05-09 08:53:00,23669180.154437,-3124877.56857731,,676,,-35175.64,-1.56146136324207,-47.6499999999999</t>
  </si>
  <si>
    <t>2025-05-09 08:53:00,36736812.1542285,-32916.9554223188,-41.927181372549,-19,-2841.7737492647,-2256.99,0.012554535861607,-9.91</t>
  </si>
  <si>
    <t>2025-05-09 08:54:00,580,,570,,580,,565.5,,,,566,570,565,565,562</t>
  </si>
  <si>
    <t>2025-05-09 08:54:00,500,,495,,470,,490,,,,490,495,490,491,490</t>
  </si>
  <si>
    <t>2025-05-09 08:54:00,5700,,5700,,5500,,5680,,,,,5740,5570,5730,5570</t>
  </si>
  <si>
    <t>2025-05-09 08:54:00,20500,,,,19500,,20150,,,,,20300,19650,19600,19350</t>
  </si>
  <si>
    <t>2025-05-09 08:54:00,2050719230.28237,943767878.435915,-12487.5071195145,-3317,-23419.2166631653,-5019.06,4.17527054478538,-1099.33</t>
  </si>
  <si>
    <t>2025-05-09 08:54:00,1078684595.67576,463872136.869033,-5744.70764980634,-3868,-10082.3786284461,-5512.7,73.5779163186192,-1526.03</t>
  </si>
  <si>
    <t>2025-05-09 08:54:00,27057888.6897502,108326.737366631,,-6580,,-21196.94,6.70390663952564,-447.89</t>
  </si>
  <si>
    <t>2025-05-09 08:54:00,36729757.354792,-23654.2687282322,-15.553103474094,-12,-309.244628743635,-535.27,0.000181536836524407,-3.47</t>
  </si>
  <si>
    <t>2025-05-09 08:55:00,580,,570,,580,,565.5,,567,,,570,565,565,562</t>
  </si>
  <si>
    <t>2025-05-09 08:55:00,500,,495,,470,,490,,,490,,495,490,491,490</t>
  </si>
  <si>
    <t>2025-05-09 08:55:00,5700,,5700,,5500,,5680,,,,,5740,5570,5730,5570</t>
  </si>
  <si>
    <t>2025-05-09 08:55:00,20500,,,,19500,,20150,,,,,20300,19650,19600,19350</t>
  </si>
  <si>
    <t>2025-05-09 08:55:00,2105299828.67519,990959029.898721,-7859.7642857143,-10952,-8664.47654761908,-13563.82,-437.303345216412,-4119.03</t>
  </si>
  <si>
    <t>2025-05-09 08:55:00,1144264939.6648,495099621.128936,-942.91510518349,-2813,815.335459199843,-1850.61,-263.724866233188,-805.94</t>
  </si>
  <si>
    <t>2025-05-09 08:55:00,26999631.2827134,4970856.9017731,,-973,,-4075.45,4.71740899675261,-137.07</t>
  </si>
  <si>
    <t>2025-05-09 08:55:00,38485662.0403945,-4112.54070838327,-6.11513129806169,-5,-330.545905841395,-622.97,-0.0249745212294969,-5.05</t>
  </si>
  <si>
    <t>2025-05-09 08:56:00,580,,570,,580,,565.5,567,,,,570,565,565,562</t>
  </si>
  <si>
    <t>2025-05-09 08:56:00,500,,495,,470,,490,,,,,495,488,491,490</t>
  </si>
  <si>
    <t>2025-05-09 08:56:00,5700,,5700,,5500,,5680,,,,,5740,5570,5730,5570</t>
  </si>
  <si>
    <t>2025-05-09 08:56:00,20500,,,,19500,,20125,,,,,20300,19650,19600,19350</t>
  </si>
  <si>
    <t>2025-05-09 08:56:00,2142339167.26767,1123740103.27713,10665.4077922078,8792,15472.5265670996,10068.56,253.851037333904,2663.19</t>
  </si>
  <si>
    <t>2025-05-09 08:56:00,1139203273.69935,501848296.780699,2448.28778467909,2695,3039.29952380953,2977.36,123.594430215456,903.35</t>
  </si>
  <si>
    <t>2025-05-09 08:56:00,27919629.4193263,4947846.40400917,,2007,,12487.72,1.50695806385991,429.46</t>
  </si>
  <si>
    <t>2025-05-09 08:56:00,38292383.0447385,-5693.32633325685,21.5243228200371,20,1263.68785936921,1765.91,0.0194262523719888,10.51</t>
  </si>
  <si>
    <t>2025-05-09 08:58:00,580,,570,,580,,565.5,,567,,,570,565,565,562</t>
  </si>
  <si>
    <t>2025-05-09 08:58:00,500,,495,,470,,490,491,,,,495,488,491,490</t>
  </si>
  <si>
    <t>2025-05-09 08:58:00,5700,,5700,,5500,,5680,,,,,5740,5570,5730,5570</t>
  </si>
  <si>
    <t>2025-05-09 08:58:00,20500,,,,19500,,20125,,,,,20300,19650,19600,19350</t>
  </si>
  <si>
    <t>2025-05-09 08:58:00,2118994486.34764,1180493922.52191,-9144.2623015873,-6630,-11791.202531746,-8268.75,-67.9278479365172,-2651.96</t>
  </si>
  <si>
    <t>2025-05-09 08:58:00,1155387746.76072,505498131.69933,-2083.78655735205,-1982,-671.55702648167,-120.36,135.249282035344,-177.52</t>
  </si>
  <si>
    <t>2025-05-09 08:58:00,28223484.6228069,4727304.35081977,,-745,,-6464.07,0.298388850909912,-212.8</t>
  </si>
  <si>
    <t>2025-05-09 08:58:00,37939596.6358018,-7386.75697693765,-23.4604138916639,-20,-388.49698074703,-263,0.0194196681435799,-2.99</t>
  </si>
  <si>
    <t>2025-05-09 08:59:00,580,,570,,580,,565.5,567,,,,570,565,566,562</t>
  </si>
  <si>
    <t>2025-05-09 08:59:00,500,,495,,470,,490,491,,,,495,488,491,490</t>
  </si>
  <si>
    <t>2025-05-09 08:59:00,5850,,5700,,5500,,5680,,,,,5740,5570,5730,5570</t>
  </si>
  <si>
    <t>2025-05-09 08:59:00,20500,,20300,,19500,,20125,,,,,20300,19650,19600,19350</t>
  </si>
  <si>
    <t>2025-05-09 08:59:00,2287098762.34485,1640970118.09147,-429.602344877346,-350,1808.31074711399,526.35,852.600293235952,42.1699999999998</t>
  </si>
  <si>
    <t>2025-05-09 08:59:00,1213556990.78732,657515715.725789,2673.87335805263,3298,3083.12308050529,2008.47,-243.878748640374,828.43</t>
  </si>
  <si>
    <t>2025-05-09 08:59:00,29398477.7818306,10970324.7991703,,-49,,-9051.44000000001,6.21840280237445,-251.52</t>
  </si>
  <si>
    <t>2025-05-09 08:59:00,40052312.9291481,20389.4986836953,-16.4770417856137,-11,-115.337599242367,178.36,0.0429918580464093,-0.320000000000001</t>
  </si>
  <si>
    <t>2025-05-09 09:00:00,580,,570,,580,,565.5,,567,,,570,565,566,562</t>
  </si>
  <si>
    <t>2025-05-09 09:00:00,500,,495,,470,,490,,,,,495,488,491,490</t>
  </si>
  <si>
    <t>2025-05-09 09:00:00,5700,,5700,,5500,,5680,,,,,5700,5570,5730,5570</t>
  </si>
  <si>
    <t>2025-05-09 09:00:00,20500,,20300,,19500,,20125,,,,,20300,19350,19600,19350</t>
  </si>
  <si>
    <t>2025-05-09 09:00:00,2226183692.72974,1719261234.12305,3769.09724595579,-2949,-2323.7531582365,-10566.03,-17.8854860459074,-2885.47</t>
  </si>
  <si>
    <t>2025-05-09 09:00:00,1180176517.7004,665546981.245067,613.578571428589,-1348,1130.43075000003,-1382.52,48.1098252090246,-477.37</t>
  </si>
  <si>
    <t>2025-05-09 09:00:00,29182467.3869228,10531417.5377648,,-1129,,-5562.64,-3.18903692021712,-265.57</t>
  </si>
  <si>
    <t>2025-05-09 09:00:00,38708775.510298,8112.67686638031,3.48047619047617,13,385.447466233765,360.31,-0.00092655780167327,3.14</t>
  </si>
  <si>
    <t>2025-05-09 09:01:00,580,,570,,580,,565.5,567,,,,570,565,565,562</t>
  </si>
  <si>
    <t>2025-05-09 09:01:00,500,,495,,470,,490,,,,,495,488,491,490</t>
  </si>
  <si>
    <t>2025-05-09 09:01:00,5850,,5700,,5500,,5680,,,,,5700,5570,5730,5570</t>
  </si>
  <si>
    <t>2025-05-09 09:01:00,20500,,20300,,19500,,20125,,,,,20300,19350,19600,19350</t>
  </si>
  <si>
    <t>2025-05-09 09:01:00,2323114560.24918,1865526317.55328,-1393.97094547964,-1924,-1096.90946169773,-2282.47,-266.909277276192,-635.08</t>
  </si>
  <si>
    <t>2025-05-09 09:01:00,1193245557.43559,626702076.687541,-9791.98480683719,-4160,-5681.42870748957,-2411.18,587.604795728119,-768.62</t>
  </si>
  <si>
    <t>2025-05-09 09:01:00,30474261.3660374,12336013.3694172,,-562,,-8858.77,0.627781643199374,-235.06</t>
  </si>
  <si>
    <t>2025-05-09 09:01:00,39175723.8769966,11238.5803917103,-3.83544851968811,-2,-217.390196197326,-780.02,-0.0266671627742108,-2.92</t>
  </si>
  <si>
    <t>2025-05-09 09:02:00,580,,567,,580,,565.5,567,,,,570,565,565,562</t>
  </si>
  <si>
    <t>2025-05-09 09:02:00,500,,495,,470,,490,491,,,,495,488,491,490</t>
  </si>
  <si>
    <t>2025-05-09 09:02:00,5700,,5700,,5500,,5680,,,,,5700,5570,5730,5570</t>
  </si>
  <si>
    <t>2025-05-09 09:02:00,20500,,20300,,19500,,20125,,,,,20300,19350,19600,19350</t>
  </si>
  <si>
    <t>2025-05-09 09:02:00,2310134647.54752,2191192942.59966,3507.06224053724,3885,4140.27891178266,2935.74,382.157873091787,1209.64</t>
  </si>
  <si>
    <t>2025-05-09 09:02:00,1204872703.85084,755215864.205756,-4075.9091019111,-714,-4537.47657213006,696.85,195.206430692907,163.21</t>
  </si>
  <si>
    <t>2025-05-09 09:02:00,31293040.2208427,16986128.1667254,,-783,,-10702.51,0.248150904302967,-184.35</t>
  </si>
  <si>
    <t>2025-05-09 09:02:00,39319662.3264823,28788.0210573007,-22.5448930296756,-23,-1188.05432746722,-883.97,-0.0214613375275818,-6.95</t>
  </si>
  <si>
    <t>2025-05-09 09:03:00,580,,567,,580,,565.5,,,,,570,565,565,562</t>
  </si>
  <si>
    <t>2025-05-09 09:03:00,500,,495,,470,,490,,,,,495,488,491,490</t>
  </si>
  <si>
    <t>2025-05-09 09:03:00,5700,,5700,,5500,,5680,,,,,5700,5570,5730,5570</t>
  </si>
  <si>
    <t>2025-05-09 09:03:00,20500,,20300,,19500,,20125,,,,,20300,19350,19600,19350</t>
  </si>
  <si>
    <t>2025-05-09 09:03:00,2363657164.93826,2219940369.97253,5666.25476190476,4993,8439.99313492064,5795.06,329.62845449607,1943.47</t>
  </si>
  <si>
    <t>2025-05-09 09:03:00,1211144463.26255,763311825.876021,-2321.13931623931,-2123,-3017.34858974358,-3338.49,36.7625270033262,-1065.22</t>
  </si>
  <si>
    <t>2025-05-09 09:03:00,31428746.6657243,17447656.052677,,652,,7350.59,1.26554030350632,243.48</t>
  </si>
  <si>
    <t>2025-05-09 09:03:00,39446530.4527534,36700.262847241,1.49166666666667,2,21.656083333333,-38.99,-0.00284380097973429,-0.38</t>
  </si>
  <si>
    <t>2025-05-09 09:04:00,580,,567,,580,,565.5,,,,,570,565,565,562</t>
  </si>
  <si>
    <t>2025-05-09 09:04:00,500,,495,,470,,490,491,,,,495,488,491,490</t>
  </si>
  <si>
    <t>2025-05-09 09:04:00,5700,,5700,,5500,,5680,,,,,5700,5570,5730,5570</t>
  </si>
  <si>
    <t>2025-05-09 09:04:00,20500,,20300,,19500,,20125,,,,,20300,19350,19600,19350</t>
  </si>
  <si>
    <t>2025-05-09 09:04:00,2248491999.09886,1975854866.43501,3181.65909090909,543,8278.43022727272,3253.06,97.1044242778759,712.59</t>
  </si>
  <si>
    <t>2025-05-09 09:04:00,1207983726.03515,669887276.873536,7171.09462769832,4430,8925.57096034446,5287.13,135.305416837426,1566.64</t>
  </si>
  <si>
    <t>2025-05-09 09:04:00,30142989.3675375,15489608.9941681,,1187,,11678.52,1.69539845677275,402.63</t>
  </si>
  <si>
    <t>2025-05-09 09:04:00,39921218.5769929,25049.0577858071,26.7715521064302,21,2112.56381927463,1124.08,-0.00169638195500722,6.42</t>
  </si>
  <si>
    <t>2025-05-09 09:05:00,580,,567,,580,,565.5,,567,,,570,565,565,562</t>
  </si>
  <si>
    <t>2025-05-09 09:05:00,500,,495,,470,,490,491,,491,,495,488,491,490</t>
  </si>
  <si>
    <t>2025-05-09 09:05:00,5700,,5700,,5500,,5680,,,,,5700,5570,5730,5570</t>
  </si>
  <si>
    <t>2025-05-09 09:05:00,20500,,20300,,19500,,20125,,,,,20500,19350,19600,19350</t>
  </si>
  <si>
    <t>2025-05-09 09:05:00,2240561910.31271,1974891805.2406,-2986.254493292,333,-7494.69228818104,-1667.22,-366.595361999955,-622.75</t>
  </si>
  <si>
    <t>2025-05-09 09:05:00,1182129614.45113,669208643.428092,1663.24800716525,1477,2976.35961337513,4744.49,-60.9321825302765,1233.37</t>
  </si>
  <si>
    <t>2025-05-09 09:05:00,29775656.6556656,12273664.9761384,,307,,5763.92,-2.5300510886913,98.19</t>
  </si>
  <si>
    <t>2025-05-09 09:05:00,39162466.7072306,17632.644552403,74.0060919540229,32,2957.68471264367,1197.2,-0.0084410210600747,9.13</t>
  </si>
  <si>
    <t>2025-05-09 09:06:00,580,,567,,580,,565.5,567,,,,570,565,565,562</t>
  </si>
  <si>
    <t>2025-05-09 09:06:00,500,,495,,470,,490,,491,,,495,488,491,490</t>
  </si>
  <si>
    <t>2025-05-09 09:06:00,5700,,5700,,5500,,5680,,,,,5700,5570,5730,5570</t>
  </si>
  <si>
    <t>2025-05-09 09:06:00,20500,,20300,,19500,,20125,,,,,20500,19650,19600,19350</t>
  </si>
  <si>
    <t>2025-05-09 09:06:00,2330025402.8777,2221879750.0629,20944.3874913734,13346,24489.1811176987,14433.41,-354.396499916455,4744.49</t>
  </si>
  <si>
    <t>2025-05-09 09:06:00,1237308606.56675,827285184.133439,2159.00860976884,4252,2276.78931947891,4298.03,-230.880670681942,1329.71</t>
  </si>
  <si>
    <t>2025-05-09 09:06:00,30287526.8492356,17461312.9715077,,1856,,20102.19,4.26390413374642,725.77</t>
  </si>
  <si>
    <t>2025-05-09 09:06:00,39637780.2370671,35093.4815576721,-73.943898063087,-53,-2963.27133618343,-4648.58,0.00703066722456139,-14.09</t>
  </si>
  <si>
    <t>2025-05-09 09:07:00,580,,570,,580,,565.5,567,,,,570,565,565,562</t>
  </si>
  <si>
    <t>2025-05-09 09:07:00,500,,495,,470,,490,,,,,495,488,491,490</t>
  </si>
  <si>
    <t>2025-05-09 09:07:00,5700,,5700,,5500,,5680,,,,,5700,5570,5730,5570</t>
  </si>
  <si>
    <t>2025-05-09 09:07:00,20500,,20300,,19500,,20125,,,,,20500,19650,19600,19350</t>
  </si>
  <si>
    <t>2025-05-09 09:07:00,2397521632.13033,2469663019.88495,4525.10487290485,6560,5622.08117887664,6013.21,810.054535481265,1983.34</t>
  </si>
  <si>
    <t>2025-05-09 09:07:00,1272189918.93071,926103412.900315,3471.10226038498,3308,6265.52297705007,1944.15,594.533244419471,1192.47</t>
  </si>
  <si>
    <t>2025-05-09 09:07:00,31957571.4574831,21805131.5522485,,47,,-197.11,4.94544412529515,13.5</t>
  </si>
  <si>
    <t>2025-05-09 09:07:00,40312005.5366109,55803.8884968323,15.3372053239158,15,598.74031788942,467.1,0.0250210706943531,4.35</t>
  </si>
  <si>
    <t>2025-05-09 09:08:00,580,,567,,580,,565.5,,,,,570,565,565,562</t>
  </si>
  <si>
    <t>2025-05-09 09:08:00,500,,495,,470,,490,,,,,495,488,491,490</t>
  </si>
  <si>
    <t>2025-05-09 09:08:00,5700,,5700,,5500,,5680,,,,,5700,5570,5730,5570</t>
  </si>
  <si>
    <t>2025-05-09 09:08:00,20500,,20300,,19500,,20125,,,,,20500,19650,19600,19350</t>
  </si>
  <si>
    <t>2025-05-09 09:08:00,2307486390.67348,2457274455.80782,-5995.6676046176,-5055,-5690.35177417027,-3640.64,-156.541018058887,-1329.6</t>
  </si>
  <si>
    <t>2025-05-09 09:08:00,1222539473.90534,947817944.300745,-2966.34421286598,-3129,-2023.69198188101,-2330.61,-168.005494100025,-828.4</t>
  </si>
  <si>
    <t>2025-05-09 09:08:00,30591140.0452503,18602085.0549174,,-886,,-7766.75,-3.48666748422465,-264.34</t>
  </si>
  <si>
    <t>2025-05-09 09:08:00,39346129.1324236,36448.6371709715,23.6802013346131,27,718.057244920929,688.49,0.0130257391321765,4.88</t>
  </si>
  <si>
    <t>2025-05-09 09:09:00,580,,570,,580,,565.5,,,,,570,565,565,562</t>
  </si>
  <si>
    <t>2025-05-09 09:09:00,500,,495,,470,,490,,,,,495,488,491,490</t>
  </si>
  <si>
    <t>2025-05-09 09:09:00,5700,,5700,,5500,,5680,,,,,5700,5570,5730,5570</t>
  </si>
  <si>
    <t>2025-05-09 09:09:00,20500,,20300,,19500,,20150,,,,,20500,19650,19600,19350</t>
  </si>
  <si>
    <t>2025-05-09 09:09:00,2396236916.05668,2469655212.9031,2625.91220587503,2679,3670.50648730787,2772.71,-83.689565644571,945.41</t>
  </si>
  <si>
    <t>2025-05-09 09:09:00,1234318528.03535,893123664.295636,177.150454150801,88,1039.63401839978,1076.38,-3.66061122783968,286.31</t>
  </si>
  <si>
    <t>2025-05-09 09:09:00,31157789.6188464,20159612.1832099,,-169,,-29488.13,0.592783809232927,-306.9</t>
  </si>
  <si>
    <t>2025-05-09 09:09:00,40060806.1405101,35161.5661001359,-35.8550917897473,47,-210.430456856679,13.11,-0.0225592473892651,0.67</t>
  </si>
  <si>
    <t>2025-05-09 09:11:00,580,,570,,580,,565.5,,,,,570,565,565,562</t>
  </si>
  <si>
    <t>2025-05-09 09:11:00,500,,495,,470,,490,,,,,495,488,491,490</t>
  </si>
  <si>
    <t>2025-05-09 09:11:00,5700,,5700,,5500,,5680,,,,,5700,5570,5730,5570</t>
  </si>
  <si>
    <t>2025-05-09 09:11:00,20500,,20300,,19500,,20125,,,,,20500,19650,19600,19350</t>
  </si>
  <si>
    <t>2025-05-09 09:11:00,2351971116.92972,2546424869.91384,99.9190476190107,747,-409.926285714338,-345.87,-79.6451636511377,11.5600000000001</t>
  </si>
  <si>
    <t>2025-05-09 09:11:00,1220882190.79101,867026975.848205,279.598484848483,340,219.961136363633,-100.86,9.06909434955393,-10.33</t>
  </si>
  <si>
    <t>2025-05-09 09:11:00,30569488.3791764,18813024.0691593,,1165,,4798.83,-0.885804832150199,171.02</t>
  </si>
  <si>
    <t>2025-05-09 09:11:00,39563329.7359811,36352.3288187298,16.46656240346,22,878.052773632994,859.22,0.0250680964442522,6.36</t>
  </si>
  <si>
    <t>2025-05-09 09:12:00,580,,570,,580,,565.5,,,,,570,565,565,562</t>
  </si>
  <si>
    <t>2025-05-09 09:12:00,500,,495,,470,,490,,,,,495,490,491,490</t>
  </si>
  <si>
    <t>2025-05-09 09:12:00,5700,,5700,,5500,,5680,,,,,5700,5570,5730,5570</t>
  </si>
  <si>
    <t>2025-05-09 09:12:00,20500,,20300,,19500,,20125,,,,,20500,19650,19600,19350</t>
  </si>
  <si>
    <t>2025-05-09 09:12:00,2212684303.51133,2032172001.34739,-432.922222222222,-1701,-409.231055555557,-2557.65,209.059443356775,-560.08</t>
  </si>
  <si>
    <t>2025-05-09 09:12:00,1194633524.7585,719410173.387517,-2227.11769926609,-1673,-4559.38496714457,-3980.95,145.312452078384,-1184.11</t>
  </si>
  <si>
    <t>2025-05-09 09:12:00,28897733.5004899,11222782.8291875,,-825,,-1221.31,-1.93086784348519,-97.14</t>
  </si>
  <si>
    <t>2025-05-09 09:12:00,39256435.3905579,18715.5238623189,-0.194743941802813,7,-395.38014365263,-495.71,-0.0398205800705824,-3.12</t>
  </si>
  <si>
    <t>2025-05-09 09:13:00,580,,567,,580,,565.5,,,,,570,565,565,562</t>
  </si>
  <si>
    <t>2025-05-09 09:13:00,500,,495,,470,,490,,,,,495,488,491,490</t>
  </si>
  <si>
    <t>2025-05-09 09:13:00,5700,,5700,,5500,,5680,,,,,5700,5570,5730,5570</t>
  </si>
  <si>
    <t>2025-05-09 09:13:00,20500,,20300,,19500,,20125,,,,,20500,19650,19600,19350</t>
  </si>
  <si>
    <t>2025-05-09 09:13:00,2186517289.80605,2156401959.66682,-14415.5024891775,-8335,-19499.5491338384,-9669.28,214.560467689437,-3117.48</t>
  </si>
  <si>
    <t>2025-05-09 09:13:00,1174454946.36825,830250067.39234,-6186.05137085137,-3099,-7623.22634199135,-4196.76,45.2333406248863,-1290.04</t>
  </si>
  <si>
    <t>2025-05-09 09:13:00,28515428.3863468,8870831.02443392,,-1412,,-10620.6,5.46577283191044,-371.99</t>
  </si>
  <si>
    <t>2025-05-09 09:13:00,39210343.7694264,18021.6729404602,6.92773830629465,18,163.268499080184,243.89,-0.0247073250656389,1.77</t>
  </si>
  <si>
    <t>2025-05-09 09:14:00,580,,567,,580,,565.5,,,,,570,565,566,562</t>
  </si>
  <si>
    <t>2025-05-09 09:14:00,500,,495,,470,,490,,,,,495,490,491,490</t>
  </si>
  <si>
    <t>2025-05-09 09:14:00,5700,,5700,,5500,,5680,,,,,5700,5570,5730,5570</t>
  </si>
  <si>
    <t>2025-05-09 09:14:00,20500,,20300,,19500,,20150,,,,,20500,19650,19600,19350</t>
  </si>
  <si>
    <t>2025-05-09 09:14:00,2211482739.00719,2085217116.68352,-1624.25833333333,3073,-3031.13519444444,5906.3,-693.6993932461,1907.54</t>
  </si>
  <si>
    <t>2025-05-09 09:14:00,1198970695.51106,749440485.052443,-3151.38076923077,-1119,-3308.57157692308,-784.48,-130.595401802292,-271.47</t>
  </si>
  <si>
    <t>2025-05-09 09:14:00,29408050.936203,6920814.39426788,,-1099,,-11114.69,0.127415806164357,-367.02</t>
  </si>
  <si>
    <t>2025-05-09 09:14:00,39422154.7873784,10106.5868388038,-24.6705627464323,-18,-1664.29895099538,-1134.16,0.0195106168945554,-6.55</t>
  </si>
  <si>
    <t>2025-05-09 09:15:00,580,,567,,580,,565.5,,,,,570,565,566,562</t>
  </si>
  <si>
    <t>2025-05-09 09:15:00,500,,495,,470,,490,,,,,495,490,491,490</t>
  </si>
  <si>
    <t>2025-05-09 09:15:00,5700,,5700,,5500,,5680,,,,,5700,5570,5730,5570</t>
  </si>
  <si>
    <t>2025-05-09 09:15:00,20500,,20300,,19500,,20150,,,,,20500,19650,19600,19350</t>
  </si>
  <si>
    <t>2025-05-09 09:15:00,2229792480.91142,2051069005.6493,2753.29054834056,591,1661.60756637809,2721.1,171.50864350938,736.1</t>
  </si>
  <si>
    <t>2025-05-09 09:15:00,1222559006.10088,798562551.500429,612.107265512266,591,1005.77695844156,1522.87,-18.9976298934001,476.66</t>
  </si>
  <si>
    <t>2025-05-09 09:15:00,29232548.8227863,9875136.81009952,,-332,,1125.47,8.54117230648062,56.24</t>
  </si>
  <si>
    <t>2025-05-09 09:15:00,39688526.9285875,21827.7129599248,-2.99652427637723,-10,-74.096967965368,-123.47,0.014950757803747,-1.31</t>
  </si>
  <si>
    <t>2025-05-09 09:16:00,580,,567,,580,,565.5,567,,,,570,565,566,562</t>
  </si>
  <si>
    <t>2025-05-09 09:16:00,500,,492,,470,,490,,,,,495,490,491,490</t>
  </si>
  <si>
    <t>2025-05-09 09:16:00,5700,,5700,,5500,,5680,,,,,5700,5570,5730,5570</t>
  </si>
  <si>
    <t>2025-05-09 09:16:00,20500,,20300,,19500,,20150,,,,,20500,19650,19600,19350</t>
  </si>
  <si>
    <t>2025-05-09 09:16:00,2157580552.22848,1888411823.52202,-1152.17952047952,1951,-3022.07122444223,2331.24,93.4843576826265,1143.73</t>
  </si>
  <si>
    <t>2025-05-09 09:16:00,1188032037.7216,776997540.739851,1448.58275613276,1078,1097.50024025974,134.23,270.520604283401,281.22</t>
  </si>
  <si>
    <t>2025-05-09 09:16:00,27331913.1658743,5420205.5782106,,660,,11743.22,-5.55275265311936,314.17</t>
  </si>
  <si>
    <t>2025-05-09 09:16:00,38811556.9666763,1150.4054143777,2.07087662337659,16,636.739744805195,513.81,0.00798906895102497,5.34</t>
  </si>
  <si>
    <t>2025-05-09 09:17:00,580,,567,,580,,565.5,,,,,570,565,566,562</t>
  </si>
  <si>
    <t>2025-05-09 09:17:00,500,,492,,470,,490,,,,,495,490,491,490</t>
  </si>
  <si>
    <t>2025-05-09 09:17:00,5700,,5700,,5500,,5680,,,,,5700,5570,5730,5570</t>
  </si>
  <si>
    <t>2025-05-09 09:17:00,20500,,,,19500,,20150,,,,,20500,19650,19600,19350</t>
  </si>
  <si>
    <t>2025-05-09 09:17:00,2103735148.96725,1993712005.99328,2806.57651515151,2325,3356.61081060605,3138.8,-5.84101203082749,1114.19</t>
  </si>
  <si>
    <t>2025-05-09 09:17:00,1183948593.87126,743784364.695639,-292.071428571429,-1598,-452.894761904762,-1592.59,-21.4236034368655,-569.38</t>
  </si>
  <si>
    <t>2025-05-09 09:17:00,27670164.4320445,4560116.2126722,,-247,,284.55,0.0136549389846969,-20.21</t>
  </si>
  <si>
    <t>2025-05-09 09:17:00,38660881.0101306,-3913.09785704792,12.5375,7,747.522749999998,386.61,-0.00697573307648351,3.03</t>
  </si>
  <si>
    <t>2025-05-09 09:18:00,580,,,,580,,565.5,,,,566,570,565,565,562</t>
  </si>
  <si>
    <t>2025-05-09 09:18:00,500,,492,,470,,490,490,,490,,495,490,491,488</t>
  </si>
  <si>
    <t>2025-05-09 09:18:00,5700,,5700,,5500,,5680,,,,5680,5700,5570,5730,5570</t>
  </si>
  <si>
    <t>2025-05-09 09:18:00,20500,,,,19500,,20150,,,,,20500,19650,19600,19350</t>
  </si>
  <si>
    <t>2025-05-09 09:18:00,2033241476.90525,1395400631.54183,-5547.13404928403,-8310,-5525.04377722275,-6395.47,721.57598112241,-1874.06</t>
  </si>
  <si>
    <t>2025-05-09 09:18:00,1125000467.21392,646365320.806484,-2310.51184955142,-3176,-2483.93521601105,-1722.73,72.8708243721701,-635.92</t>
  </si>
  <si>
    <t>2025-05-09 09:18:00,26901695.8804741,-1013050.58620635,,-3467,,-27155.01,-4.52186194550975,-995.09</t>
  </si>
  <si>
    <t>2025-05-09 09:18:00,38405115.8181664,-23604.2821579258,-0.793055077740518,-37,282.732948806178,-472.48,-0.00358532551296192,-5.5</t>
  </si>
  <si>
    <t>2025-05-09 09:20:00,580,,,,580,,565.5,,,566,,570,565,566,562</t>
  </si>
  <si>
    <t>2025-05-09 09:20:00,500,,,490,470,,490,,,490,,495,490,491,487</t>
  </si>
  <si>
    <t>2025-05-09 09:20:00,5850,,5700,,5500,,5680,,,,,5800,5580,5800,5570</t>
  </si>
  <si>
    <t>2025-05-09 09:20:00,20500,,,20000,19500,,20150,,,,,20500,19650,19600,19350</t>
  </si>
  <si>
    <t>2025-05-09 09:20:00,1877161611.8946,910079813.233637,,2234,,6118.16,486.987426265594,1860.19</t>
  </si>
  <si>
    <t>2025-05-09 09:20:00,1042846174.20518,262410128.607553,-5218.08899148965,3993,-6310.65149729771,4523.06,-375.170291733373,1490.62</t>
  </si>
  <si>
    <t>2025-05-09 09:20:00,22450416.2041195,-14819194.7140599,,5558,,12375.49,5.17352393033982,329.88</t>
  </si>
  <si>
    <t>2025-05-09 09:20:00,37897090.9291426,-61558.4963427926,42.6961135314778,22,1431.0606397389,850.81,-0.000994508786755227,7.18</t>
  </si>
  <si>
    <t>2025-05-09 09:21:00,580,,,,580,,565.5,,,566,,570,565,566,562</t>
  </si>
  <si>
    <t>2025-05-09 09:21:00,500,,492,,470,,490,,,,490,495,488,491,488</t>
  </si>
  <si>
    <t>2025-05-09 09:21:00,5700,,5700,,5500,,5680,,,,,5800,5580,5800,5570</t>
  </si>
  <si>
    <t>2025-05-09 09:21:00,20050,,,20000,19500,,20150,,,,,20500,19650,19600,19350</t>
  </si>
  <si>
    <t>2025-05-09 09:21:00,1796100564.24656,702838660.890545,3542.94314574314,3297,10905.8003282828,15327.09,857.263437109953,4291.52</t>
  </si>
  <si>
    <t>2025-05-09 09:21:00,1067845104.27545,328292886.998466,199.528031871524,-1155,-3450.88574794528,-6086.86,815.052966211523,-1515.19</t>
  </si>
  <si>
    <t>2025-05-09 09:21:00,22232212.235241,-18898054.356479,,2598,,36688.9,-4.79530868395385,975.89</t>
  </si>
  <si>
    <t>2025-05-09 09:21:00,36320189.9330105,-78587.5474873672,8.48561319078775,2,133.674820670131,-1448.11,-0.051344396701581,-7.49</t>
  </si>
  <si>
    <t>2025-05-09 09:22:00,580,,,,580,,565.5,,,,,570,565,566,562</t>
  </si>
  <si>
    <t>2025-05-09 09:22:00,500,,492,,470,,490,,,,490,495,488,491,490</t>
  </si>
  <si>
    <t>2025-05-09 09:22:00,5700,,5700,,5500,,5680,,,,,5800,5580,5800,5570</t>
  </si>
  <si>
    <t>2025-05-09 09:22:00,20050,,,20000,19500,,20150,,,,,20500,19650,20475,19350</t>
  </si>
  <si>
    <t>2025-05-09 09:22:00,1846050882.35222,692499508.034385,19561.0308321308,8698,20368.2186820586,13782.27,-1358.68717309126,4424.48</t>
  </si>
  <si>
    <t>2025-05-09 09:22:00,1073151521.38643,311882922.823206,729.868339591444,1921,-1904.93611802337,-1253.94,160.291339198456,146.02</t>
  </si>
  <si>
    <t>2025-05-09 09:22:00,23062612.9725742,-14867377.6511367,,2389,,19087.09,0.936163297756161,632.31</t>
  </si>
  <si>
    <t>2025-05-09 09:22:00,37547118.402879,-47198.2883096677,87.2186107030225,152,-518.573435568357,943.1,0.0748446545956537,8.78</t>
  </si>
  <si>
    <t>2025-05-09 09:23:00,580,,,,580,,565.5,,,,565,570,565,566,569</t>
  </si>
  <si>
    <t>2025-05-09 09:23:00,500,,492,,470,,490,,,,,495,488,491,490</t>
  </si>
  <si>
    <t>2025-05-09 09:23:00,5700,,5700,,5500,,5680,,,,,5800,5650,5800,5570</t>
  </si>
  <si>
    <t>2025-05-09 09:23:00,20050,,,20000,19500,,20150,,,,,20500,19650,20475,19350</t>
  </si>
  <si>
    <t>2025-05-09 09:23:00,1697592153.30456,114084326.7066,-8969.35317460314,-9402,-14584.1824285714,-10409.32,-187.653774791521,-3656.48</t>
  </si>
  <si>
    <t>2025-05-09 09:23:00,1043258025.58896,261691405.38813,8104.82206976069,4842,10032.8951283035,4945.79,-140.359024561584,1613.75</t>
  </si>
  <si>
    <t>2025-05-09 09:23:00,22058422.7972415,-23312397.5226386,,2044,,16819.82,-10.5643153435006,579.4</t>
  </si>
  <si>
    <t>2025-05-09 09:23:00,36992803.636927,-75858.9348951329,-3.1019104579631,-1,-74.9104004442936,128.2,0.024836249169239,1.65</t>
  </si>
  <si>
    <t>2025-05-09 09:24:00,580,,,,580,,565.5,,,,565,570,565,566,569</t>
  </si>
  <si>
    <t>2025-05-09 09:24:00,500,,492,,470,,490,,,,489,495,488,491,490</t>
  </si>
  <si>
    <t>2025-05-09 09:24:00,5700,,5700,,5500,,5680,,,,,5800,5650,5800,5570</t>
  </si>
  <si>
    <t>2025-05-09 09:24:00,20050,,,20000,19500,,20150,,,,,20475,19650,20475,19350</t>
  </si>
  <si>
    <t>2025-05-09 09:24:00,1667096522.4033,474357357.012863,1434.2502303253,-1690,6.7140377401886,-1888.96,-224.485007453554,-762.65</t>
  </si>
  <si>
    <t>2025-05-09 09:24:00,952269262.81505,87311804.0712045,-2874.75348595849,2337,-2406.79483846154,-258.48,-348.497342657644,-119.52</t>
  </si>
  <si>
    <t>2025-05-09 09:24:00,20158896.4394942,-28082441.0695243,,-1156,,-15040.39,1.7509220311715,-490.38</t>
  </si>
  <si>
    <t>2025-05-09 09:24:00,35390283.9890375,-93244.0150999853,82.6683886126563,45,1817.83824844998,1380.62,-0.0159648030878495,10.13</t>
  </si>
  <si>
    <t>2025-05-09 09:25:00,580,,,565,580,,565.5,,,,565,570,565,566,569</t>
  </si>
  <si>
    <t>2025-05-09 09:25:00,500,,492,,470,,490,,,489,,495,488,491,490</t>
  </si>
  <si>
    <t>2025-05-09 09:25:00,5700,,5700,,5500,,5680,,,,,5800,5650,5800,5570</t>
  </si>
  <si>
    <t>2025-05-09 09:25:00,20050,,,20000,19500,,20150,,,,,20475,19650,20475,19350</t>
  </si>
  <si>
    <t>2025-05-09 09:25:00,1660351016.82672,-231287898.671225,-4330.88645072241,10,-5813.29267788251,2389.65,-258.791028393074,892.34</t>
  </si>
  <si>
    <t>2025-05-09 09:25:00,997961240.836834,-59901230.1881362,-2054.34831511535,3686,-697.544238481114,5945.53,-249.565888574056,2034.48</t>
  </si>
  <si>
    <t>2025-05-09 09:25:00,20561757.0464047,-32820668.0384594,,-1561,,-3221.85,1.16950825214733,-81.14</t>
  </si>
  <si>
    <t>2025-05-09 09:25:00,37077206.7118138,-89539.576298275,-99.4253757680228,-76,-3120.67605381546,-1632.56,0.0261503548344006,-13.78</t>
  </si>
  <si>
    <t>2025-05-09 09:26:00,580,,,565,580,,565.5,,,,565,570,565,566,562</t>
  </si>
  <si>
    <t>2025-05-09 09:26:00,500,,,488,470,,490,,,489,,495,488,491,490</t>
  </si>
  <si>
    <t>2025-05-09 09:26:00,5700,,5700,,,5800,5680,,,,,5800,5650,5800,5570</t>
  </si>
  <si>
    <t>2025-05-09 09:26:00,20050,,,20000,19500,,20150,,,,,20475,19650,20475,19350</t>
  </si>
  <si>
    <t>2025-05-09 09:26:00,1498897522.65284,-632104615.482545,-13686.757664884,-13587,-15589.3983743312,-10651.23,-297.867647243901,-3880.03</t>
  </si>
  <si>
    <t>2025-05-09 09:26:00,945536074.811463,-186694234.573595,2421.89396218557,2737,2854.51830676328,4935.29,-187.245814492968,1294.44</t>
  </si>
  <si>
    <t>2025-05-09 09:26:00,17914456.0488171,-39647489.4272189,,-683,,5878.4,-13.2670887151469,56.97</t>
  </si>
  <si>
    <t>2025-05-09 09:26:00,35162221.5172846,-125556.76597157,71.6924572649572,38,3219.42854615384,1284.99,0.00395680743223113,11.26</t>
  </si>
  <si>
    <t>2025-05-09 09:27:00,580,,,565,580,,565.5,,565,565,,570,565,566,562</t>
  </si>
  <si>
    <t>2025-05-09 09:27:00,500,,,488,470,,490,,,,488,495,488,491,490</t>
  </si>
  <si>
    <t>2025-05-09 09:27:00,5700,,5700,,,5800,5680,,,,5660,5700,5650,5800,5570</t>
  </si>
  <si>
    <t>2025-05-09 09:27:00,20050,,,19800,19500,,20150,,,,,20475,19800,20475,19800</t>
  </si>
  <si>
    <t>2025-05-09 09:27:00,1359448520.76722,-998526554.189259,-7742.83113688859,1722,-23399.227833932,-6288.72,269.722949168202,-1102.86</t>
  </si>
  <si>
    <t>2025-05-09 09:27:00,846788721.394379,-401337921.778068,-23310.1701492951,-11881,-33755.3272806082,-16317.43,-116.140848757618,-4806.78</t>
  </si>
  <si>
    <t>2025-05-09 09:27:00,14697923.2859581,-53732316.6213893,,111,,1079.56,-7.78485042884055,-13.52</t>
  </si>
  <si>
    <t>2025-05-09 09:27:00,33722382.6724142,-279041.889922754,-540.355356767416,-551,-4430.64395746868,-3793.93,0.403193988634511,-42.43</t>
  </si>
  <si>
    <t>2025-05-09 09:28:00,580,,,565,580,,565.5,,,,,570,565,566,562</t>
  </si>
  <si>
    <t>2025-05-09 09:28:00,500,,,488,470,,490,,,,488,495,488,491,490</t>
  </si>
  <si>
    <t>2025-05-09 09:28:00,,5500,,5650,,5800,5680,,,5660,,5700,5650,5800,5570</t>
  </si>
  <si>
    <t>2025-05-09 09:28:00,20050,,,19800,19500,,20150,,,,,20475,19800,20475,19350</t>
  </si>
  <si>
    <t>2025-05-09 09:28:00,1179244792.50608,-1266862349.6498,6598.3916243885,-3406,10163.8699649953,-9541.16,1469.49648428164,-2679.37</t>
  </si>
  <si>
    <t>2025-05-09 09:28:00,780455541.840753,-414974191.505234,-1162.91211959497,-180,-4478.39874333609,-3131.28,511.889504903791,-796.41</t>
  </si>
  <si>
    <t>2025-05-09 09:28:00,12433482.5615466,-63767203.3143244,,3344,,132182.83,5.07514305658834,1589.7</t>
  </si>
  <si>
    <t>2025-05-09 09:28:00,31696535.3676715,-440197.406357519,283.268695410156,624,7574.16390080892,10277.63,-0.538916268128657,88.25</t>
  </si>
  <si>
    <t>2025-05-09 09:29:00,580,,,565,580,,565.5,,,564,,570,565,567,562</t>
  </si>
  <si>
    <t>2025-05-09 09:29:00,500,,,488,470,,490,,,,,495,488,491,490</t>
  </si>
  <si>
    <t>2025-05-09 09:29:00,,5500,,5650,,5800,5680,,,,5650,5700,5600,5800,5570</t>
  </si>
  <si>
    <t>2025-05-09 09:29:00,20050,,,19800,19500,,20150,,,,,20300,19800,20475,19350</t>
  </si>
  <si>
    <t>2025-05-09 09:29:00,1225203616.11498,-1220994361.75027,-7448.54570429568,-2136,-24185.0215470639,-2223.82,245.544901123068,-460.96</t>
  </si>
  <si>
    <t>2025-05-09 09:29:00,791278263.023936,-365723377.136314,-6559.67277306025,-5496,-11625.1452621128,-8435.12,195.398029668592,-2152.43</t>
  </si>
  <si>
    <t>2025-05-09 09:29:00,11972109.4165932,-64801682.3240722,,-3634,,-28276.02,2.35415933546348,-1021.86</t>
  </si>
  <si>
    <t>2025-05-09 09:29:00,32944380.5735058,-434453.158190257,-2.39939556332401,-24,-179.64045505621,-669.8,-0.03249201723685,-4.43</t>
  </si>
  <si>
    <t>2025-05-09 09:30:00,580,,,565,580,,565.5,,,,564,570,565,567,562</t>
  </si>
  <si>
    <t>2025-05-09 09:30:00,500,,,488,470,,490,,488,,,495,488,491,490</t>
  </si>
  <si>
    <t>2025-05-09 09:30:00,5700,,5700,,,5800,5680,5660,,,,5700,5650,5800,5570</t>
  </si>
  <si>
    <t>2025-05-09 09:30:00,20050,,,19800,19500,,20150,,,,,20300,19800,20475,19350</t>
  </si>
  <si>
    <t>2025-05-09 09:30:00,1319520005.85504,-1144915555.60206,8849.29967532468,16580,5422.8811504329,15785.12,631.611902402825,5662.13</t>
  </si>
  <si>
    <t>2025-05-09 09:30:00,805785107.221715,-371136302.979218,-1983.60859983201,-4146,-6413.0961444765,-9368.66,455.094875303726,-2301.48</t>
  </si>
  <si>
    <t>2025-05-09 09:30:00,14683789.7116056,-58831789.9046879,,-571,,-12532.04,2.52687891999291,-112.9</t>
  </si>
  <si>
    <t>2025-05-09 09:30:00,33342556.8163657,-407067.355454407,-56.4659712720335,-25,-719.623238111498,-525.3,0.0311603610766102,-2.51</t>
  </si>
  <si>
    <t>2025-05-09 09:31:00,580,,,,580,,565.5,,565,,,570,565,566,562</t>
  </si>
  <si>
    <t>2025-05-09 09:31:00,500,,,488,470,,490,,488,,,495,488,491,488</t>
  </si>
  <si>
    <t>2025-05-09 09:31:00,5700,,5700,,,5800,5680,5660,,,,5700,5600,5800,5570</t>
  </si>
  <si>
    <t>2025-05-09 09:31:00,20050,,,19800,19500,,20150,,,,,20300,19800,20475,19350</t>
  </si>
  <si>
    <t>2025-05-09 09:31:00,1327219335.666,-716610076.559352,-61013.7927372779,-17349,-73384.9407568104,-22181.8,125.594669706848,-7071.18</t>
  </si>
  <si>
    <t>2025-05-09 09:31:00,811522212.44252,-261034195.106719,5261.29524209068,194,3047.30532033851,-2788.72,314.097508062779,-542.92</t>
  </si>
  <si>
    <t>2025-05-09 09:31:00,16477680.8422976,-56511640.6398562,,-654,,299.28,-6.44901667094381,-178.57</t>
  </si>
  <si>
    <t>2025-05-09 09:31:00,32711825.8381103,-384051.908942264,76.3796847596847,50,2409.57498729049,1337.45,-0.00887920515628668,10.52</t>
  </si>
  <si>
    <t>2025-05-09 09:32:00,580,,,,580,,565.5,,,,,570,565,566,562</t>
  </si>
  <si>
    <t>2025-05-09 09:32:00,500,,,488,470,,490,,,,,495,488,491,488</t>
  </si>
  <si>
    <t>2025-05-09 09:32:00,5700,,5700,,,5800,5680,,,,,5700,5600,5800,5570</t>
  </si>
  <si>
    <t>2025-05-09 09:32:00,20050,,,19800,19500,,20150,,,,,20300,19800,20475,19350</t>
  </si>
  <si>
    <t>2025-05-09 09:32:00,1360652341.46416,-885900983.125125,-4259.11309523809,-7152,-1212.67726190475,-2951.05,601.227100029004,-1365.05</t>
  </si>
  <si>
    <t>2025-05-09 09:32:00,834460719.676456,-307896136.310778,-1673.22786408993,1574,-1414.34765125679,185.740000000001,-37.5154687959213,403.71</t>
  </si>
  <si>
    <t>2025-05-09 09:32:00,16446120.4195562,-53698308.5261798,,-2792,,-28552.7,8.29058663637323,-787.39</t>
  </si>
  <si>
    <t>2025-05-09 09:32:00,33641976.915411,-371417.267113023,-99.6061614920169,-86,-4975.58104599678,-2396.81,0.0347164528637148,-17.87</t>
  </si>
  <si>
    <t>2025-05-09 09:33:00,580,,,,580,,565.5,,,,,570,565,566,562</t>
  </si>
  <si>
    <t>2025-05-09 09:33:00,500,,492,,470,,490,,,,,495,488,491,488</t>
  </si>
  <si>
    <t>2025-05-09 09:33:00,5700,,5700,,,5800,5670,,,,,5700,5600,5800,5570</t>
  </si>
  <si>
    <t>2025-05-09 09:33:00,20050,,,19800,19500,,20150,,,,,20300,19800,20475,19350</t>
  </si>
  <si>
    <t>2025-05-09 09:33:00,1375709734.9806,-473946521.998327,13883.0633200133,4771,15474.2982084582,4107.68,180.43727741609,1414.89</t>
  </si>
  <si>
    <t>2025-05-09 09:33:00,859634950.979824,-129980995.572222,8042.11011904761,4128,10600.4434642857,4355.54,63.5175924253211,1307.46</t>
  </si>
  <si>
    <t>2025-05-09 09:33:00,16640943.1205805,-49850491.2674655,,1204,,12473.43,-0.902475026854811,400.04</t>
  </si>
  <si>
    <t>2025-05-09 09:33:00,33053686.923228,-374214.233781256,9.09792089368853,21,12.7268750791967,742.11,0.0197704564452498,5.93</t>
  </si>
  <si>
    <t>2025-05-09 09:34:00,580,,,,580,,565.5,,,564,,570,565,566,562</t>
  </si>
  <si>
    <t>2025-05-09 09:34:00,500,,,488,470,,490,,,,488,495,488,491,488</t>
  </si>
  <si>
    <t>2025-05-09 09:34:00,,5500,5700,,,5800,5670,,,,,5700,5600,5800,5570</t>
  </si>
  <si>
    <t>2025-05-09 09:34:00,20050,,,19800,19500,,20150,,,,,20300,19800,20475,19350</t>
  </si>
  <si>
    <t>2025-05-09 09:34:00,1226771109.72175,-1049357494.97111,5811.6629254732,12084,1623.49316503262,12283.47,-245.503398729284,3588.1</t>
  </si>
  <si>
    <t>2025-05-09 09:34:00,790456299.600561,-460145018.254783,286.988192341075,482,-2564.05718439591,-3153.51,53.5657108822745,-652.78</t>
  </si>
  <si>
    <t>2025-05-09 09:34:00,13716849.2766559,-63226003.6540063,,1121,,9433.05,-1.10923231988595,329.18</t>
  </si>
  <si>
    <t>2025-05-09 09:34:00,31894107.2702762,-428156.159812739,42.2877683885567,38,4451.41661645169,3404.5,0.00588897087652505,14.38</t>
  </si>
  <si>
    <t>2025-05-09 09:35:00,580,,,,580,,565.5,,,,564,570,565,566,562</t>
  </si>
  <si>
    <t>2025-05-09 09:35:00,500,,,488,470,,490,,,,487,495,488,491,488</t>
  </si>
  <si>
    <t>2025-05-09 09:35:00,,5500,,5650,,5800,5670,,,,5650,5700,5600,5800,5570</t>
  </si>
  <si>
    <t>2025-05-09 09:35:00,20050,,,19800,19500,,20150,,,,,20300,19800,20475,19350</t>
  </si>
  <si>
    <t>2025-05-09 09:35:00,1044867456.30313,-1335610664.62876,-66304.849897763,-25246,-104671.1229629,-34662.77,-37.7992585650495,-10048.81</t>
  </si>
  <si>
    <t>2025-05-09 09:35:00,710660596.236753,-592100411.849609,-2311.16870307582,-2873,-6288.53959293773,-2039.72,219.271566889331,-393.31</t>
  </si>
  <si>
    <t>2025-05-09 09:35:00,10990203.6406141,-74823134.5985311,,1982,,7985.63,-0.553132751193797,355.28</t>
  </si>
  <si>
    <t>2025-05-09 09:35:00,31736974.2392701,-516552.863932323,19.7878338225994,-4,668.613145785401,-911.19,0.00296189653706363,-3.87</t>
  </si>
  <si>
    <t>2025-05-09 09:36:00,580,,,,580,,565.5,,,563,,570,565,566,562</t>
  </si>
  <si>
    <t>2025-05-09 09:36:00,500,,,488,470,,490,,,487,,495,488,491,488</t>
  </si>
  <si>
    <t>2025-05-09 09:36:00,,5500,,5650,,5800,5670,,,,5650,5700,5600,5800,5570</t>
  </si>
  <si>
    <t>2025-05-09 09:36:00,20050,,,19800,19500,,20150,,,,,20300,19800,20475,19350</t>
  </si>
  <si>
    <t>2025-05-09 09:36:00,1015243928.97773,-1495582061.87919,-4261.58333333337,705,-13436.0366190477,4128.68,-621.304295549205,976.369999999999</t>
  </si>
  <si>
    <t>2025-05-09 09:36:00,700467366.344884,-470479247.784838,1715.02658035943,5890,987.976496403677,6157.57,-0.379675837185801,1744.78</t>
  </si>
  <si>
    <t>2025-05-09 09:36:00,8485524.18980776,-82803552.3078512,,597,,13352.8,-9.60702919375777,97.7400000000001</t>
  </si>
  <si>
    <t>2025-05-09 09:36:00,30537454.7004315,-554221.375078857,20.9704380341881,42,-743.380109020141,1464.49,0.0123131171153337,11.03</t>
  </si>
  <si>
    <t>2025-05-09 09:37:00,580,,,,580,,565.5,,,,563,570,565,566,562</t>
  </si>
  <si>
    <t>2025-05-09 09:37:00,500,,,488,470,,490,,,,,495,488,491,488</t>
  </si>
  <si>
    <t>2025-05-09 09:37:00,,5500,,5650,,5800,5670,,,,,5700,5600,5800,5570</t>
  </si>
  <si>
    <t>2025-05-09 09:37:00,20050,,,19800,19500,,20150,,,,,20300,19800,20475,19350</t>
  </si>
  <si>
    <t>2025-05-09 09:37:00,943614490.59431,-2073083463.40386,-8931.29499999997,-3164,-17776.7075358974,-4971.35,-168.796653874203,-1602.96</t>
  </si>
  <si>
    <t>2025-05-09 09:37:00,630696383.945353,-750342098.718611,-5723.38167110667,-4469,-9590.33837096235,-5676.63,163.630777033062,-1523.22</t>
  </si>
  <si>
    <t>2025-05-09 09:37:00,8051381.6194885,-90121251.2312599,,-1652,,-13009.17,2.37685009100597,-412.11</t>
  </si>
  <si>
    <t>2025-05-09 09:37:00,30510082.1366931,-567921.611562674,-45.8770185586746,-45,-1206.34340076674,677.42,0.0443635877825498,-4.32</t>
  </si>
  <si>
    <t>2025-05-09 09:38:00,580,,,,580,,565.5,,,,563,570,565,566,562</t>
  </si>
  <si>
    <t>2025-05-09 09:38:00,500,,,488,470,,490,,,,,495,488,491,488</t>
  </si>
  <si>
    <t>2025-05-09 09:38:00,,5500,,5650,,5800,5670,5650,,,5650,5700,5600,5800,5570</t>
  </si>
  <si>
    <t>2025-05-09 09:38:00,20050,,,19800,19500,,20150,,,,,20300,19800,20475,19350</t>
  </si>
  <si>
    <t>2025-05-09 09:38:00,783877352.33683,-2788814325.85317,9869.00216450213,3774,-512.643030303044,4164.99,501.256790984095,1194.1</t>
  </si>
  <si>
    <t>2025-05-09 09:38:00,553684055.818749,-1024384346.9257,8245.72085507603,6410,9993.83228123041,10422.74,-289.623167128412,2716.06</t>
  </si>
  <si>
    <t>2025-05-09 09:38:00,4293339.63662538,-99898337.8115199,,876,,24277.17,0.101407212469117,293.54</t>
  </si>
  <si>
    <t>2025-05-09 09:38:00,29351719.9382578,-625872.045013645,20.1875706676365,37,599.674592535025,549.23,0.00414786955551427,4.86</t>
  </si>
  <si>
    <t>2025-05-09 09:40:00,580,,,,580,,565.5,563,,,,570,560,566,562</t>
  </si>
  <si>
    <t>2025-05-09 09:40:00,500,,,488,470,,490,,,,,495,488,491,488</t>
  </si>
  <si>
    <t>2025-05-09 09:40:00,,5500,,5650,,5800,5670,,,5640,5650,5700,5600,5800,5570</t>
  </si>
  <si>
    <t>2025-05-09 09:40:00,20050,,,19800,19500,,20150,,,,,20300,19800,20475,19350</t>
  </si>
  <si>
    <t>2025-05-09 09:40:00,893135175.45857,-2333267959.2673,-5210.44772067164,-7977,-9246.65397046379,-10124.85,672.92602107665,-3014.89</t>
  </si>
  <si>
    <t>2025-05-09 09:40:00,615051036.800879,-852188971.082463,2623.13922380302,3448,458.683115989378,2395.85,101.917656780204,657.27</t>
  </si>
  <si>
    <t>2025-05-09 09:40:00,8065504.76634618,-90867909.8329236,,1248,,-2472.14,2.33818503777886,2.25999999999997</t>
  </si>
  <si>
    <t>2025-05-09 09:40:00,30087270.024587,-605960.21090108,-41.425573529784,-15,-2367.98429599124,-221.18,0.0257430262313598,-0.56</t>
  </si>
  <si>
    <t>2025-05-09 09:41:00,580,,,,580,,565.5,,,,,570,560,566,562</t>
  </si>
  <si>
    <t>2025-05-09 09:41:00,500,,,488,470,,490,,,,,495,488,491,488</t>
  </si>
  <si>
    <t>2025-05-09 09:41:00,,5500,,5650,,5800,5670,,,,,5700,5600,5800,5570</t>
  </si>
  <si>
    <t>2025-05-09 09:41:00,20050,,,19800,19500,,20075,,,,,20300,19800,20475,19350</t>
  </si>
  <si>
    <t>2025-05-09 09:41:00,962201738.212702,-1831986216.08753,12814.8204027856,3211,13761.2598322981,3278.53,564.007231995951,1071.24</t>
  </si>
  <si>
    <t>2025-05-09 09:41:00,625479891.005483,-803601044.094302,10606.3958308963,5360,15173.2486526011,6839.13,-194.201626970727,1826.21</t>
  </si>
  <si>
    <t>2025-05-09 09:41:00,8157125.27979782,-86822140.7936904,,-1140,,-13357.88,-4.36283512061997,-222.29</t>
  </si>
  <si>
    <t>2025-05-09 09:41:00,30190236.805324,-584150.601701887,-87.109262959263,-157,2383.19998670774,1751.6,0.0793568865309512,13.96</t>
  </si>
  <si>
    <t>2025-05-09 09:42:00,580,,,,580,,565.5,,,,,570,560,566,562</t>
  </si>
  <si>
    <t>2025-05-09 09:42:00,500,,,488,470,,490,,,,,495,488,491,488</t>
  </si>
  <si>
    <t>2025-05-09 09:42:00,,5500,,5650,,5800,5670,,,,,5700,5600,5800,5570</t>
  </si>
  <si>
    <t>2025-05-09 09:42:00,20050,,,19800,19500,,20075,,,,,20300,19800,20475,19350</t>
  </si>
  <si>
    <t>2025-05-09 09:42:00,929035799.690938,-2039080117.47469,7984.18593073592,5225,5014.66020562768,2696.14,297.694540710679,614.38</t>
  </si>
  <si>
    <t>2025-05-09 09:42:00,618762952.257342,-756512567.123757,2536.66511378148,-544,1737.62072492161,-1131.64,69.0752591931739,-319.47</t>
  </si>
  <si>
    <t>2025-05-09 09:42:00,7846155.41696566,-87869777.6022276,,701,,12262.35,1.23988400196631,312.84</t>
  </si>
  <si>
    <t>2025-05-09 09:42:00,30470714.087242,-582077.006446625,19.703961038961,25,838.472248629148,884.12,0.00902423500956451,6.68</t>
  </si>
  <si>
    <t>2025-05-09 09:43:00,580,,,,580,,565.5,,564,,,570,560,566,564</t>
  </si>
  <si>
    <t>2025-05-09 09:43:00,500,,,488,470,,490,487,,,,495,488,491,488</t>
  </si>
  <si>
    <t>2025-05-09 09:43:00,,5500,5700,,,5800,5670,,,,,5700,5600,5800,5570</t>
  </si>
  <si>
    <t>2025-05-09 09:43:00,20050,,,19800,19500,,20075,,,,,20300,19800,20475,19350</t>
  </si>
  <si>
    <t>2025-05-09 09:43:00,1046968011.39381,-2108790076.46401,-5352.39991956244,-5913,-12871.6496188868,-13177.93,167.134911040234,-3560.54</t>
  </si>
  <si>
    <t>2025-05-09 09:43:00,641050089.315824,-878645374.286543,-1677.08013490341,-3684,-1789.80555213943,-2877.55,-6.61206537128285,-1032.07</t>
  </si>
  <si>
    <t>2025-05-09 09:43:00,11577252.8041135,-73329127.4021804,,424,,60506.67,1.00824183314198,359.94</t>
  </si>
  <si>
    <t>2025-05-09 09:43:00,30247675.3101705,-567027.521209164,-38.7756271506271,54,-1145.5852052947,259.87,-0.0435016463256682,2.89</t>
  </si>
  <si>
    <t>2025-05-09 09:44:00,580,,,,580,,565.5,564,,,,570,560,566,562</t>
  </si>
  <si>
    <t>2025-05-09 09:44:00,500,,,488,470,,490,,,,,495,488,491,488</t>
  </si>
  <si>
    <t>2025-05-09 09:44:00,,5500,5700,,,5800,5670,,,,,5700,5600,5800,5570</t>
  </si>
  <si>
    <t>2025-05-09 09:44:00,20050,,,19800,19500,,20075,,,,,20300,19800,20475,19350</t>
  </si>
  <si>
    <t>2025-05-09 09:44:00,1095748009.24244,-1355330577.46956,544.759540459539,833,2759.9566818182,1567.64,-266.146252440371,603.34</t>
  </si>
  <si>
    <t>2025-05-09 09:44:00,639791681.300298,-725862965.529523,3490.74226514225,3861,3427.55528508527,1801.3,-115.643722140134,659.41</t>
  </si>
  <si>
    <t>2025-05-09 09:44:00,10902546.8235068,-76017081.4620578,,391,,-4805.31,1.68399276622929,29.49</t>
  </si>
  <si>
    <t>2025-05-09 09:44:00,30701224.4663982,-582139.847690978,-21.0755241490535,-7,-1359.28940628978,-310.29,0.0260149002371901,-1.84</t>
  </si>
  <si>
    <t>2025-05-09 09:45:00,580,,,,580,,565.5,564,,,,570,560,566,562</t>
  </si>
  <si>
    <t>2025-05-09 09:45:00,500,,492,,470,,490,,,,,495,485,491,488</t>
  </si>
  <si>
    <t>2025-05-09 09:45:00,,5500,5700,,,5800,5670,5660,,,,5700,5600,5800,5570</t>
  </si>
  <si>
    <t>2025-05-09 09:45:00,20050,,,19800,19500,,20075,,,,,20300,19800,20475,19350</t>
  </si>
  <si>
    <t>2025-05-09 09:45:00,1218686941.93314,-796692093.522004,10933.175,7337,14690.7289761905,11290.55,452.064071723904,2963.26</t>
  </si>
  <si>
    <t>2025-05-09 09:45:00,718178354.815796,-556788931.84525,3642.81471407264,3000,4245.98948679632,3315.05,77.8589221685237,987.74</t>
  </si>
  <si>
    <t>2025-05-09 09:45:00,13724743.5856096,-61109980.1074368,,1636,,14425.14,-4.09843466885501,437.66</t>
  </si>
  <si>
    <t>2025-05-09 09:45:00,31401225.9651551,-525742.659350213,-21.1920703166698,-22,-250.208417493443,-267.41,0.0707184014232447,-2.62</t>
  </si>
  <si>
    <t>2025-05-09 09:46:00,580,,,,580,,565.5,,,,,570,560,566,562</t>
  </si>
  <si>
    <t>2025-05-09 09:46:00,500,,492,,470,,490,,,,,495,485,491,488</t>
  </si>
  <si>
    <t>2025-05-09 09:46:00,,5500,5700,,,5800,5670,,,,,5700,5600,5800,5570</t>
  </si>
  <si>
    <t>2025-05-09 09:46:00,20050,,,19800,19500,,20075,,,,,20300,19800,20475,19350</t>
  </si>
  <si>
    <t>2025-05-09 09:46:00,1167727459.68886,-1018942862.78017,-4857.38037518041,-6933,-6027.19481385288,-9313.94,-344.551814494197,-3026.92</t>
  </si>
  <si>
    <t>2025-05-09 09:46:00,715173786.168164,-576340650.1846,4721.76166056166,3771,6963.32549572648,5534.09,13.8269342951665,1502.15</t>
  </si>
  <si>
    <t>2025-05-09 09:46:00,12650269.0953716,-60942166.6538105,,546,,8259.15,-0.989893180862086,232.19</t>
  </si>
  <si>
    <t>2025-05-09 09:46:00,32016213.3932906,-505309.558472534,22.2004910548389,20,1150.47799254127,871.78,0.000660578820862596,6.08</t>
  </si>
  <si>
    <t>2025-05-09 09:47:00,580,,,,580,,565.5,,,,,570,560,566,562</t>
  </si>
  <si>
    <t>2025-05-09 09:47:00,500,,492,,470,,490,,,,,495,485,491,488</t>
  </si>
  <si>
    <t>2025-05-09 09:47:00,,5500,5700,,,5800,5670,,,,,5700,5600,5800,5570</t>
  </si>
  <si>
    <t>2025-05-09 09:47:00,20050,,,19800,19500,,20075,,,,,20300,19800,20475,19350</t>
  </si>
  <si>
    <t>2025-05-09 09:47:00,1157850128.30105,-933824679.501199,-1508.39079772885,-313,-1673.51429655252,-648.22,-542.98827657331,-401.78</t>
  </si>
  <si>
    <t>2025-05-09 09:47:00,703591285.078786,-530653187.339691,1215.21042788968,1241,563.021328921025,1255.94,148.109084706579,407.46</t>
  </si>
  <si>
    <t>2025-05-09 09:47:00,12614285.1077736,-62703765.7166032,,-191,,-957.7,-0.850406524296292,-41.35</t>
  </si>
  <si>
    <t>2025-05-09 09:47:00,31715168.5325109,-517732.178458982,4.97400793650794,5,158.656938492064,333.18,-0.000402465059008672,2.41</t>
  </si>
  <si>
    <t>2025-05-09 09:49:00,580,,,,580,,565.5,564,,,,570,560,566,562</t>
  </si>
  <si>
    <t>2025-05-09 09:49:00,500,,492,,470,,490,,,,,495,485,491,488</t>
  </si>
  <si>
    <t>2025-05-09 09:49:00,5850,,5700,,,5800,5670,,,,,5700,5600,5800,5570</t>
  </si>
  <si>
    <t>2025-05-09 09:49:00,20050,,,19800,19500,,20075,,,,,20300,19800,20475,19350</t>
  </si>
  <si>
    <t>2025-05-09 09:49:00,1283480157.07757,-569156485.220287,2900.74275438613,5664,4611.34901829378,4976.7,-148.327077083261,1554.33</t>
  </si>
  <si>
    <t>2025-05-09 09:49:00,744382773.474599,-351097130.853983,-4003.40835548467,-1213,-4632.16194326726,-2714.44,-76.7595814971664,-374.64</t>
  </si>
  <si>
    <t>2025-05-09 09:49:00,14519013.4561347,-58542805.0347024,,-1283,,-24448.75,-9.01588449160021,-691.47</t>
  </si>
  <si>
    <t>2025-05-09 09:49:00,32048765.6661395,-471099.092527941,-112.016991341991,-41,-3799.55248917749,-1343.48,0.0125134700095849,-9.65</t>
  </si>
  <si>
    <t>2025-05-09 09:51:00,580,,567,,580,,565.5,,,,,570,560,566,562</t>
  </si>
  <si>
    <t>2025-05-09 09:51:00,500,,492,,470,,490,488,,,,495,485,491,488</t>
  </si>
  <si>
    <t>2025-05-09 09:51:00,,5500,5700,,,5800,5670,,5660,,,5700,5600,5800,5650</t>
  </si>
  <si>
    <t>2025-05-09 09:51:00,20050,,,19800,19500,,20075,,,,,20300,19800,20475,19800</t>
  </si>
  <si>
    <t>2025-05-09 09:51:00,1280579376.17357,73286251.2737169,-2737.62467532468,-1557,-12915.9051515152,-8659.49,91.7941188907164,-2986.45</t>
  </si>
  <si>
    <t>2025-05-09 09:51:00,766072245.901038,-305072775.629135,-14863.7271981613,-7189,-17121.2341821806,-7677.61,193.526391911912,-2324.34</t>
  </si>
  <si>
    <t>2025-05-09 09:51:00,15144219.5705132,-52465075.0110651,,-209,,-17920.52,7.08685817103244,-519.2</t>
  </si>
  <si>
    <t>2025-05-09 09:51:00,32667649.0886593,-447466.484957404,-10.497896000481,-13,-1948.10901049408,780.93,0.0808283430789365,-4.58</t>
  </si>
  <si>
    <t>2025-05-09 09:52:00,580,,567,,580,,565.5,565,,,,570,560,566,562</t>
  </si>
  <si>
    <t>2025-05-09 09:52:00,500,,492,,470,,490,488,,,,495,485,491,488</t>
  </si>
  <si>
    <t>2025-05-09 09:52:00,5850,,5700,,,5800,5670,,,,,5700,5600,5800,5650</t>
  </si>
  <si>
    <t>2025-05-09 09:52:00,20050,,,19800,19500,,20075,,,,,20300,19800,20475,19800</t>
  </si>
  <si>
    <t>2025-05-09 09:52:00,1417186167.71682,490618268.390259,5954.29841269841,-1572,12756.0786269841,-3163.4,9.72038917344662,-286.53</t>
  </si>
  <si>
    <t>2025-05-09 09:52:00,820597511.614999,-176926174.522222,1808.6586080586,1496,3656.91519963367,-240.089999999999,4.97997076488938,313.04</t>
  </si>
  <si>
    <t>2025-05-09 09:52:00,17252740.10253,-43810753.7359487,,-44,,-8843.76,3.1919785160189,-119.08</t>
  </si>
  <si>
    <t>2025-05-09 09:52:00,33535297.7880302,-383214.964272433,-10.7413636363636,-1,773.342061255413,844.91,0.0297038071142603,5.15</t>
  </si>
  <si>
    <t>2025-05-09 09:53:00,580,,567,,580,,565.5,564,,,,570,560,566,562</t>
  </si>
  <si>
    <t>2025-05-09 09:53:00,500,,492,,470,,490,,,,,495,485,491,488</t>
  </si>
  <si>
    <t>2025-05-09 09:53:00,5700,,5700,,,5800,5670,,,,,5700,5600,5800,5650</t>
  </si>
  <si>
    <t>2025-05-09 09:53:00,20050,,,19800,19500,,20075,,,,,20300,19800,20475,19800</t>
  </si>
  <si>
    <t>2025-05-09 09:53:00,1371053182.40889,429862706.296799,21480.8031746032,4797,40196.9192539682,9295.95,684.497485108739,2736.68</t>
  </si>
  <si>
    <t>2025-05-09 09:53:00,801267029.159687,-179827475.739762,-448.690606534581,-2777,-460.555340198115,-2623.77,-91.0602281979181,-930.95</t>
  </si>
  <si>
    <t>2025-05-09 09:53:00,15809373.0452867,-42517066.9952362,,-1265,,-11729.19,2.68066349060923,-392.16</t>
  </si>
  <si>
    <t>2025-05-09 09:53:00,33083784.339507,-388313.110456222,24.2533577533578,32,1569.23280067155,1196.31,0.0621230436765617,9.7</t>
  </si>
  <si>
    <t>2025-05-09 09:54:00,580,,,,580,,565.5,,,,,570,560,566,564</t>
  </si>
  <si>
    <t>2025-05-09 09:54:00,500,,492,,470,,489,,,,,495,485,491,488</t>
  </si>
  <si>
    <t>2025-05-09 09:54:00,,5500,5700,,,5800,5670,,,,,5700,5600,5800,5650</t>
  </si>
  <si>
    <t>2025-05-09 09:54:00,20050,,,19800,19500,,20075,,,,,20300,19800,20475,19800</t>
  </si>
  <si>
    <t>2025-05-09 09:54:00,1163504793.95943,-489730511.161299,-23269.7681818179,-9404,-36970.1725779215,-12963.44,-78.2034805743707,-4053.28</t>
  </si>
  <si>
    <t>2025-05-09 09:54:00,749487317.26982,-250595783.515088,-326.102243530616,1481,-602.298910688987,1160.28,-173.486057257801,97.88</t>
  </si>
  <si>
    <t>2025-05-09 09:54:00,13934427.0002557,-57716234.478809,,237,,17919.87,-11.9369809416531,305.27</t>
  </si>
  <si>
    <t>2025-05-09 09:54:00,31815164.6222431,-450915.151993687,44.5193506658015,14,2068.18476904098,-127.6,-0.00360551142597871,2.69</t>
  </si>
  <si>
    <t>2025-05-09 09:55:00,580,,,,580,,565.5,,,,,570,560,566,564</t>
  </si>
  <si>
    <t>2025-05-09 09:55:00,500,,492,,470,,489,,,,,495,485,491,488</t>
  </si>
  <si>
    <t>2025-05-09 09:55:00,5850,,5700,,,5800,5670,,,,,5700,5600,5800,5650</t>
  </si>
  <si>
    <t>2025-05-09 09:55:00,20050,,,19800,19500,,20075,,,,,20300,19800,20475,19800</t>
  </si>
  <si>
    <t>2025-05-09 09:55:00,1242122138.44319,-264479109.345066,-24854.6511904764,-8867,-41240.8941547624,-9920.02,405.651066760455,-2865.86</t>
  </si>
  <si>
    <t>2025-05-09 09:55:00,762957029.831738,-315680346.292476,-10231.9064973039,-3425,-18118.5627957774,-6096.77,284.654829430785,-1491.78</t>
  </si>
  <si>
    <t>2025-05-09 09:55:00,14242446.3755011,-61492613.0724837,,-4525,,-28301.03,2.42793739532528,-896.49</t>
  </si>
  <si>
    <t>2025-05-09 09:55:00,31877438.6654415,-468433.689153528,-249.342409812409,-81,-10829.4626606782,-2769.49,0.0548606343963869,-21.31</t>
  </si>
  <si>
    <t>2025-05-09 09:56:00,580,,,,580,,565.5,,,,,570,560,566,564</t>
  </si>
  <si>
    <t>2025-05-09 09:56:00,500,,492,,470,,490,,,,,495,485,491,488</t>
  </si>
  <si>
    <t>2025-05-09 09:56:00,,5500,5700,,,5800,5670,,,,,5700,5600,5800,5650</t>
  </si>
  <si>
    <t>2025-05-09 09:56:00,20050,,,19800,19500,,20075,,,,,20300,19800,20475,19800</t>
  </si>
  <si>
    <t>2025-05-09 09:56:00,1205032616.57158,-314177054.251749,9129.45981795982,1888,12991.0756590632,-811.4,-14.1694929162577,-593.88</t>
  </si>
  <si>
    <t>2025-05-09 09:56:00,717828643.447013,-394113683.763017,2254.89880952381,961,2499.80041666667,1000.55,35.5383350456466,286.99</t>
  </si>
  <si>
    <t>2025-05-09 09:56:00,14010095.4286255,-57746848.1206141,,410,,-17798.09,-2.00605352943187,-27.74</t>
  </si>
  <si>
    <t>2025-05-09 09:56:00,32220122.8576797,-475586.098515786,-14.0087301587302,-17,-190.74803968254,-206.33,0.0221200152013079,-1.86</t>
  </si>
  <si>
    <t>2025-05-09 09:57:00,580,,567,,580,,565.5,,,,,570,560,566,564</t>
  </si>
  <si>
    <t>2025-05-09 09:57:00,500,,492,,470,,490,,488,,,495,485,491,488</t>
  </si>
  <si>
    <t>2025-05-09 09:57:00,5850,,5700,,,5800,5670,,,,,5700,5600,5800,5650</t>
  </si>
  <si>
    <t>2025-05-09 09:57:00,20050,,,19800,19500,,20075,,,,,20300,19800,20475,19800</t>
  </si>
  <si>
    <t>2025-05-09 09:57:00,1315352068.24094,37461271.4576886,-2988.722005772,-1444,-4190.06708008656,-3891.59,133.312762721277,-1031.47</t>
  </si>
  <si>
    <t>2025-05-09 09:57:00,763353817.896903,-296540305.672078,-2475.93170995671,-3645,-3097.54047294372,-4758.69,63.4492659729361,-1397.34</t>
  </si>
  <si>
    <t>2025-05-09 09:57:00,15886386.8537363,-53234351.3576009,,-1403,,-34293.52,-4.65191265763317,-566.2</t>
  </si>
  <si>
    <t>2025-05-09 09:57:00,32701168.8838283,-430431.090414332,-12.5305403348554,-28,-345.53392564688,-1170.35,-0.0118632702168028,-6.22</t>
  </si>
  <si>
    <t>2025-05-09 09:58:00,580,,567,,580,,565.5,565,,,,570,560,566,564</t>
  </si>
  <si>
    <t>2025-05-09 09:58:00,500,,492,,470,,489,,,,,495,485,491,488</t>
  </si>
  <si>
    <t>2025-05-09 09:58:00,5700,,5700,,,5800,5670,,,,,5700,5600,5800,5650</t>
  </si>
  <si>
    <t>2025-05-09 09:58:00,20050,,,19800,19500,,20075,,,,,20300,19800,20475,19800</t>
  </si>
  <si>
    <t>2025-05-09 09:58:00,1406817506.66647,644433335.843713,2939.62866300366,2651,7031.5101456044,6315.46,564.506326104918,1800.07</t>
  </si>
  <si>
    <t>2025-05-09 09:58:00,812572703.916906,-87526387.8741183,-215.319013112495,100,158.958951345752,-197.18,102.55539225982,35.4400000000001</t>
  </si>
  <si>
    <t>2025-05-09 09:58:00,17261494.7276005,-41614665.8115968,,-440,,-6966.93,2.42411982717747,-231.28</t>
  </si>
  <si>
    <t>2025-05-09 09:58:00,33331689.9555898,-411051.140589812,-128.858699588307,-56,-2539.28984193477,-2572.86,0.057915694458482,-13.99</t>
  </si>
  <si>
    <t>2025-05-09 09:59:00,580,,567,,580,,565.5,565,,,,570,560,566,564</t>
  </si>
  <si>
    <t>2025-05-09 09:59:00,500,,492,,470,,489,,488,,,495,485,491,488</t>
  </si>
  <si>
    <t>2025-05-09 09:59:00,5700,,5700,,,5800,5670,,,,,5700,5600,5800,5650</t>
  </si>
  <si>
    <t>2025-05-09 09:59:00,20050,,,19800,19500,,20075,,,,,20300,19800,20475,19800</t>
  </si>
  <si>
    <t>2025-05-09 09:59:00,1426596575.84866,1053358114.08536,2102.58373015878,3293,2149.20144841279,3828.04,170.655591795951,1150.53</t>
  </si>
  <si>
    <t>2025-05-09 09:59:00,833388359.364996,40943455.5427541,1463.77741344677,-1683,2364.34345043129,-2233.33,-8.21520730113953,-742.94</t>
  </si>
  <si>
    <t>2025-05-09 09:59:00,18314512.0760244,-33944687.4402524,,-1589,,-15400.74,-6.0177457208526,-479.21</t>
  </si>
  <si>
    <t>2025-05-09 09:59:00,32535223.1471663,-369525.023353246,5.52884615384614,3,117.088076923077,-192,0.00422134009935602,-1.42</t>
  </si>
  <si>
    <t>2025-05-09 10:00:00,580,,567,,580,,565.5,,,,,570,560,570,564</t>
  </si>
  <si>
    <t>2025-05-09 10:00:00,500,,492,,470,,489,,,,,495,485,491,488</t>
  </si>
  <si>
    <t>2025-05-09 10:00:00,5700,,5700,,,5800,5670,,,,,5700,5600,5800,5650</t>
  </si>
  <si>
    <t>2025-05-09 10:00:00,20050,,,19800,19500,,20075,,,,,20300,19800,20475,19800</t>
  </si>
  <si>
    <t>2025-05-09 10:00:00,1319331280.22669,1162053746.1449,2902.22373737374,1396,4762.33941919195,1319.16,-89.5546719263802,218.09</t>
  </si>
  <si>
    <t>2025-05-09 10:00:00,807286699.896201,41753628.903918,706.072202800291,-1630,7621.44020545761,4296.67,-50.9811662943244,-406.21</t>
  </si>
  <si>
    <t>2025-05-09 10:00:00,16951702.6316465,-41527616.4142319,,396,,10642.45,-0.754410735316149,267.1</t>
  </si>
  <si>
    <t>2025-05-09 10:00:00,32169549.3140535,-404351.581926595,7.7050505050505,-1,161.353338383838,-23.91,-0.00313456541570809,-0.22</t>
  </si>
  <si>
    <t>2025-05-09 10:01:00,580,,567,,580,,565.5,,565,,,570,560,570,564</t>
  </si>
  <si>
    <t>2025-05-09 10:01:00,500,,492,,470,,489,,488,,,495,485,491,488</t>
  </si>
  <si>
    <t>2025-05-09 10:01:00,5700,,5700,,,5800,5670,,,,,5700,5600,5800,5650</t>
  </si>
  <si>
    <t>2025-05-09 10:01:00,20050,,,19800,19500,,20075,,,,,20300,19800,20475,19800</t>
  </si>
  <si>
    <t>2025-05-09 10:01:00,1436355583.17435,1067004557.56458,-5923.18440383907,-1010,-17916.6872944814,-10505.95,119.422679741458,-3193.63</t>
  </si>
  <si>
    <t>2025-05-09 10:01:00,824506168.841477,34891154.6533518,-2917.32484737485,-3242,-4487.8466530764,-4819.35,-53.8586291504728,-1365.22</t>
  </si>
  <si>
    <t>2025-05-09 10:01:00,16819332.2297623,-40157056.9265958,,-1560,,-15890.55,-4.36864480466002,-519.5</t>
  </si>
  <si>
    <t>2025-05-09 10:01:00,33732593.0700375,-386558.493243806,-12.3772174468217,-1,-203.389653731559,-42.31,0.0442790039309822,-0.29</t>
  </si>
  <si>
    <t>2025-05-09 10:02:00,580,,567,,580,,565.5,,,,,570,560,570,564</t>
  </si>
  <si>
    <t>2025-05-09 10:02:00,500,,492,,470,,489,,,,,495,485,491,488</t>
  </si>
  <si>
    <t>2025-05-09 10:02:00,5700,,5700,,,5800,5670,,,,,5700,5600,5800,5650</t>
  </si>
  <si>
    <t>2025-05-09 10:02:00,20050,,,19800,19500,,20075,,,,,20200,19800,20475,19800</t>
  </si>
  <si>
    <t>2025-05-09 10:02:00,1481569062.86218,1601381276.33586,-6931.20508491509,-1500,-11171.9300018315,-3889.66,-20.0778845439883,-1048.52</t>
  </si>
  <si>
    <t>2025-05-09 10:02:00,842482089.181567,230529833.839428,-7988.93726708073,-2761,-15388.1586645962,-5173.29,171.297055582053,-1318.37</t>
  </si>
  <si>
    <t>2025-05-09 10:02:00,19390050.209422,-29616708.0723547,,-141,,1464.29,0.430434689904167,70.37</t>
  </si>
  <si>
    <t>2025-05-09 10:02:00,33116057.8062432,-374266.349334949,-4.73027777777779,-20,-483.388936111112,-566.43,-0.0122851774562922,-5.07</t>
  </si>
  <si>
    <t>2025-05-09 10:03:00,580,,567,,580,,565.5,,,,,570,560,570,564</t>
  </si>
  <si>
    <t>2025-05-09 10:03:00,500,,492,,470,,489,,,,,495,485,491,488</t>
  </si>
  <si>
    <t>2025-05-09 10:03:00,5700,,5700,,,5800,5670,,,,,5700,5600,5800,5650</t>
  </si>
  <si>
    <t>2025-05-09 10:03:00,20050,,,19800,19500,,20075,,,,,20200,19800,20475,19800</t>
  </si>
  <si>
    <t>2025-05-09 10:03:00,1508709329.87519,1803440282.90755,-6272.26666666671,-3655,-11917.3686190477,-7829.87,-60.0531648053115,-2295.51</t>
  </si>
  <si>
    <t>2025-05-09 10:03:00,832994338.372055,175437904.0389,-1732.73342490843,-1704,-1583.83223901099,-2558.36,34.1413642989914,-734.46</t>
  </si>
  <si>
    <t>2025-05-09 10:03:00,18164805.6128465,-30913026.03793,,-1074,,-9303.26,-1.18025550319224,-322.46</t>
  </si>
  <si>
    <t>2025-05-09 10:03:00,34464886.1253818,-344340.705944563,2.93856143856145,4,104.320795870796,76.15,0.0122818947312382,0.77</t>
  </si>
  <si>
    <t>2025-05-09 10:04:00,580,,567,,580,,565.5,,565,,,570,560,570,565</t>
  </si>
  <si>
    <t>2025-05-09 10:04:00,500,,492,,470,,489,,,,,495,485,491,488</t>
  </si>
  <si>
    <t>2025-05-09 10:04:00,5700,,5700,,5500,,5670,,,,,5700,5600,5800,5650</t>
  </si>
  <si>
    <t>2025-05-09 10:04:00,20050,,,19800,19500,,20075,,,,,20200,19800,20475,19800</t>
  </si>
  <si>
    <t>2025-05-09 10:04:00,1590432790.15806,2156095871.41996,-3220.19047619051,-3237,-6195.54363095242,-9633.71,-76.9350377978394,-2609.32</t>
  </si>
  <si>
    <t>2025-05-09 10:04:00,881498416.527186,412693101.717212,6145.48246934225,4056,7909.84507971015,4580.98,197.717752170871,1548.19</t>
  </si>
  <si>
    <t>2025-05-09 10:04:00,20565987.1195086,-22387227.1763198,,-762,,-13434.92,-0.635111462021435,-359.4</t>
  </si>
  <si>
    <t>2025-05-09 10:04:00,34092999.3662992,-276792.537443284,-16.3773756341025,-72,-921.720167390773,-2318.62,-0.0926861359639668,-19.58</t>
  </si>
  <si>
    <t>2025-05-09 10:05:00,580,,567,,580,,565.5,,,,,570,560,570,564</t>
  </si>
  <si>
    <t>2025-05-09 10:05:00,500,,492,,470,,489,,,,,495,485,491,488</t>
  </si>
  <si>
    <t>2025-05-09 10:05:00,5700,,5700,,5500,,5670,,5670,,,5700,5600,5800,5650</t>
  </si>
  <si>
    <t>2025-05-09 10:05:00,20050,,,19800,19500,,20075,,,,,20200,19800,20475,19800</t>
  </si>
  <si>
    <t>2025-05-09 10:05:00,1605090245.90832,2523828691.37947,2435.00909090909,-253,5545.79936652238,-531.69,266.25609846218,-72.0800000000001</t>
  </si>
  <si>
    <t>2025-05-09 10:05:00,883925189.219749,392651110.34428,1581.910989011,-807,3348.77219047621,158.53,-75.1825709624035,-172.9</t>
  </si>
  <si>
    <t>2025-05-09 10:05:00,20779772.3238056,-12816588.560893,,-601,,-6533.36,0.754590030848564,-231.61</t>
  </si>
  <si>
    <t>2025-05-09 10:05:00,34870208.8056954,-246388.20579639,13.6691102756892,4,406.63476754386,215.63,0.0256255740718382,1.64</t>
  </si>
  <si>
    <t>2025-05-09 10:06:00,580,,567,,580,,565.5,,,,,570,560,570,564</t>
  </si>
  <si>
    <t>2025-05-09 10:06:00,500,,492,,470,,488,,,,,495,485,491,488</t>
  </si>
  <si>
    <t>2025-05-09 10:06:00,5700,,5700,,5500,,5670,,,,,5700,5600,5800,5650</t>
  </si>
  <si>
    <t>2025-05-09 10:06:00,20050,,,19800,19500,,20075,,,,,20200,19800,20475,19800</t>
  </si>
  <si>
    <t>2025-05-09 10:06:00,1626696617.64215,2557507791.43411,-687.056711915526,-3468,-299.964113122151,-4272.12,-157.877688281639,-1455.73</t>
  </si>
  <si>
    <t>2025-05-09 10:06:00,906103589.284676,550093699.871347,-313.554439813119,-1556,306.318196917906,-1627.4,-325.13894995711,-828.43</t>
  </si>
  <si>
    <t>2025-05-09 10:06:00,20330522.1102889,-12565883.8053738,,177,,-4023.58,2.77856730503242,-116.26</t>
  </si>
  <si>
    <t>2025-05-09 10:06:00,33927443.4158841,-224498.881482457,15.7577846790891,23,1152.19998219462,1463.2,0.0434163321004783,10.59</t>
  </si>
  <si>
    <t>2025-05-09 10:07:00,580,,567,,580,,565.5,,,,,570,560,570,564</t>
  </si>
  <si>
    <t>2025-05-09 10:07:00,500,,492,,470,,488,,,,,495,485,491,488</t>
  </si>
  <si>
    <t>2025-05-09 10:07:00,5700,,5700,,5500,,5670,,,,,5700,5600,5800,5650</t>
  </si>
  <si>
    <t>2025-05-09 10:07:00,20050,,,19800,19500,,20075,,,,,20200,19800,20475,19800</t>
  </si>
  <si>
    <t>2025-05-09 10:07:00,1622943352.76343,2804346570.49239,-2270.38666666666,-5016,-2085.51659999999,-4778.25,-103.948840682453,-1720.9</t>
  </si>
  <si>
    <t>2025-05-09 10:07:00,916375288.485095,615213880.934658,-760.688095238092,-1603,-1175.49909523809,-2641.14,35.1797326857153,-755.1</t>
  </si>
  <si>
    <t>2025-05-09 10:07:00,21168567.4228222,-8664836.083813,,-779,,-7543.97,-2.10623984814893,-281.1</t>
  </si>
  <si>
    <t>2025-05-09 10:07:00,34328499.2123718,-199819.52703618,-9.63621403106699,-24,12.1415381334343,-682.42,-0.0137787212767801,-5.64</t>
  </si>
  <si>
    <t>2025-05-09 10:08:00,580,,567,,580,,565.5,,,,,570,560,570,564</t>
  </si>
  <si>
    <t>2025-05-09 10:08:00,500,,492,,470,,488,,,,,495,485,491,488</t>
  </si>
  <si>
    <t>2025-05-09 10:08:00,5700,,5700,,5500,,5670,,,,,5700,5600,5800,5650</t>
  </si>
  <si>
    <t>2025-05-09 10:08:00,20050,,,19800,19500,,20075,,,,,20200,19800,20475,19800</t>
  </si>
  <si>
    <t>2025-05-09 10:08:00,1679703940.82128,3012254857.76416,4668.63113275613,3318,5154.24339105338,3787.97,132.727482286279,1265.53</t>
  </si>
  <si>
    <t>2025-05-09 10:08:00,954710626.954668,742979570.217321,2363.05289882532,-1424,2859.98867279272,746.36,63.2099420438398,323.06</t>
  </si>
  <si>
    <t>2025-05-09 10:08:00,21775333.786304,-4493438.97121733,,119,,-7444.08,-0.363862843397405,-35.98</t>
  </si>
  <si>
    <t>2025-05-09 10:08:00,34909717.6961599,-149970.424329675,-2.19305555555555,-49,19.5129484126987,-133.47,-0.0230396229341724,-2.35</t>
  </si>
  <si>
    <t>2025-05-09 10:09:00,580,,567,,580,,565.5,,,,,570,560,570,564</t>
  </si>
  <si>
    <t>2025-05-09 10:09:00,500,,492,,470,,488,,,,,495,485,491,488</t>
  </si>
  <si>
    <t>2025-05-09 10:09:00,5700,,5700,,5500,,5670,,,,,5700,5600,5800,5650</t>
  </si>
  <si>
    <t>2025-05-09 10:09:00,20050,,,19800,19500,,20075,,,,,20200,19800,20475,19800</t>
  </si>
  <si>
    <t>2025-05-09 10:09:00,1643639363.5336,2829378971.35341,1274.10634920635,1504,2042.46104761904,2165.85,-92.7677905305971,725.92</t>
  </si>
  <si>
    <t>2025-05-09 10:09:00,935025846.573581,702753917.492588,743.605175983438,1684,-335.070801242231,-1121.97,51.9978533814545,-119.28</t>
  </si>
  <si>
    <t>2025-05-09 10:09:00,22119955.5479872,-3381311.19515318,,126,,8036.71,1.83421681751345,183.74</t>
  </si>
  <si>
    <t>2025-05-09 10:09:00,34615886.9369285,-170637.492515741,-4.04071428571428,-7,-72.1387119047616,-194.29,0.00913771493470585,-1.71</t>
  </si>
  <si>
    <t>2025-05-09 10:10:00,580,,567,,580,,565.5,,,,,570,560,570,564</t>
  </si>
  <si>
    <t>2025-05-09 10:10:00,500,,492,,470,,488,,,,,495,485,491,488</t>
  </si>
  <si>
    <t>2025-05-09 10:10:00,5700,,5700,,5500,,5670,,,,,5700,5600,5800,5650</t>
  </si>
  <si>
    <t>2025-05-09 10:10:00,20050,,,19800,19500,,20075,,,,,20200,19800,20475,19800</t>
  </si>
  <si>
    <t>2025-05-09 10:10:00,1608276652.21061,2531645731.00917,8179.72355699853,5831,10345.3099906204,6391.56,291.447648534716,2043.34</t>
  </si>
  <si>
    <t>2025-05-09 10:10:00,929716970.099528,624758279.971111,3877.15101258894,2943,4067.16742419266,3086.7,44.4999387893953,1052.78</t>
  </si>
  <si>
    <t>2025-05-09 10:10:00,21003042.4041612,-11437348.8014117,,651,,5454.87,-8.43793072401287,163.32</t>
  </si>
  <si>
    <t>2025-05-09 10:10:00,34298105.5405815,-181176.266662435,70.6145215895215,67,1649.44431682207,1560.78,0.083329653433985,15.9</t>
  </si>
  <si>
    <t>2025-05-09 10:11:00,580,,567,,580,,564.5,565,,,,570,560,570,564</t>
  </si>
  <si>
    <t>2025-05-09 10:11:00,500,,492,,470,,488,,489,,,495,485,491,488</t>
  </si>
  <si>
    <t>2025-05-09 10:11:00,5700,,5700,,,5800,5670,,,,,5700,5600,5800,5650</t>
  </si>
  <si>
    <t>2025-05-09 10:11:00,20050,,,19800,19500,,20075,,,,,20200,19800,20475,19800</t>
  </si>
  <si>
    <t>2025-05-09 10:11:00,1490163478.95235,2376461670.266,4664.67936507934,8861,-734.460515873034,6009.52,385.021107044449,2259.76</t>
  </si>
  <si>
    <t>2025-05-09 10:11:00,869155743.44341,450743116.912044,-13468.9560793288,-7743,-13580.4552772207,-7750.3,-53.5814941918996,-2379.89</t>
  </si>
  <si>
    <t>2025-05-09 10:11:00,19083658.3195112,-29088796.5695436,,-1852,,-23100.8,3.30139348376673,-637.57</t>
  </si>
  <si>
    <t>2025-05-09 10:11:00,33425186.6746577,-247163.764580969,-34.2148889690556,-45,-1577.16742300786,-1714.2,-0.0257681714759251,-14.35</t>
  </si>
  <si>
    <t>2025-05-09 10:12:00,580,,567,,580,,564.5,,,,,570,560,570,564</t>
  </si>
  <si>
    <t>2025-05-09 10:12:00,500,,491,,470,,488,,,,,495,485,491,488</t>
  </si>
  <si>
    <t>2025-05-09 10:12:00,5700,,5700,,,5800,5670,,,,,5700,5600,5800,5650</t>
  </si>
  <si>
    <t>2025-05-09 10:12:00,20050,,,19800,19500,,20075,,,,,20200,19800,20475,19800</t>
  </si>
  <si>
    <t>2025-05-09 10:12:00,1400385060.01443,2012840805.36847,-6270.4253968254,-4490,-4390.10939682539,-1068.87,190.070863240354,-697.76</t>
  </si>
  <si>
    <t>2025-05-09 10:12:00,842378065.349069,426504059.942271,-3915.23968253968,-1872,-3829.76676984127,-2537.5,-159.147528664781,-885.38</t>
  </si>
  <si>
    <t>2025-05-09 10:12:00,17966510.8290606,-33413961.6162411,,-1202,,-9249.76,3.02340936884441,-233.6</t>
  </si>
  <si>
    <t>2025-05-09 10:12:00,33134601.7765261,-262172.071491253,11.6315656565657,4,279.514161616162,60.48,0.00204314131000691,0.78</t>
  </si>
  <si>
    <t>2025-05-09 10:13:00,580,,567,,580,,564.5,,,,,570,560,570,564</t>
  </si>
  <si>
    <t>2025-05-09 10:13:00,500,,492,,470,,488,,,,488,492,485,491,488</t>
  </si>
  <si>
    <t>2025-05-09 10:13:00,5700,,5700,,,5800,5670,,,,,5700,5600,5800,5650</t>
  </si>
  <si>
    <t>2025-05-09 10:13:00,20050,,,19800,19500,,20075,,,,,20200,19800,20475,19800</t>
  </si>
  <si>
    <t>2025-05-09 10:13:00,1446451970.19062,1942324394.98031,-4767.67716450216,-1994,-6078.95724458874,-3585.36,541.682524728861,-988.95</t>
  </si>
  <si>
    <t>2025-05-09 10:13:00,854520436.517807,445533119.448141,-2978.77391138274,-1745,-3855.10945645531,-2517,-149.433172671578,-822.26</t>
  </si>
  <si>
    <t>2025-05-09 10:13:00,17913541.0986713,-38273359.5994439,,-498,,574.24,-2.68777805102166,-22.76</t>
  </si>
  <si>
    <t>2025-05-09 10:13:00,34402202.7793246,-264411.847065502,-7.19502189381499,-14,-192.915882813355,-281.91,-0.000532823905439919,-2.27</t>
  </si>
  <si>
    <t>2025-05-09 10:14:00,580,,567,,580,,564.5,,,,,570,560,570,564</t>
  </si>
  <si>
    <t>2025-05-09 10:14:00,500,,492,,470,,488,,,,,492,485,491,488</t>
  </si>
  <si>
    <t>2025-05-09 10:14:00,5700,,5700,,,5800,5670,,,,,5700,5600,5800,5650</t>
  </si>
  <si>
    <t>2025-05-09 10:14:00,20050,,,19800,19500,,20075,,,,,20200,19800,20475,19800</t>
  </si>
  <si>
    <t>2025-05-09 10:14:00,1433226931.56723,1742357246.77746,-7336.15844155845,-3631,-11473.3589675325,-6353.09,201.730232528696,-1861.28</t>
  </si>
  <si>
    <t>2025-05-09 10:14:00,846621770.924003,378372530.188819,-1086.53506493506,-1036,-1717.50558874459,-1592.65,9.77983617940187,-494.05</t>
  </si>
  <si>
    <t>2025-05-09 10:14:00,18817769.3859895,-37507684.7381633,,-855,,-7613.28,1.35714511471237,-256.39</t>
  </si>
  <si>
    <t>2025-05-09 10:14:00,33234646.9445229,-235312.438849891,-6.706746031746,-9,-81.0016111111099,-24.46,0.0238157519845571,-0.82</t>
  </si>
  <si>
    <t>2025-05-09 10:15:00,580,,567,,580,,564.5,,,,,570,560,570,564</t>
  </si>
  <si>
    <t>2025-05-09 10:15:00,500,,492,,470,,488,,,,,495,485,491,488</t>
  </si>
  <si>
    <t>2025-05-09 10:15:00,5700,,5700,,,5800,5670,,,,,5700,5600,5800,5650</t>
  </si>
  <si>
    <t>2025-05-09 10:15:00,20050,,,19800,19500,,20075,,,,,20200,19800,20475,19800</t>
  </si>
  <si>
    <t>2025-05-09 10:15:00,1336050170.49368,905374599.797967,9274.24404761904,4878,11656.1464404761,4441.3,-180.249972675004,1514.72</t>
  </si>
  <si>
    <t>2025-05-09 10:15:00,852289691.381899,238653383.371029,5706.97934722478,3218,6065.56661872272,3322.08,57.3829497798409,1065.95</t>
  </si>
  <si>
    <t>2025-05-09 10:15:00,16399513.1261098,-47737807.967423,,1926,,16895.07,-3.46450687222364,564.41</t>
  </si>
  <si>
    <t>2025-05-09 10:15:00,33550471.3002777,-263063.547983383,37.0442205861771,22,1648.4688236797,816.04,-0.00175802016260228,6.74</t>
  </si>
  <si>
    <t>2025-05-09 10:16:00,580,,567,,580,,564.5,,,,,570,560,570,564</t>
  </si>
  <si>
    <t>2025-05-09 10:16:00,500,,492,,470,,488,,,,,495,485,491,488</t>
  </si>
  <si>
    <t>2025-05-09 10:16:00,5700,,5700,,,5800,5670,,,,,5700,5600,5800,5650</t>
  </si>
  <si>
    <t>2025-05-09 10:16:00,20050,,,19800,19500,,20075,,,,,20200,19800,20475,19800</t>
  </si>
  <si>
    <t>2025-05-09 10:16:00,1462552948.92484,1654356014.15766,-18123.6610389611,-6838,-23270.5928311689,-10052.94,224.613728668889,-3135.4</t>
  </si>
  <si>
    <t>2025-05-09 10:16:00,855669202.369724,405788411.587641,-3374.575,-2577,-3556.27375,-2482.11,-23.5489153958921,-867.85</t>
  </si>
  <si>
    <t>2025-05-09 10:16:00,18063037.277515,-43140664.7881897,,768,,8126.5,3.39922128796917,266.59</t>
  </si>
  <si>
    <t>2025-05-09 10:16:00,34179109.3786524,-242809.634159798,0.511920024420036,1,-185.985677197801,77.66,0.00072775272000764,0.8</t>
  </si>
  <si>
    <t>2025-05-09 10:18:00,580,,567,,580,,564.5,,,,,570,560,570,564</t>
  </si>
  <si>
    <t>2025-05-09 10:18:00,500,,492,,470,,488,,,,,495,485,491,488</t>
  </si>
  <si>
    <t>2025-05-09 10:18:00,5700,,5700,,,5800,5670,,,,,5700,5600,5800,5650</t>
  </si>
  <si>
    <t>2025-05-09 10:18:00,20050,,,19800,19500,,20075,,,,,20200,19800,20475,19800</t>
  </si>
  <si>
    <t>2025-05-09 10:18:00,1521868567.109,1860293511.61103,113.250793650794,639,-1524.12041269841,-2362.56,19.0612250384625,-605.16</t>
  </si>
  <si>
    <t>2025-05-09 10:18:00,891528419.420366,552427410.883625,15.52298850575,-873,-223.491781609185,-1661.2,-148.454304843115,-433.77</t>
  </si>
  <si>
    <t>2025-05-09 10:18:00,19353241.0141066,-34202166.2141521,,-56,,2683.59,-1.74920031332566,74.77</t>
  </si>
  <si>
    <t>2025-05-09 10:18:00,34125755.2987746,-205355.416393254,-6.34285714285715,-2,-264.295357142858,-280.5,-0.0147391465094589,-2.57</t>
  </si>
  <si>
    <t>2025-05-09 10:19:00,580,,567,,580,,564.5,,,,,570,560,570,564</t>
  </si>
  <si>
    <t>2025-05-09 10:19:00,500,,492,,470,,488,,,,,495,485,491,488</t>
  </si>
  <si>
    <t>2025-05-09 10:19:00,5700,,5700,,5500,,5670,,,,,5700,5600,5800,5650</t>
  </si>
  <si>
    <t>2025-05-09 10:19:00,20050,,,19800,19500,,20075,,,,,20200,19800,20475,19800</t>
  </si>
  <si>
    <t>2025-05-09 10:19:00,1570617959.26065,2094506228.15489,16531.1607142857,10518,20701.3068452381,12193.53,288.13276412847,4045.6</t>
  </si>
  <si>
    <t>2025-05-09 10:19:00,934162096.205257,601993763.806831,3772.67857142857,4751,5029.71464285714,5317.22,144.013568479658,1743.64</t>
  </si>
  <si>
    <t>2025-05-09 10:19:00,19683711.6039806,-23378911.9945438,,673,,3905.78,-1.16765229473509,88.8700000000001</t>
  </si>
  <si>
    <t>2025-05-09 10:19:00,34362162.2012886,-166226.84892825,12.0759241854637,29,628.34929385965,403.86,-0.0124883790691715,4.46</t>
  </si>
  <si>
    <t>2025-05-09 10:20:00,580,,567,,580,,564.5,,,,,570,560,570,564</t>
  </si>
  <si>
    <t>2025-05-09 10:20:00,500,,492,,470,,488,489,,,,492,485,491,488</t>
  </si>
  <si>
    <t>2025-05-09 10:20:00,5700,,5700,,,5800,5670,,,,,5700,5600,5800,5650</t>
  </si>
  <si>
    <t>2025-05-09 10:20:00,20050,,,19800,19500,,20075,,,,,20200,19800,20475,19800</t>
  </si>
  <si>
    <t>2025-05-09 10:20:00,1513341092.47328,1881354572.35197,,1110,,1548.99,211.108899789318,520.41</t>
  </si>
  <si>
    <t>2025-05-09 10:20:00,874652142.447131,506684873.531728,388.80769230769,661,271.214999999994,154.17,73.8568755276765,98.82</t>
  </si>
  <si>
    <t>2025-05-09 10:20:00,18800289.7124187,-30168519.2569595,,-155,,853.82,0.19857235587909,4.73000000000001</t>
  </si>
  <si>
    <t>2025-05-09 10:20:00,33971109.9099379,-189614.24217083,7.27793798221042,7,531.740736891248,333.34,0.0134708830502704,2.69</t>
  </si>
  <si>
    <t>2025-05-09 10:21:00,580,,567,,580,,564.5,,,,,570,560,570,564</t>
  </si>
  <si>
    <t>2025-05-09 10:21:00,500,,492,,470,,488,,,488,,492,485,491,488</t>
  </si>
  <si>
    <t>2025-05-09 10:21:00,,5500,5700,,,5800,5670,,,,,5700,5600,5800,5650</t>
  </si>
  <si>
    <t>2025-05-09 10:21:00,20050,,,19800,19500,,20075,,,,,20200,19800,20475,19800</t>
  </si>
  <si>
    <t>2025-05-09 10:21:00,1362885353.33848,504950799.449313,2779.60627705627,5819,1909.79565151515,4581.46,117.031882276777,1657.98</t>
  </si>
  <si>
    <t>2025-05-09 10:21:00,822592549.039022,-11111219.0272538,1135.45304659498,428,1868.35469892473,1435.8,-164.480928999146,362.66</t>
  </si>
  <si>
    <t>2025-05-09 10:21:00,16686105.956786,-50212514.6241645,,2028,,17082.28,-3.42771815153374,641.1</t>
  </si>
  <si>
    <t>2025-05-09 10:21:00,34144055.7320288,-290118.48321463,25.1715527065527,26,1018.73113976394,391.98,0.0144936598585157,3.16</t>
  </si>
  <si>
    <t>2025-05-09 10:23:00,580,,567,,580,,564.5,,,564,,570,560,570,564</t>
  </si>
  <si>
    <t>2025-05-09 10:23:00,500,,491,,470,,488,488,,488,,492,485,491,488</t>
  </si>
  <si>
    <t>2025-05-09 10:23:00,,5500,5700,,,5800,5670,,,,,5700,5600,5590,5570</t>
  </si>
  <si>
    <t>2025-05-09 10:23:00,20050,,,19800,19500,,20075,,,,,20200,19800,20200,19800</t>
  </si>
  <si>
    <t>2025-05-09 10:23:00,1283880729.31006,103820136.100001,9605.44379509381,17366,15210.3680844156,26509.41,-629.974019583126,8003.34</t>
  </si>
  <si>
    <t>2025-05-09 10:23:00,804756001.018838,76531662.3810358,5337.01003454365,5739,4317.2049967664,9262.13,-372.075307799248,2750.28</t>
  </si>
  <si>
    <t>2025-05-09 10:23:00,14023923.7688756,-68915069.7508875,,3277,,34272.08,-17.5172564553406,1127.87</t>
  </si>
  <si>
    <t>2025-05-09 10:23:00,32213905.3102347,-341988.731647083,88.2694125769129,98,2125.90116500198,2046.88,0.13616096220505,19.52</t>
  </si>
  <si>
    <t>2025-05-09 10:24:00,580,,567,,580,,564.5,,,,,570,560,570,564</t>
  </si>
  <si>
    <t>2025-05-09 10:24:00,500,,491,,470,,488,,,,,492,485,491,488</t>
  </si>
  <si>
    <t>2025-05-09 10:24:00,5700,,5700,,,5800,5670,,,,,5700,5600,5590,5570</t>
  </si>
  <si>
    <t>2025-05-09 10:24:00,20050,,,19800,19500,,20075,,,,,20200,19800,20200,19800</t>
  </si>
  <si>
    <t>2025-05-09 10:24:00,1241931667.19381,79931881.8589572,509.920454545419,1323,-1686.35584090917,183.69,-192.570329189759,83.3100000000001</t>
  </si>
  <si>
    <t>2025-05-09 10:24:00,754710746.114515,-135249091.70191,1513.25,1030,1049.81745238095,452.42,150.994568993486,180.56</t>
  </si>
  <si>
    <t>2025-05-09 10:24:00,14438776.8668703,-75611187.6461735,,369,,276.47,1.16564089045771,26.17</t>
  </si>
  <si>
    <t>2025-05-09 10:24:00,32286943.5420199,-367047.322129479,10.3821428571429,16,308.475904761905,585.8,0.006963514444354,4.56</t>
  </si>
  <si>
    <t>2025-05-09 10:27:00,580,,,,580,,564.5,,,,564,570,560,570,564</t>
  </si>
  <si>
    <t>2025-05-09 10:27:00,500,,491,,470,,488,,,,,492,485,491,488</t>
  </si>
  <si>
    <t>2025-05-09 10:27:00,,5500,5700,,,5800,5670,,,,5650,5700,5600,5590,5570</t>
  </si>
  <si>
    <t>2025-05-09 10:27:00,20050,,,19800,19500,,20050,,,,,20200,19800,20200,19800</t>
  </si>
  <si>
    <t>2025-05-09 10:27:00,1225530872.72584,-294752280.338093,881.796031745926,2154,11346.4198809522,9690.18,-306.244663851941,2567.11</t>
  </si>
  <si>
    <t>2025-05-09 10:27:00,743015609.754623,-181910032.917885,7454.25911692173,4658,5695.35138814906,2950.2,-105.772107799742,1095.96</t>
  </si>
  <si>
    <t>2025-05-09 10:27:00,13438776.4208129,-81563040.4451181,,-2963,,-32444.67,-13.4364467558188,-1220.02</t>
  </si>
  <si>
    <t>2025-05-09 10:27:00,31363054.4164097,-420056.525266876,275.791177861873,136,11061.838342689,7167.34,-0.0892978204042354,58.03</t>
  </si>
  <si>
    <t>2025-05-09 10:28:00,580,,,,580,,564.5,,,,,570,560,570,564</t>
  </si>
  <si>
    <t>2025-05-09 10:28:00,500,,491,,470,,488,,,,,492,485,491,488</t>
  </si>
  <si>
    <t>2025-05-09 10:28:00,5850,,5700,,,5800,5670,,,,,5700,5600,5590,5570</t>
  </si>
  <si>
    <t>2025-05-09 10:28:00,20050,,,19800,19500,,20050,,,,,20200,19800,20200,19800</t>
  </si>
  <si>
    <t>2025-05-09 10:28:00,1253068741.93647,-794559239.522225,-3315.23452380953,-3783,-3758.52578571429,-4308.26,10.5096967445388,-1478.2</t>
  </si>
  <si>
    <t>2025-05-09 10:28:00,786909981.860535,-260434433.877758,-922.373772893771,252,-1038.32729304029,-237.93,-25.9513132642899,79.77</t>
  </si>
  <si>
    <t>2025-05-09 10:28:00,16300133.8148982,-74086618.6749267,,-815,,-4860.97,-2.52310446164369,-181.09</t>
  </si>
  <si>
    <t>2025-05-09 10:28:00,33238304.663431,-374667.785757807,-26.5712921065862,-23,-1495.08414379085,-1072.45,-0.036782516279653,-9.48</t>
  </si>
  <si>
    <t>2025-05-09 10:29:00,580,,567,,580,,564.5,,,,,570,560,570,564</t>
  </si>
  <si>
    <t>2025-05-09 10:29:00,500,,491,,470,,488,,,,,492,485,491,488</t>
  </si>
  <si>
    <t>2025-05-09 10:29:00,5850,,5700,,,5800,5670,,,,,5700,5600,5590,5570</t>
  </si>
  <si>
    <t>2025-05-09 10:29:00,20050,,,19800,19500,,20050,,,,,20200,19800,20200,19800</t>
  </si>
  <si>
    <t>2025-05-09 10:29:00,1410316961.12905,731335072.435239,-6109.81645021645,328,-9277.29129870129,316.5,41.5812721948823,104.94</t>
  </si>
  <si>
    <t>2025-05-09 10:29:00,806589753.663754,83393097.5312922,59.2738095238102,-218,-493.98345238095,-973.51,-4.75356241808689,-277.52</t>
  </si>
  <si>
    <t>2025-05-09 10:29:00,16979677.9753911,-66094203.7895312,,-415,,-6977.8,0.0034572133093808,-190.5</t>
  </si>
  <si>
    <t>2025-05-09 10:29:00,33263881.7498285,-341550.239437573,-10.6985827664399,-10,-415.452666099773,-432.19,0.00110644854776512,-3.06</t>
  </si>
  <si>
    <t>2025-05-09 10:30:00,580,,,,580,,564.5,,,,,570,560,570,564</t>
  </si>
  <si>
    <t>2025-05-09 10:30:00,500,,491,,470,,488,,,,,492,485,491,488</t>
  </si>
  <si>
    <t>2025-05-09 10:30:00,5850,,5700,,,5800,5670,,,,,5700,5600,5590,5570</t>
  </si>
  <si>
    <t>2025-05-09 10:30:00,20050,,,19800,19500,,20050,,,,,20200,19800,20200,19800</t>
  </si>
  <si>
    <t>2025-05-09 10:30:00,1277835819.24429,-621331915.432793,9533.57500000001,4889,8888.07633333336,4444.58,196.340665921257,1535.53</t>
  </si>
  <si>
    <t>2025-05-09 10:30:00,768063602.767307,-335963613.77775,2473.53640441684,1537,3327.07385610766,2010.29,56.6696094697635,615.53</t>
  </si>
  <si>
    <t>2025-05-09 10:30:00,14646723.3133287,-80142107.3345352,,257,,-1273.75,0.902968462254425,-56.15</t>
  </si>
  <si>
    <t>2025-05-09 10:30:00,33240419.1164686,-388745.779504761,51.635098798984,20,2435.22122558505,895.17,-0.000472169373913813,7.49</t>
  </si>
  <si>
    <t>2025-05-09 10:31:00,580,,,,580,,564.5,,,,,570,560,570,564</t>
  </si>
  <si>
    <t>2025-05-09 10:31:00,500,,491,,470,,488,,,,,492,485,491,488</t>
  </si>
  <si>
    <t>2025-05-09 10:31:00,5700,,5700,,,5800,5670,,,,,5700,5600,5590,5570</t>
  </si>
  <si>
    <t>2025-05-09 10:31:00,20050,,,19800,19500,,20050,,,,,20200,19800,20200,19800</t>
  </si>
  <si>
    <t>2025-05-09 10:31:00,1256248120.67877,-383600796.887118,-6283.85,-4947,-6695.7035,-4599.39,129.763240128274,-1580.68</t>
  </si>
  <si>
    <t>2025-05-09 10:31:00,777458868.746341,-159495878.699248,3852.58333333334,3048,2628.33833333333,2270.15,52.0503830249184,837.2</t>
  </si>
  <si>
    <t>2025-05-09 10:31:00,14966842.1653375,-80587798.5426939,,347,,4181.74,-4.59467325678983,133.96</t>
  </si>
  <si>
    <t>2025-05-09 10:31:00,32558324.0572876,-399664.463448763,12.9997835497836,9,523.054510822512,313.38,0.0209579798684077,2.72</t>
  </si>
  <si>
    <t>2025-05-09 10:32:00,580,,,,580,,564.5,,,564,,570,560,570,564</t>
  </si>
  <si>
    <t>2025-05-09 10:32:00,500,,491,,470,,488,,,,,492,485,491,488</t>
  </si>
  <si>
    <t>2025-05-09 10:32:00,,5500,5700,,,5800,5670,,,,,5700,5600,5590,5570</t>
  </si>
  <si>
    <t>2025-05-09 10:32:00,20050,,,19800,19500,,20050,,,,,20200,19800,20475,19800</t>
  </si>
  <si>
    <t>2025-05-09 10:32:00,1214730186.29635,-238642025.36213,17291.9256410256,10827,18707.4964273503,12035.33,39.547608137709,4234.75</t>
  </si>
  <si>
    <t>2025-05-09 10:32:00,743855682.174365,-239165725.335591,8238.96884999058,5302,8055.23526632786,6047.04,9.86649591295262,2016.34</t>
  </si>
  <si>
    <t>2025-05-09 10:32:00,13971252.246913,-87364794.210157,,1954,,22227.17,-5.54163871143043,756.3</t>
  </si>
  <si>
    <t>2025-05-09 10:32:00,32584722.4280494,-440107.488617469,44.9195447118241,65,520.2474591238,522.52,0.0140473421629004,4.3</t>
  </si>
  <si>
    <t>2025-05-09 10:33:00,580,,567,,580,,564.5,,,,,570,560,570,564</t>
  </si>
  <si>
    <t>2025-05-09 10:33:00,500,,491,,470,,488,,,,,492,485,491,488</t>
  </si>
  <si>
    <t>2025-05-09 10:33:00,5850,,5700,,,5800,5670,,,,,5700,5600,5590,5570</t>
  </si>
  <si>
    <t>2025-05-09 10:33:00,20050,,,19800,19500,,20050,,,,,20200,19800,20475,19800</t>
  </si>
  <si>
    <t>2025-05-09 10:33:00,1298311203.73372,58000114.8429495,-443.507768865122,-217,-318.268050207962,-665.29,10.627071678049,-170.76</t>
  </si>
  <si>
    <t>2025-05-09 10:33:00,754657264.429338,-121958573.73045,,-532,,-1105.23,19.074350478254,-271.74</t>
  </si>
  <si>
    <t>2025-05-09 10:33:00,15789002.0539738,-76592645.128896,,-121,,297.58,-1.309800927352,25.82</t>
  </si>
  <si>
    <t>2025-05-09 10:33:00,32770693.7933578,-385593.464495316,8.02500000000004,-5,-66.1068333333321,83.4,0.00166829339169271,0.51</t>
  </si>
  <si>
    <t>2025-05-09 10:34:00,580,,567,,580,,564.5,,,,,570,560,570,564</t>
  </si>
  <si>
    <t>2025-05-09 10:34:00,500,,491,,470,,488,,,,,492,485,491,488</t>
  </si>
  <si>
    <t>2025-05-09 10:34:00,5850,,5700,,,5800,5670,,,,,5700,5600,5590,5570</t>
  </si>
  <si>
    <t>2025-05-09 10:34:00,20050,,,19800,19500,,20050,,,,,20200,19800,20475,19800</t>
  </si>
  <si>
    <t>2025-05-09 10:34:00,1413283181.69065,655247279.227864,-5340.08463203463,-2418,-3796.06094372294,20.2800000000005,92.1136006383775,1.25000000000004</t>
  </si>
  <si>
    <t>2025-05-09 10:34:00,815508034.41146,314506611.251475,-3357.90476190477,-2441,-3153.93053571429,-2352.05,18.1637370693432,-804.62</t>
  </si>
  <si>
    <t>2025-05-09 10:34:00,17306831.5275523,-66594207.3854363,,-925,,-6549.66,-0.848272190080339,-230.03</t>
  </si>
  <si>
    <t>2025-05-09 10:34:00,33297344.178828,-323223.916998847,-33.440818070818,-22,-1137.24765225885,-572.03,-0.0069429605283167,-5.01</t>
  </si>
  <si>
    <t>2025-05-09 10:35:00,580,,567,,580,,564.5,565,,,,570,560,570,564</t>
  </si>
  <si>
    <t>2025-05-09 10:35:00,500,,491,,470,,488,488,,,,492,485,491,488</t>
  </si>
  <si>
    <t>2025-05-09 10:35:00,5850,,5700,,,5800,5670,,,,,5700,5600,5590,5570</t>
  </si>
  <si>
    <t>2025-05-09 10:35:00,20050,,,19800,19500,,20050,,,,,20200,19800,20475,19800</t>
  </si>
  <si>
    <t>2025-05-09 10:35:00,1485253585.22145,1110452106.79904,6988.67581090407,1417,10095.8165483092,1743.24,808.590614649435,455.19</t>
  </si>
  <si>
    <t>2025-05-09 10:35:00,844161489.866258,192374595.509639,-1752.06666666667,-2204,-1070.64066666667,-1839.71,109.994376728836,-715.05</t>
  </si>
  <si>
    <t>2025-05-09 10:35:00,18711465.3923397,-49456464.1702705,,-272,,53728.9,-10.5129272328733,42.5900000000001</t>
  </si>
  <si>
    <t>2025-05-09 10:35:00,33870515.8303147,-254945.089721205,-14.9219841269841,-16,-225.423613492063,-339.71,-0.0124903109638451,-3.05</t>
  </si>
  <si>
    <t>2025-05-09 10:36:00,580,,567,,580,,564.5,,,,,570,560,570,564</t>
  </si>
  <si>
    <t>2025-05-09 10:36:00,500,,491,,470,,488,,,,,492,485,491,488</t>
  </si>
  <si>
    <t>2025-05-09 10:36:00,5700,,5700,,,5800,5660,,,,,5700,5600,5590,5570</t>
  </si>
  <si>
    <t>2025-05-09 10:36:00,20050,,,19800,19500,,20050,,,,,20200,19800,20475,19800</t>
  </si>
  <si>
    <t>2025-05-09 10:36:00,1549204350.87165,1737107681.84908,9020.11131961265,9578,10581.3183395885,9331.32,324.952177433,3310.65</t>
  </si>
  <si>
    <t>2025-05-09 10:36:00,852593744.310972,249025769.741609,5021.86904761905,3368,8023.41073809524,4748.46,102.606043170297,1431.45</t>
  </si>
  <si>
    <t>2025-05-09 10:36:00,19775447.6287117,-38416350.8641724,,1670,,44912.24,5.2519118162255,688.55</t>
  </si>
  <si>
    <t>2025-05-09 10:36:00,34547586.4895782,-238528.373924982,33.8968253968254,20,949.371277777778,450.77,0.0226914979643528,4.23</t>
  </si>
  <si>
    <t>2025-05-09 10:37:00,580,,567,,580,,564.5,,,,,570,560,570,564</t>
  </si>
  <si>
    <t>2025-05-09 10:37:00,500,,491,,470,,488,,,,,492,485,491,488</t>
  </si>
  <si>
    <t>2025-05-09 10:37:00,5700,,5700,,,5800,5660,,,,,5700,5600,5590,5570</t>
  </si>
  <si>
    <t>2025-05-09 10:37:00,20050,,,19800,19500,,20050,,,,,20200,19800,20475,19800</t>
  </si>
  <si>
    <t>2025-05-09 10:37:00,1434036853.68067,1682739521.7976,-5519.83253968254,-4342,-6006.06725396824,-4351.37,324.632050630414,-1540.59</t>
  </si>
  <si>
    <t>2025-05-09 10:37:00,806788681.047616,390630830.316884,-3979.28300588301,-1512,-3749.52397219448,-1546.58,-31.218393343032,-565.26</t>
  </si>
  <si>
    <t>2025-05-09 10:37:00,18164252.2044403,-49797613.0290675,,-305,,-394.68,-2.04462126587148,-31.67</t>
  </si>
  <si>
    <t>2025-05-09 10:37:00,32801355.7555405,-315152.983272062,-0.216190476190477,0,-42.2072285714286,-92.75,-0.00501317293253302,-0.83</t>
  </si>
  <si>
    <t>2025-05-09 10:38:00,580,,567,,580,,564.5,,,,,570,560,570,564</t>
  </si>
  <si>
    <t>2025-05-09 10:38:00,500,,491,,470,,488,,,,,492,485,491,488</t>
  </si>
  <si>
    <t>2025-05-09 10:38:00,5700,,5700,,,5800,5660,,,,,5700,5600,5590,5570</t>
  </si>
  <si>
    <t>2025-05-09 10:38:00,20050,,,19800,19500,,20050,,,,,20200,19800,20475,19800</t>
  </si>
  <si>
    <t>2025-05-09 10:38:00,1406104394.21507,528295904.650477,5291.37705627706,2223,10004.0034632035,4759.9,-40.8460090338642,1432.45</t>
  </si>
  <si>
    <t>2025-05-09 10:38:00,803230832.555663,10227775.4292848,1711.14778325123,1276,2019.93140394089,1449.86,51.9342459469456,472.99</t>
  </si>
  <si>
    <t>2025-05-09 10:38:00,17425528.1363952,-52585652.9211757,,599,,7862.18,0.482995395737962,265.1</t>
  </si>
  <si>
    <t>2025-05-09 10:38:00,33101662.8090588,-296562.639396258,0.900000000000003,0,-67.4199999999998,-35.05,0.00792330509543785,-0.17</t>
  </si>
  <si>
    <t>2025-05-09 10:39:00,580,,567,,580,,564.5,,,,,570,560,570,564</t>
  </si>
  <si>
    <t>2025-05-09 10:39:00,500,,491,,470,,488,,,,,492,485,491,488</t>
  </si>
  <si>
    <t>2025-05-09 10:39:00,5700,,5700,,,5800,5660,,,,,5700,5600,5590,5570</t>
  </si>
  <si>
    <t>2025-05-09 10:39:00,20050,,,19800,19500,,20050,,,,,20200,19800,20475,19800</t>
  </si>
  <si>
    <t>2025-05-09 10:39:00,1458129355.56432,1180968232.54562,-2077.94456002466,-187,-1616.63131607335,146.87,143.871752065329,66.9099999999999</t>
  </si>
  <si>
    <t>2025-05-09 10:39:00,796810264.159674,177918142.916524,-934.289880952382,-314,-625.445964285717,1235.86,2.19231834395486,79.82</t>
  </si>
  <si>
    <t>2025-05-09 10:39:00,17817751.8088281,-52210550.0684003,,-688,,-6268.81,-2.4385724559027,-233.42</t>
  </si>
  <si>
    <t>2025-05-09 10:39:00,33365818.6534065,-301818.56593289,14.7539682539682,4,338.196031746031,209,-0.00123030045245302,1.76</t>
  </si>
  <si>
    <t>2025-05-09 10:40:00,580,,,,580,,564.5,,,,,570,560,570,564</t>
  </si>
  <si>
    <t>2025-05-09 10:40:00,500,,491,,470,,488,,,,,492,485,491,488</t>
  </si>
  <si>
    <t>2025-05-09 10:40:00,5700,,5700,,,5800,5660,,,,,5700,5600,5590,5570</t>
  </si>
  <si>
    <t>2025-05-09 10:40:00,20050,,,19800,19500,,20050,,,,,20200,19800,20475,19800</t>
  </si>
  <si>
    <t>2025-05-09 10:40:00,1286074409.46644,-83286372.7543699,-1550.55476190477,-3804,2679.91899999997,-3425.65,330.279796499782,-1232.12</t>
  </si>
  <si>
    <t>2025-05-09 10:40:00,735997727.872703,-235174790.806717,-141.534451659453,-1684,-562.498890331892,-1580.42,-27.3712222235225,-586.13</t>
  </si>
  <si>
    <t>2025-05-09 10:40:00,15416825.0662979,-68895428.0363038,,-556,,-3880.76,1.63866469650911,-168.53</t>
  </si>
  <si>
    <t>2025-05-09 10:40:00,31489490.753468,-362624.68222871,32.9747113997114,21,1105.0831475469,739.3,0.011514606671,6.4</t>
  </si>
  <si>
    <t>2025-05-09 10:41:00,580,,,,580,,564.5,,,,,570,560,570,564</t>
  </si>
  <si>
    <t>2025-05-09 10:41:00,500,,491,,470,,488,488,,,,492,485,491,488</t>
  </si>
  <si>
    <t>2025-05-09 10:41:00,5700,,5700,,,5800,5660,,,,,5700,5600,5590,5570</t>
  </si>
  <si>
    <t>2025-05-09 10:41:00,20050,,,19800,19500,,20050,,,,,20200,19800,20475,19800</t>
  </si>
  <si>
    <t>2025-05-09 10:41:00,1330945003.64053,-170943880.952826,3914.65677361854,2235,4635.52195721926,3119.3,-155.335685603636,1095.04</t>
  </si>
  <si>
    <t>2025-05-09 10:41:00,794747770.912865,-40864305.3725435,7481.11471861473,3144,8302.68761904763,3278.87,45.7502435446122,1131.85</t>
  </si>
  <si>
    <t>2025-05-09 10:41:00,16027533.8849571,-60455698.7409035,,737,,988.780000000001,3.1753902709522,78.74</t>
  </si>
  <si>
    <t>2025-05-09 10:41:00,32480786.2788348,-313617.724262972,7.63037267080747,2,-301.693448861283,-111.8,0.00783739532365323,-0.39</t>
  </si>
  <si>
    <t>2025-05-09 10:42:00,580,,567,,580,,564.5,,,,,570,560,570,564</t>
  </si>
  <si>
    <t>2025-05-09 10:42:00,500,,491,,470,,488,,,,,492,485,491,488</t>
  </si>
  <si>
    <t>2025-05-09 10:42:00,5700,,5700,,,5800,5670,,,,,5700,5600,5590,5570</t>
  </si>
  <si>
    <t>2025-05-09 10:42:00,20050,,,19800,19500,,20050,,,,,20200,19800,20475,19800</t>
  </si>
  <si>
    <t>2025-05-09 10:42:00,1407154843.74438,810483858.39361,-3419.27619047619,-2264,-4856.47333333334,-3077.14,-93.7217455845739,-1053.37</t>
  </si>
  <si>
    <t>2025-05-09 10:42:00,791143140.428206,164935673.79969,371.928571428571,-1928,590.114999999999,-49.14,-118.41227423934,-103.52</t>
  </si>
  <si>
    <t>2025-05-09 10:42:00,17467576.9563692,-57966365.9642797,,-2447,,-47455.13,-0.913029484991725,-1099.47</t>
  </si>
  <si>
    <t>2025-05-09 10:42:00,33508840.6791676,-331029.368173157,-8.0391865079365,21,207.494213293651,381.03,-0.00373561245256121,3.79</t>
  </si>
  <si>
    <t>2025-05-09 10:43:00,580,,567,,580,,564.5,,,,,570,560,570,564</t>
  </si>
  <si>
    <t>2025-05-09 10:43:00,500,,491,,470,,488,,,,,492,485,491,488</t>
  </si>
  <si>
    <t>2025-05-09 10:43:00,5700,,5700,,,5800,5670,,,,,5700,5600,5590,5570</t>
  </si>
  <si>
    <t>2025-05-09 10:43:00,20050,,,19800,19500,,20050,,,,,20200,19800,20475,19800</t>
  </si>
  <si>
    <t>2025-05-09 10:43:00,1460904883.81507,1095959817.79979,133.688095238094,-478,-555.822333333336,-61.4699999999999,-92.4562773043212,66.03</t>
  </si>
  <si>
    <t>2025-05-09 10:43:00,810748974.279417,197187940.537644,-1417.83267195767,-952,-1861.08271164021,-945.87,-31.6999107716229,-310.08</t>
  </si>
  <si>
    <t>2025-05-09 10:43:00,17935907.5328958,-57291045.3222076,,-246,,-1846.66,1.36330317251883,-51.98</t>
  </si>
  <si>
    <t>2025-05-09 10:43:00,33539209.4541116,-329043.989214418,-61.0826857864358,-33,-1880.23407220418,-1013.73,0.0346403036580295,-9.18</t>
  </si>
  <si>
    <t>2025-05-09 10:44:00,580,,567,,580,,564.5,,,,,570,560,570,564</t>
  </si>
  <si>
    <t>2025-05-09 10:44:00,500,,491,,470,,488,,,,,492,485,491,488</t>
  </si>
  <si>
    <t>2025-05-09 10:44:00,5700,,5700,,,5800,5660,,,,,5700,5600,5590,5570</t>
  </si>
  <si>
    <t>2025-05-09 10:44:00,20050,,,19800,19500,,20050,,,,,20200,19800,20475,19800</t>
  </si>
  <si>
    <t>2025-05-09 10:44:00,1387423190.20198,1224656879.69309,659.602380952385,1519,1806.7976904762,681.93,58.00444901698,161.03</t>
  </si>
  <si>
    <t>2025-05-09 10:44:00,781477149.501754,185552382.964866,1062.5409090909,667,1490.81772727272,1686.12,-2.69256836562981,403.38</t>
  </si>
  <si>
    <t>2025-05-09 10:44:00,16830202.1298009,-55573044.3818015,,223,,4718.45,-3.52536782944075,119.34</t>
  </si>
  <si>
    <t>2025-05-09 10:44:00,32010541.4155715,-309331.828648542,3.14097222222222,5,62.2225347222224,261.6,-0.0017470690471727,2.24</t>
  </si>
  <si>
    <t>2025-05-09 10:45:00,580,,567,,580,,564.5,,,,,570,560,570,564</t>
  </si>
  <si>
    <t>2025-05-09 10:45:00,500,,491,,470,,488,,,,,492,485,491,488</t>
  </si>
  <si>
    <t>2025-05-09 10:45:00,5700,,5700,,,5800,5660,,,5660,,5700,5600,5590,5570</t>
  </si>
  <si>
    <t>2025-05-09 10:45:00,20050,,,19800,19500,,20050,,,,,20200,19800,20475,19800</t>
  </si>
  <si>
    <t>2025-05-09 10:45:00,1407801894.22083,1473583452.83958,-633.228571428573,810,-165.188857142858,1127.89,107.635369995139,383.67</t>
  </si>
  <si>
    <t>2025-05-09 10:45:00,791816754.174196,254894728.762469,763.330459770115,518,620.463017241379,639.81,9.32163569966989,218.48</t>
  </si>
  <si>
    <t>2025-05-09 10:45:00,18130137.7737625,-50081063.2996209,,797,,7898.99,-2.25174294837683,283.63</t>
  </si>
  <si>
    <t>2025-05-09 10:45:00,33139405.1089981,-309346.774440164,4.41796536796537,8,220.819395382395,407.7,-0.000249445474748471,3.43</t>
  </si>
  <si>
    <t>2025-05-09 10:46:00,580,,567,,580,,563.5,,565,,,570,560,570,564</t>
  </si>
  <si>
    <t>2025-05-09 10:46:00,500,,491,,470,,488,,,,,492,485,491,488</t>
  </si>
  <si>
    <t>2025-05-09 10:46:00,5700,,5700,,,5800,5660,,,,,5700,5600,5590,5570</t>
  </si>
  <si>
    <t>2025-05-09 10:46:00,20050,,,19800,19500,,20050,,,,,20200,19800,20475,19800</t>
  </si>
  <si>
    <t>2025-05-09 10:46:00,1443871435.65437,2293931907.67999,1658.37023809525,1106,884.773273809556,-130.63,39.1772470518689,-124.6</t>
  </si>
  <si>
    <t>2025-05-09 10:46:00,819524545.64531,454382006.11085,4530.02475562073,2032,5359.8896627566,1390.05,1.09658886419387,670.46</t>
  </si>
  <si>
    <t>2025-05-09 10:46:00,18341273.9617295,-43872101.602891,,854,,4654.97,0.68261632416671,161.91</t>
  </si>
  <si>
    <t>2025-05-09 10:46:00,32440021.3431518,-275687.077008405,86.293720729162,46,2280.24402409421,961.24,0.033528739928086,9.15</t>
  </si>
  <si>
    <t>2025-05-09 10:47:00,580,,567,,580,,564.5,,,,,570,560,570,564</t>
  </si>
  <si>
    <t>2025-05-09 10:47:00,500,,491,,470,,488,,,,,492,485,491,488</t>
  </si>
  <si>
    <t>2025-05-09 10:47:00,5700,,5700,,,5800,5660,,,,,5700,5600,5590,5570</t>
  </si>
  <si>
    <t>2025-05-09 10:47:00,20050,,,19800,19500,,20050,,,,,20200,19800,20475,19800</t>
  </si>
  <si>
    <t>2025-05-09 10:47:00,1399449925.48246,1700782354.14757,-852.644372294361,-1433,-2546.06026839825,-3244.85,-34.0639888294166,-1099.63</t>
  </si>
  <si>
    <t>2025-05-09 10:47:00,809142011.733926,233684973.024637,-136.071428571429,-310,-0.287619047619577,-69.11,18.3006075710255,-51.68</t>
  </si>
  <si>
    <t>2025-05-09 10:47:00,18995738.0339242,-41552631.2963518,,-49,,-3025.6,-1.78105246819121,-87.48</t>
  </si>
  <si>
    <t>2025-05-09 10:47:00,33904803.5487136,-278005.961614246,1.82222222222222,2,33.8111111111111,35.3,0.00329261124834696,0.41</t>
  </si>
  <si>
    <t>2025-05-09 10:48:00,580,,567,,580,,564.5,,,,,570,560,570,564</t>
  </si>
  <si>
    <t>2025-05-09 10:48:00,500,,491,,470,,488,,,,,492,485,491,488</t>
  </si>
  <si>
    <t>2025-05-09 10:48:00,5700,,5700,,,5800,5660,,,,,5700,5600,5590,5570</t>
  </si>
  <si>
    <t>2025-05-09 10:48:00,20050,,,19800,19500,,20050,,,,,20200,19800,20475,19350</t>
  </si>
  <si>
    <t>2025-05-09 10:48:00,1516492593.04186,1797651280.0523,5687.34372294376,2989,7775.69928138533,4331.1,192.514939331483,1459.64</t>
  </si>
  <si>
    <t>2025-05-09 10:48:00,848941504.096704,233516772.685998,2668.22619047619,2370,2857.41857142857,2562.4,63.5431599724485,843.58</t>
  </si>
  <si>
    <t>2025-05-09 10:48:00,19157991.2515001,-31610586.14916,,1171,,8385.92,-4.0837967209461,317.21</t>
  </si>
  <si>
    <t>2025-05-09 10:48:00,33586462.4583681,-220179.516974785,24.0178571428572,32,672.841309523811,709.75,-0.0277913531794204,7.64</t>
  </si>
  <si>
    <t>2025-05-09 10:49:00,580,,567,,580,,564.5,,,,,570,560,570,564</t>
  </si>
  <si>
    <t>2025-05-09 10:49:00,500,,491,,470,,488,,,,,492,485,491,488</t>
  </si>
  <si>
    <t>2025-05-09 10:49:00,5700,,5700,,,5800,5660,,,,,5700,5600,5590,5570</t>
  </si>
  <si>
    <t>2025-05-09 10:49:00,20050,,,19800,19500,,20050,,,,,20200,19800,20475,19350</t>
  </si>
  <si>
    <t>2025-05-09 10:49:00,1456682040.77615,2213505345.0419,-2669.65507246377,-1425,-2741.68118426501,-1354.82,-163.91741439753,-579.8</t>
  </si>
  <si>
    <t>2025-05-09 10:49:00,792359768.101519,306169163.162987,-1027.58071428571,-373,-815.591371428572,-119.02,-20.8899865820182,-69.14</t>
  </si>
  <si>
    <t>2025-05-09 10:49:00,20843754.4166151,-41725880.4542164,,-142,,-1265.62,1.05714297258405,-33.28</t>
  </si>
  <si>
    <t>2025-05-09 10:49:00,32135071.3394123,-276606.700553405,-29.4535714285714,-29,-1848.45353174603,-1447.3,-0.00792547971552544,-12.33</t>
  </si>
  <si>
    <t>2025-05-09 10:51:00,580,,567,,580,,564.5,,,,,567,560,570,564</t>
  </si>
  <si>
    <t>2025-05-09 10:51:00,500,,491,,470,,488,,,,,492,485,491,488</t>
  </si>
  <si>
    <t>2025-05-09 10:51:00,5700,,5700,,5500,,5660,,,,,5700,5600,5590,5570</t>
  </si>
  <si>
    <t>2025-05-09 10:51:00,20050,,,19800,19500,,20050,,,,,20200,19800,20475,19350</t>
  </si>
  <si>
    <t>2025-05-09 10:51:00,1628319243.01442,2715757213.75439,-2732.57586580086,-3633,-2750.63993722943,-7141.4,92.1456385886132,-2531.89</t>
  </si>
  <si>
    <t>2025-05-09 10:51:00,866128165.313883,623294763.891093,39.2809523809531,-965,2076.36345238096,235.26,-3.53594187203193,-108.16</t>
  </si>
  <si>
    <t>2025-05-09 10:51:00,21425995.611676,-17445187.9485683,,-538,,-2461.28,8.37115869881358,-118.18</t>
  </si>
  <si>
    <t>2025-05-09 10:51:00,34802498.5062365,-158666.50788761,58.1764599779306,41,1367.63539023852,938.13,-0.0314376369484205,9.2</t>
  </si>
  <si>
    <t>2025-05-09 10:52:00,580,,567,,580,,564.5,,,,,567,560,570,564</t>
  </si>
  <si>
    <t>2025-05-09 10:52:00,500,,491,,470,,488,,,,,492,485,491,488</t>
  </si>
  <si>
    <t>2025-05-09 10:52:00,5700,,5700,,5500,,5660,,,,,5700,5600,5590,5570</t>
  </si>
  <si>
    <t>2025-05-09 10:52:00,20050,,,19800,19500,,20050,,,,,20200,19800,20475,19350</t>
  </si>
  <si>
    <t>2025-05-09 10:52:00,1685060856.54674,3741194116.37641,878.041269841269,372,635.226650793649,-1389.73,58.6978745018884,-356.38</t>
  </si>
  <si>
    <t>2025-05-09 10:52:00,874392603.936093,808289404.827053,1632.79348250702,2122,3196.12960049856,3713.68,79.7178505874659,1164.14</t>
  </si>
  <si>
    <t>2025-05-09 10:52:00,22944587.3234976,-14915678.8433013,,579,,-2222.45,5.99663011682658,5.45000000000001</t>
  </si>
  <si>
    <t>2025-05-09 10:52:00,35394325.8296713,-141587.009867765,-0.0770313020313128,-3,60.5811480186475,-47.2,0.00142736690106374,-0.59</t>
  </si>
  <si>
    <t>2025-05-09 10:53:00,580,,567,,580,,564.5,,,,,567,560,570,564</t>
  </si>
  <si>
    <t>2025-05-09 10:53:00,500,,491,,470,,488,,,,,492,485,491,488</t>
  </si>
  <si>
    <t>2025-05-09 10:53:00,5850,,5700,,5500,,5660,,,,,5700,5600,5590,5570</t>
  </si>
  <si>
    <t>2025-05-09 10:53:00,20050,,,19800,19500,,20050,,,,,20200,19800,20475,19350</t>
  </si>
  <si>
    <t>2025-05-09 10:53:00,1741815467.50181,3937250202.22308,11238.6444444445,11696,11363.5981111111,9091.11,406.854604179268,3275.44</t>
  </si>
  <si>
    <t>2025-05-09 10:53:00,906814685.632214,901094410.715051,1131.79032258065,1422,1370.65280645162,1410.59,-22.4949926623669,498.01</t>
  </si>
  <si>
    <t>2025-05-09 10:53:00,22590844.7556171,-10456002.7535214,,1327,,12069.91,-2.60581920231879,415.04</t>
  </si>
  <si>
    <t>2025-05-09 10:53:00,35898529.3744908,-121304.346601636,-0.253192640692643,2,9.59878841991342,65.62,0.00160140033689254,0.67</t>
  </si>
  <si>
    <t>2025-05-09 10:54:00,580,,567,,580,,564.5,,,,,567,560,570,564</t>
  </si>
  <si>
    <t>2025-05-09 10:54:00,500,,491,,470,,488,,,,,492,485,491,486</t>
  </si>
  <si>
    <t>2025-05-09 10:54:00,5700,,5700,,5500,,5660,,,,,5700,5600,5590,5570</t>
  </si>
  <si>
    <t>2025-05-09 10:54:00,20050,,,19800,19500,,20050,,,,,20200,19800,20475,19350</t>
  </si>
  <si>
    <t>2025-05-09 10:54:00,1768965990.18938,4154117494.01136,4906.80436507938,4196,3747.26419841271,1022.97,-109.049244209119,488.96</t>
  </si>
  <si>
    <t>2025-05-09 10:54:00,929425697.466985,892852681.480002,988.045238095234,1491,1722.36171428571,1553.94,-33.0798280710123,556.1</t>
  </si>
  <si>
    <t>2025-05-09 10:54:00,24232583.1356869,1590136.66911913,,995,,7302.31,8.70761846248895,312.23</t>
  </si>
  <si>
    <t>2025-05-09 10:54:00,35681882.5478856,-99889.8747549896,-1.93929824561403,-4,-41.265489473684,-104.93,-0.00183867222012437,-0.99</t>
  </si>
  <si>
    <t>2025-05-09 10:55:00,580,,567,,580,,563.5,,,,,567,560,570,564</t>
  </si>
  <si>
    <t>2025-05-09 10:55:00,500,,491,,470,,488,,,,,492,485,491,486</t>
  </si>
  <si>
    <t>2025-05-09 10:55:00,5700,,5700,,5500,,5660,,,,,5700,5600,5590,5570</t>
  </si>
  <si>
    <t>2025-05-09 10:55:00,20050,,,19800,19500,,20050,,,,,20200,19800,20475,19350</t>
  </si>
  <si>
    <t>2025-05-09 10:55:00,1646049119.94905,3466489443.82917,2833.58571428572,-528,6073.24353968255,2152.79,295.194744266427,492.16</t>
  </si>
  <si>
    <t>2025-05-09 10:55:00,880729650.700273,777518679.121272,563.145512062258,-49,2277.45817402,853.68,-146.387678313029,14.05</t>
  </si>
  <si>
    <t>2025-05-09 10:55:00,21529074.0354115,-9912826.97920765,,929,,4878.5,5.65163149441392,177.07</t>
  </si>
  <si>
    <t>2025-05-09 10:55:00,33852786.6179555,-135338.968906163,43.5637854792267,29,772.877640357193,547.47,0.0069822087343241,5.98</t>
  </si>
  <si>
    <t>2025-05-09 10:56:00,580,,567,,580,,564.5,,,,,567,560,570,564</t>
  </si>
  <si>
    <t>2025-05-09 10:56:00,500,,491,,470,,488,,,,,492,485,491,490</t>
  </si>
  <si>
    <t>2025-05-09 10:56:00,5700,,5700,,5500,,5660,,,,,5700,5600,5590,5570</t>
  </si>
  <si>
    <t>2025-05-09 10:56:00,20050,,,19800,19500,,20050,,,,,20200,19800,20475,19350</t>
  </si>
  <si>
    <t>2025-05-09 10:56:00,1667145508.41038,3286223487.27842,-1499.4380952381,-3276,-3793.42452380953,-7072.53,-51.4924425415438,-2216.5</t>
  </si>
  <si>
    <t>2025-05-09 10:56:00,867711347.33125,675880058.155883,156.847311827957,-235,230.234569892472,-14.7299999999999,-42.5522546664149,-1.91000000000001</t>
  </si>
  <si>
    <t>2025-05-09 10:56:00,22253065.1363714,-17469286.0595296,,20,,-27.8399999999999,3.18740109483864,22.07</t>
  </si>
  <si>
    <t>2025-05-09 10:56:00,34195092.3938384,-153522.524053216,-8.69999999999998,-3,-293.02,-194.1,-0.00227572403424425,-1.57</t>
  </si>
  <si>
    <t>2025-05-09 10:57:00,580,,567,,580,,564.5,,,,,567,560,570,564</t>
  </si>
  <si>
    <t>2025-05-09 10:57:00,500,,491,,470,,488,,,,,492,485,491,490</t>
  </si>
  <si>
    <t>2025-05-09 10:57:00,5700,,5700,,5500,,5660,,,,,5700,5600,5590,5570</t>
  </si>
  <si>
    <t>2025-05-09 10:57:00,20050,,,19800,19500,,20050,,,,,20200,19800,20475,19800</t>
  </si>
  <si>
    <t>2025-05-09 10:57:00,1690937325.56428,3623310659.27375,2896.48647186147,3320,3538.00892857143,2870.67,145.023018145179,1171.09</t>
  </si>
  <si>
    <t>2025-05-09 10:57:00,891412392.92148,629168680.494785,525.8,570,569.352,480.99,-13.1960791221561,175.03</t>
  </si>
  <si>
    <t>2025-05-09 10:57:00,22530682.1746577,-16561105.3667139,,-403,,-597.76,0.329856755041318,-16.39</t>
  </si>
  <si>
    <t>2025-05-09 10:57:00,35386214.9409202,-157290.085278132,-13.87,-30,-211.349657142857,-282.39,0.0220154513198363,-3.13</t>
  </si>
  <si>
    <t>2025-05-09 11:00:00,580,,567,,580,,564.5,,,,,567,560,566,564</t>
  </si>
  <si>
    <t>2025-05-09 11:00:00,500,,491,,470,,488,,,,,492,485,491,488</t>
  </si>
  <si>
    <t>2025-05-09 11:00:00,5700,,5700,,5500,,5660,,5670,,,5700,5600,5590,5570</t>
  </si>
  <si>
    <t>2025-05-09 11:00:00,20050,,,,19500,,20050,,,,,20200,19800,20475,19800</t>
  </si>
  <si>
    <t>2025-05-09 11:00:00,1752448506.79446,4194884983.26122,17246.2341269841,12910,21749.6036507937,13090.13,956.549742195378,4798.48</t>
  </si>
  <si>
    <t>2025-05-09 11:00:00,941735330.653002,1058977309.56171,2778.07393162393,2530,4179.77358333333,4406.2,237.947100932138,1379.41</t>
  </si>
  <si>
    <t>2025-05-09 11:00:00,23648078.6076008,3669038.3525799,,594,,-2257.35,-1.44467451952846,-120.56</t>
  </si>
  <si>
    <t>2025-05-09 11:00:00,35539372.7303037,-58617.5903970944,18.709058927585,57,-1522.00363013297,-1040.63,0.0565016576386882,1.77</t>
  </si>
  <si>
    <t>2025-05-09 11:04:00,580,,567,,580,,563.5,,,564,,567,560,566,564</t>
  </si>
  <si>
    <t>2025-05-09 11:04:00,500,,491,,470,,488,,,488,,492,485,491,488</t>
  </si>
  <si>
    <t>2025-05-09 11:04:00,5700,,5700,,,5800,5660,,,5660,,5700,5600,5590,5570</t>
  </si>
  <si>
    <t>2025-05-09 11:04:00,20050,,,19800,19500,,20050,,,,,20200,19800,20475,19350</t>
  </si>
  <si>
    <t>2025-05-09 11:04:00,1250772359.15109,649520046.200874,9147.93166000646,2261,10736.3668966863,10769.81,282.682327935786,3683.65</t>
  </si>
  <si>
    <t>2025-05-09 11:04:00,745772768.814629,-197865.538421119,10309.2554935691,4620,14524.0900071259,12570.94,-710.198308627536,3337.03</t>
  </si>
  <si>
    <t>2025-05-09 11:04:00,16527082.2443091,-65082573.113444,,4243,,49823.57,-32.1644002217356,1610.79</t>
  </si>
  <si>
    <t>2025-05-09 11:04:00,32516905.6560611,-317260.389320086,325.474141727837,102,5704.69298151389,1932.92,-0.0940468986341434,18.21</t>
  </si>
  <si>
    <t>2025-05-09 11:07:00,580,,567,,580,,563.5,,565,,,567,560,566,564</t>
  </si>
  <si>
    <t>2025-05-09 11:07:00,500,,491,,470,,488,,,,,492,485,491,486</t>
  </si>
  <si>
    <t>2025-05-09 11:07:00,5700,,5700,,,5800,5660,,,5660,,5700,5600,5590,5570</t>
  </si>
  <si>
    <t>2025-05-09 11:07:00,20050,,,19800,19500,,20050,,,,,20200,19800,20475,19350</t>
  </si>
  <si>
    <t>2025-05-09 11:07:00,1384236347.47047,1567093981.99328,4286.3757936508,-1432,4379.76408333335,-391.06,-773.174725751611,-559</t>
  </si>
  <si>
    <t>2025-05-09 11:07:00,777500658.099103,74505902.5788389,1817.72540872845,-2052,2568.12307101976,-604.53,470.996260562742,-586.68</t>
  </si>
  <si>
    <t>2025-05-09 11:07:00,18143387.7608645,-63073226.6107254,,562,,7692.38,-9.92039244234728,331</t>
  </si>
  <si>
    <t>2025-05-09 11:07:00,31593994.5731064,-319290.643565996,-15.0990381840383,22,-2456.7235497003,-1195.23,0.0314077956869763,-8.42</t>
  </si>
  <si>
    <t>2025-05-09 11:08:00,580,,567,,580,,563.5,,,,564,567,560,566,564</t>
  </si>
  <si>
    <t>2025-05-09 11:08:00,500,,491,,470,,488,,,,,492,485,491,486</t>
  </si>
  <si>
    <t>2025-05-09 11:08:00,5700,,5700,,,5800,5660,,,,,5700,5600,5590,5570</t>
  </si>
  <si>
    <t>2025-05-09 11:08:00,20050,,,19800,19500,,20050,,,,,20200,19800,20475,19350</t>
  </si>
  <si>
    <t>2025-05-09 11:08:00,1268325901.35325,206190359.299438,1391.77182539682,289,462.528702380946,205.46,-26.5564259988959,-48.22</t>
  </si>
  <si>
    <t>2025-05-09 11:08:00,734557842.879574,-150880666.612005,2478.48609016256,2790,2803.32915104504,3532.44,5.3435099475575,1165.81</t>
  </si>
  <si>
    <t>2025-05-09 11:08:00,15767867.2325988,-75824924.2350986,,1384,,9579.88,-2.85405169372378,462.27</t>
  </si>
  <si>
    <t>2025-05-09 11:08:00,31597968.0248126,-353277.13427826,11.9194444444444,13,431.036305555555,586.86,0.00533747469958012,5.32</t>
  </si>
  <si>
    <t>2025-05-09 11:09:00,580,,,,580,,563.5,,,,564,567,560,566,564</t>
  </si>
  <si>
    <t>2025-05-09 11:09:00,500,,,486,470,,488,,,,487,492,485,491,486</t>
  </si>
  <si>
    <t>2025-05-09 11:09:00,5700,,5700,,,5800,5660,,,,,5700,5600,5590,5570</t>
  </si>
  <si>
    <t>2025-05-09 11:09:00,20050,,,19800,19500,,20050,,,,,20200,19800,20475,19350</t>
  </si>
  <si>
    <t>2025-05-09 11:09:00,1202039738.16838,-80173410.7773152,-4257.6567460317,-2168,-8143.80486111104,-4059.04,367.698615811097,-1245.25</t>
  </si>
  <si>
    <t>2025-05-09 11:09:00,675913553.762595,-331581172.012073,-1320.16936166721,-3133,-2553.04718266475,-5766.93,-97.4664253151387,-1630.16</t>
  </si>
  <si>
    <t>2025-05-09 11:09:00,15586496.105634,-93405974.8103167,,-386,,5683.42,-1.74122934543265,197.08</t>
  </si>
  <si>
    <t>2025-05-09 11:09:00,30768138.7152373,-437212.099645411,-3.811353133505,1,-977.332487159112,-356.69,0.0192440359084338,-2.77</t>
  </si>
  <si>
    <t>2025-05-09 11:10:00,580,,,,580,,563.5,,,,,567,560,566,564</t>
  </si>
  <si>
    <t>2025-05-09 11:10:00,500,,,486,470,,488,,,,,492,485,491,486</t>
  </si>
  <si>
    <t>2025-05-09 11:10:00,5700,,5700,,,5800,5660,,,,,5700,5600,5590,5570</t>
  </si>
  <si>
    <t>2025-05-09 11:10:00,20050,,,19800,19500,,20050,,,,,20200,19800,20475,19350</t>
  </si>
  <si>
    <t>2025-05-09 11:10:00,1151268262.36585,-198307006.280244,3953.69160839161,972,4015.92081585081,1450.21,-63.256327633448,266.37</t>
  </si>
  <si>
    <t>2025-05-09 11:10:00,677413763.849993,-348492334.571189,2325.21136363636,760,-696.61712012987,-1065.84,168.45858841454,-235.93</t>
  </si>
  <si>
    <t>2025-05-09 11:10:00,14094676.0180383,-91620480.0359826,,-394,,-5688.87,0.857102568993723,-223.5</t>
  </si>
  <si>
    <t>2025-05-09 11:10:00,30902367.7930475,-432212.129317319,18.5800344753286,24,264.275303641457,702.93,0.000427164615903479,6.7</t>
  </si>
  <si>
    <t>2025-05-09 11:11:00,580,,,,580,,563.5,,564,,,567,560,566,564</t>
  </si>
  <si>
    <t>2025-05-09 11:11:00,500,,,486,470,,488,,,,,492,485,491,486</t>
  </si>
  <si>
    <t>2025-05-09 11:11:00,5700,,5700,,,5800,5660,,,,,5700,5600,5590,5570</t>
  </si>
  <si>
    <t>2025-05-09 11:11:00,20050,,,19800,19500,,20050,,,,,20200,19800,20475,19350</t>
  </si>
  <si>
    <t>2025-05-09 11:11:00,1121196243.62672,-498739799.458799,5021.77099567098,4278,1534.07499134196,4362.98,-810.260939240342,1994.41</t>
  </si>
  <si>
    <t>2025-05-09 11:11:00,660749512.613194,-514849484.285421,-1166.65341655471,-366,-3543.51544560134,-1994.77,7.68599144143176,-450.86</t>
  </si>
  <si>
    <t>2025-05-09 11:11:00,13492642.8945319,-108491403.379703,,-235,,7131.33,3.22348211139608,246.32</t>
  </si>
  <si>
    <t>2025-05-09 11:11:00,30155017.9044924,-500931.389302566,-13.5743372855215,-25,-866.972808511662,-703.37,0.00291079715121034,-6.75</t>
  </si>
  <si>
    <t>2025-05-09 11:12:00,580,,,,580,,563.5,,,,,567,560,566,564</t>
  </si>
  <si>
    <t>2025-05-09 11:12:00,500,,,486,470,,488,,,,,492,485,491,486</t>
  </si>
  <si>
    <t>2025-05-09 11:12:00,,5500,5700,,,5800,5660,,,,,5700,5600,5590,5570</t>
  </si>
  <si>
    <t>2025-05-09 11:12:00,20050,,,19800,19500,,20050,,,,,20200,19800,20475,19350</t>
  </si>
  <si>
    <t>2025-05-09 11:12:00,1000680164.54516,-1636941642.512,7999.04053169053,6680,9204.38624458876,12966.68,-249.298431269032,4425.99</t>
  </si>
  <si>
    <t>2025-05-09 11:12:00,622779232.210453,-677709972.477281,-2104.366728865,-3530,-2200.54049950241,-2236.64,-43.493500927805,-1005.64</t>
  </si>
  <si>
    <t>2025-05-09 11:12:00,10919497.7019513,-127733468.866678,,730,,7811.86,-11.0236127367553,356.55</t>
  </si>
  <si>
    <t>2025-05-09 11:12:00,29815254.7295186,-559011.130981887,1.04246031746033,-1,-68.3351706349205,-61.71,-0.0223393265752373,-0.5</t>
  </si>
  <si>
    <t>2025-05-09 11:13:00,580,,,,580,,563.5,,,,,567,560,566,564</t>
  </si>
  <si>
    <t>2025-05-09 11:13:00,500,,,486,470,,488,,,,,492,485,491,486</t>
  </si>
  <si>
    <t>2025-05-09 11:13:00,5700,,5700,,,5800,5660,,,,,5700,5600,5590,5570</t>
  </si>
  <si>
    <t>2025-05-09 11:13:00,20050,,,19800,19500,,20050,,,,,20200,19800,20475,19350</t>
  </si>
  <si>
    <t>2025-05-09 11:13:00,1191435677.91887,-477292603.408982,1250.70531968031,27,1068.22856055056,1786.2,-662.510106182084,840.54</t>
  </si>
  <si>
    <t>2025-05-09 11:13:00,677533098.819526,-285240651.03127,125.568978952087,1010,-864.088065517237,786.49,-68.3822640093821,349.01</t>
  </si>
  <si>
    <t>2025-05-09 11:13:00,14418737.7464507,-105535105.102902,,-89,,-5032.97,0.733749877015326,-67.15</t>
  </si>
  <si>
    <t>2025-05-09 11:13:00,31765619.3369889,-491301.905188985,-23.8392730880231,-4,-563.523879022368,137.8,0.0316878065910166,1.37</t>
  </si>
  <si>
    <t>2025-05-09 11:14:00,580,,567,,580,,563.5,,,,,567,560,566,564</t>
  </si>
  <si>
    <t>2025-05-09 11:14:00,500,,491,,470,,488,,,,,492,485,491,486</t>
  </si>
  <si>
    <t>2025-05-09 11:14:00,5700,,5700,,,5800,5660,,,,,5700,5600,5590,5570</t>
  </si>
  <si>
    <t>2025-05-09 11:14:00,20050,,,19800,19500,,20050,,,,,20200,19800,20475,19350</t>
  </si>
  <si>
    <t>2025-05-09 11:14:00,1230157906.44036,1056396432.56854,-3809.79487734487,-2849,-6325.93731313131,-5659.74,-315.960108517798,-2044.33</t>
  </si>
  <si>
    <t>2025-05-09 11:14:00,708590350.325671,-21615475.7379205,-1256.24248366013,-1532,-1109.45335947713,-952.45,75.4881349780802,-342.05</t>
  </si>
  <si>
    <t>2025-05-09 11:14:00,15728861.3329539,-92197019.3450687,,192,,999.66,1.87832794599619,72.45</t>
  </si>
  <si>
    <t>2025-05-09 11:14:00,32488275.467275,-442552.380445373,-13.2178543417367,-33,-252.544060588236,-696.67,-0.0247989372537617,-7.37</t>
  </si>
  <si>
    <t>2025-05-09 11:16:00,580,,567,,580,,563.5,,,,,567,560,566,564</t>
  </si>
  <si>
    <t>2025-05-09 11:16:00,500,,,486,470,,488,,487,,,492,485,491,486</t>
  </si>
  <si>
    <t>2025-05-09 11:16:00,5700,,5700,,,5800,5660,,,,,5700,5600,5590,5570</t>
  </si>
  <si>
    <t>2025-05-09 11:16:00,20050,,,19800,19500,,20050,,,,,20200,19800,20475,19350</t>
  </si>
  <si>
    <t>2025-05-09 11:16:00,1255018529.56832,495985191.390171,6704.59523809524,1087,6977.86061904762,781.26,9.78095730909811,489.32</t>
  </si>
  <si>
    <t>2025-05-09 11:16:00,721073096.491576,-266359149.883296,-2458.6,-3707,-3432.614,-4915.9,-19.0424874192883,-1610.71</t>
  </si>
  <si>
    <t>2025-05-09 11:16:00,15769933.0770859,-84056173.7928561,,-202,,-842.88,5.40443464819652,-35.39</t>
  </si>
  <si>
    <t>2025-05-09 11:16:00,32105596.7429418,-445569.547462808,1.5382683982684,-5,-217.168832034632,-217.17,-0.00606216350598135,-2.2</t>
  </si>
  <si>
    <t>2025-05-09 11:17:00,580,,,,580,,563.5,,,,,567,560,566,564</t>
  </si>
  <si>
    <t>2025-05-09 11:17:00,500,,,486,470,,488,,,,,492,485,491,486</t>
  </si>
  <si>
    <t>2025-05-09 11:17:00,,5500,5700,,,5800,5660,,,,,5700,5600,5590,5570</t>
  </si>
  <si>
    <t>2025-05-09 11:17:00,20050,,,19800,19500,,20050,,,,,20200,19800,20475,19350</t>
  </si>
  <si>
    <t>2025-05-09 11:17:00,1103155205.8011,-1257642088.65776,-4688.36111111112,-5024,-5382.83472222223,-5560.9,203.540443167368,-2068.62</t>
  </si>
  <si>
    <t>2025-05-09 11:17:00,673520257.803422,-553744224.320314,-484.38452380952,-2135,-495.018571428562,-3372.67,55.911957406357,-1019.21</t>
  </si>
  <si>
    <t>2025-05-09 11:17:00,13416571.7351455,-100521116.798035,,-226,,831.34,-4.13074955410169,-19.81</t>
  </si>
  <si>
    <t>2025-05-09 11:17:00,30176998.6049189,-478981.004666027,16.497867965368,12,239.925139502165,340.55,-0.00486295140674652,2.91</t>
  </si>
  <si>
    <t>2025-05-09 11:18:00,580,,,,580,,563.5,564,,,,567,560,566,564</t>
  </si>
  <si>
    <t>2025-05-09 11:18:00,500,,,486,470,,488,,,,,492,485,491,486</t>
  </si>
  <si>
    <t>2025-05-09 11:18:00,5700,,5700,,,5800,5660,,,,,5700,5600,5590,5570</t>
  </si>
  <si>
    <t>2025-05-09 11:18:00,20050,,,19800,19500,,20050,,,,,20200,19800,20475,19350</t>
  </si>
  <si>
    <t>2025-05-09 11:18:00,1206171442.92551,-373355125.722164,17868.2444444444,6727,29825.1730555556,12060.21,289.169919895347,3461.22</t>
  </si>
  <si>
    <t>2025-05-09 11:18:00,719432952.470897,-340858023.060435,1745.31753512133,1545,949.470883141758,803.84,-53.530348021021,445.82</t>
  </si>
  <si>
    <t>2025-05-09 11:18:00,16186063.8020543,-91675125.976247,,1148,,7107.45,2.53729269905142,317.21</t>
  </si>
  <si>
    <t>2025-05-09 11:18:00,32368625.5767049,-435392.99614105,-5.86697235513026,-1,-570.832208399788,-202.66,0.00859922499077819,-1.06</t>
  </si>
  <si>
    <t>2025-05-09 11:19:00,580,,,,580,,563.5,,,,,567,560,566,564</t>
  </si>
  <si>
    <t>2025-05-09 11:19:00,500,,,486,470,,488,,,,,492,485,491,486</t>
  </si>
  <si>
    <t>2025-05-09 11:19:00,5700,,5700,,,5800,5660,,,,,5700,5600,5590,5570</t>
  </si>
  <si>
    <t>2025-05-09 11:19:00,20050,,,19800,19500,,20050,,,,,20200,19800,20475,19350</t>
  </si>
  <si>
    <t>2025-05-09 11:19:00,1217424594.98576,-497301692.344275,11058.0877705628,3940,14301.1170562771,4219.4,-259.899897515525,1608.92</t>
  </si>
  <si>
    <t>2025-05-09 11:19:00,720228047.97921,-210326805.927142,1321.85786609013,1569,1274.15865221266,769.84,55.0720927389172,285.23</t>
  </si>
  <si>
    <t>2025-05-09 11:19:00,15277947.8245693,-93743883.6942956,,-20,,6679.54,0.308681953457594,216.19</t>
  </si>
  <si>
    <t>2025-05-09 11:19:00,32351919.883561,-424515.783745076,1.22982517482516,5,50.334957575757,141.2,0.0105708536432202,1.45</t>
  </si>
  <si>
    <t>2025-05-09 11:20:00,580,,567,,580,,563.5,,,,,567,560,566,564</t>
  </si>
  <si>
    <t>2025-05-09 11:20:00,500,,,486,470,,488,,,,,492,485,491,486</t>
  </si>
  <si>
    <t>2025-05-09 11:20:00,5700,,5700,,,5800,5660,,,,,5700,5600,5590,5570</t>
  </si>
  <si>
    <t>2025-05-09 11:20:00,20050,,,19800,19500,,20050,,,,,20200,19800,20475,19350</t>
  </si>
  <si>
    <t>2025-05-09 11:20:00,1245779836.03819,444853990.193808,5845.47301587301,5653,10306.4824761905,8792.46,43.7083381007021,2818.52</t>
  </si>
  <si>
    <t>2025-05-09 11:20:00,738063818.705086,-78329168.661447,1710.51004667376,2281,2951.32965129829,2865.08,71.9242868755142,952.34</t>
  </si>
  <si>
    <t>2025-05-09 11:20:00,15856066.2085562,-76348886.0727253,,945,,8771.31,-2.37355269799508,343.66</t>
  </si>
  <si>
    <t>2025-05-09 11:20:00,31213115.9270146,-370317.187863039,5.65116161616163,3,122.36245909091,-51.91,0.013369501714084,-0.2</t>
  </si>
  <si>
    <t>2025-05-09 11:21:00,580,,567,,580,,563.5,,,,,567,560,566,564</t>
  </si>
  <si>
    <t>2025-05-09 11:21:00,500,,491,,470,,488,,,,,492,485,491,486</t>
  </si>
  <si>
    <t>2025-05-09 11:21:00,5700,,5700,,,5800,5660,,,,,5700,5600,5590,5570</t>
  </si>
  <si>
    <t>2025-05-09 11:21:00,20050,,,19800,19500,,20050,,,,,20200,19800,20475,19350</t>
  </si>
  <si>
    <t>2025-05-09 11:21:00,1308286935.46149,675374730.979652,2054.63333333331,869,3497.97799999997,1905.92,362.283799157658,780.64</t>
  </si>
  <si>
    <t>2025-05-09 11:21:00,775788833.196165,164535731.861778,-307.139366010332,79,-1874.40368384303,136.82,128.790106588499,61.0599999999999</t>
  </si>
  <si>
    <t>2025-05-09 11:21:00,17820186.9676784,-73249645.8601353,,-18,,-3796.15,-3.79578033915309,-61.88</t>
  </si>
  <si>
    <t>2025-05-09 11:21:00,33219132.1228994,-351543.816242019,5.46868097340234,11,111.698827178994,351.88,0.0212130980077622,3.28</t>
  </si>
  <si>
    <t>2025-05-09 11:22:00,580,,,,580,,564.5,,,,,567,560,566,564</t>
  </si>
  <si>
    <t>2025-05-09 11:22:00,500,,,486,470,,488,,,,,492,485,491,486</t>
  </si>
  <si>
    <t>2025-05-09 11:22:00,5700,,5700,,,5800,5660,,,,,5700,5600,5590,5570</t>
  </si>
  <si>
    <t>2025-05-09 11:22:00,20050,,,19800,19500,,20050,,,,,20200,19800,20475,19350</t>
  </si>
  <si>
    <t>2025-05-09 11:22:00,1249102288.1442,-629669345.931773,702.678571428556,840,1170.63017857142,1552.44,-47.1362067888194,485.03</t>
  </si>
  <si>
    <t>2025-05-09 11:22:00,743730769.25508,-246885234.287615,350.784313725488,145,408.877941176468,-71.0599999999999,-27.9034212969177,-15.58</t>
  </si>
  <si>
    <t>2025-05-09 11:22:00,16931687.0782106,-77588604.503937,,733,,5204.25,-2.03720782881251,213.16</t>
  </si>
  <si>
    <t>2025-05-09 11:22:00,33236245.5515977,-369393.727222006,5.15833333333332,8,105.6085,258.78,0.000614673781341069,2.37</t>
  </si>
  <si>
    <t>2025-05-09 11:23:00,580,,,,580,,564.5,,,,,567,560,566,564</t>
  </si>
  <si>
    <t>2025-05-09 11:23:00,500,,,486,470,,488,,,,,492,485,491,486</t>
  </si>
  <si>
    <t>2025-05-09 11:23:00,5700,,5700,,,5800,5660,,,,,5700,5600,5590,5570</t>
  </si>
  <si>
    <t>2025-05-09 11:23:00,20050,,,19800,19500,,20050,,,,,20200,19800,20475,19350</t>
  </si>
  <si>
    <t>2025-05-09 11:23:00,1264648686.48648,-240130211.295629,7447.98495670995,5294,5502.94160822509,4280.39,61.78212961967,1786</t>
  </si>
  <si>
    <t>2025-05-09 11:23:00,756765759.892045,-152481272.897771,84.263625478944,505,-470.186705220269,650.6,33.1107818649042,251.69</t>
  </si>
  <si>
    <t>2025-05-09 11:23:00,17035093.7830802,-73880911.1866078,,517,,3556.32,1.87758887093557,149.75</t>
  </si>
  <si>
    <t>2025-05-09 11:23:00,32558594.9128844,-345975.733670099,3.22222222222223,-9,19.3444444444444,-37.8,-0.0142349791187192,-0.65</t>
  </si>
  <si>
    <t>2025-05-09 11:24:00,580,,567,,580,,563.5,,,,,567,560,566,564</t>
  </si>
  <si>
    <t>2025-05-09 11:24:00,500,,491,,470,,488,,,,,492,485,491,486</t>
  </si>
  <si>
    <t>2025-05-09 11:24:00,5700,,5700,,,5800,5660,,,,,5700,5600,5590,5570</t>
  </si>
  <si>
    <t>2025-05-09 11:24:00,20050,,,19800,19500,,20050,,,,,20200,19800,20475,19350</t>
  </si>
  <si>
    <t>2025-05-09 11:24:00,1274473572.5145,1729569507.30718,-6727.47222222219,-828,-8495.79801587298,-1811.34,169.183088299611,-481.55</t>
  </si>
  <si>
    <t>2025-05-09 11:24:00,747805149.847325,259789679.564625,-838.411986863712,-684,-1302.52147947455,-802,23.8553208814649,-220.06</t>
  </si>
  <si>
    <t>2025-05-09 11:24:00,18044169.1206465,-72584459.2178605,,-393,,-2299.75,1.54408670362807,-70.41</t>
  </si>
  <si>
    <t>2025-05-09 11:24:00,33195624.5555364,-310039.61790019,-9.44297619047618,-5,-236.156975,-149.29,-0.00993100660981857,-1.81</t>
  </si>
  <si>
    <t>2025-05-09 11:25:00,580,,567,,580,,563.5,,,,,567,560,566,564</t>
  </si>
  <si>
    <t>2025-05-09 11:25:00,500,,,486,470,,488,,,,,492,485,491,486</t>
  </si>
  <si>
    <t>2025-05-09 11:25:00,5700,,5700,,,5800,5660,,,,,5700,5600,5590,5570</t>
  </si>
  <si>
    <t>2025-05-09 11:25:00,20050,,,19800,19500,,20050,,,,,20200,19800,20475,19350</t>
  </si>
  <si>
    <t>2025-05-09 11:25:00,1262683402.81004,249886574.280582,-1964.74783549783,-390,-3378.92994588745,-1215.34,33.4443283870303,-458.42</t>
  </si>
  <si>
    <t>2025-05-09 11:25:00,730398628.079193,-147090662.974356,-190.523809523809,-790,-179.956666666666,-601.11,-53.9605751798013,-260.87</t>
  </si>
  <si>
    <t>2025-05-09 11:25:00,16432615.9727746,-81720306.5149599,,-429,,2532.06,1.25789197879303,-42.9</t>
  </si>
  <si>
    <t>2025-05-09 11:25:00,31277075.5369153,-324972.56892793,4.6952380952381,4,111.682380952381,17.75,0.000514727924439983,0.14</t>
  </si>
  <si>
    <t>2025-05-09 11:26:00,580,,,,580,,563.5,,,,,567,560,566,564</t>
  </si>
  <si>
    <t>2025-05-09 11:26:00,500,,,486,470,,488,,,,,492,485,491,486</t>
  </si>
  <si>
    <t>2025-05-09 11:26:00,5700,,5700,,,5800,5660,,,,,5700,5600,5590,5570</t>
  </si>
  <si>
    <t>2025-05-09 11:26:00,20050,,,19800,19500,,20050,,,,,20200,19800,20475,19350</t>
  </si>
  <si>
    <t>2025-05-09 11:26:00,1152616944.29363,-954580979.605027,-839.13253968254,-2182,-172.327023809524,-398.54,-78.4125608915247,-375.91</t>
  </si>
  <si>
    <t>2025-05-09 11:26:00,710680596.469326,-265949928.892753,-88.3442640692652,-895,394.700091991338,-756.99,-29.6735742763712,-315.71</t>
  </si>
  <si>
    <t>2025-05-09 11:26:00,14276571.3589541,-96268628.574831,,-745,,-5089.31,-1.79525684798234,-233.04</t>
  </si>
  <si>
    <t>2025-05-09 11:26:00,30711697.4628673,-400990.750670196,4.75252525252526,6,48.4918232323234,120.51,-0.00346425242906356,1.09</t>
  </si>
  <si>
    <t>2025-05-09 11:27:00,580,,,,580,,563.5,,,,,567,560,566,564</t>
  </si>
  <si>
    <t>2025-05-09 11:27:00,500,,,486,470,,488,,,,,492,485,491,486</t>
  </si>
  <si>
    <t>2025-05-09 11:27:00,5700,,5700,,,5800,5660,,,,,5700,5600,5590,5570</t>
  </si>
  <si>
    <t>2025-05-09 11:27:00,20050,,,19800,19500,,20050,,,,,20200,19800,20475,19350</t>
  </si>
  <si>
    <t>2025-05-09 11:27:00,1146666720.05965,-1218414019.64568,-6324.46190476193,-4973,-7675.96071428575,-5391.6,172.645449133367,-1931.93</t>
  </si>
  <si>
    <t>2025-05-09 11:27:00,695675811.090006,-412527086.795776,-5280.0619047619,-3885,-7247.45678571428,-5630.39,-2.12720745073327,-1795.24</t>
  </si>
  <si>
    <t>2025-05-09 11:27:00,14754941.7151512,-104063467.234474,,-661,,-2739.06,-7.29973242071296,-91.85</t>
  </si>
  <si>
    <t>2025-05-09 11:27:00,30539546.8192594,-412400.735936805,-9.8266058930529,-6,296.388113928542,-34.04,-0.000832596191573041,-0.9</t>
  </si>
  <si>
    <t>2025-05-09 11:28:00,580,,,,580,,563.5,,,,,567,560,566,564</t>
  </si>
  <si>
    <t>2025-05-09 11:28:00,500,,,486,470,,488,,,,,492,485,491,486</t>
  </si>
  <si>
    <t>2025-05-09 11:28:00,,5500,5700,,,5800,5660,,,,,5700,5600,5590,5570</t>
  </si>
  <si>
    <t>2025-05-09 11:28:00,20050,,,19800,19500,,20050,,,,,20200,19800,20475,19350</t>
  </si>
  <si>
    <t>2025-05-09 11:28:00,1118383741.15066,-1536816957.77041,5734.14383116885,1605,5108.26892857145,2497.81,-172.585147080447,920.03</t>
  </si>
  <si>
    <t>2025-05-09 11:28:00,702275103.338615,-315748363.806602,757.225806451609,1435,1387.66413978494,1378.29,-1.44044912687912,540.54</t>
  </si>
  <si>
    <t>2025-05-09 11:28:00,13627549.6435196,-108758479.513452,,596,,1560.53,-0.655729010846567,84.42</t>
  </si>
  <si>
    <t>2025-05-09 11:28:00,30524065.1624039,-421037.22341383,-0.353874883286641,-2,-88.8787867647053,-296.46,0.012670649548369,-1.68</t>
  </si>
  <si>
    <t>2025-05-09 11:29:00,580,,,,580,,563.5,,,,,567,560,566,564</t>
  </si>
  <si>
    <t>2025-05-09 11:29:00,500,,,486,470,,488,,,,,492,485,491,488</t>
  </si>
  <si>
    <t>2025-05-09 11:29:00,5700,,5700,,,5800,5660,,,,,5700,5600,5590,5570</t>
  </si>
  <si>
    <t>2025-05-09 11:29:00,20050,,,19800,19500,,20050,,,,,20200,19800,20475,19350</t>
  </si>
  <si>
    <t>2025-05-09 11:29:00,1136507290.91088,-874757427.791878,2131.31111111111,1322,1348.85216666666,1076.35,-94.6660955461682,445.92</t>
  </si>
  <si>
    <t>2025-05-09 11:29:00,701229532.206345,-286330184.222995,66.9609649122804,-414,109.307644736841,-138.86,-45.0503898183689,-61.04</t>
  </si>
  <si>
    <t>2025-05-09 11:29:00,14054607.4725247,-110787431.35033,,77,,183.98,-0.636144902145698,27.25</t>
  </si>
  <si>
    <t>2025-05-09 11:29:00,31483036.668173,-414906.4896999,0.898684210526304,-6,925.755921052631,-1749.4,0.0117712625595064,-4.04</t>
  </si>
  <si>
    <t>2025-05-09 11:30:00,580,,,,580,,563.5,,,,,567,560,566,564</t>
  </si>
  <si>
    <t>2025-05-09 11:30:00,500,,,486,470,,488,,,,,492,485,491,488</t>
  </si>
  <si>
    <t>2025-05-09 11:30:00,,5500,5700,,,5800,5660,,,,,5700,5600,5590,5570</t>
  </si>
  <si>
    <t>2025-05-09 11:30:00,20050,,,19800,19500,,20050,,,,,20200,19800,20475,19800</t>
  </si>
  <si>
    <t>2025-05-09 11:30:00,1061000970.80255,-1293771501.10247,5009.92673160171,1794,4651.3388668831,3930.57,-227.433043576489,1432.1</t>
  </si>
  <si>
    <t>2025-05-09 11:30:00,699716194.622811,-233197596.935108,2874.61607254814,1256,3309.4779932378,2218.77,-67.3256892995161,824.41</t>
  </si>
  <si>
    <t>2025-05-09 11:30:00,12958557.8962167,-113897033.392271,,827,,4314.44,-0.170507546681173,186.96</t>
  </si>
  <si>
    <t>2025-05-09 11:30:00,30739922.1598382,-422307.637425128,-50.8085714285715,-64,-259.919590476191,-426.22,0.0469004601394548,-5.59</t>
  </si>
  <si>
    <t>2025-05-09 11:31:00,580,,,,580,,563.5,564,,,,567,560,566,564</t>
  </si>
  <si>
    <t>2025-05-09 11:31:00,500,,,486,470,,488,,,,,492,485,491,488</t>
  </si>
  <si>
    <t>2025-05-09 11:31:00,,5500,5700,,,5800,5660,,,,,5700,5600,5590,5570</t>
  </si>
  <si>
    <t>2025-05-09 11:31:00,20050,,,19800,19500,,20050,,,,,20200,19800,20200,19800</t>
  </si>
  <si>
    <t>2025-05-09 11:31:00,1109155621.10011,-1231003090.20656,5543.42815055316,3575,2220.09222522848,1192.11,553.085303913261,647.93</t>
  </si>
  <si>
    <t>2025-05-09 11:31:00,660610293.879372,-380288458.298,5496.75152329749,1296,6709.02666487455,1756.32,116.397282773271,506.12</t>
  </si>
  <si>
    <t>2025-05-09 11:31:00,13112734.6844882,-107111009.503307,,232,,2771.23,-2.83141039038109,64.31</t>
  </si>
  <si>
    <t>2025-05-09 11:31:00,30817996.1509772,-393659.110154143,18.1759223159541,18,605.185672716424,1078.77,-0.0107908991511879,7.29</t>
  </si>
  <si>
    <t>2025-05-09 11:32:00,580,,,,580,,563.5,,,,,567,560,566,564</t>
  </si>
  <si>
    <t>2025-05-09 11:32:00,500,,,486,470,,488,,,,,492,485,491,486</t>
  </si>
  <si>
    <t>2025-05-09 11:32:00,,5500,5700,,,5800,5660,,,,,5700,5600,5590,5570</t>
  </si>
  <si>
    <t>2025-05-09 11:32:00,20050,,,19800,19500,,20050,,,,,20200,19800,20200,19800</t>
  </si>
  <si>
    <t>2025-05-09 11:32:00,1094937240.58949,-1634996826.48736,-12128.1329365079,-8581,-13104.8719642857,-7535.95,-118.158745571227,-2961.39</t>
  </si>
  <si>
    <t>2025-05-09 11:32:00,679638283.262665,-371342323.394054,-3674.77619047619,-2899,-4367.34523809524,-2280.37,26.4552737591669,-869.34</t>
  </si>
  <si>
    <t>2025-05-09 11:32:00,13673520.948079,-126959553.578395,,-416,,-6196.93,-2.61803341620253,-129.74</t>
  </si>
  <si>
    <t>2025-05-09 11:32:00,32168418.6301416,-463716.176390201,-7.68958716721872,-7,-265.444886762359,-194.34,0.00122695960548415,-1.9</t>
  </si>
  <si>
    <t>2025-05-09 11:47:00,580,,,563,580,,563.5,,564,,564,567,560,570,564</t>
  </si>
  <si>
    <t>2025-05-09 11:47:00,500,,,486,470,,488,,,,,492,486,491,488</t>
  </si>
  <si>
    <t>2025-05-09 11:47:00,,5500,5700,,,5800,5660,,5650,,5650,5700,5600,5590,5570</t>
  </si>
  <si>
    <t>2025-05-09 11:47:00,20050,,,19800,19500,,20050,,,,,20200,19800,20200,19800</t>
  </si>
  <si>
    <t>2025-05-09 11:47:00,995262135.78402,-1947829108.60046,-12562.2308422254,-46702,-25125.9458590891,-53842.35,-4155.38618990446,-22187.43</t>
  </si>
  <si>
    <t>2025-05-09 11:47:00,671933630.462582,-344155419.050418,-1077.41778961781,-8682,1401.83889534535,-4222.31,-370.398032975073,-3316.11</t>
  </si>
  <si>
    <t>2025-05-09 11:47:00,11457622.5719777,-130513339.769606,,-3205,,-42506.41,52.6671306206792,-1832.41</t>
  </si>
  <si>
    <t>2025-05-09 11:47:00,30471177.7085921,-402495.710134944,355.196218630404,199,15614.1474114656,6656.34,0.208022664426776,63.28</t>
  </si>
  <si>
    <t>2025-05-09 11:48:00,580,,,563,580,,563.5,,,,,567,560,570,564</t>
  </si>
  <si>
    <t>2025-05-09 11:48:00,500,,,486,470,,488,,,,,492,486,491,488</t>
  </si>
  <si>
    <t>2025-05-09 11:48:00,5700,,5700,,,5800,5660,,,,,5700,5600,5590,5570</t>
  </si>
  <si>
    <t>2025-05-09 11:48:00,20050,,,19800,19500,,20050,,,,,20200,19800,20200,19800</t>
  </si>
  <si>
    <t>2025-05-09 11:48:00,1041370757.14523,-1525018155.3425,-8.37777777778015,-1481,-754.447476190481,80.81,52.8302313828396,14.87</t>
  </si>
  <si>
    <t>2025-05-09 11:48:00,666871810.319233,-257915423.986318,400.570000000001,-343,704.543500000003,-323.04,-24.1129390355163,-80.97</t>
  </si>
  <si>
    <t>2025-05-09 11:48:00,13425398.4023487,-126830193.97438,,-402,,-2466.61,2.07077061275166,-72.43</t>
  </si>
  <si>
    <t>2025-05-09 11:48:00,30257647.4034335,-400438.78097019,5.21684320581381,5,-124.295483151651,-153.12,0.0150991789038469,-1.51</t>
  </si>
  <si>
    <t>2025-05-09 11:53:00,580,,,563,580,,563.5,,,,,,,570,564</t>
  </si>
  <si>
    <t>2025-05-09 11:53:00,500,,,486,470,,488,,,,,,,491,488</t>
  </si>
  <si>
    <t>2025-05-09 11:53:00,5700,,5700,,,5800,5660,,,,,,,5590,5570</t>
  </si>
  <si>
    <t>2025-05-09 11:53:00,20050,,,19800,19500,,20050,,,,,,,20200,19800</t>
  </si>
  <si>
    <t>2025-05-09 11:53:00,1036697216.59584,-1609875966.35077,0,0,0,0,0,0</t>
  </si>
  <si>
    <t>2025-05-09 11:53:00,666206103.850209,-284034487.747807,0,0,0,0,0,0</t>
  </si>
  <si>
    <t>2025-05-09 11:53:00,13428549.7182867,-128287450.253089,,0,,0,0,0</t>
  </si>
  <si>
    <t>2025-05-09 11:53:00,30252885.0037244,-401632.211354546,0,0,0,0,0,0</t>
  </si>
  <si>
    <t>2025-05-09 11:54:00,580,,,563,580,,563.5,,564,,,567,560,570,564</t>
  </si>
  <si>
    <t>2025-05-09 11:54:00,500,,,486,470,,488,,,487,,492,486,491,488</t>
  </si>
  <si>
    <t>2025-05-09 11:54:00,,5500,5700,,,5800,5660,,,,,5700,5600,5590,5650</t>
  </si>
  <si>
    <t>2025-05-09 11:54:00,20050,,,19800,19500,,20050,,,,,20200,19800,20475,19800</t>
  </si>
  <si>
    <t>2025-05-09 11:54:00,1024181533.93529,-1542195530.67813,1515.1295093795,3074,-14584.9968484849,-15632.29,410.004481477929,-4130.24</t>
  </si>
  <si>
    <t>2025-05-09 11:54:00,673829919.871889,-370515574.205515,4708.5227624369,-6003,-2111.67361175028,-10271.92,-563.357320005464,-3051.17</t>
  </si>
  <si>
    <t>2025-05-09 11:54:00,13466247.4482698,-149442438.863862,,-10587,,-68432.03,-4.32805399251494,-2529.47</t>
  </si>
  <si>
    <t>2025-05-09 11:54:00,31876651.0410114,-501710.150311602,-579.462454913607,-284,-19247.8582299679,-5237.96,0.0359196519810106,-62.51</t>
  </si>
  <si>
    <t>2025-05-09 11:55:00,580,,,563,580,,563.5,564,,,,567,560,570,564</t>
  </si>
  <si>
    <t>2025-05-09 11:55:00,500,,,486,470,,488,,,,,492,486,491,488</t>
  </si>
  <si>
    <t>2025-05-09 11:55:00,,5500,5700,,,5800,5660,,,,,5700,5600,5590,5570</t>
  </si>
  <si>
    <t>2025-05-09 11:55:00,20050,,,19800,19500,,20050,,,,,20200,19800,20475,19800</t>
  </si>
  <si>
    <t>2025-05-09 11:55:00,1044509254.56837,-1014749779.16175,11164.9637229437,10163,12661.818847619,13138.8,-15.7497434822978,5110.54</t>
  </si>
  <si>
    <t>2025-05-09 11:55:00,685456934.536808,-228112844.55645,-2709.75079365081,-1829,-4713.99304761907,-2866.77,-217.026199055759,-907.27</t>
  </si>
  <si>
    <t>2025-05-09 11:55:00,11142109.2952252,-142145577.440176,,1095,,9184.52,-3.25271047002519,426.61</t>
  </si>
  <si>
    <t>2025-05-09 11:55:00,32143985.9937995,-472462.987085755,3.17839345839344,-9,104.305952380951,-402.04,0.037287435214271,-3.27</t>
  </si>
  <si>
    <t>2025-05-09 11:56:00,580,,,563,580,,563.5,,564,,,567,560,570,564</t>
  </si>
  <si>
    <t>2025-05-09 11:56:00,500,,,486,470,,488,,,,,492,486,491,488</t>
  </si>
  <si>
    <t>2025-05-09 11:56:00,,5500,5700,,,5800,5660,,,,,5700,5600,5590,5570</t>
  </si>
  <si>
    <t>2025-05-09 11:56:00,20050,,,19800,19500,,20050,,,,,20200,19800,20475,19800</t>
  </si>
  <si>
    <t>2025-05-09 11:56:00,1008816219.16629,-1163054707.41138,977.466666666666,-2099,-160.82123809524,-3030.2,-189.989028975301,-1271.13</t>
  </si>
  <si>
    <t>2025-05-09 11:56:00,658686020.123352,-366243822.40485,182.889743589743,215,-63.6753846153842,177.09,70.7590517567705,91.99</t>
  </si>
  <si>
    <t>2025-05-09 11:56:00,12564764.1990726,-149651730.99234,,-400,,-2751.64,-0.729649297447652,-111.5</t>
  </si>
  <si>
    <t>2025-05-09 11:56:00,31603423.6065133,-511593.695000662,-2.01010101010102,-4,-38.2202020202022,-82.8,-0.00837267980192067,-1.08</t>
  </si>
  <si>
    <t>2025-05-09 11:57:00,580,,,563,580,,563.5,,,,,567,560,570,564</t>
  </si>
  <si>
    <t>2025-05-09 11:57:00,500,,,486,470,,488,,,,,492,486,491,488</t>
  </si>
  <si>
    <t>2025-05-09 11:57:00,,5500,,5650,,5800,5660,,,,,5700,5600,5590,5570</t>
  </si>
  <si>
    <t>2025-05-09 11:57:00,20050,,,19800,19500,,20050,,,,,20200,19800,20475,19800</t>
  </si>
  <si>
    <t>2025-05-09 11:57:00,950624141.23842,-1900392160.83997,-4503.48888888889,-2721,-6640.36511111111,-1425.21,93.9761216839993,-253.65</t>
  </si>
  <si>
    <t>2025-05-09 11:57:00,622418867.785854,-639322673.163502,-1596.53296918767,-1852,-2216.05818067227,-2333.58,-83.5364914980106,-854.31</t>
  </si>
  <si>
    <t>2025-05-09 11:57:00,11393044.182581,-170066999.599776,,-94,,-470.81,-2.45496675359737,-8.71</t>
  </si>
  <si>
    <t>2025-05-09 11:57:00,31510613.1461248,-545952.216499927,4.19710622710623,3,81.2331798534799,68.12,0.00635557766557673,0.84</t>
  </si>
  <si>
    <t>2025-05-09 11:59:00,580,,,563,580,,563.5,,,,,567,560,570,564</t>
  </si>
  <si>
    <t>2025-05-09 11:59:00,500,,,486,470,,488,,,,,492,486,491,488</t>
  </si>
  <si>
    <t>2025-05-09 11:59:00,,5500,,5650,,5800,5660,,,,,5700,5600,5590,5570</t>
  </si>
  <si>
    <t>2025-05-09 11:59:00,20050,,,19800,19500,,20050,,,,,20200,19800,20475,19800</t>
  </si>
  <si>
    <t>2025-05-09 11:59:00,945664150.833366,-2239457591.19586,961.512409812411,484,-16.1201053391016,-555.55,190.982737290033,-48.7</t>
  </si>
  <si>
    <t>2025-05-09 11:59:00,615582163.557202,-475828885.642226,-695.080823680824,-143,-492.442078507079,-266.45,34.8028005740288,22.71</t>
  </si>
  <si>
    <t>2025-05-09 11:59:00,10961265.2302143,-173370705.078831,,-181,,-811.02,-5.03528393033641,-20.82</t>
  </si>
  <si>
    <t>2025-05-09 11:59:00,31231766.5023704,-564664.638357375,-14.1915598290598,-9,-640.48946474359,-468.26,0.00612455463292199,-4.55</t>
  </si>
  <si>
    <t>2025-05-09 12:00:00,580,,,563,580,,563.5,,,,,567,560,570,564</t>
  </si>
  <si>
    <t>2025-05-09 12:00:00,500,,,486,470,,488,,,,,492,486,491,488</t>
  </si>
  <si>
    <t>2025-05-09 12:00:00,,5500,,5650,,5800,5660,,,,,5700,5600,5590,5570</t>
  </si>
  <si>
    <t>2025-05-09 12:00:00,20050,,,19800,19500,,20050,,,,,20200,19800,20475,19800</t>
  </si>
  <si>
    <t>2025-05-09 12:00:00,927209606.265817,-2476336758.58444,1990.15476190476,1722,1954.01380952381,2234.82,-96.622008327764,893.8</t>
  </si>
  <si>
    <t>2025-05-09 12:00:00,628527046.352896,-544987692.14527,57.398148148148,-261,-266.163796296297,-403.96,-28.498243751526,-108.83</t>
  </si>
  <si>
    <t>2025-05-09 12:00:00,10135827.9206484,-175668062.465483,,37,,-249.7,1.88903397497786,0.5</t>
  </si>
  <si>
    <t>2025-05-09 12:00:00,30958640.3411713,-577646.879163139,1.14444444444445,-2,6.80922222222231,52.3,-0.0127993889737595,-0.0800000000000001</t>
  </si>
  <si>
    <t>2025-05-09 12:01:00,580,,,563,580,,563.5,,,,,567,560,570,564</t>
  </si>
  <si>
    <t>2025-05-09 12:01:00,500,,,486,470,,488,,,,,492,486,491,488</t>
  </si>
  <si>
    <t>2025-05-09 12:01:00,,5500,,5650,,5800,5660,,,,,5700,5600,5590,5570</t>
  </si>
  <si>
    <t>2025-05-09 12:01:00,20050,,,19800,19500,,20050,,,,,20200,19800,20475,19800</t>
  </si>
  <si>
    <t>2025-05-09 12:01:00,912438891.408755,-2289550448.34374,-1780.90909090909,-1107,-3188.98848484848,-3121.75,-64.1695656271089,-1190.17</t>
  </si>
  <si>
    <t>2025-05-09 12:01:00,631175201.140976,-575575103.917596,-599.556195044758,-770,-277.681214080459,-533.91,9.25548498194314,-192.78</t>
  </si>
  <si>
    <t>2025-05-09 12:01:00,10970152.2189865,-179075335.852196,,-969,,-7306.51,-2.2191972942298,-266</t>
  </si>
  <si>
    <t>2025-05-09 12:01:00,31138175.5526921,-566119.532687637,-18.8531279178338,-13,-496.069862745098,-309.92,0.0179801768824224,-3.35</t>
  </si>
  <si>
    <t>2025-05-09 12:02:00,580,,,563,580,,563.5,,,,,567,560,570,564</t>
  </si>
  <si>
    <t>2025-05-09 12:02:00,500,,,486,470,,488,,,,,492,486,491,488</t>
  </si>
  <si>
    <t>2025-05-09 12:02:00,,5500,,5650,,5800,5660,,,,,5700,5600,5590,5650</t>
  </si>
  <si>
    <t>2025-05-09 12:02:00,20050,,,19800,19500,,20050,,,,,20200,19800,20475,19800</t>
  </si>
  <si>
    <t>2025-05-09 12:02:00,966544909.064052,-1997137533.08876,-2334.69087301587,-7388,-2243.13998412698,-5764.7,-269.830077824397,-2492.71</t>
  </si>
  <si>
    <t>2025-05-09 12:02:00,636978336.565095,-498092964.644809,-985,-1204,-1522.67,-1723.46,34.0033652726944,-638.3</t>
  </si>
  <si>
    <t>2025-05-09 12:02:00,11708186.6042209,-164408650.7646,,-562,,-5363.58,4.34430452184645,-226.47</t>
  </si>
  <si>
    <t>2025-05-09 12:02:00,31600575.0694236,-520766.847978466,-8.58893939393939,-15,-263.004275757575,-349.22,-0.00971086371983204,-3.87</t>
  </si>
  <si>
    <t>2025-05-09 12:03:00,580,,,563,580,,563.5,,,,,567,560,570,564</t>
  </si>
  <si>
    <t>2025-05-09 12:03:00,500,,,486,470,,488,,,,,492,486,491,488</t>
  </si>
  <si>
    <t>2025-05-09 12:03:00,,5500,,5650,,5800,5660,,,,,5700,5600,5590,5650</t>
  </si>
  <si>
    <t>2025-05-09 12:03:00,20050,,,19800,19500,,20050,,,,,20200,19800,20475,19800</t>
  </si>
  <si>
    <t>2025-05-09 12:03:00,914048899.677052,-2602673533.58012,-2282.14841269842,-4585,-734.652920634926,-1507.76,-139.088680718369,-909.84</t>
  </si>
  <si>
    <t>2025-05-09 12:03:00,644517617.290307,-485169494.930197,367.17188940092,-321,998.373732718894,505.48,-32.8811730855081,-62.61</t>
  </si>
  <si>
    <t>2025-05-09 12:03:00,9254968.27240734,-164256093.047479,,-236,,92.0099999999999,-3.71254091902476,-39.58</t>
  </si>
  <si>
    <t>2025-05-09 12:03:00,29310819.2025915,-534415.097792804,8.99113237826002,-3,270.598499732182,196.71,-0.00928399553411454,1.88</t>
  </si>
  <si>
    <t>2025-05-09 12:04:00,580,,,563,580,,563.5,,,,,567,560,570,564</t>
  </si>
  <si>
    <t>2025-05-09 12:04:00,500,,,486,470,,488,,,,,492,486,491,488</t>
  </si>
  <si>
    <t>2025-05-09 12:04:00,,5500,,5650,,5800,5660,,,,,5700,5600,5590,5650</t>
  </si>
  <si>
    <t>2025-05-09 12:04:00,20050,,,19800,19500,,20050,,,,,20200,19800,20475,19800</t>
  </si>
  <si>
    <t>2025-05-09 12:04:00,939735857.713551,-2783287176.21239,-846.557142857142,-954,-451.742761904761,-350.19,-39.3412173765188,-117.92</t>
  </si>
  <si>
    <t>2025-05-09 12:04:00,626344387.248548,-790723661.282682,-1016.25882352941,-806,-1070.56954901961,-808.92,45.8625222981443,-331.5</t>
  </si>
  <si>
    <t>2025-05-09 12:04:00,11650239.5950255,-168517741.507891,,-305,,-3235.06,-1.67063162094358,-111.95</t>
  </si>
  <si>
    <t>2025-05-09 12:04:00,29592419.2904722,-501745.516552594,-0.58878205128205,-6,-57.5378525641025,-203.1,-0.00446517573864433,-2.26</t>
  </si>
  <si>
    <t>2025-05-09 12:05:00,580,,,563,580,,563.5,,,,,567,560,570,564</t>
  </si>
  <si>
    <t>2025-05-09 12:05:00,500,,,486,470,,488,,,,,492,486,491,488</t>
  </si>
  <si>
    <t>2025-05-09 12:05:00,,5500,5700,,,5800,5660,,,,,5700,5600,5590,5650</t>
  </si>
  <si>
    <t>2025-05-09 12:05:00,20050,,,19800,19500,,20050,,,,,20200,19800,20475,19800</t>
  </si>
  <si>
    <t>2025-05-09 12:05:00,906239739.92838,-2413440739.39389,742.8,1407,608.906000000001,1769.04,-37.1067735209221,712.23</t>
  </si>
  <si>
    <t>2025-05-09 12:05:00,648806716.679306,-533467583.298988,532.083333333333,124,114.644999999998,369.01,-7.07944258254312,166.72</t>
  </si>
  <si>
    <t>2025-05-09 12:05:00,9597639.15865875,-163078024.843105,,632,,3824.73,0.674288036384505,199.09</t>
  </si>
  <si>
    <t>2025-05-09 12:05:00,29503728.8935629,-510462.557367011,14.3921008403361,21,90.4585344537812,153.15,0.00636850084953671,1.68</t>
  </si>
  <si>
    <t>2025-05-09 12:06:00,580,,,563,580,,563.5,,,563,,567,560,570,564</t>
  </si>
  <si>
    <t>2025-05-09 12:06:00,500,,,486,470,,488,,,,,492,486,491,488</t>
  </si>
  <si>
    <t>2025-05-09 12:06:00,,5500,,5650,,5800,5660,,,,5650,5700,5600,5590,5650</t>
  </si>
  <si>
    <t>2025-05-09 12:06:00,20050,,,19800,19500,,20050,,,,,20200,19800,20475,19800</t>
  </si>
  <si>
    <t>2025-05-09 12:06:00,828151704.509092,-3286467161.07452,-4243.21341991342,-4808,-6013.64168326118,-4459.96,-515.055167429682,-1799.87</t>
  </si>
  <si>
    <t>2025-05-09 12:06:00,598602478.91093,-885930997.090267,3.77803379416264,758,-378.521587301588,646.63,-1.98537974020173,215.72</t>
  </si>
  <si>
    <t>2025-05-09 12:06:00,7890096.17310445,-184220658.129752,,331,,-4137.43,-0.0359988616666517,-98.8000000000001</t>
  </si>
  <si>
    <t>2025-05-09 12:06:00,28740678.6044438,-625798.134148679,-44.9670608279228,-25,-531.645061246949,-241.21,0.0227102423552769,-3</t>
  </si>
  <si>
    <t>2025-05-09 12:07:00,580,,,563,580,,563.5,,,,,567,560,570,564</t>
  </si>
  <si>
    <t>2025-05-09 12:07:00,500,,,486,470,,488,,,,,492,486,491,488</t>
  </si>
  <si>
    <t>2025-05-09 12:07:00,,5500,,5650,,5800,5660,,,,,5700,5600,5590,5650</t>
  </si>
  <si>
    <t>2025-05-09 12:07:00,20050,,,19800,19500,,20050,,,,,20200,19800,20475,19800</t>
  </si>
  <si>
    <t>2025-05-09 12:07:00,923924471.11265,-2174632935.20632,8581.67564935063,6298,8330.87709199132,5803.78,-29.7752694979965,2420.01</t>
  </si>
  <si>
    <t>2025-05-09 12:07:00,645870258.66802,-795513935.155664,1556.69047619048,2237,386.041547619055,1793.37,17.9598218986061,828.64</t>
  </si>
  <si>
    <t>2025-05-09 12:07:00,10158800.9934085,-168284726.948407,,746,,7727.21,-0.137372203521662,347.76</t>
  </si>
  <si>
    <t>2025-05-09 12:07:00,29014299.4246857,-537020.526770695,7.57142857142856,-5,-78.9785714285717,-98,0.00506064293756397,-1.11</t>
  </si>
  <si>
    <t>2025-05-09 12:08:00,580,,,563,580,,563.5,,,,,567,560,570,564</t>
  </si>
  <si>
    <t>2025-05-09 12:08:00,500,,,486,470,,488,,,,,492,486,491,488</t>
  </si>
  <si>
    <t>2025-05-09 12:08:00,,5500,,5650,,5800,5660,,,,,5700,5600,5590,5650</t>
  </si>
  <si>
    <t>2025-05-09 12:08:00,20050,,,19800,19500,,20050,,,,,20200,19800,20475,19800</t>
  </si>
  <si>
    <t>2025-05-09 12:08:00,904985986.706985,-2441430652.11039,-520.232683982684,-1560,-542.226426406925,-1016.75,67.191762380542,-510.8</t>
  </si>
  <si>
    <t>2025-05-09 12:08:00,614197807.432961,-736157431.057125,421.079243095087,53,570.060751001474,322.64,6.46240148663621,76.4</t>
  </si>
  <si>
    <t>2025-05-09 12:08:00,9884901.46248201,-173035034.242303,,-461,,-2702.98,1.01977721318507,-116.51</t>
  </si>
  <si>
    <t>2025-05-09 12:08:00,29716123.1599825,-573773.896937632,7.09555555555555,10,47.6023555555553,57.02,0.00833348123128631,0.89</t>
  </si>
  <si>
    <t>2025-05-09 12:09:00,580,,,563,580,,563.5,,,,,567,560,570,564</t>
  </si>
  <si>
    <t>2025-05-09 12:09:00,500,,,486,470,,488,,,,,492,486,491,488</t>
  </si>
  <si>
    <t>2025-05-09 12:09:00,,5500,,5650,,5800,5660,,,,,5700,5600,5590,5650</t>
  </si>
  <si>
    <t>2025-05-09 12:09:00,20050,,,19800,19500,,20050,,,,,20200,19800,20475,19800</t>
  </si>
  <si>
    <t>2025-05-09 12:09:00,915388361.362563,-1196658639.5407,2345.2619047619,2000,3158.19119047619,2709.98,-37.796942162731,1072.63</t>
  </si>
  <si>
    <t>2025-05-09 12:09:00,631967510.993397,-474112310.583066,643.340740740742,924,689.70790740741,929.57,-41.1498750342055,373.95</t>
  </si>
  <si>
    <t>2025-05-09 12:09:00,11265932.961726,-169961728.867158,,763,,4108.84,1.49204536822551,203.5</t>
  </si>
  <si>
    <t>2025-05-09 12:09:00,30527458.2232371,-562542.334980753,-5.89928571428573,-15,-358.397507142858,-206.59,0.000748449403911656,-2.45</t>
  </si>
  <si>
    <t>2025-05-09 12:10:00,580,,,563,580,,563.5,,564,,,567,560,570,564</t>
  </si>
  <si>
    <t>2025-05-09 12:10:00,500,,,486,470,,488,,,,,492,486,491,488</t>
  </si>
  <si>
    <t>2025-05-09 12:10:00,5700,,,5650,,5800,5660,,,,,5700,5600,5590,5650</t>
  </si>
  <si>
    <t>2025-05-09 12:10:00,20050,,,19800,19500,,20050,,,,,20200,19800,20475,19800</t>
  </si>
  <si>
    <t>2025-05-09 12:10:00,1027601770.70278,-904586914.697761,-11562.1023809523,-5395,-16616.9015238095,-10822.38,-397.091577374441,-4297.72</t>
  </si>
  <si>
    <t>2025-05-09 12:10:00,657397916.163576,-255856384.994932,-438.833753501401,-1009,-766.733082633055,-1865.53,66.9834012189345,-622.99</t>
  </si>
  <si>
    <t>2025-05-09 12:10:00,13117590.5247214,-164627270.261853,,-1660,,-8529.56,-2.63148455767035,-374.17</t>
  </si>
  <si>
    <t>2025-05-09 12:10:00,31758736.0192332,-519420.193739939,-9.58906926406926,-4,-195.259485930736,-111.85,0.00147431606831866,-1.34</t>
  </si>
  <si>
    <t>2025-05-09 12:11:00,580,,,,580,,563.5,,564,,,567,560,570,564</t>
  </si>
  <si>
    <t>2025-05-09 12:11:00,500,,,486,470,,488,,,,,492,486,491,488</t>
  </si>
  <si>
    <t>2025-05-09 12:11:00,5700,,5700,,,5800,5660,,,,,5700,5600,5590,5650</t>
  </si>
  <si>
    <t>2025-05-09 12:11:00,20050,,,19800,19500,,20050,,,,,20200,19800,20475,19800</t>
  </si>
  <si>
    <t>2025-05-09 12:11:00,1192500048.13759,1079693367.83485,4017.10915750916,3301,1020.7948962149,-2590.76,-307.412938186958,-647.84</t>
  </si>
  <si>
    <t>2025-05-09 12:11:00,722671081.557694,135366581.676829,124.315261799133,184,-366.67146301727,-1540.3,-120.363813001304,-394.75</t>
  </si>
  <si>
    <t>2025-05-09 12:11:00,15592886.1266385,-122040696.981634,,1524,,11384.39,1.71856484635219,470.52</t>
  </si>
  <si>
    <t>2025-05-09 12:11:00,32832562.3167525,-389388.934557076,-36.0163492063492,-13,-1254.0191531746,-323.72,-0.0511960649257719,-5</t>
  </si>
  <si>
    <t>2025-05-09 12:12:00,580,,,,580,,563.5,,564,,,567,560,570,564</t>
  </si>
  <si>
    <t>2025-05-09 12:12:00,500,,,486,470,,488,,,,,492,486,491,488</t>
  </si>
  <si>
    <t>2025-05-09 12:12:00,,5500,5700,,,5800,5660,,,,,5700,5600,5590,5650</t>
  </si>
  <si>
    <t>2025-05-09 12:12:00,20050,,,19800,19500,,20050,,,,,20200,19800,20475,19800</t>
  </si>
  <si>
    <t>2025-05-09 12:12:00,1103520168.56016,729807146.279536,-11563.0332112332,-5480,-14373.2792466422,-9928.57999999999,-288.049370759117,-4008.53</t>
  </si>
  <si>
    <t>2025-05-09 12:12:00,686258667.97413,153883908.148416,-328.664210526316,-722,-989.098247619049,-967.51,-23.5366950383019,-472.31</t>
  </si>
  <si>
    <t>2025-05-09 12:12:00,14256547.6664513,-128043839.815218,,-1796,,-12479.4,0.198460928192931,-613.33</t>
  </si>
  <si>
    <t>2025-05-09 12:12:00,31859169.6336466,-380508.624490348,39.0217898110662,22,1843.24712603384,771.46,0.0201878428390676,7.89</t>
  </si>
  <si>
    <t>2025-05-09 12:13:00,580,,,563,580,,563.5,,,,,567,560,570,564</t>
  </si>
  <si>
    <t>2025-05-09 12:13:00,500,,,486,470,,488,,,,,492,486,491,488</t>
  </si>
  <si>
    <t>2025-05-09 12:13:00,,5500,5700,,,5800,5660,,,,,5700,5600,5590,5650</t>
  </si>
  <si>
    <t>2025-05-09 12:13:00,20050,,,19800,19500,,20050,,,,,20200,19800,20475,19800</t>
  </si>
  <si>
    <t>2025-05-09 12:13:00,1045358698.43791,-1116079730.1297,-260.123015873016,-3668,-1141.40257936508,-4370.68,-294.998037140145,-1825.6</t>
  </si>
  <si>
    <t>2025-05-09 12:13:00,652124608.039267,-392886917.381341,-809.580952380958,-1519,-1073.80357142858,-1238.77,-65.6459700266814,-524.32</t>
  </si>
  <si>
    <t>2025-05-09 12:13:00,12960538.1605594,-137590096.048592,,-996,,-4184.14,-1.50669592898378,-224.02</t>
  </si>
  <si>
    <t>2025-05-09 12:13:00,31092509.1764823,-438336.602081226,-4.48394383394383,-9,-62.1642799145298,-23.32,0.00265068495115532,-0.86</t>
  </si>
  <si>
    <t>2025-05-09 12:14:00,580,,,563,580,,563.5,564,,,,567,560,570,564</t>
  </si>
  <si>
    <t>2025-05-09 12:14:00,500,,,486,470,,488,,,,,492,486,491,488</t>
  </si>
  <si>
    <t>2025-05-09 12:14:00,,5500,5700,,,5800,5660,,,,,5700,5600,5590,5650</t>
  </si>
  <si>
    <t>2025-05-09 12:14:00,20050,,,19800,19500,,20050,,,,,20200,19800,20475,19800</t>
  </si>
  <si>
    <t>2025-05-09 12:14:00,1033795621.043,-704078312.480508,8466.02142857143,4734,9200.69195238096,5472.76,347.747010767676,2251.77</t>
  </si>
  <si>
    <t>2025-05-09 12:14:00,687981256.086025,-498141217.471845,805.505882352941,517,916.528529411765,511.39,-6.48596645637692,211.03</t>
  </si>
  <si>
    <t>2025-05-09 12:14:00,12393529.2454942,-134072056.036179,,-4,,348.64,0.631154704602816,-17.89</t>
  </si>
  <si>
    <t>2025-05-09 12:14:00,29991862.9246449,-410373.98432174,17.0014121843069,13,377.481246433392,423.81,0.00932300285254736,3.99</t>
  </si>
  <si>
    <t>2025-05-09 12:15:00,580,,,563,580,,563.5,,,,,567,560,570,564</t>
  </si>
  <si>
    <t>2025-05-09 12:15:00,500,,,486,470,,488,,,,,492,486,491,488</t>
  </si>
  <si>
    <t>2025-05-09 12:15:00,,5500,,5650,,5800,5660,,,,,5700,5600,5590,5650</t>
  </si>
  <si>
    <t>2025-05-09 12:15:00,20050,,,19800,19500,,20050,,,,,20200,19800,20475,19800</t>
  </si>
  <si>
    <t>2025-05-09 12:15:00,918949569.71624,-1239626421.98863,-1733.68322510824,-3047,-2223.18202380954,-1363.75,-212.855759675437,-523.41</t>
  </si>
  <si>
    <t>2025-05-09 12:15:00,577959795.821418,-736212064.846761,-1942.36641414141,-2176,-1943.18550252525,-2385.97,0.849623513944392,-1004.41</t>
  </si>
  <si>
    <t>2025-05-09 12:15:00,10503032.187378,-167871224.219115,,-177,,-6722.32,9.05007829059821,-323.53</t>
  </si>
  <si>
    <t>2025-05-09 12:15:00,29423804.9701966,-514749.242220794,15.7639097744361,14,590.57630075188,340.9,-0.00731347218443377,3.91</t>
  </si>
  <si>
    <t>2025-05-09 12:16:00,580,,,,580,,563.5,,,,,567,560,570,564</t>
  </si>
  <si>
    <t>2025-05-09 12:16:00,500,,,486,470,,488,,,,,492,486,491,488</t>
  </si>
  <si>
    <t>2025-05-09 12:16:00,5700,,5700,,,5800,5660,,,,,5700,5600,5590,5650</t>
  </si>
  <si>
    <t>2025-05-09 12:16:00,20050,,,19800,19500,,20050,,,,,20200,19800,20475,19800</t>
  </si>
  <si>
    <t>2025-05-09 12:16:00,1082391545.77134,1241076461.77921,717.120634920633,1089,842.364730158722,2792.06,-12.6015193914773,1206.11</t>
  </si>
  <si>
    <t>2025-05-09 12:16:00,659604040.369284,-128991366.594073,-815.637316972242,-819,-724.038336595999,-820.32,44.3854220606435,-347.9</t>
  </si>
  <si>
    <t>2025-05-09 12:16:00,14691756.0040756,-138185104.335039,,-602,,-3198.26,-2.15189097205332,-124.31</t>
  </si>
  <si>
    <t>2025-05-09 12:16:00,32069907.5319004,-476499.886416633,5.57936507936505,-8,221.023214285713,317.35,0.00481154435750472,2.1</t>
  </si>
  <si>
    <t>2025-05-09 12:17:00,580,,,,580,,563.5,564,,,,567,560,570,564</t>
  </si>
  <si>
    <t>2025-05-09 12:17:00,500,,,486,470,,488,,,,,492,486,491,488</t>
  </si>
  <si>
    <t>2025-05-09 12:17:00,5700,,5700,,,5800,5660,,,,,5700,5600,5590,5650</t>
  </si>
  <si>
    <t>2025-05-09 12:17:00,20050,,,19800,19500,,20050,,,,,20200,19800,20475,19800</t>
  </si>
  <si>
    <t>2025-05-09 12:17:00,1175282505.68297,400446642.943442,6609.42181818182,4736,6717.36108484848,3893.69,40.9214335293623,1892.24</t>
  </si>
  <si>
    <t>2025-05-09 12:17:00,718721216.718452,-186019304.836796,245.974948240166,116,63.4742753623183,-292.53,47.2000458659096,-83.73</t>
  </si>
  <si>
    <t>2025-05-09 12:17:00,14827014.7545963,-131934028.922788,,131,,-1220.84,-0.716334782071737,-40.17</t>
  </si>
  <si>
    <t>2025-05-09 12:17:00,32635458.366231,-405507.164558795,-14.7636363636363,-13,-507.385604329004,-404.6,0.00162471684659839,-4.32</t>
  </si>
  <si>
    <t>2025-05-09 12:18:00,580,,,,580,,563.5,564,,,,567,560,570,564</t>
  </si>
  <si>
    <t>2025-05-09 12:18:00,500,,,486,470,,488,,,,,492,486,491,488</t>
  </si>
  <si>
    <t>2025-05-09 12:18:00,5700,,5700,,,5800,5660,,,,,5700,5600,5590,5650</t>
  </si>
  <si>
    <t>2025-05-09 12:18:00,20050,,,19800,19500,,20050,,,,,20200,19800,20475,19800</t>
  </si>
  <si>
    <t>2025-05-09 12:18:00,1190563962.57108,1631069402.82841,1036.78095238095,242,1458.76247619047,1366.66,226.007386605292,596.83</t>
  </si>
  <si>
    <t>2025-05-09 12:18:00,699568360.054789,61548126.6706438,-531.976190476186,-144,-2120.15999999999,-1043.84,-28.1628558330926,-246.21</t>
  </si>
  <si>
    <t>2025-05-09 12:18:00,16658030.0560053,-111339893.291105,,28,,-1930.39,-0.909416019836155,-41.92</t>
  </si>
  <si>
    <t>2025-05-09 12:18:00,33085330.3950413,-369885.322440628,-11.7754166666667,-10,-298.334154166667,-335.11,0.0220724808339792,-3.96</t>
  </si>
  <si>
    <t>2025-05-09 12:19:00,580,,,,580,,563.5,,,,,567,560,570,564</t>
  </si>
  <si>
    <t>2025-05-09 12:19:00,500,,,486,470,,488,,,,,492,486,491,488</t>
  </si>
  <si>
    <t>2025-05-09 12:19:00,5700,,5700,,,5800,5660,,,,,5700,5600,5590,5650</t>
  </si>
  <si>
    <t>2025-05-09 12:19:00,20050,,,19800,19500,,20050,,,,,20200,19800,20475,19800</t>
  </si>
  <si>
    <t>2025-05-09 12:19:00,1200393454.14428,1516486284.61894,-1029.89956709957,-651,195.986450216451,-752.97,-228.418007906249,-351.29</t>
  </si>
  <si>
    <t>2025-05-09 12:19:00,694236396.470243,144825137.413869,-40.8537037037041,3,-18.9043148148157,-141.46,48.5440982563122,-8.09000000000001</t>
  </si>
  <si>
    <t>2025-05-09 12:19:00,17247171.3812679,-105189442.461434,,276,,1871.95,-2.26046491406336,124.14</t>
  </si>
  <si>
    <t>2025-05-09 12:19:00,32826838.4273156,-385495.65385342,-8.60432900432901,-10,-260.410238095238,-361.15,0.0218207041286271,-1.65</t>
  </si>
  <si>
    <t>2025-05-09 12:20:00,580,,,563,580,,563.5,,,,,567,560,570,564</t>
  </si>
  <si>
    <t>2025-05-09 12:20:00,500,,,486,470,,488,,,,,492,486,491,488</t>
  </si>
  <si>
    <t>2025-05-09 12:20:00,,5500,5700,,,5800,5660,,,,,5700,5600,5590,5650</t>
  </si>
  <si>
    <t>2025-05-09 12:20:00,20050,,,19800,19500,,20050,,,,,20200,19800,20475,19800</t>
  </si>
  <si>
    <t>2025-05-09 12:20:00,1045238513.399,-494217137.991811,3891.00714285714,994,5462.26457142857,1680.1,154.807525209981,689.37</t>
  </si>
  <si>
    <t>2025-05-09 12:20:00,712819461.853128,-517092634.406809,1694.78850574712,1013,1525.75362068965,1008.53,-30.8587054060872,387.04</t>
  </si>
  <si>
    <t>2025-05-09 12:20:00,12248639.9848346,-125202115.363497,,86,,3411.13,0.818784775261374,74.64</t>
  </si>
  <si>
    <t>2025-05-09 12:20:00,31457015.226264,-411588.096980654,-17.2175605258939,-18,-261.293278860029,-227.94,0.0243102678163415,-2.99</t>
  </si>
  <si>
    <t>2025-05-09 12:21:00,580,,,,580,,563.5,,,,,567,560,570,564</t>
  </si>
  <si>
    <t>2025-05-09 12:21:00,500,,,486,470,,488,,,,,492,486,491,488</t>
  </si>
  <si>
    <t>2025-05-09 12:21:00,5700,,5700,,,5800,5660,,,,,5700,5600,5590,5650</t>
  </si>
  <si>
    <t>2025-05-09 12:21:00,20050,,,19800,19500,,20050,,,,,20200,19800,20475,19800</t>
  </si>
  <si>
    <t>2025-05-09 12:21:00,1128587967.03353,768819053.714855,-5396.6411369929,-3088,-5450.87654517274,-3632,18.0561691183284,-1483.18</t>
  </si>
  <si>
    <t>2025-05-09 12:21:00,652185272.727955,-231231155.527018,-4174.13732718895,-2292,-4404.08944393242,-2090.19,67.6679513316917,-821.91</t>
  </si>
  <si>
    <t>2025-05-09 12:21:00,13470215.5090729,-137188698.32148,,-869,,-5683.05,-0.149709944288483,-304.79</t>
  </si>
  <si>
    <t>2025-05-09 12:21:00,32242335.6632137,-454204.879980906,2.58556998556999,2,-50.1374476911977,-120.75,0.00372744439524365,-0.88</t>
  </si>
  <si>
    <t>2025-05-09 12:22:00,580,,,563,580,,564.5,,,,,567,560,570,564</t>
  </si>
  <si>
    <t>2025-05-09 12:22:00,500,,,486,470,,488,,,,,492,486,491,488</t>
  </si>
  <si>
    <t>2025-05-09 12:22:00,,5500,,5650,,5800,5660,,,,,5700,5600,5590,5650</t>
  </si>
  <si>
    <t>2025-05-09 12:22:00,20050,,,19800,19500,,20050,,,,,20200,19800,20475,19800</t>
  </si>
  <si>
    <t>2025-05-09 12:22:00,211441867.652087,-16683492999.8943,579.955718954388,-2947,-1058.06360457506,-3446.27,476.694549653411,-1699.66</t>
  </si>
  <si>
    <t>2025-05-09 12:22:00,299450436.679808,-4721146724.61825,2357.528320802,140,453.42636340852,-1281.61,17.5124577912111,-146.45</t>
  </si>
  <si>
    <t>2025-05-09 12:22:00,-12724050.1355369,-357107121.724448,,299,,2603.87,-1.44955174331388,158.54</t>
  </si>
  <si>
    <t>2025-05-09 12:22:00,30042338.0519564,-604310.647566062,-6.783720821662,-7,-478.750572362278,-337.06,-0.0080362813559741,-3.22</t>
  </si>
  <si>
    <t>2025-05-09 12:23:00,580,,,563,580,,563.5,,,,,567,560,570,564</t>
  </si>
  <si>
    <t>2025-05-09 12:23:00,500,,,486,470,,488,488,,,,492,486,491,488</t>
  </si>
  <si>
    <t>2025-05-09 12:23:00,,5500,5700,,,5800,5660,,,5650,,5700,5600,5590,5650</t>
  </si>
  <si>
    <t>2025-05-09 12:23:00,20050,,,19800,19500,,20050,,,,,20200,19800,20475,19800</t>
  </si>
  <si>
    <t>2025-05-09 12:23:00,1056695913.14502,-2382805932.05285,11903.0561745102,14497,4717.04838711777,4755.22,-623.219520030234,3335.87</t>
  </si>
  <si>
    <t>2025-05-09 12:23:00,738521100.218989,-524939948.480473,2751.89113470527,1831,-748.303685058584,-96,-18.7281291438704,487.83</t>
  </si>
  <si>
    <t>2025-05-09 12:23:00,14496158.9187597,-118710264.019813,,1654,,-4930.21,-3.28575086517776,258.05</t>
  </si>
  <si>
    <t>2025-05-09 12:23:00,32183218.7162981,-366122.677392485,-93.2229205589732,-52,-3136.16598635984,-1132.76,-0.112970611897678,-11.34</t>
  </si>
  <si>
    <t>2025-05-09 12:24:00,580,,,,580,,563.5,,564,,,567,560,570,564</t>
  </si>
  <si>
    <t>2025-05-09 12:24:00,500,,,486,470,,488,,,,,492,486,491,488</t>
  </si>
  <si>
    <t>2025-05-09 12:24:00,5700,,5700,,,5800,5660,,,,,5700,5600,5590,5650</t>
  </si>
  <si>
    <t>2025-05-09 12:24:00,20050,,,19800,19500,,20050,,,,,20200,19800,20475,19800</t>
  </si>
  <si>
    <t>2025-05-09 12:24:00,1220183964.51816,2874621126.99502,2323.70045537339,-2802,-185.468195094992,-4015.35,-225.024716230812,-1135.29</t>
  </si>
  <si>
    <t>2025-05-09 12:24:00,645862496.892362,59859012.7206201,-11923.5770833333,-5465,-10320.2140416667,-4513.58,7.92586611963282,-1888.53</t>
  </si>
  <si>
    <t>2025-05-09 12:24:00,14982399.5637553,-119483729.867774,,-1875,,-12742.38,-3.13785013720055,-605.59</t>
  </si>
  <si>
    <t>2025-05-09 12:24:00,31756704.9525651,-454048.167342101,-19.5148318478907,-20,-1386.43410298277,-1161.81,-0.0116408153905854,-9.15</t>
  </si>
  <si>
    <t>2025-05-09 12:25:00,580,,567,,580,,563.5,,,,,567,560,570,564</t>
  </si>
  <si>
    <t>2025-05-09 12:25:00,500,,,486,470,,488,,,,,492,486,491,488</t>
  </si>
  <si>
    <t>2025-05-09 12:25:00,5700,,5700,,,5800,5660,,,,,5700,5600,5590,5650</t>
  </si>
  <si>
    <t>2025-05-09 12:25:00,20050,,,19800,19500,,20050,,,,,20200,19800,20475,19800</t>
  </si>
  <si>
    <t>2025-05-09 12:25:00,1299375266.03361,3975159263.49215,-9420.84155844153,-3845,-9632.11748051946,-3522.67,-522.251678062142,-1540.53</t>
  </si>
  <si>
    <t>2025-05-09 12:25:00,729574497.874565,776192875.480243,263.300658761532,173,150.200743083007,-420.59,22.5344075566705,17.96</t>
  </si>
  <si>
    <t>2025-05-09 12:25:00,15547010.4859184,-88757370.5078459,,-463,,-3323.87,-6.77798634078613,-121.11</t>
  </si>
  <si>
    <t>2025-05-09 12:25:00,32481256.9456264,-387751.952715693,-45.7616324993295,-40,-1070.73249734496,-693.82,0.0697303274262834,-6.77</t>
  </si>
  <si>
    <t>2025-05-09 12:26:00,580,,567,,580,,563.5,,,,,567,560,570,564</t>
  </si>
  <si>
    <t>2025-05-09 12:26:00,500,,,486,470,,488,,,,,492,486,491,488</t>
  </si>
  <si>
    <t>2025-05-09 12:26:00,5700,,5700,,,5800,5660,,,,,5700,5600,5590,5650</t>
  </si>
  <si>
    <t>2025-05-09 12:26:00,20050,,,19800,19500,,20050,,,,,20200,19800,20475,19800</t>
  </si>
  <si>
    <t>2025-05-09 12:26:00,1183568634.56175,4299264436.32547,3648.07640692641,4146,3469.51622077922,2620.96,-117.475912967125,1202.38</t>
  </si>
  <si>
    <t>2025-05-09 12:26:00,742187724.523465,1032643008.47518,-140.690909090908,-219,69.1037012987016,-3.69000000000001,-68.3049997035441,-84.16</t>
  </si>
  <si>
    <t>2025-05-09 12:26:00,15074708.1189467,-83498737.9415791,,-41,,2006.12,5.75398301890472,82.02</t>
  </si>
  <si>
    <t>2025-05-09 12:26:00,33334296.3480094,-380422.869306458,-93.93875,18,181.2186625,440.89,-0.0216866042725063,5.89</t>
  </si>
  <si>
    <t>2025-05-09 12:27:00,580,,,,580,,563.5,,,,,567,560,570,564</t>
  </si>
  <si>
    <t>2025-05-09 12:27:00,500,,,486,470,,488,,,,,492,486,491,488</t>
  </si>
  <si>
    <t>2025-05-09 12:27:00,5700,,5700,,,5800,5660,,,,,5700,5600,5590,5650</t>
  </si>
  <si>
    <t>2025-05-09 12:27:00,20050,,,19800,19500,,20050,,,,,20200,19800,20475,19800</t>
  </si>
  <si>
    <t>2025-05-09 12:27:00,1176631616.84597,410410054.870519,930.333333333334,1735,2429.69738095238,3332.52,78.4363434381484,1312.01</t>
  </si>
  <si>
    <t>2025-05-09 12:27:00,738078175.863965,-175113001.045275,2011.57550358985,1464,2347.56357482051,1833.54,56.2469672879922,669.61</t>
  </si>
  <si>
    <t>2025-05-09 12:27:00,16846176.5409805,-100958253.903235,,1140,,7268.46,-0.93312017628831,331.83</t>
  </si>
  <si>
    <t>2025-05-09 12:27:00,33304988.755816,-375093.596308284,12.3714285714286,15,363.70798015873,492.49,0.0171916047736085,4.98</t>
  </si>
  <si>
    <t>2025-05-09 12:28:00,580,,,,580,,563.5,,,,,567,560,570,564</t>
  </si>
  <si>
    <t>2025-05-09 12:28:00,500,,,486,470,,488,,,,,492,486,491,488</t>
  </si>
  <si>
    <t>2025-05-09 12:28:00,5700,,5700,,,5800,5660,,,,,5700,5600,5590,5650</t>
  </si>
  <si>
    <t>2025-05-09 12:28:00,20050,,,19800,19500,,20050,,,,,20200,19800,20475,19800</t>
  </si>
  <si>
    <t>2025-05-09 12:28:00,1152592917.68416,1378108262.62351,446.226190476188,-2468,1169.59811904762,655.72,-235.293373638385,-13.4899999999999</t>
  </si>
  <si>
    <t>2025-05-09 12:28:00,725744364.217116,87312640.7448087,1391.18604269294,1194,1837.06165845648,1816.3,59.3265832729914,557.45</t>
  </si>
  <si>
    <t>2025-05-09 12:28:00,14618044.5413254,-98889695.9706857,,434,,4108.12,3.65624479744409,157.18</t>
  </si>
  <si>
    <t>2025-05-09 12:28:00,32834983.7509078,-401634.388638774,-1.64393939393939,-2,-10.1134772727272,-23.43,0.000129601570807191,-0.23</t>
  </si>
  <si>
    <t>2025-05-09 12:29:00,580,,,,580,,563.5,,,,,567,560,570,564</t>
  </si>
  <si>
    <t>2025-05-09 12:29:00,500,,,486,470,,488,,,,,492,486,491,488</t>
  </si>
  <si>
    <t>2025-05-09 12:29:00,,5500,5700,,,5800,5660,,,,,5700,5600,5590,5650</t>
  </si>
  <si>
    <t>2025-05-09 12:29:00,20050,,,19800,19500,,20050,,,,,20200,19800,20475,19800</t>
  </si>
  <si>
    <t>2025-05-09 12:29:00,1133351915.57759,850000187.919588,2146.50714285714,2232,2707.74166666666,2471.05,9.83797768168768,1127.2</t>
  </si>
  <si>
    <t>2025-05-09 12:29:00,711010620.41746,-276341281.370404,455.621428571428,-72,246.461999999999,-288.4,-39.1240867058111,-120.14</t>
  </si>
  <si>
    <t>2025-05-09 12:29:00,15673417.1955574,-122094502.149603,,692,,2577.58,-0.583837977776351,166.05</t>
  </si>
  <si>
    <t>2025-05-09 12:29:00,32784016.4948585,-446407.738154846,0.193713450292406,-5,-19.5119883040931,-340.4,-0.00748492827544831,-3.19</t>
  </si>
  <si>
    <t>2025-05-09 12:30:00,580,,,,580,,563.5,,,,,567,560,570,564</t>
  </si>
  <si>
    <t>2025-05-09 12:30:00,500,,,486,470,,488,,,,,492,486,491,488</t>
  </si>
  <si>
    <t>2025-05-09 12:30:00,,5500,5700,,,5800,5660,,,,,5700,5600,5590,5650</t>
  </si>
  <si>
    <t>2025-05-09 12:30:00,20050,,,19800,19500,,20050,,,,,20200,19800,20475,19800</t>
  </si>
  <si>
    <t>2025-05-09 12:30:00,1111616019.30256,930092368.112601,3733.6183982684,4621,3580.48935425686,4052.29,227.159817033259,1881.19</t>
  </si>
  <si>
    <t>2025-05-09 12:30:00,689727201.707032,-208630462.681491,1092.49972970578,593,940.007524060618,437.13,16.9036438095537,180.22</t>
  </si>
  <si>
    <t>2025-05-09 12:30:00,13914384.5254242,-117740604.778081,,404,,3768.28,2.49606754675118,168.03</t>
  </si>
  <si>
    <t>2025-05-09 12:30:00,31931416.5562436,-463275.270929645,5.61556221556223,9,-34.5438704073702,217.9,0.00291096003816815,2.36</t>
  </si>
  <si>
    <t>2025-05-09 12:31:00,580,,,,580,,563.5,,,,,567,560,570,564</t>
  </si>
  <si>
    <t>2025-05-09 12:31:00,500,,,486,470,,488,,,,,492,486,491,488</t>
  </si>
  <si>
    <t>2025-05-09 12:31:00,5700,,,5650,,5800,5660,,5660,,,5700,5600,5590,5650</t>
  </si>
  <si>
    <t>2025-05-09 12:31:00,20050,,,19800,19500,,20050,,,,,20200,19800,20475,19800</t>
  </si>
  <si>
    <t>2025-05-09 12:31:00,992822132.427755,375920728.749839,-16934.4333333333,-6892,-18454.0087619048,-7941.25,-371.433860627005,-3633.54</t>
  </si>
  <si>
    <t>2025-05-09 12:31:00,649171991.257071,-468808803.06885,-3448.77514080901,-3868,-3854.30310803891,-3511.35,-93.4636465988585,-1543.08</t>
  </si>
  <si>
    <t>2025-05-09 12:31:00,14691485.1059671,-151252610.940817,,-2711,,-24203.89,-1.53113306139333,-863.77</t>
  </si>
  <si>
    <t>2025-05-09 12:31:00,31533080.4086011,-557887.229365285,1.86067048893136,-20,-72.2359452142062,-336.26,-0.0357738968803683,-4.4</t>
  </si>
  <si>
    <t>2025-05-09 12:32:00,580,,,,580,,563.5,,,,,567,560,570,564</t>
  </si>
  <si>
    <t>2025-05-09 12:32:00,500,,,486,470,,488,,,,,491,486,491,488</t>
  </si>
  <si>
    <t>2025-05-09 12:32:00,,5500,,5650,,5800,5660,,,,,5700,5600,5590,5650</t>
  </si>
  <si>
    <t>2025-05-09 12:32:00,20050,,,19800,19500,,20050,,,,,20200,19800,20475,19800</t>
  </si>
  <si>
    <t>2025-05-09 12:32:00,1046897902.12419,380088443.120324,278.839743589744,1,58.3776923076923,-793.66,-168.35909654733,-337.21</t>
  </si>
  <si>
    <t>2025-05-09 12:32:00,636659156.430287,-572060485.052959,-197.151806239737,-146,-209.049942528735,-133.25,-11.5331557099927,-68.77</t>
  </si>
  <si>
    <t>2025-05-09 12:32:00,12616577.9325074,-144712422.016789,,-436,,-2415.26,-3.74755717213097,-135.76</t>
  </si>
  <si>
    <t>2025-05-09 12:32:00,31148734.2474922,-531029.204779531,-1.77891414141414,14,-19.2473674242422,161.5,-0.0218084266402805,2.37</t>
  </si>
  <si>
    <t>2025-05-09 12:33:00,580,,,563,580,,563.5,,,,,567,560,570,564</t>
  </si>
  <si>
    <t>2025-05-09 12:33:00,500,,,486,470,,488,,,,,491,486,491,488</t>
  </si>
  <si>
    <t>2025-05-09 12:33:00,5700,,,5650,,5800,5660,,,,,5700,5600,5590,5650</t>
  </si>
  <si>
    <t>2025-05-09 12:33:00,20050,,,19800,19500,,20050,,,,,20200,19800,20475,19800</t>
  </si>
  <si>
    <t>2025-05-09 12:33:00,1021822992.79225,-333409509.758824,2830.75769230769,821,1915.94053846154,83.3799999999999,265.40438943376,71.5200000000001</t>
  </si>
  <si>
    <t>2025-05-09 12:33:00,660347630.609955,-702242915.67258,-270.936507936507,940,-628.211666666666,248.22,23.892820291048,252.92</t>
  </si>
  <si>
    <t>2025-05-09 12:33:00,13135840.7268537,-148879232.284785,,189,,1419.86,4.79296845790189,138.22</t>
  </si>
  <si>
    <t>2025-05-09 12:33:00,32002640.4493497,-529532.153443265,2.63670329670329,-6,-131.566452747253,-259.7,-0.00181064579366387,-2.76</t>
  </si>
  <si>
    <t>2025-05-09 12:34:00,580,,,,580,,563.5,,,,,567,560,570,564</t>
  </si>
  <si>
    <t>2025-05-09 12:34:00,500,,,486,470,,488,,,,,491,486,491,488</t>
  </si>
  <si>
    <t>2025-05-09 12:34:00,5700,,,5650,,5800,5660,,,,,5700,5600,5590,5650</t>
  </si>
  <si>
    <t>2025-05-09 12:34:00,20050,,,19800,19500,,20050,,,,,20200,19800,20475,19800</t>
  </si>
  <si>
    <t>2025-05-09 12:34:00,1109146125.80811,1017055954.51527,1197.19264069264,1109,974.688988095237,1461.77,170.635923255233,654.25</t>
  </si>
  <si>
    <t>2025-05-09 12:34:00,648904016.169626,-437863114.882368,240.33440860215,207,-1391.8246344086,-1370.74,86.2837395303386,-254.17</t>
  </si>
  <si>
    <t>2025-05-09 12:34:00,15281286.0270086,-142999177.051798,,49,,-671.59,0.151043613211165,-30.36</t>
  </si>
  <si>
    <t>2025-05-09 12:34:00,31860446.066193,-484575.04044211,-0.921024531024531,-15,-22.7937945165945,-153.53,-0.0331497796859898,-2.54</t>
  </si>
  <si>
    <t>2025-05-09 12:35:00,580,,,,580,,563.5,,,,,567,560,570,564</t>
  </si>
  <si>
    <t>2025-05-09 12:35:00,500,,,486,470,,488,,,,,491,486,491,488</t>
  </si>
  <si>
    <t>2025-05-09 12:35:00,5700,,,5650,,5800,5660,,,,,5700,5600,5590,5650</t>
  </si>
  <si>
    <t>2025-05-09 12:35:00,20050,,,19800,19500,,20050,,,,,20200,19800,20475,19800</t>
  </si>
  <si>
    <t>2025-05-09 12:35:00,1185725944.28903,2481130473.17274,7858.59920634917,4899,6332.53269841267,3221.41,309.878876253167,1640.4</t>
  </si>
  <si>
    <t>2025-05-09 12:35:00,718391953.968546,153172729.138742,-763.099069512868,451,-633.155541871929,291.47,-33.0921721256119,183.32</t>
  </si>
  <si>
    <t>2025-05-09 12:35:00,17572003.7911412,-115714805.446591,,2345,,49019.97,5.23226977542487,1129.24</t>
  </si>
  <si>
    <t>2025-05-09 12:35:00,32930574.2340801,-383862.863269833,0.49909701515015,7,-496.023828956959,-380.61,0.0226802312976923,-2.63</t>
  </si>
  <si>
    <t>2025-05-09 12:36:00,580,,,,580,,563.5,564,,,,567,560,570,564</t>
  </si>
  <si>
    <t>2025-05-09 12:36:00,500,,,486,470,,488,,,,,491,486,491,488</t>
  </si>
  <si>
    <t>2025-05-09 12:36:00,5700,,5700,,,5800,5660,,,,,5700,5600,5590,5650</t>
  </si>
  <si>
    <t>2025-05-09 12:36:00,20050,,,19800,19500,,20050,,,,,20200,19800,20475,19800</t>
  </si>
  <si>
    <t>2025-05-09 12:36:00,1242625776.99136,3597611504.7123,5903.93412698413,7200,4608.63399206349,5033.77,723.577448391675,2559.38</t>
  </si>
  <si>
    <t>2025-05-09 12:36:00,718888965.447141,298516597.982874,999.334085491817,1087,949.55692441337,654.24,36.957223743144,386.62</t>
  </si>
  <si>
    <t>2025-05-09 12:36:00,18545998.0099894,-103196818.386161,,808,,-678.54,-1.9691038104738,117.73</t>
  </si>
  <si>
    <t>2025-05-09 12:36:00,33324806.7387765,-333682.31622183,8.37804352510236,7,136.055408317174,-156.1,0.0128589509608064,-0.63</t>
  </si>
  <si>
    <t>2025-05-09 12:37:00,580,,,,580,,563.5,,,,,567,560,570,564</t>
  </si>
  <si>
    <t>2025-05-09 12:37:00,500,,,486,470,,488,,,,,491,486,491,488</t>
  </si>
  <si>
    <t>2025-05-09 12:37:00,5700,,,5650,,5800,5660,,,,,5700,5600,5590,5650</t>
  </si>
  <si>
    <t>2025-05-09 12:37:00,20050,,,19800,19500,,20050,,,,,20200,19800,20475,19800</t>
  </si>
  <si>
    <t>2025-05-09 12:37:00,1159507646.3842,2039000499.31033,609.092063492062,-973,-1213.63244444445,-3157.31,19.4841739227404,-1315.3</t>
  </si>
  <si>
    <t>2025-05-09 12:37:00,701714351.217562,-48085054.4772236,793.453296703296,1995,833.112318681318,988.02,-98.3055139944516,525.95</t>
  </si>
  <si>
    <t>2025-05-09 12:37:00,16456308.1074369,-111446012.529243,,118,,-475.54,4.2372152294574,-13.39</t>
  </si>
  <si>
    <t>2025-05-09 12:37:00,32354175.7485731,-359401.299187902,3.3125,4,48.4031250000001,63.45,0.00919202999921004,0.96</t>
  </si>
  <si>
    <t>2025-05-09 12:39:00,580,,,,580,,563.5,,,,,567,560,570,564</t>
  </si>
  <si>
    <t>2025-05-09 12:39:00,500,,,486,470,,488,,,,,491,486,491,488</t>
  </si>
  <si>
    <t>2025-05-09 12:39:00,5700,,,5650,,5800,5660,,,,,5700,5600,5590,5650</t>
  </si>
  <si>
    <t>2025-05-09 12:39:00,20050,,,19800,19500,,20050,,,,,20200,19800,20475,19800</t>
  </si>
  <si>
    <t>2025-05-09 12:39:00,1212630667.89236,3378169443.38388,2604.27500000001,3121,2149.59666666667,2242.5,-23.1831325797587,1207.34</t>
  </si>
  <si>
    <t>2025-05-09 12:39:00,739667662.892116,22133140.1296065,-313.039365079365,149,-630.736434920633,216.35,-1.98767679163514,146.92</t>
  </si>
  <si>
    <t>2025-05-09 12:39:00,16428067.7740326,-115512848.463812,,507,,3061.34,0.195546602168151,160.88</t>
  </si>
  <si>
    <t>2025-05-09 12:39:00,33226940.0621989,-352343.374688592,-2.73013574660634,-2,-39.6452361990951,-32.42,-0.0105693813554054,-0.29</t>
  </si>
  <si>
    <t>2025-05-09 12:40:00,580,,,,580,,563.5,,,,,567,560,570,564</t>
  </si>
  <si>
    <t>2025-05-09 12:40:00,500,,,486,470,,488,,,,,491,486,491,488</t>
  </si>
  <si>
    <t>2025-05-09 12:40:00,5700,,5700,,,5800,5660,,,,,5700,5600,5590,5650</t>
  </si>
  <si>
    <t>2025-05-09 12:40:00,20050,,,19800,19500,,20050,,,,,20200,19800,20475,19800</t>
  </si>
  <si>
    <t>2025-05-09 12:40:00,1257457431.83809,3700981896.49558,,978,,-811.03,164.666086517426,-215.69</t>
  </si>
  <si>
    <t>2025-05-09 12:40:00,722880343.834259,242752991.709429,820.067715043577,629,614.051916635089,551.84,-55.9444486578872,252.21</t>
  </si>
  <si>
    <t>2025-05-09 12:40:00,18281247.3800478,-101298164.0149,,-172,,4073.84,-7.24059559462709,-38.2</t>
  </si>
  <si>
    <t>2025-05-09 12:40:00,33055552.3390754,-322280.589361375,0.943305728088337,11,16.3360707384403,14.43,-0.00986951615202843,0.76</t>
  </si>
  <si>
    <t>2025-05-09 12:41:00,580,,,,580,,563.5,,,,,567,560,570,564</t>
  </si>
  <si>
    <t>2025-05-09 12:41:00,500,,,486,470,,488,,,,,491,486,491,488</t>
  </si>
  <si>
    <t>2025-05-09 12:41:00,5700,,5700,,,5800,5660,,,,,5700,5600,5590,5650</t>
  </si>
  <si>
    <t>2025-05-09 12:41:00,20050,,,19800,19500,,20050,,,,,20200,19800,20475,19800</t>
  </si>
  <si>
    <t>2025-05-09 12:41:00,1317401120.41482,4824362502.82207,1695.48809523809,2912,1158.28523809524,1356.22,129.359320712599,1039.24</t>
  </si>
  <si>
    <t>2025-05-09 12:41:00,708008642.396369,99073581.2287072,-208.943100290514,-118,-481.71737605785,-593.64,-57.817201876883,-213.59</t>
  </si>
  <si>
    <t>2025-05-09 12:41:00,19033666.2481439,-93535007.3917506,,1315,,2844.8,4.77792035617725,254.33</t>
  </si>
  <si>
    <t>2025-05-09 12:41:00,33899212.965333,-309812.454750685,-33.9904761904762,-25,-960.165714285715,-688.6,0.0608132076422677,-9.05</t>
  </si>
  <si>
    <t>2025-05-09 12:42:00,580,,567,,580,,563.5,,565,,,567,560,570,564</t>
  </si>
  <si>
    <t>2025-05-09 12:42:00,500,,,486,470,,488,,,,,491,486,491,488</t>
  </si>
  <si>
    <t>2025-05-09 12:42:00,5680,,5700,,,5800,5660,,,,,5700,5600,5590,5650</t>
  </si>
  <si>
    <t>2025-05-09 12:42:00,20050,,,,19500,,20050,,,,,20200,19800,20475,19800</t>
  </si>
  <si>
    <t>2025-05-09 12:42:00,1365879033.68296,5871425795.99468,1057.79822954823,-1861,-0.787185592186404,-2928.76,26.8186848786863,-1488.1</t>
  </si>
  <si>
    <t>2025-05-09 12:42:00,758786045.029526,511553671.050428,587.158748125937,-137,425.553843078462,-708.68,58.6020221087941,-247.67</t>
  </si>
  <si>
    <t>2025-05-09 12:42:00,20237899.0271706,-70130696.3347226,,124,,-5722.72,-0.449439351091833,-64.19</t>
  </si>
  <si>
    <t>2025-05-09 12:42:00,33882880.5115644,-202967.790630952,-32.5662793905441,-47,-1316.24306081827,-2231.05,-0.0864318352402691,-24.76</t>
  </si>
  <si>
    <t>2025-05-09 12:43:00,580,,567,,580,,563.5,565,,,,567,560,570,564</t>
  </si>
  <si>
    <t>2025-05-09 12:43:00,500,,,486,470,,488,488,,,,492,486,491,488</t>
  </si>
  <si>
    <t>2025-05-09 12:43:00,5680,,5700,,,5800,5660,,,,,5700,5600,5590,5650</t>
  </si>
  <si>
    <t>2025-05-09 12:43:00,20050,,,,19500,,20050,,,,,20200,19800,20475,19800</t>
  </si>
  <si>
    <t>2025-05-09 12:43:00,1393763984.96671,7234502204.06801,-2264.075,-2861,-5051.36930555556,-4652.39,445.432429130534,-1890.61</t>
  </si>
  <si>
    <t>2025-05-09 12:43:00,784610145.768779,1050608614.60918,-345.654181600957,-1283,-2.56371565113663,-1238.57,28.0111864619642,-453.72</t>
  </si>
  <si>
    <t>2025-05-09 12:43:00,21831333.3731447,-40881217.6911924,,-403,,-12644.79,2.04376966800433,-539.58</t>
  </si>
  <si>
    <t>2025-05-09 12:43:00,34772124.8055981,-141181.984758941,-14.985,-12,-284.838466666667,-228.22,0.0393449382103687,-3.52</t>
  </si>
  <si>
    <t>2025-05-09 12:44:00,580,,567,,580,,563.5,,565,,,567,560,570,564</t>
  </si>
  <si>
    <t>2025-05-09 12:44:00,500,,,486,470,,488,,,,,492,486,491,488</t>
  </si>
  <si>
    <t>2025-05-09 12:44:00,5680,,5700,,,5800,5660,,,,,5700,5600,5590,5650</t>
  </si>
  <si>
    <t>2025-05-09 12:44:00,20050,,,,19500,,20050,,,,,20200,19800,20475,19800</t>
  </si>
  <si>
    <t>2025-05-09 12:44:00,1512803292.82036,8211434997.3801,433.408730158732,-782,-175.425079365073,-4270.48,-241.794609310465,-1704.39</t>
  </si>
  <si>
    <t>2025-05-09 12:44:00,820253864.25042,1191125523.32661,-944.073481141185,-1782,-27.7162159858861,-1961.52,13.9223156134717,-687.72</t>
  </si>
  <si>
    <t>2025-05-09 12:44:00,23105821.1931659,-2488676.87247949,,-66,,-7128.54,-5.65992167308019,-343.52</t>
  </si>
  <si>
    <t>2025-05-09 12:44:00,35231420.2907519,-25356.4493291522,1.67928973541651,-57,-646.509320589373,-689,-0.0252493782832122,-8.12</t>
  </si>
  <si>
    <t>2025-05-09 12:45:00,580,,567,,580,,563.5,,,,,567,560,570,564</t>
  </si>
  <si>
    <t>2025-05-09 12:45:00,500,,,486,470,,488,,488,,,492,486,491,488</t>
  </si>
  <si>
    <t>2025-05-09 12:45:00,5680,,5700,,,5800,5660,,,,,5700,5600,5590,5650</t>
  </si>
  <si>
    <t>2025-05-09 12:45:00,20050,,20200,,19500,,20050,,,,,20200,19800,20475,19800</t>
  </si>
  <si>
    <t>2025-05-09 12:45:00,1486996999.16511,9679242784.78726,2134.77907647908,2980,1347.10210966811,528.650000000001,58.6829338301778,817.25</t>
  </si>
  <si>
    <t>2025-05-09 12:45:00,817753072.93932,1271409247.26178,-1513.5065038921,-901,-2321.93425757396,-1838.3,-51.8969754011778,-780.5</t>
  </si>
  <si>
    <t>2025-05-09 12:45:00,21668752.1065759,-3197812.73045679,,1098,,21.81,-10.7580821372863,141.92</t>
  </si>
  <si>
    <t>2025-05-09 12:45:00,35435691.8480457,1290.79126186424,-4.6058608058608,-19,-68.883175213675,-419.15,-0.027481611690158,-5.63</t>
  </si>
  <si>
    <t>2025-05-09 12:46:00,580,,567,,580,,563.5,,565,,,567,560,570,564</t>
  </si>
  <si>
    <t>2025-05-09 12:46:00,500,,,486,470,,488,,,,,492,486,491,488</t>
  </si>
  <si>
    <t>2025-05-09 12:46:00,5680,,5700,,,5800,5660,,,,,5700,5600,5590,5650</t>
  </si>
  <si>
    <t>2025-05-09 12:46:00,20050,,,19800,19500,,20050,,,,,20200,19800,19800,19350</t>
  </si>
  <si>
    <t>2025-05-09 12:46:00,1519150669.10428,8594837717.11828,-2914.46031746032,-5206,512.060059523803,-3116.65,-91.1683776118745,-1603.14</t>
  </si>
  <si>
    <t>2025-05-09 12:46:00,850035858.955531,1166011942.8038,-86.3410256410222,-454,28.3013333333369,-434.22,66.9351626352343,-211.3</t>
  </si>
  <si>
    <t>2025-05-09 12:46:00,23788026.0926231,-10664647.179368,,-846,,-3780.69,0.0296632922447053,-142.71</t>
  </si>
  <si>
    <t>2025-05-09 12:46:00,35520116.7334807,-157697.212853889,-138.281022241114,1002,-338.817387330318,1427.72,-0.78517146151547,31.79</t>
  </si>
  <si>
    <t>2025-05-09 12:47:00,580,,567,,580,,563.5,,,,,567,560,570,564</t>
  </si>
  <si>
    <t>2025-05-09 12:47:00,500,,,486,470,,488,,488,,,491,486,491,488</t>
  </si>
  <si>
    <t>2025-05-09 12:47:00,5680,,5700,,,5800,5660,,,,,5700,5600,5590,5650</t>
  </si>
  <si>
    <t>2025-05-09 12:47:00,20050,,,19800,19500,,20050,,,,,20200,19800,19800,19350</t>
  </si>
  <si>
    <t>2025-05-09 12:47:00,1494642645.62771,10723854097.3412,64.0219141969135,-1544,752.006274142522,-1852.18,-553.30748372927,-1002.33</t>
  </si>
  <si>
    <t>2025-05-09 12:47:00,857765426.641263,1684190171.39111,2478.89314229249,2459,1635.63495355731,288.15,87.8646525467299,376.02</t>
  </si>
  <si>
    <t>2025-05-09 12:47:00,22771393.5002053,20192660.6352204,,737,,9465.27,4.68385780804715,264.9</t>
  </si>
  <si>
    <t>2025-05-09 12:47:00,33439363.8172202,-54052.616706107,16.7424459600911,24,334.097228843004,140.5,0.0643664255674128,4.37</t>
  </si>
  <si>
    <t>2025-05-09 12:48:00,580,,567,,580,,563.5,,,,,567,560,570,564</t>
  </si>
  <si>
    <t>2025-05-09 12:48:00,500,,,486,470,,488,,,,,491,486,491,488</t>
  </si>
  <si>
    <t>2025-05-09 12:48:00,5680,,5700,,5500,,5660,,,,,5700,5600,5590,5650</t>
  </si>
  <si>
    <t>2025-05-09 12:48:00,20050,,,19800,19500,,20050,,,,,20200,19800,19800,19350</t>
  </si>
  <si>
    <t>2025-05-09 12:48:00,1582659998.84474,9777504934.63634,6496.26785714286,4753,6743.825,5017.01,636.031937625363,2546.14</t>
  </si>
  <si>
    <t>2025-05-09 12:48:00,886778445.672591,1623639532.38404,1394.52272727273,1262,1081.46772727273,493.01,248.597986091544,365.9</t>
  </si>
  <si>
    <t>2025-05-09 12:48:00,22634029.0792591,23495614.339423,,1403,,11246.56,4.52710461509363,580.37</t>
  </si>
  <si>
    <t>2025-05-09 12:48:00,35587810.7509426,-33608.9474928076,3.69210146578567,-2,190.412634237108,70.04,0.00869115074242369,0.51</t>
  </si>
  <si>
    <t>2025-05-09 12:49:00,580,,567,,580,,563.5,,,,,567,560,570,564</t>
  </si>
  <si>
    <t>2025-05-09 12:49:00,500,,,486,470,,488,,,,,491,486,491,488</t>
  </si>
  <si>
    <t>2025-05-09 12:49:00,5680,,5700,,5500,,5660,,,,,5700,5600,5590,5650</t>
  </si>
  <si>
    <t>2025-05-09 12:49:00,20050,,,19800,19500,,20050,,,,,20200,19800,19800,19350</t>
  </si>
  <si>
    <t>2025-05-09 12:49:00,1588015468.80895,10502804534.8656,-224.941666666667,-813,-137.7565,-1399.53,-68.2645856788783,-691.33</t>
  </si>
  <si>
    <t>2025-05-09 12:49:00,843671406.707878,1905866298.15279,589.740438871473,215,364.949843260189,-420.51,-32.2565170220471,-82.73</t>
  </si>
  <si>
    <t>2025-05-09 12:49:00,25176447.8167788,21328458.1061109,,-292,,-1338.51,1.15295931092032,-59.74</t>
  </si>
  <si>
    <t>2025-05-09 12:49:00,33866769.4593756,-7613.68919323079,-2.26269841269841,-4,-28.0938492063492,-42.29,-0.00355210876356733,-0.71</t>
  </si>
  <si>
    <t>2025-05-09 12:50:00,580,,567,,580,,563.5,,,,,567,560,570,564</t>
  </si>
  <si>
    <t>2025-05-09 12:50:00,500,,,486,470,,488,,,,,491,486,491,488</t>
  </si>
  <si>
    <t>2025-05-09 12:50:00,5680,,5700,,5500,,5660,,,,,5700,5600,5590,5650</t>
  </si>
  <si>
    <t>2025-05-09 12:50:00,20050,,,,19500,,20050,,,,,20200,19800,19800,19350</t>
  </si>
  <si>
    <t>2025-05-09 12:50:00,1596007289.26968,9651994717.76977,-787.119047619048,-408,-1156.80119047619,-1672.05,-180.657787380057,-647.58</t>
  </si>
  <si>
    <t>2025-05-09 12:50:00,875562291.863467,1745743185.10147,-583.979310344827,-430,120.835264367817,98.33,11.5380821311319,35.76</t>
  </si>
  <si>
    <t>2025-05-09 12:50:00,23860440.0544365,23161817.530615,,273,,1647.41,-1.1891274756979,98.49</t>
  </si>
  <si>
    <t>2025-05-09 12:50:00,34126394.6409168,13325.8734971064,4.87030303030302,7,153.404212121212,213.59,0.0261018121029512,3</t>
  </si>
  <si>
    <t>2025-05-09 12:51:00,580,,567,,580,,563.5,,565,,,567,560,570,564</t>
  </si>
  <si>
    <t>2025-05-09 12:51:00,500,,,486,470,,488,,,,,491,486,491,488</t>
  </si>
  <si>
    <t>2025-05-09 12:51:00,5680,,5700,,,5800,5660,,,,,5700,5600,5590,5650</t>
  </si>
  <si>
    <t>2025-05-09 12:51:00,20050,,,19800,19500,,20000,,,,,20200,19800,19800,19350</t>
  </si>
  <si>
    <t>2025-05-09 12:51:00,1367075958.82925,6368767719.77848,-5995.67063492063,-12632,-998.753908730152,-2652.32,446.237351088122,-2345.8</t>
  </si>
  <si>
    <t>2025-05-09 12:51:00,807567167.165552,811036952.002327,1417.27078853047,222,1025.80163082437,360.94,150.802314018768,112.45</t>
  </si>
  <si>
    <t>2025-05-09 12:51:00,18491890.8232618,-35298968.604173,,2105,,13190.38,-4.74841975169422,556.58</t>
  </si>
  <si>
    <t>2025-05-09 12:51:00,31864289.233678,-183759.111920727,28.7533976086806,40,500.714499276615,986.18,-0.00746447961702355,11.17</t>
  </si>
  <si>
    <t>2025-05-09 12:52:00,580,,567,,580,,563.5,,,,,567,560,570,564</t>
  </si>
  <si>
    <t>2025-05-09 12:52:00,500,,,486,470,,487,,,,,491,486,491,488</t>
  </si>
  <si>
    <t>2025-05-09 12:52:00,5680,,5700,,,5800,5660,,,,,5700,5600,5590,5650</t>
  </si>
  <si>
    <t>2025-05-09 12:52:00,20050,,,19800,19500,,20050,,,,,20200,19800,19800,19350</t>
  </si>
  <si>
    <t>2025-05-09 12:52:00,1350330191.12349,7631321490.9735,-3343.19444444444,-5864,-3188.61638888889,-5225.5,-180.017512426708,-2631.24</t>
  </si>
  <si>
    <t>2025-05-09 12:52:00,774420089.605344,1410603006.4379,-1207.38521708684,-1451,-812.270002591037,-886.07,-45.2942086518574,-608.83</t>
  </si>
  <si>
    <t>2025-05-09 12:52:00,19386808.9007161,-40012688.3977052,,-772,,-4633.38,7.45161932447686,-264.42</t>
  </si>
  <si>
    <t>2025-05-09 12:52:00,32294136.962351,-157401.787449282,55.162134502924,10,1261.8153780284,174.7,8.75799557402491E-05,2.32</t>
  </si>
  <si>
    <t>2025-05-09 12:53:00,580,,567,,580,,563.5,,,,,567,560,570,564</t>
  </si>
  <si>
    <t>2025-05-09 12:53:00,500,,,486,470,,488,,,,,491,486,491,488</t>
  </si>
  <si>
    <t>2025-05-09 12:53:00,5680,,5700,,,5800,5660,,,,,5700,5600,5590,5650</t>
  </si>
  <si>
    <t>2025-05-09 12:53:00,20050,,,19800,19500,,20000,,,,,20200,19800,19800,19350</t>
  </si>
  <si>
    <t>2025-05-09 12:53:00,1420004200.26673,8045379572.38933,544.428571428571,-1615,-189.817857142857,-1655.98,-272.840836478182,-633.35</t>
  </si>
  <si>
    <t>2025-05-09 12:53:00,796839682.588418,1089711890.57126,128.055041797283,498,-349.193884012539,95.54,102.006635272729,111.1</t>
  </si>
  <si>
    <t>2025-05-09 12:53:00,21142989.4440436,-54238890.7276765,,38,,-739.95,0.99269011485,-25.28</t>
  </si>
  <si>
    <t>2025-05-09 12:53:00,32214947.6923104,-145208.736084993,-0.219708069708068,-10,28.2868212898213,-277.33,-0.0143454583413497,-3.94</t>
  </si>
  <si>
    <t>2025-05-09 12:54:00,580,,567,,580,,563.5,,,,,567,560,566,564</t>
  </si>
  <si>
    <t>2025-05-09 12:54:00,500,,,486,470,,488,,,,,491,486,491,488</t>
  </si>
  <si>
    <t>2025-05-09 12:54:00,5680,,5700,,,5800,5660,,,,,5700,5600,5590,5650</t>
  </si>
  <si>
    <t>2025-05-09 12:54:00,20050,,,19800,19500,,20050,,,,,20200,19800,19800,19350</t>
  </si>
  <si>
    <t>2025-05-09 12:54:00,1516916693.9707,9397562503.60919,5106.36984126984,7508,4442.58006349205,6093.62,565.038199345952,2867.57</t>
  </si>
  <si>
    <t>2025-05-09 12:54:00,881938782.034442,1588728325.85044,1293.66334841629,1137,1126.29335897436,801.21,-15.9331641006399,421.36</t>
  </si>
  <si>
    <t>2025-05-09 12:54:00,23076005.5868341,-4392725.50451907,,758,,2466.34,-7.94503868919197,142.53</t>
  </si>
  <si>
    <t>2025-05-09 12:54:00,35423948.2585928,-21311.4001288781,-3.72656691278891,0,190.335963169061,162.34,0.0637786693347951,3.72</t>
  </si>
  <si>
    <t>2025-05-09 12:55:00,580,,567,,580,,563.5,,,,,567,560,566,564</t>
  </si>
  <si>
    <t>2025-05-09 12:55:00,500,,,486,470,,488,,,,,491,486,491,488</t>
  </si>
  <si>
    <t>2025-05-09 12:55:00,5680,,5700,,,5800,5660,,,,,5700,5600,5590,5650</t>
  </si>
  <si>
    <t>2025-05-09 12:55:00,20050,,,19800,19500,,20000,,,,,20200,19800,19800,19350</t>
  </si>
  <si>
    <t>2025-05-09 12:55:00,1455237259.78331,9326955621.66067,2417.29444444444,694,61.9172222222212,-761.29,130.470967382757,-447.95</t>
  </si>
  <si>
    <t>2025-05-09 12:55:00,831755492.977184,1320290608.92386,-264.789377289377,-407,-222.26753968254,-453.48,-60.8780898163729,-227.95</t>
  </si>
  <si>
    <t>2025-05-09 12:55:00,21458415.7381986,-11942494.1031678,,1660,,2519.36,-9.5936321434667,100.02</t>
  </si>
  <si>
    <t>2025-05-09 12:55:00,32185287.1620043,-50014.2190579818,-0.328174603174602,-1,-22.0515476190476,-43.35,0.00253028411108814,-0.62</t>
  </si>
  <si>
    <t>2025-05-09 12:56:00,580,,567,,580,,563.5,,,,,567,560,566,564</t>
  </si>
  <si>
    <t>2025-05-09 12:56:00,500,,,486,470,,488,,,,,491,486,491,488</t>
  </si>
  <si>
    <t>2025-05-09 12:56:00,5680,,5700,,,5800,5660,,,,,5700,5600,5590,5650</t>
  </si>
  <si>
    <t>2025-05-09 12:56:00,20050,,,19800,19500,,20050,,,,,20200,19800,19800,19350</t>
  </si>
  <si>
    <t>2025-05-09 12:56:00,1521798387.69695,11072908066.47,-3260.2367965368,-334,-4024.07958874459,-2074.78,-327.661206398154,-709.13</t>
  </si>
  <si>
    <t>2025-05-09 12:56:00,812995009.62482,1844245119.72686,-3357.46793745983,-1328,-2807.59311972584,-871.63,-49.573997337696,-471.88</t>
  </si>
  <si>
    <t>2025-05-09 12:56:00,23865723.8545536,-7033159.8885663,,-547,,-4231.48,2.96181646252958,-231.46</t>
  </si>
  <si>
    <t>2025-05-09 12:56:00,36165918.6953387,-10760.4280849589,-4.19444444444445,-4,-155.1295,-127.97,0.0163389814199783,-1.79</t>
  </si>
  <si>
    <t>2025-05-09 12:57:00,580,,567,,580,,563.5,,,,,567,560,566,564</t>
  </si>
  <si>
    <t>2025-05-09 12:57:00,500,,491,,470,,487,,,,,491,486,491,488</t>
  </si>
  <si>
    <t>2025-05-09 12:57:00,5680,,5700,,5500,,5660,,,,,5700,5600,5590,5650</t>
  </si>
  <si>
    <t>2025-05-09 12:57:00,20050,,,,19500,,20050,,,,,20200,19800,19800,19350</t>
  </si>
  <si>
    <t>2025-05-09 12:57:00,1590505291.6565,12772036312.8082,878.108547008547,-87,893.52613980464,-680.79,75.347790558642,-347.63</t>
  </si>
  <si>
    <t>2025-05-09 12:57:00,862644979.063923,2377434466.05154,1396.65869565217,1177,504.928768115943,163.85,138.914927593517,239.97</t>
  </si>
  <si>
    <t>2025-05-09 12:57:00,25655963.8560944,32333576.0264472,,818,,-4677.29,-0.470683493077197,-127.71</t>
  </si>
  <si>
    <t>2025-05-09 12:57:00,33144812.0297437,77870.8589889695,-2.7095238095238,-8,-23.173714285714,-117.24,-0.00870782626731776,-1.7</t>
  </si>
  <si>
    <t>2025-05-09 12:58:00,580,,567,,580,,563.5,,565,,,567,560,570,564</t>
  </si>
  <si>
    <t>2025-05-09 12:58:00,500,,491,,470,,488,,,,,491,486,491,488</t>
  </si>
  <si>
    <t>2025-05-09 12:58:00,5680,,5700,,5500,,5660,,5670,,,5700,5600,5590,5650</t>
  </si>
  <si>
    <t>2025-05-09 12:58:00,20050,,,,19500,,20050,,,,,20200,19800,19800,19350</t>
  </si>
  <si>
    <t>2025-05-09 12:58:00,1719228807.30522,11995396813.8042,-3252.0123015873,-8669,-1524.12467857142,-9561.2,-536.579454746874,-4998.68</t>
  </si>
  <si>
    <t>2025-05-09 12:58:00,888444568.411492,2470795992.07291,-2934.19621419449,-4496,-1661.883656632,-3241.25,-13.5760023012564,-1675.36</t>
  </si>
  <si>
    <t>2025-05-09 12:58:00,27126141.8538637,52033828.434396,,-449,,-14230.45,-11.147976949357,-512.43</t>
  </si>
  <si>
    <t>2025-05-09 12:58:00,37105379.8085396,180138.330629019,-5.92738095238095,-2,-231.114154761905,-408.51,-0.017028361976602,-4.33</t>
  </si>
  <si>
    <t>2025-05-09 12:59:00,580,,567,,580,,563.5,,,,,567,560,570,564</t>
  </si>
  <si>
    <t>2025-05-09 12:59:00,500,,491,,470,,488,,,,,491,486,491,488</t>
  </si>
  <si>
    <t>2025-05-09 12:59:00,5680,,5700,,5500,,5660,,,,,5700,5600,5590,5650</t>
  </si>
  <si>
    <t>2025-05-09 12:59:00,20050,,,,19500,,20000,,,,,20200,19800,19800,19350</t>
  </si>
  <si>
    <t>2025-05-09 12:59:00,1662096898.73061,10661747922.6475,786.267676767677,-680,1719.90851082251,621.44,-127.761058469436,153.95</t>
  </si>
  <si>
    <t>2025-05-09 12:59:00,901588705.329796,2258027978.66596,-390.819677544675,62,-895.466300893544,-374.27,53.3875728433463,-30.17</t>
  </si>
  <si>
    <t>2025-05-09 12:59:00,25326330.3079987,36680950.6349391,,1609,,6641,-0.282842440533232,436.16</t>
  </si>
  <si>
    <t>2025-05-09 12:59:00,36142003.9840041,145608.585379769,30.7139786059351,26,1337.88650676329,1028.17,0.0351732701909957,12.53</t>
  </si>
  <si>
    <t>2025-05-09 13:00:00,580,,567,,580,,563.5,,,,,567,560,566,564</t>
  </si>
  <si>
    <t>2025-05-09 13:00:00,500,,491,,470,,488,,,,,491,486,491,488</t>
  </si>
  <si>
    <t>2025-05-09 13:00:00,5680,,5700,,5500,,5660,,,,,5700,5600,5590,5650</t>
  </si>
  <si>
    <t>2025-05-09 13:00:00,20050,,,,19500,,20000,,,,,20200,19800,19800,19350</t>
  </si>
  <si>
    <t>2025-05-09 13:00:00,1696605105.92748,12543732460.6674,1675.35714285714,409,2443.5881547619,2749.4,573.957527876301,1147.28</t>
  </si>
  <si>
    <t>2025-05-09 13:00:00,950439307.447653,2393936667.1852,947.484024577573,606,1181.23170122888,738.52,-57.7673299092512,306.49</t>
  </si>
  <si>
    <t>2025-05-09 13:00:00,25016033.0809747,34496478.2883308,,1186,,4521.59,6.13157987335518,271.36</t>
  </si>
  <si>
    <t>2025-05-09 13:00:00,36342007.8680037,186976.467500408,14.7584589335396,14,470.376570650317,430.92,0.0544758733448961,5.61</t>
  </si>
  <si>
    <t>2025-05-09 13:01:00,580,,567,,580,,563.5,,,,,567,560,566,564</t>
  </si>
  <si>
    <t>2025-05-09 13:01:00,500,,491,,470,,488,,,,,491,486,491,488</t>
  </si>
  <si>
    <t>2025-05-09 13:01:00,5680,,5700,,5500,,5660,,,,,5700,5600,5590,5650</t>
  </si>
  <si>
    <t>2025-05-09 13:01:00,20050,,20200,,19500,,20000,,,,,20200,19800,19800,19350</t>
  </si>
  <si>
    <t>2025-05-09 13:01:00,1647825743.17906,13535504556.2281,1976.84898338376,861,1673.87724066995,899.72,33.9520574707949,360.88</t>
  </si>
  <si>
    <t>2025-05-09 13:01:00,892862612.074134,2503866180.61585,519.440476190476,766,348.71869047619,97.43,98.5145269313766,98.0599999999999</t>
  </si>
  <si>
    <t>2025-05-09 13:01:00,26217234.1667928,60808170.851889,,87,,213.45,6.68092077152686,33.66</t>
  </si>
  <si>
    <t>2025-05-09 13:01:00,36360103.1126927,247547.799433354,10.9647996137132,10,688.641376951554,665.8,0.0379702839263937,7.55</t>
  </si>
  <si>
    <t>2025-05-09 13:02:00,580,,567,,580,,563.5,,,,,567,560,566,564</t>
  </si>
  <si>
    <t>2025-05-09 13:02:00,500,,491,,470,,488,,,,,491,486,491,488</t>
  </si>
  <si>
    <t>2025-05-09 13:02:00,5680,,5700,,5500,,5660,,,,,5700,5600,5590,5650</t>
  </si>
  <si>
    <t>2025-05-09 13:02:00,20050,,,,19500,,20000,,,,,20200,19800,19800,19350</t>
  </si>
  <si>
    <t>2025-05-09 13:02:00,1538947403.01136,12523906768.894,349.898484848485,-322,-274.326121212121,-2430.58,404.804834795596,-840.67</t>
  </si>
  <si>
    <t>2025-05-09 13:02:00,873000814.978144,2272237418.09289,-1411.09294354838,-1410,-650.515824596771,-601.42,38.2391052323263,-365.6</t>
  </si>
  <si>
    <t>2025-05-09 13:02:00,23472924.402949,38270502.4056485,,-752,,-4112.6,7.51586982240818,-200.72</t>
  </si>
  <si>
    <t>2025-05-09 13:02:00,34654463.4273141,161715.168619479,-4.84146103896106,-24,-159.456445995672,-673.31,-0.0372081990965522,-9.46</t>
  </si>
  <si>
    <t>2025-05-09 13:03:00,580,,567,,580,,563.5,,,,,567,560,566,564</t>
  </si>
  <si>
    <t>2025-05-09 13:03:00,500,,491,,470,,488,,,,,491,486,491,488</t>
  </si>
  <si>
    <t>2025-05-09 13:03:00,5680,,5700,,,5800,5660,,,,,5700,5600,5590,5650</t>
  </si>
  <si>
    <t>2025-05-09 13:03:00,20050,,,,19500,,20000,,,,,20200,19800,19800,19350</t>
  </si>
  <si>
    <t>2025-05-09 13:03:00,1440487388.33012,12490658394.7769,1050.12056489262,3857,567.841454248366,2300.65,27.2419416843259,1439.63</t>
  </si>
  <si>
    <t>2025-05-09 13:03:00,878558659.863949,2219075286.2117,-1034.64236453202,-941,-816.627669950739,-881.95,66.4326523787516,-473.54</t>
  </si>
  <si>
    <t>2025-05-09 13:03:00,21775162.9777068,24071485.0484,,514,,6317.82,-4.14303781977856,188.49</t>
  </si>
  <si>
    <t>2025-05-09 13:03:00,32986044.9183474,181361.686279717,1.33785714285714,-1,-0.564542857142861,-7.6,0.00398049434975036,-0.1</t>
  </si>
  <si>
    <t>2025-05-09 13:04:00,580,,567,,580,,563.5,,,,,567,560,566,564</t>
  </si>
  <si>
    <t>2025-05-09 13:04:00,500,,,486,470,,488,,,,,491,486,491,488</t>
  </si>
  <si>
    <t>2025-05-09 13:04:00,5680,,5700,,,5800,5660,,,,,5700,5600,5590,5650</t>
  </si>
  <si>
    <t>2025-05-09 13:04:00,20050,,,,19500,,20000,,,,,20200,19800,19800,19350</t>
  </si>
  <si>
    <t>2025-05-09 13:04:00,1565161744.96066,10349052098.5369,153.836471861472,-2660,99.9603419913415,-673.97,-271.558450823718,-466.1</t>
  </si>
  <si>
    <t>2025-05-09 13:04:00,900468196.735752,1833450038.76004,-763.850366300366,-548,-334.111208791209,-154.01,-30.799546376978,-105.68</t>
  </si>
  <si>
    <t>2025-05-09 13:04:00,22809505.0276618,14067995.0341418,,104,,-941.19,-6.15079079419151,-59.69</t>
  </si>
  <si>
    <t>2025-05-09 13:04:00,34689468.5470271,144963.703048065,30.8680952380952,30,839.795906349206,645.21,0.0495516455065648,8.13</t>
  </si>
  <si>
    <t>2025-05-09 13:05:00,580,,567,,580,,563.5,,,,,567,560,566,564</t>
  </si>
  <si>
    <t>2025-05-09 13:05:00,500,,,486,470,,488,,,,488,491,486,491,488</t>
  </si>
  <si>
    <t>2025-05-09 13:05:00,5680,,5700,,,5800,5660,,,,5660,5700,5600,5590,5650</t>
  </si>
  <si>
    <t>2025-05-09 13:05:00,20050,,,,19500,,20000,,,,,20200,19800,19800,19350</t>
  </si>
  <si>
    <t>2025-05-09 13:05:00,1383298745.29332,11055174055.4151,-7503.99206349206,-11994,-6137.34476190476,-7391.8,-4.75557560376002,-4206.12</t>
  </si>
  <si>
    <t>2025-05-09 13:05:00,788924584.528364,1688177556.02402,-3613.12221472484,-3722,-4142.10381923826,-3947.6,41.2375235850847,-1871.42</t>
  </si>
  <si>
    <t>2025-05-09 13:05:00,21472286.5755899,-2159855.57836287,,-1291,,-7585.24,-1.80738519179874,-470.57</t>
  </si>
  <si>
    <t>2025-05-09 13:05:00,32352864.5847504,70041.3513257898,13.0787545787546,-29,54.4858278388277,-121.43,-0.0458975629515383,-2.37</t>
  </si>
  <si>
    <t>2025-05-09 13:06:00,580,,567,,580,,563.5,,,,,567,560,566,564</t>
  </si>
  <si>
    <t>2025-05-09 13:06:00,500,,,486,470,,488,,,,,491,486,491,488</t>
  </si>
  <si>
    <t>2025-05-09 13:06:00,5680,,5700,,,5800,5660,,,,,5700,5600,5590,5650</t>
  </si>
  <si>
    <t>2025-05-09 13:06:00,20050,,,,19500,,20000,,,,,20200,19800,19800,19350</t>
  </si>
  <si>
    <t>2025-05-09 13:06:00,1529754393.97496,11741477229.7544,2318.4,4760,1170.18666666667,1741.05,-482.15866497722,1140.56</t>
  </si>
  <si>
    <t>2025-05-09 13:06:00,871475027.612207,1972770837.53713,-1317.37999242137,-1177,-523.572401162057,-483.71,84.4999928705412,-196.75</t>
  </si>
  <si>
    <t>2025-05-09 13:06:00,23803371.1706442,19606968.5670823,,48,,-9438.72,-13.2765385947166,-194.74</t>
  </si>
  <si>
    <t>2025-05-09 13:06:00,32847476.7834701,192685.821161323,-20.6717518037518,-19,-198.96721038961,-263.64,-0.006328718171014,-3.92</t>
  </si>
  <si>
    <t>2025-05-09 13:07:00,580,,567,,580,,563.5,,,,,567,560,566,564</t>
  </si>
  <si>
    <t>2025-05-09 13:07:00,500,,491,,470,,488,,,,,491,486,491,488</t>
  </si>
  <si>
    <t>2025-05-09 13:07:00,5680,,5700,,,5800,5660,,,,,5700,5600,5590,5650</t>
  </si>
  <si>
    <t>2025-05-09 13:07:00,20050,,,,19500,,20000,,,,,20200,19800,19800,19350</t>
  </si>
  <si>
    <t>2025-05-09 13:07:00,1581444851.07592,12255407963.7317,1479.99285714286,2089,-264.516547619052,236.84,243.652755907097,546.38</t>
  </si>
  <si>
    <t>2025-05-09 13:07:00,851962401.676672,2161158189.95609,-284.641888304931,-254,-387.279381509794,-588.53,-32.8721473003128,-218.61</t>
  </si>
  <si>
    <t>2025-05-09 13:07:00,24964716.2273654,14734965.4119966,,-98,,797.22,-4.42801642504868,54.06</t>
  </si>
  <si>
    <t>2025-05-09 13:07:00,33628534.4677943,218242.529156913,-3.95097402597401,-7,-100.238512987013,-130.68,-0.0187804002774318,-2.15</t>
  </si>
  <si>
    <t>2025-05-09 13:08:00,580,,567,,580,,563.5,,,,,567,560,566,564</t>
  </si>
  <si>
    <t>2025-05-09 13:08:00,500,,,486,470,,488,,,,,491,486,491,488</t>
  </si>
  <si>
    <t>2025-05-09 13:08:00,5680,,5700,,,5800,5660,,,,,5700,5600,5590,5650</t>
  </si>
  <si>
    <t>2025-05-09 13:08:00,20050,,,,19500,,20000,,,,,20200,19800,19800,19350</t>
  </si>
  <si>
    <t>2025-05-09 13:08:00,1520638665.72423,10713244409.0269,5258.98333333333,1839,4731.92566666667,3181.46,-124.879573810583,1544.53</t>
  </si>
  <si>
    <t>2025-05-09 13:08:00,891450971.438869,1959708559.46759,908.292006404903,569,1367.49212016152,957.35,107.781062227965,471.21</t>
  </si>
  <si>
    <t>2025-05-09 13:08:00,22456918.8058893,12624212.8453257,,655,,4669.68,3.28253082564402,203.03</t>
  </si>
  <si>
    <t>2025-05-09 13:08:00,33193890.9232917,201876.28460701,2.37954822954823,10,112.79621001221,113.76,-0.00271043035735501,1.89</t>
  </si>
  <si>
    <t>2025-05-09 13:09:00,580,,567,,580,,563.5,,,,,567,560,566,564</t>
  </si>
  <si>
    <t>2025-05-09 13:09:00,500,,,486,470,,488,,,,,491,486,491,488</t>
  </si>
  <si>
    <t>2025-05-09 13:09:00,5680,,5700,,,5800,5660,,,,,5700,5600,5590,5650</t>
  </si>
  <si>
    <t>2025-05-09 13:09:00,20050,,,,19500,,20000,,,,,20200,19800,19800,19350</t>
  </si>
  <si>
    <t>2025-05-09 13:09:00,1413722183.38508,8697684107.30894,-45.6607142857143,-1800,318.008571428571,-292.35,71.3332487490435,-237.45</t>
  </si>
  <si>
    <t>2025-05-09 13:09:00,801418419.556242,1214332660.13209,-1528.13581048581,-2309,-1356.5924028379,-1504.23,72.810605440263,-763.17</t>
  </si>
  <si>
    <t>2025-05-09 13:09:00,21907756.7921086,-28734986.215556,,-186,,6217.93,-1.55579717530937,69.97</t>
  </si>
  <si>
    <t>2025-05-09 13:09:00,32683860.8765391,66782.7517861111,-1.41863792363792,-3,106.749227734878,81.15,0.000828849326389315,0.62</t>
  </si>
  <si>
    <t>2025-05-09 13:10:00,580,,567,,580,,563.5,,,,,567,560,566,564</t>
  </si>
  <si>
    <t>2025-05-09 13:10:00,500,,,486,470,,488,,,,,491,486,491,488</t>
  </si>
  <si>
    <t>2025-05-09 13:10:00,5680,,5700,,,5800,5660,,,,,5700,5600,5590,5650</t>
  </si>
  <si>
    <t>2025-05-09 13:10:00,20050,,,,19500,,20000,,,,,20200,19800,19800,19350</t>
  </si>
  <si>
    <t>2025-05-09 13:10:00,1452862169.70581,9416164673.75092,-412.611111111111,-1455,-960.141722222224,-728.7,-121.668772650339,-76.8900000000001</t>
  </si>
  <si>
    <t>2025-05-09 13:10:00,882402899.783983,1387887759.94225,634.640067340065,1263,545.440309764307,1333.2,74.4463833548657,650.57</t>
  </si>
  <si>
    <t>2025-05-09 13:10:00,22988886.9806847,-26686487.5802541,,-266,,-6311.09,4.02676861679005,35.87</t>
  </si>
  <si>
    <t>2025-05-09 13:10:00,34557129.7273262,27479.4971743878,-30.7910923185342,-25,-842.922899768448,-547.48,-0.0119823678267801,-7.05</t>
  </si>
  <si>
    <t>2025-05-09 13:12:00,580,,567,,580,,563.5,,,,,567,560,566,564</t>
  </si>
  <si>
    <t>2025-05-09 13:12:00,500,,,486,470,,488,,,,,491,486,491,488</t>
  </si>
  <si>
    <t>2025-05-09 13:12:00,5680,,,5650,,5800,5660,,,,,5700,5600,5590,5650</t>
  </si>
  <si>
    <t>2025-05-09 13:12:00,20050,,,,19500,,20000,,,,,20200,19800,19800,19350</t>
  </si>
  <si>
    <t>2025-05-09 13:12:00,1426390710.70154,8942954109.12037,-453.154761904762,-1467,15.8070238095249,31.36,-74.9980939094105,-30.87</t>
  </si>
  <si>
    <t>2025-05-09 13:12:00,853405428.445395,1233236724.219,-696.392857142857,-583,-180.034642857142,43.43,60.3304539895035,-2.69</t>
  </si>
  <si>
    <t>2025-05-09 13:12:00,22876926.6863938,-38843201.054562,,-89,,1056.19,2.51613755544191,35.73</t>
  </si>
  <si>
    <t>2025-05-09 13:12:00,33212361.7232872,20225.7673074456,10.6969396195203,12,323.417665425972,351.35,0.0462765256825313,5.15</t>
  </si>
  <si>
    <t>2025-05-09 13:13:00,580,,567,,580,,563.5,,,,,567,560,566,564</t>
  </si>
  <si>
    <t>2025-05-09 13:13:00,500,,,486,470,,488,,,,,491,486,491,488</t>
  </si>
  <si>
    <t>2025-05-09 13:13:00,5680,,,5650,,5800,5660,,,,,5700,5600,5590,5650</t>
  </si>
  <si>
    <t>2025-05-09 13:13:00,20050,,,19800,19500,,20000,,,,,20200,19800,19800,19350</t>
  </si>
  <si>
    <t>2025-05-09 13:13:00,1414294312.42775,8925508504.48375,-906.585317460317,-2948,-562.168968253968,-1477.03,-131.567716175402,-858.57</t>
  </si>
  <si>
    <t>2025-05-09 13:13:00,806769456.751958,1122165731.58118,-1213.23333333333,-127,-950.746,43.06,-65.5149008831292,31.54</t>
  </si>
  <si>
    <t>2025-05-09 13:13:00,22547033.8141829,-49247222.9672038,,-197,,-3304.66,-2.96909435558692,-144.79</t>
  </si>
  <si>
    <t>2025-05-09 13:13:00,35343158.2405428,-39041.8606198312,-6.8036963036963,-8,-161.599544455544,-191.04,-0.00696619090569881,-3.02</t>
  </si>
  <si>
    <t>2025-05-09 13:14:00,580,,567,,580,,563.5,,,,,567,560,566,564</t>
  </si>
  <si>
    <t>2025-05-09 13:14:00,500,,,486,470,,488,,,,,491,486,491,488</t>
  </si>
  <si>
    <t>2025-05-09 13:14:00,5680,,5700,,,5800,5660,,,,,5700,5600,5590,5650</t>
  </si>
  <si>
    <t>2025-05-09 13:14:00,20050,,,,19500,,20000,,,,,20200,19800,19800,19350</t>
  </si>
  <si>
    <t>2025-05-09 13:14:00,1491901140.75476,9368860580.07267,2158.23611111111,2442,1693.38319444444,1138.68,-63.4826048600903,719.09</t>
  </si>
  <si>
    <t>2025-05-09 13:14:00,884179465.824333,1465435122.87678,-365.080357142858,-5,-546.331175595239,-461.24,4.38456617144129,-106.79</t>
  </si>
  <si>
    <t>2025-05-09 13:14:00,23925621.5248744,-8166436.45294344,,931,,4540.69,6.08378372113444,291.53</t>
  </si>
  <si>
    <t>2025-05-09 13:14:00,34927288.9488123,69178.6694184383,-10.2305194805195,-10,-313.626082251082,-288.1,0.0162570352591598,-3.94</t>
  </si>
  <si>
    <t>2025-05-09 13:15:00,580,,567,,580,,563.5,,,,,567,560,566,564</t>
  </si>
  <si>
    <t>2025-05-09 13:15:00,500,,,486,470,,488,,,,,491,486,491,488</t>
  </si>
  <si>
    <t>2025-05-09 13:15:00,5680,,5700,,,5800,5660,,,,,5700,5600,5590,5650</t>
  </si>
  <si>
    <t>2025-05-09 13:15:00,20050,,,,19500,,20000,,,,,20200,19800,19800,19350</t>
  </si>
  <si>
    <t>2025-05-09 13:15:00,1438359937.13682,9309348901.31696,88.6277777777795,408,-226.012777777776,129.95,22.9539633365701,30.94</t>
  </si>
  <si>
    <t>2025-05-09 13:15:00,841140122.51882,1341261496.87633,145.952380952381,-127,-17.1352380952372,73.63,6.49532796288543,5.48</t>
  </si>
  <si>
    <t>2025-05-09 13:15:00,23145949.0336267,-18651698.4159628,,-259,,523.88,2.10614436567658,-24.17</t>
  </si>
  <si>
    <t>2025-05-09 13:15:00,34612995.5266774,69923.4939093233,14.5904761904762,19,108.825714285714,126.7,0.0242105024967439,2.47</t>
  </si>
  <si>
    <t>2025-05-09 13:16:00,580,,567,,580,,563.5,,,,,567,560,566,564</t>
  </si>
  <si>
    <t>2025-05-09 13:16:00,500,,,486,470,,488,,,,,491,486,491,488</t>
  </si>
  <si>
    <t>2025-05-09 13:16:00,5680,,5700,,,5800,5660,,,,,5700,5600,5590,5650</t>
  </si>
  <si>
    <t>2025-05-09 13:16:00,20050,,,,19500,,20000,,,,,20200,19800,19800,19350</t>
  </si>
  <si>
    <t>2025-05-09 13:16:00,1455005133.97566,13069377798.982,-2412.22222222221,-2057,-2035.14003968253,-2113.82,-474.71638948417,-986.68</t>
  </si>
  <si>
    <t>2025-05-09 13:16:00,832676912.325579,1877204688.69943,-944.627427065686,-1244,-689.205614078673,-1184.24,-4.67001606408698,-618.58</t>
  </si>
  <si>
    <t>2025-05-09 13:16:00,24863117.8802535,3847311.44031127,,-762,,-4875.29,0.329256442437645,-230.69</t>
  </si>
  <si>
    <t>2025-05-09 13:16:00,35955927.6292876,174390.310094916,12.712987012987,11,232.609571428571,124.04,0.0366224550442044,1.78</t>
  </si>
  <si>
    <t>2025-05-09 13:17:00,580,,567,,580,,563.5,,,,,567,560,570,564</t>
  </si>
  <si>
    <t>2025-05-09 13:17:00,500,,,486,470,,488,,,,,491,486,491,488</t>
  </si>
  <si>
    <t>2025-05-09 13:17:00,5680,,,5650,,5800,5660,,,,,5700,5600,5590,5650</t>
  </si>
  <si>
    <t>2025-05-09 13:17:00,20050,,,,19500,,20000,,,,,20200,19800,19800,19350</t>
  </si>
  <si>
    <t>2025-05-09 13:17:00,1427389481.53649,9297323172.58289,1815.94329004329,2395,2585.11868398269,2625.61,-142.421762166481,1307.18</t>
  </si>
  <si>
    <t>2025-05-09 13:17:00,871893554.434178,1171175846.69963,579.4829004329,765,964.486357142857,841.69,45.6821804760973,378.69</t>
  </si>
  <si>
    <t>2025-05-09 13:17:00,19455624.9405373,-11866746.7728015,,173,,8919.56,0.704584165519745,136.26</t>
  </si>
  <si>
    <t>2025-05-09 13:17:00,33278950.9987074,113483.525329648,38.5851948051948,18,811.671990909091,242.26,0.00232206036795635,3.78</t>
  </si>
  <si>
    <t>2025-05-09 13:18:00,580,,,,580,,563.5,,,564,,567,560,570,564</t>
  </si>
  <si>
    <t>2025-05-09 13:18:00,500,,,486,470,,488,,,488,,491,486,491,488</t>
  </si>
  <si>
    <t>2025-05-09 13:18:00,5680,,,5650,,5800,5660,,,5650,,5700,5600,5590,5650</t>
  </si>
  <si>
    <t>2025-05-09 13:18:00,20050,,,19800,19500,,20000,,,,,20200,19800,19800,19350</t>
  </si>
  <si>
    <t>2025-05-09 13:18:00,1215203815.25492,4342315434.4711,11907.0255050505,16188,7205.29348989899,10159.06,-499.954791374918,5770.53</t>
  </si>
  <si>
    <t>2025-05-09 13:18:00,729232599.632395,17035946.7483182,1602.649609748,-2488,1489.77636116993,214.74,-615.90902822955,-81.9400000000001</t>
  </si>
  <si>
    <t>2025-05-09 13:18:00,15610879.7518344,-97566085.2622225,,2335,,23912.68,-13.8263392282084,956.12</t>
  </si>
  <si>
    <t>2025-05-09 13:18:00,32262934.792574,-128028.835012113,26.7797691197691,-15,637.259397402598,-69.69,-0.0797501279921166,-2.75</t>
  </si>
  <si>
    <t>2025-05-09 13:19:00,580,,,,580,,563.5,,,564,,567,560,570,564</t>
  </si>
  <si>
    <t>2025-05-09 13:19:00,500,,,486,470,,488,,,,488,491,486,491,488</t>
  </si>
  <si>
    <t>2025-05-09 13:19:00,5680,,,5650,,5800,5660,,5670,,,5700,5600,5590,5650</t>
  </si>
  <si>
    <t>2025-05-09 13:19:00,20050,,,19800,19500,,20000,,,,,20200,19800,19800,19350</t>
  </si>
  <si>
    <t>2025-05-09 13:19:00,1255348334.24416,6149521462.83443,683.446031746067,-135,-1201.6376706349,-1231.94,627.659486821972,-117.44</t>
  </si>
  <si>
    <t>2025-05-09 13:19:00,754279473.956673,418715419.632805,-2230.12215320911,-2703,-3469.78909937888,-2701.24,439.80780287954,-1258.67</t>
  </si>
  <si>
    <t>2025-05-09 13:19:00,19925484.8936648,-110847243.71566,,-1181,,-11543.69,12.0627891807574,-640.9</t>
  </si>
  <si>
    <t>2025-05-09 13:19:00,30428673.479767,-192131.524839251,-53.9327727827728,-37,-436.867616494617,-207.42,0.0054274106351365,-3.93</t>
  </si>
  <si>
    <t>2025-05-09 13:20:00,580,,,,580,,563.5,,,,,567,560,570,564</t>
  </si>
  <si>
    <t>2025-05-09 13:20:00,500,,,486,470,,488,,,,,491,486,491,488</t>
  </si>
  <si>
    <t>2025-05-09 13:20:00,5680,,,5650,,5800,5660,,,,,5700,5600,5590,5650</t>
  </si>
  <si>
    <t>2025-05-09 13:20:00,20050,,,19800,19500,,20000,,,,,20200,19800,19800,19350</t>
  </si>
  <si>
    <t>2025-05-09 13:20:00,1267782075.9083,5989176073.21139,1633.71659451659,-2792,1527.10126911977,536.03,332.229363601725,78.8600000000001</t>
  </si>
  <si>
    <t>2025-05-09 13:20:00,782505974.523868,432754668.867906,680.200519978107,1619,1314.0982364532,2282.9,-10.5676796847611,1137.89</t>
  </si>
  <si>
    <t>2025-05-09 13:20:00,19154079.3846556,-120729230.51053,,88,,3920.58,4.51489277706583,233.81</t>
  </si>
  <si>
    <t>2025-05-09 13:20:00,30734813.2712511,-179188.456777276,10.2782051282051,19,136.435461538462,191.03,-0.0146651640013852,3.78</t>
  </si>
  <si>
    <t>2025-05-09 13:21:00,580,,,,580,,563.5,,,,,567,560,570,564</t>
  </si>
  <si>
    <t>2025-05-09 13:21:00,500,,,486,470,,488,,,,,491,486,491,488</t>
  </si>
  <si>
    <t>2025-05-09 13:21:00,5680,,,5650,,5800,5660,,,,,5700,5600,5590,5650</t>
  </si>
  <si>
    <t>2025-05-09 13:21:00,20050,,,19800,19500,,20000,,,,,20200,19800,19800,19500</t>
  </si>
  <si>
    <t>2025-05-09 13:21:00,1301682255.46537,7357556865.736,-2484.29751552795,-6324,-1257.19107556936,-2084.8,-24.8384235984548,-1337.48</t>
  </si>
  <si>
    <t>2025-05-09 13:21:00,782878830.765701,548490808.808806,1102.49968944099,634,592.696223602485,352.25,91.7939184340729,216.16</t>
  </si>
  <si>
    <t>2025-05-09 13:21:00,20471755.3014062,-90975847.6810275,,-1370,,-10484.56,2.47337271126165,-639.07</t>
  </si>
  <si>
    <t>2025-05-09 13:21:00,34998265.4534871,-120964.952880187,-25.1896143072614,-11,-221.939055483732,118.45,-0.00572769106429604,2.19</t>
  </si>
  <si>
    <t>2025-05-09 13:22:00,580,,,,580,,563.5,,,,,567,560,570,564</t>
  </si>
  <si>
    <t>2025-05-09 13:22:00,500,,,486,470,,488,,,,,491,486,491,488</t>
  </si>
  <si>
    <t>2025-05-09 13:22:00,5680,,,5650,,5800,5660,,,,5650,5700,5600,5590,5650</t>
  </si>
  <si>
    <t>2025-05-09 13:22:00,20050,,,19800,19500,,20000,,,,,20200,19800,19800,19500</t>
  </si>
  <si>
    <t>2025-05-09 13:22:00,1130595522.42424,7151342822.8728,-3431.94603174603,-3964,-2447.13634920635,-2455.17,154.123917676605,-1434.79</t>
  </si>
  <si>
    <t>2025-05-09 13:22:00,701470102.674803,759042457.1674,-9.70814132104436,-1017,356.022503840246,-145.95,-37.2008747268676,-243.86</t>
  </si>
  <si>
    <t>2025-05-09 13:22:00,15054758.70452,-104308832.268393,,-832,,-1997.02,7.0910378423382,-196.09</t>
  </si>
  <si>
    <t>2025-05-09 13:22:00,31224064.0399647,-172327.329023967,23.0569597069597,22,390.409150183151,473.89,-0.00906784503770054,7.7</t>
  </si>
  <si>
    <t>2025-05-09 13:23:00,580,,,,580,,563.5,,,,,567,560,570,564</t>
  </si>
  <si>
    <t>2025-05-09 13:23:00,500,,,486,470,,488,,,,,491,486,491,488</t>
  </si>
  <si>
    <t>2025-05-09 13:23:00,5680,,,5650,,5800,5660,,,,,5700,5600,5590,5650</t>
  </si>
  <si>
    <t>2025-05-09 13:23:00,20050,,,19800,19500,,20000,,,,,20200,19800,19800,19500</t>
  </si>
  <si>
    <t>2025-05-09 13:23:00,1183495356.34058,6337948235.71155,1618.04523809525,1106,2165.18035714286,2485.9,-63.0664740772798,1131.63</t>
  </si>
  <si>
    <t>2025-05-09 13:23:00,795914609.232656,299657552.180085,776.654134223211,52,643.304416759362,580.85,10.4240289446688,339.52</t>
  </si>
  <si>
    <t>2025-05-09 13:23:00,18425395.0238512,-102972346.712685,,42,,5003.2,-0.587237485481998,121.58</t>
  </si>
  <si>
    <t>2025-05-09 13:23:00,31406032.7425564,-147942.647136285,-16.2474675324675,-44,-120.942481818182,-126.73,0.00694998885443712,-2.2</t>
  </si>
  <si>
    <t>2025-05-09 13:24:00,580,,,,580,,563.5,,,,,567,560,570,564</t>
  </si>
  <si>
    <t>2025-05-09 13:24:00,500,,,486,470,,488,,,,,491,486,491,488</t>
  </si>
  <si>
    <t>2025-05-09 13:24:00,5680,,,5650,,5800,5660,,,,,5700,5600,5590,5650</t>
  </si>
  <si>
    <t>2025-05-09 13:24:00,20050,,,19800,19500,,20000,,,,,20200,19800,19800,19500</t>
  </si>
  <si>
    <t>2025-05-09 13:24:00,1283913604.4271,7477662984.54865,992.711361737676,673,299.238911445279,-63.63,-103.217190437252,26.03</t>
  </si>
  <si>
    <t>2025-05-09 13:24:00,756929991.908777,954143066.3661,328.508333333333,356,-762.731059523806,-1043.06,68.1614369175667,-103.02</t>
  </si>
  <si>
    <t>2025-05-09 13:24:00,20782058.9606354,-94538537.1441625,,418,,-12785.15,-5.68057875972552,-82.2399999999999</t>
  </si>
  <si>
    <t>2025-05-09 13:24:00,31176955.3307366,-93212.4853078158,0.677489177489172,22,163.988058441558,339.62,0.0196616231888425,5.96</t>
  </si>
  <si>
    <t>2025-05-09 13:25:00,580,,567,,580,,563.5,,,,,567,560,570,564</t>
  </si>
  <si>
    <t>2025-05-09 13:25:00,500,,,486,470,,488,,,,,491,486,491,488</t>
  </si>
  <si>
    <t>2025-05-09 13:25:00,5680,,,5650,,5800,5660,,,,,5700,5600,5590,5650</t>
  </si>
  <si>
    <t>2025-05-09 13:25:00,20050,,,19800,19500,,20000,,,,,20200,19800,19800,19500</t>
  </si>
  <si>
    <t>2025-05-09 13:25:00,1220973568.45841,10545568428.6524,-3028.20992063492,-2423,-2368.99381746032,-1722.37,171.391296699395,-867.62</t>
  </si>
  <si>
    <t>2025-05-09 13:25:00,755597921.887555,1392876088.66851,751.471609111712,929,-174.360257801124,-13.82,40.4997432601083,50.32</t>
  </si>
  <si>
    <t>2025-05-09 13:25:00,21498481.5180138,-76128719.1118508,,-905,,-4558.86,13.1463544446716,-132.87</t>
  </si>
  <si>
    <t>2025-05-09 13:25:00,31056965.3135036,-23144.4136342006,0.7881954887218,-8,65.7871496240601,-101.97,-0.0101979306463978,-1.71</t>
  </si>
  <si>
    <t>2025-05-09 13:26:00,580,,,,580,,563.5,,,,,567,560,570,564</t>
  </si>
  <si>
    <t>2025-05-09 13:26:00,500,,,486,470,,488,,,,,491,486,491,488</t>
  </si>
  <si>
    <t>2025-05-09 13:26:00,5680,,,5650,,5800,5660,,,,,5700,5600,5590,5650</t>
  </si>
  <si>
    <t>2025-05-09 13:26:00,20050,,,19800,19500,,20000,,,,,20200,19800,19800,19500</t>
  </si>
  <si>
    <t>2025-05-09 13:26:00,1347524680.74725,7524951892.65479,-816.987012987013,-2261,-399.7906998557,-1364.4,-210.544459204163,-686.67</t>
  </si>
  <si>
    <t>2025-05-09 13:26:00,793916553.602857,875741492.856917,-594.434210526315,-1136,-552.424894736842,-310.13,-73.9207435532249,-201.08</t>
  </si>
  <si>
    <t>2025-05-09 13:26:00,20702467.008312,-88015253.4905906,,-218,,-2607.09,-2.28670251162212,-83.65</t>
  </si>
  <si>
    <t>2025-05-09 13:26:00,34885144.3206922,-10696.725812187,1.05435064935065,-2,8.49487532467524,31.95,0.0278265868402462,0.02</t>
  </si>
  <si>
    <t>2025-05-09 13:27:00,580,,,,580,,563.5,,,,,567,560,570,564</t>
  </si>
  <si>
    <t>2025-05-09 13:27:00,500,,,486,470,,488,,,,,491,486,491,488</t>
  </si>
  <si>
    <t>2025-05-09 13:27:00,5680,,,5650,,5800,5660,,,,,5700,5600,5590,5650</t>
  </si>
  <si>
    <t>2025-05-09 13:27:00,20050,,,19800,19500,,20000,,,,,20200,19800,19800,19500</t>
  </si>
  <si>
    <t>2025-05-09 13:27:00,1222275196.85974,7049113914.61678,-583.685714285712,-2154,-89.4901746031718,-191.8,132.178424996824,-155.41</t>
  </si>
  <si>
    <t>2025-05-09 13:27:00,760376013.738262,703803946.908469,-98.2219662058372,-843,-72.0494009216589,-269.94,-55.2923135823842,-196.8</t>
  </si>
  <si>
    <t>2025-05-09 13:27:00,16788634.6977813,-86545240.3488853,,-451,,809.6,-2.01000338397273,-36.11</t>
  </si>
  <si>
    <t>2025-05-09 13:27:00,31460641.9643014,-18216.9865257769,4.05428571428571,5,88.813419047619,55.7,0.0122800937924578,1.01</t>
  </si>
  <si>
    <t>2025-05-09 13:28:00,580,,,,580,,563.5,,,,,567,560,566,564</t>
  </si>
  <si>
    <t>2025-05-09 13:28:00,500,,,486,470,,488,,,,,491,486,491,488</t>
  </si>
  <si>
    <t>2025-05-09 13:28:00,5680,,,5650,,5800,5660,,,5650,,5700,5600,5590,5650</t>
  </si>
  <si>
    <t>2025-05-09 13:28:00,20050,,,19800,19500,,20000,,,,,20200,19800,19800,19500</t>
  </si>
  <si>
    <t>2025-05-09 13:28:00,1257804783.68744,5072045099.6351,4434.59365079365,1880,3562.35798412698,1680.63,226.452778140738,852.72</t>
  </si>
  <si>
    <t>2025-05-09 13:28:00,819714003.018136,509492998.544611,519.906494176618,235,680.960035308862,395.01,1.46904754451033,173.03</t>
  </si>
  <si>
    <t>2025-05-09 13:28:00,14803823.186613,-115751672.351706,,854,,4208.78,-11.3471166734839,289.51</t>
  </si>
  <si>
    <t>2025-05-09 13:28:00,31868323.1385133,-35180.1941655363,15.9961988304094,16,367.988959064328,285.66,0.0408682048367617,4.86</t>
  </si>
  <si>
    <t>2025-05-09 13:29:00,580,,,,580,,563.5,,,,,567,560,566,564</t>
  </si>
  <si>
    <t>2025-05-09 13:29:00,500,,,486,470,,488,,,,,491,486,491,488</t>
  </si>
  <si>
    <t>2025-05-09 13:29:00,5680,,,5650,,5800,5660,,,5650,,5700,5600,5590,5650</t>
  </si>
  <si>
    <t>2025-05-09 13:29:00,20050,,,19800,19500,,20000,,,,,20200,19800,19800,19500</t>
  </si>
  <si>
    <t>2025-05-09 13:29:00,1145806780.34623,4651870067.10517,1693.82852564103,-722,1330.08483592796,2270.21,12.658793148682,1046.68</t>
  </si>
  <si>
    <t>2025-05-09 13:29:00,759682179.143547,295943231.203038,1623.12064125832,706,546.837362250453,183.85,-21.0279663184353,96.1</t>
  </si>
  <si>
    <t>2025-05-09 13:29:00,16129213.3622494,-138997760.801427,,826,,7198.84,-21.1810313342889,455.2</t>
  </si>
  <si>
    <t>2025-05-09 13:29:00,31488526.131168,-110907.692358647,14.5606493506493,14,147.289395670996,231.08,0.0299341755124002,3.65</t>
  </si>
  <si>
    <t>2025-05-09 13:30:00,580,,,,580,,563.5,,,,,567,560,566,564</t>
  </si>
  <si>
    <t>2025-05-09 13:30:00,500,,,486,470,,488,,,,,491,486,491,488</t>
  </si>
  <si>
    <t>2025-05-09 13:30:00,5680,,,5650,,5800,5660,,,,,5700,5600,5590,5650</t>
  </si>
  <si>
    <t>2025-05-09 13:30:00,20050,,,19800,19500,,20000,,,,,20200,19800,19800,19500</t>
  </si>
  <si>
    <t>2025-05-09 13:30:00,1156701957.71458,5175673349.48181,1445.04388310349,-5393,817.377365271471,989.45,-311.423415138738,105.63</t>
  </si>
  <si>
    <t>2025-05-09 13:30:00,741159142.772908,309331988.85656,205.621212121212,62,123.707878787879,374.82,-20.797442594208,156.43</t>
  </si>
  <si>
    <t>2025-05-09 13:30:00,18792662.4812973,-143821953.991069,,-1128,,-2244.43,-15.7403940710371,-238.53</t>
  </si>
  <si>
    <t>2025-05-09 13:30:00,31805018.0418934,-57400.0477438307,1.86458333333333,0,-226.033479166667,28.08,-0.00688246401909208,0.34</t>
  </si>
  <si>
    <t>2025-05-09 13:31:00,580,,,,580,,563.5,,,,,567,560,566,564</t>
  </si>
  <si>
    <t>2025-05-09 13:31:00,500,,,486,470,,488,,,,,491,486,491,488</t>
  </si>
  <si>
    <t>2025-05-09 13:31:00,5680,,,5650,,5800,5660,,,,,5700,5600,5590,5650</t>
  </si>
  <si>
    <t>2025-05-09 13:31:00,20050,,,,19500,,20000,,,,,20200,19800,19800,19500</t>
  </si>
  <si>
    <t>2025-05-09 13:31:00,1243085278.37535,5798854101.52546,1586.63968253968,3515,592.554126984127,1912.75,-480.519703443893,1205.51</t>
  </si>
  <si>
    <t>2025-05-09 13:31:00,833652592.547437,877186158.345064,672.681818181817,-126,343.34606060606,92.39,-29.9783204893378,53.93</t>
  </si>
  <si>
    <t>2025-05-09 13:31:00,21273940.1857382,-103579032.329283,,206,,2321.43,0.304335511767616,169.77</t>
  </si>
  <si>
    <t>2025-05-09 13:31:00,32566621.393707,32368.4873314145,-12.1279974771365,-10,-229.210546578366,-240.63,0.0122291827783314,-4.12</t>
  </si>
  <si>
    <t>2025-05-09 13:32:00,580,,567,,580,,563.5,565,,,,567,560,566,564</t>
  </si>
  <si>
    <t>2025-05-09 13:32:00,500,,,486,470,,488,,,,,491,486,491,488</t>
  </si>
  <si>
    <t>2025-05-09 13:32:00,5680,,,5650,,5800,5660,,,,,5700,5600,5590,5650</t>
  </si>
  <si>
    <t>2025-05-09 13:32:00,20050,,,,19500,,20000,,,,,20200,19800,19800,19500</t>
  </si>
  <si>
    <t>2025-05-09 13:32:00,1226584641.24785,10015674839.5083,-9089.30952380952,-3161,-5923.38940476191,-2850.73,397.113325078564,-1230.57</t>
  </si>
  <si>
    <t>2025-05-09 13:32:00,782828638.313849,1563975821.29727,-236.64016722408,-93,-1345.44243177258,-1260.23,113.237942507721,-562.55</t>
  </si>
  <si>
    <t>2025-05-09 13:32:00,21287615.6988467,-89248088.4210756,,-426,,-3662.47,-6.84565166865013,-227.47</t>
  </si>
  <si>
    <t>2025-05-09 13:32:00,35939748.621996,126021.250517562,-4.93245270711025,-6,-39.7295065231574,-228.1,-0.0340240829399621,-2.97</t>
  </si>
  <si>
    <t>2025-05-09 13:33:00,580,,567,,580,,563.5,,565,,,567,560,566,564</t>
  </si>
  <si>
    <t>2025-05-09 13:33:00,500,,,486,470,,488,,,,,491,486,491,488</t>
  </si>
  <si>
    <t>2025-05-09 13:33:00,5680,,,5650,,5800,5660,,,,,5700,5600,5590,5650</t>
  </si>
  <si>
    <t>2025-05-09 13:33:00,20050,,,,19500,,20000,,,,,20200,19800,19800,19500</t>
  </si>
  <si>
    <t>2025-05-09 13:33:00,1368093832.87912,9341705682.25831,1978.1253968254,1067,191.894682539682,-1168.43,-525.380327546161,-562.41</t>
  </si>
  <si>
    <t>2025-05-09 13:33:00,838771850.171831,1795826184.73063,876.38533114395,1730,319.323680897642,2273.78,243.4669889836,942</t>
  </si>
  <si>
    <t>2025-05-09 13:33:00,22098364.090599,-68552600.9284474,,-379,,-6952.77,9.38307098273812,-295.85</t>
  </si>
  <si>
    <t>2025-05-09 13:33:00,36468444.9453378,161281.522905354,0.594177018633535,-4,68.4449283126293,125.28,0.0307197719560768,1.21</t>
  </si>
  <si>
    <t>2025-05-09 13:34:00,580,,567,,580,,563.5,,,,,567,560,566,564</t>
  </si>
  <si>
    <t>2025-05-09 13:34:00,500,,,486,470,,488,,,,,491,486,491,488</t>
  </si>
  <si>
    <t>2025-05-09 13:34:00,5680,,,5650,,5800,5660,,,,,5700,5600,5590,5650</t>
  </si>
  <si>
    <t>2025-05-09 13:34:00,20050,,,,19500,,20000,,,,,20200,19800,19800,19500</t>
  </si>
  <si>
    <t>2025-05-09 13:34:00,1366625017.26166,9862828050.87115,219.660714285714,-393,853.245892857145,416.29,428.013960752997,279.26</t>
  </si>
  <si>
    <t>2025-05-09 13:34:00,841258620.904328,1409400176.86175,-33.9598161003526,-932,-168.687279929362,-270.1,-55.0097793948507,-254.02</t>
  </si>
  <si>
    <t>2025-05-09 13:34:00,23491018.8030652,-50430263.8686075,,171,,29.7900000000001,8.1046489244917,16.67</t>
  </si>
  <si>
    <t>2025-05-09 13:34:00,34675970.863323,184764.262280347,-10.1758692440055,-10,-59.2579441841545,-85.39,0.00437598786004467,-0.94</t>
  </si>
  <si>
    <t>2025-05-09 13:35:00,580,,,,580,,563.5,,,,,567,560,566,564</t>
  </si>
  <si>
    <t>2025-05-09 13:35:00,500,,,486,470,,488,,,,,491,486,491,488</t>
  </si>
  <si>
    <t>2025-05-09 13:35:00,5680,,,5650,,5800,5660,,,,,5700,5600,5590,5650</t>
  </si>
  <si>
    <t>2025-05-09 13:35:00,20050,,,,19500,,20000,,,,,20200,19800,19800,19500</t>
  </si>
  <si>
    <t>2025-05-09 13:35:00,1158692250.63572,7658518800.79679,12.0539682539679,269,-45.3274603174626,732.63,69.7309267905447,326.12</t>
  </si>
  <si>
    <t>2025-05-09 13:35:00,836419879.154562,995891922.169154,678.715064935065,45,349.437951948051,-223.22,-83.7665245901875,-129.59</t>
  </si>
  <si>
    <t>2025-05-09 13:35:00,18070133.0464466,-80602357.9341194,,-40,,-729.6,5.08932811856916,-111.45</t>
  </si>
  <si>
    <t>2025-05-09 13:35:00,32631384.4795702,126834.536382451,15.6860317460317,15,354.700707936508,345.83,0.0210015010790545,6.03</t>
  </si>
  <si>
    <t>2025-05-09 13:36:00,580,,,,580,,563.5,,,,,567,560,566,564</t>
  </si>
  <si>
    <t>2025-05-09 13:36:00,500,,,486,470,,488,,,,,491,486,491,488</t>
  </si>
  <si>
    <t>2025-05-09 13:36:00,5680,,,5650,,5800,5660,,,,,5700,5600,5590,5650</t>
  </si>
  <si>
    <t>2025-05-09 13:36:00,20050,,,19800,19500,,20000,,,,,20200,19800,19800,19500</t>
  </si>
  <si>
    <t>2025-05-09 13:36:00,1184261314.23887,8014293906.36315,-1012.48233082707,-1056,-1957.97358646617,-472.46,533.027753014661,281.35</t>
  </si>
  <si>
    <t>2025-05-09 13:36:00,734434540.383996,1042877207.70676,-1318.52633477634,-1808,-1556.76119047619,-1225.56,-19.5278503174034,-676.78</t>
  </si>
  <si>
    <t>2025-05-09 13:36:00,20243527.3757247,-120226467.968372,,-368,,-3198.47,8.79809808888424,-160.77</t>
  </si>
  <si>
    <t>2025-05-09 13:36:00,31400551.2588173,-1143.47031680974,-7.89031390291806,-21,-312.881475666386,-462.25,-0.0412971608553988,-4.68</t>
  </si>
  <si>
    <t>2025-05-09 13:37:00,580,,,,580,,563.5,,,,,567,560,566,564</t>
  </si>
  <si>
    <t>2025-05-09 13:37:00,500,,,486,470,,488,,,,,491,486,491,488</t>
  </si>
  <si>
    <t>2025-05-09 13:37:00,5680,,,5650,,5800,5660,,,,,5700,5600,5590,5650</t>
  </si>
  <si>
    <t>2025-05-09 13:37:00,20050,,,,19500,,20000,,,,,20200,19800,19800,19500</t>
  </si>
  <si>
    <t>2025-05-09 13:37:00,1295242866.78445,6173641512.89367,5104.45238095237,3459,1378.40838095238,682.03,74.4180765056925,494.34</t>
  </si>
  <si>
    <t>2025-05-09 13:37:00,834367662.248501,715160333.835443,228.954761904762,351,237.03569047619,727,-66.0943026175508,286.53</t>
  </si>
  <si>
    <t>2025-05-09 13:37:00,21060033.2758779,-106791872.61047,,200,,774.32,-2.27332052326851,91.87</t>
  </si>
  <si>
    <t>2025-05-09 13:37:00,32612834.394844,55046.3149599488,5.47238095238096,6,125.056876190476,113.37,0.00567333545360328,2.01</t>
  </si>
  <si>
    <t>2025-05-09 13:38:00,580,,,,580,,563.5,,,,,567,560,566,564</t>
  </si>
  <si>
    <t>2025-05-09 13:38:00,500,,,486,470,,488,,,,,491,486,491,488</t>
  </si>
  <si>
    <t>2025-05-09 13:38:00,5680,,,5650,,5800,5660,,,,,5700,5600,5590,5650</t>
  </si>
  <si>
    <t>2025-05-09 13:38:00,20050,,,,19500,,20000,,,,,20200,19800,19800,19500</t>
  </si>
  <si>
    <t>2025-05-09 13:38:00,1268690308.66748,6799887995.18697,1554.59365079365,-457,507.250317460316,-52.87,-321.653894803495,-107.49</t>
  </si>
  <si>
    <t>2025-05-09 13:38:00,833584796.256596,1019794966.00268,1038.48492063492,-80,908.675841269842,409.78,1.41379617158877,174.58</t>
  </si>
  <si>
    <t>2025-05-09 13:38:00,17761399.9349692,-73441848.3683484,,856,,3990.52,3.44125019444158,244.92</t>
  </si>
  <si>
    <t>2025-05-09 13:38:00,32619567.952147,89969.2216418333,5.7875,6,114.236125,89.84,0.00490634231532992,1.66</t>
  </si>
  <si>
    <t>2025-05-09 13:39:00,580,,,,580,,563.5,,,,,567,560,566,564</t>
  </si>
  <si>
    <t>2025-05-09 13:39:00,500,,,486,470,,488,,,,,491,486,491,488</t>
  </si>
  <si>
    <t>2025-05-09 13:39:00,5680,,,5650,,5800,5660,,,,,5700,5600,5590,5650</t>
  </si>
  <si>
    <t>2025-05-09 13:39:00,20050,,,19800,19500,,20000,,,,,20200,19800,19800,19500</t>
  </si>
  <si>
    <t>2025-05-09 13:39:00,1214875867.92007,7857875759.01557,-12734.6394383394,-4014,-10584.6669267399,-2811.99,139.705574321688,-1748.08</t>
  </si>
  <si>
    <t>2025-05-09 13:39:00,705300150.43635,1044265154.92763,-1574.27314814815,-1076,-1357.66259259259,-680.87,-9.5916390896985,-385.44</t>
  </si>
  <si>
    <t>2025-05-09 13:39:00,21646114.7837416,-98271735.7399092,,-830,,-4176.13,-1.66218562329289,-292.28</t>
  </si>
  <si>
    <t>2025-05-09 13:39:00,32100332.9352352,-487.579247762955,-21.7706593406593,-13,-486.863027838828,-280.09,0.0297781727704035,-4.85</t>
  </si>
  <si>
    <t>2025-05-09 13:41:00,580,,567,,580,,563.5,,,,,567,560,566,564</t>
  </si>
  <si>
    <t>2025-05-09 13:41:00,500,,,486,470,,488,,,,,491,486,491,488</t>
  </si>
  <si>
    <t>2025-05-09 13:41:00,5680,,,5650,,5800,5660,,,,,5700,5600,5590,5650</t>
  </si>
  <si>
    <t>2025-05-09 13:41:00,20050,,,,19500,,20000,,,,,20200,19800,19800,19500</t>
  </si>
  <si>
    <t>2025-05-09 13:41:00,1356609368.0611,10036436898.5235,-3495.28095238094,-5402,-3021.01638095237,-2595.5,-115.893994313066,-1633.3</t>
  </si>
  <si>
    <t>2025-05-09 13:41:00,769129991.403695,1170179041.85056,-1333.68306982872,-561,-1140.08190052701,-579.68,-22.6329333053418,-275.84</t>
  </si>
  <si>
    <t>2025-05-09 13:41:00,21270860.7309384,-87614778.9914198,,403,,-99.7700000000001,-2.36258829997847,18.52</t>
  </si>
  <si>
    <t>2025-05-09 13:41:00,35681575.6562028,79553.8422804392,-2.41388888888889,-9,-33.7898333333333,-195.57,-0.00460128041524004,-3.23</t>
  </si>
  <si>
    <t>2025-05-09 13:42:00,580,,,,580,,563.5,,,,,567,560,566,564</t>
  </si>
  <si>
    <t>2025-05-09 13:42:00,500,,,486,470,,488,,,,,491,486,491,488</t>
  </si>
  <si>
    <t>2025-05-09 13:42:00,5680,,,5650,,5800,5660,,,,,5700,5600,5590,5650</t>
  </si>
  <si>
    <t>2025-05-09 13:42:00,20050,,,,19500,,20000,,,,,20200,19800,19800,19500</t>
  </si>
  <si>
    <t>2025-05-09 13:42:00,1253743958.69282,4261593373.19311,1621.34816849817,298,1781.59647619048,1929.76,85.9722094435896,840.5</t>
  </si>
  <si>
    <t>2025-05-09 13:42:00,825020252.147687,471364757.607463,1531.12557625018,931,1271.06922489008,708.06,67.6328348452433,335.64</t>
  </si>
  <si>
    <t>2025-05-09 13:42:00,19704977.8291717,-87926427.8328322,,517,,2022.44,-0.651638723915469,147.91</t>
  </si>
  <si>
    <t>2025-05-09 13:42:00,33235493.1334441,115840.07056736,-0.151425446819152,-7,303.965507911511,160.97,-0.0136651106234449,3.3</t>
  </si>
  <si>
    <t>2025-05-09 13:43:00,580,,,,580,,563.5,,,,,567,560,566,564</t>
  </si>
  <si>
    <t>2025-05-09 13:43:00,500,,,486,470,,488,,,,,491,486,491,488</t>
  </si>
  <si>
    <t>2025-05-09 13:43:00,5680,,,5650,,5800,5660,,,,,5700,5600,5590,5650</t>
  </si>
  <si>
    <t>2025-05-09 13:43:00,20050,,,,19500,,20000,,,,,20200,19800,19800,19500</t>
  </si>
  <si>
    <t>2025-05-09 13:43:00,1292361591.21125,9257961534.04709,2056.76428571429,2189,627.11792857143,732.27,250.963369267116,755.71</t>
  </si>
  <si>
    <t>2025-05-09 13:43:00,807598260.377244,1155210273.51867,4.59197994987489,-269,17.6743771929826,-64.1,3.16920365810489,-31.5</t>
  </si>
  <si>
    <t>2025-05-09 13:43:00,22487696.7193957,-73938941.4014673,,395,,-1302.91,-0.180285870486764,49.98</t>
  </si>
  <si>
    <t>2025-05-09 13:43:00,31920265.9766966,74898.8226162967,-3.21230158730159,-4,-45.3880158730158,-15.85,-0.0284175391706762,-0.66</t>
  </si>
  <si>
    <t>2025-05-09 13:44:00,580,,567,,580,,563.5,,,,,567,560,566,564</t>
  </si>
  <si>
    <t>2025-05-09 13:44:00,500,,,486,470,,487,,,,,491,486,491,488</t>
  </si>
  <si>
    <t>2025-05-09 13:44:00,5680,,,5650,,5800,5660,,,,,5700,5600,5590,5650</t>
  </si>
  <si>
    <t>2025-05-09 13:44:00,20050,,,,19500,,20000,,,,,20200,19800,19800,19500</t>
  </si>
  <si>
    <t>2025-05-09 13:44:00,1159953354.55451,10795663330.2843,-2112.67380952381,-3448,-1745.56295238095,-1368.43,-38.3981517532876,-1066.96</t>
  </si>
  <si>
    <t>2025-05-09 13:44:00,725278947.598761,1525448325.53426,317.880236430237,146,-37.1934427239427,396.24,27.3708458841047,149.39</t>
  </si>
  <si>
    <t>2025-05-09 13:44:00,21968887.7478194,-78812893.3862839,,-576,,-2474.45,-0.988681473194784,-194.8</t>
  </si>
  <si>
    <t>2025-05-09 13:44:00,32516572.0478741,65865.0660370038,7.05394654727987,16,32.5214275810608,217.26,-0.0275275450589717,3.61</t>
  </si>
  <si>
    <t>2025-05-09 13:45:00,580,,,,580,,563.5,,,,,567,560,566,564</t>
  </si>
  <si>
    <t>2025-05-09 13:45:00,500,,,486,470,,488,,,,,491,486,491,488</t>
  </si>
  <si>
    <t>2025-05-09 13:45:00,5680,,,5650,,5800,5660,,,,,5700,5600,5590,5650</t>
  </si>
  <si>
    <t>2025-05-09 13:45:00,20050,,,19800,19500,,20000,,,,,20200,19800,19800,19500</t>
  </si>
  <si>
    <t>2025-05-09 13:45:00,1288840370.17892,8065690750.01736,1003.76547619048,-849,199.846607142857,-582.69,40.4040837954566,-233.93</t>
  </si>
  <si>
    <t>2025-05-09 13:45:00,766495995.131321,811321929.325452,265.05,-221,-29.3029285714284,-27.18,-9.00806623052195,-34.72</t>
  </si>
  <si>
    <t>2025-05-09 13:45:00,21392110.6546071,-102773895.571502,,-197,,-482.14,-8.45820094248074,-13.05</t>
  </si>
  <si>
    <t>2025-05-09 13:45:00,32480733.6217799,-23661.4409376801,1.35574279379159,-21,-49.7532569844789,-70.1,-0.0466500266303323,-2.05</t>
  </si>
  <si>
    <t>2025-05-09 13:46:00,580,,,,580,,563.5,,,,,567,560,566,564</t>
  </si>
  <si>
    <t>2025-05-09 13:46:00,500,,,486,470,,488,,,,,491,486,491,488</t>
  </si>
  <si>
    <t>2025-05-09 13:46:00,5680,,,5650,,5800,5660,,,,,5700,5600,5590,5650</t>
  </si>
  <si>
    <t>2025-05-09 13:46:00,20050,,,,19500,,20000,,,,,20200,19800,19800,19500</t>
  </si>
  <si>
    <t>2025-05-09 13:46:00,1381206163.84467,8373387167.7272,-307.75,-473,-150.627361111112,-232.52,286.890008455728,-123.96</t>
  </si>
  <si>
    <t>2025-05-09 13:46:00,842954284.420404,897116495.307798,-61.1342857142859,37,-187.5154,-31,63.7584129887402,-49.86</t>
  </si>
  <si>
    <t>2025-05-09 13:46:00,22195268.7107088,-80383100.1740392,,1352,,2645.84,-0.79388020031069,250.69</t>
  </si>
  <si>
    <t>2025-05-09 13:46:00,36477707.5262984,23018.4709571988,-16.8035714285714,-2,-196.167857142857,-170.1,-0.0159387384605816,-2.83</t>
  </si>
  <si>
    <t>2025-05-09 13:47:00,580,,567,,580,,563.5,,,,,567,560,566,564</t>
  </si>
  <si>
    <t>2025-05-09 13:47:00,500,,,486,470,,488,,,,,491,486,491,488</t>
  </si>
  <si>
    <t>2025-05-09 13:47:00,5680,,,5650,,5800,5660,,,,,5700,5600,5590,5650</t>
  </si>
  <si>
    <t>2025-05-09 13:47:00,20050,,,,19500,,20000,,,,,20200,19800,19800,19500</t>
  </si>
  <si>
    <t>2025-05-09 13:47:00,1360393978.51326,10587173792.1365,-815.446428571428,1144,-577.869003968254,50.5599999999999,457.810921962724,185.99</t>
  </si>
  <si>
    <t>2025-05-09 13:47:00,783050226.059408,1682559701.70269,-187.772197364463,-85,-80.2445442299549,-99.69,11.0617044148689,-6.95</t>
  </si>
  <si>
    <t>2025-05-09 13:47:00,22671534.3952632,-65784435.7201776,,-218,,-174.87,1.80142732859042,-21.99</t>
  </si>
  <si>
    <t>2025-05-09 13:47:00,35963229.4784242,74607.7641000616,-1.42761904761905,-8,-97.5615857142858,-155.9,0.0189919830591544,-3.05</t>
  </si>
  <si>
    <t>2025-05-09 13:48:00,580,,567,,580,,563.5,,,,,567,560,566,564</t>
  </si>
  <si>
    <t>2025-05-09 13:48:00,500,,,486,470,,488,,,,,491,486,491,488</t>
  </si>
  <si>
    <t>2025-05-09 13:48:00,5680,,,5650,,5800,5660,,,,,5700,5600,5590,5650</t>
  </si>
  <si>
    <t>2025-05-09 13:48:00,20050,,,,19500,,20000,,,,,20200,19800,19800,19500</t>
  </si>
  <si>
    <t>2025-05-09 13:48:00,1506750948.42194,13318765623.0976,2491.19542124542,5795,670.197383699635,1551.07,-45.1028167999217,1704.82</t>
  </si>
  <si>
    <t>2025-05-09 13:48:00,839888545.071438,2039016628.52082,89.643244995518,-112,-857.312062225204,-951.2,269.473609764849,-238.6</t>
  </si>
  <si>
    <t>2025-05-09 13:48:00,23765681.5602736,-17165612.4310249,,418,,-755.1,-3.85276283662368,42.59</t>
  </si>
  <si>
    <t>2025-05-09 13:48:00,36963950.9906714,187151.141428731,-17.6386507936508,-13,-175.153384126984,-191.69,-0.000285868599897268,-3.88</t>
  </si>
  <si>
    <t>2025-05-09 13:49:00,580,,567,,580,,563.5,,,,565,567,560,566,564</t>
  </si>
  <si>
    <t>2025-05-09 13:49:00,500,,,486,470,,488,,,,,491,486,491,488</t>
  </si>
  <si>
    <t>2025-05-09 13:49:00,5680,,,5650,,5800,5660,,,,5660,5700,5600,5590,5650</t>
  </si>
  <si>
    <t>2025-05-09 13:49:00,20050,,,,19500,,20000,,,,,20200,19800,19800,19500</t>
  </si>
  <si>
    <t>2025-05-09 13:49:00,1388737505.94373,11729172511.2107,-4967.17658730159,-4670,-2604.03803571428,-2689.33,323.61624085557,-2083.37</t>
  </si>
  <si>
    <t>2025-05-09 13:49:00,830793233.329489,1854815173.21049,-1364.01839915819,-1734,-1246.73999642554,-1193.73,-19.3729791750461,-712.98</t>
  </si>
  <si>
    <t>2025-05-09 13:49:00,25372090.330226,1570443.64073465,,-1479,,-6464.41,1.73238540400928,-500.92</t>
  </si>
  <si>
    <t>2025-05-09 13:49:00,35075371.2680052,239882.305572927,-10.6507142857143,3,211.391688095238,207.18,0.0195652635055108,3.13</t>
  </si>
  <si>
    <t>2025-05-09 13:50:00,580,,567,,580,,563.5,,,,,567,560,566,564</t>
  </si>
  <si>
    <t>2025-05-09 13:50:00,500,,490,,470,,488,,,,,491,486,491,488</t>
  </si>
  <si>
    <t>2025-05-09 13:50:00,5680,,,5650,5500,,5660,,,,,5700,5600,5590,5650</t>
  </si>
  <si>
    <t>2025-05-09 13:50:00,20050,,,,19500,,20000,,,,,20200,19800,19800,19500</t>
  </si>
  <si>
    <t>2025-05-09 13:50:00,1373647769.72659,13098201876.786,-1199.65079365079,621,-629.915317460317,-373.29,247.947143161667,-227.73</t>
  </si>
  <si>
    <t>2025-05-09 13:50:00,803091967.566446,2489910817.91427,-1085.58158422992,-914,-523.521730835235,-288.3,118.175096503915,-282.66</t>
  </si>
  <si>
    <t>2025-05-09 13:50:00,25574806.1020837,1088275.7263762,,-730,,-2325.52,-5.55388096452684,-200.07</t>
  </si>
  <si>
    <t>2025-05-09 13:50:00,35652477.0786713,188070.116717155,-12.1114285714286,-14,-44.8466285714286,-49.74,0.016588771034079,-1.03</t>
  </si>
  <si>
    <t>2025-05-09 13:51:00,580,,567,,580,,563.5,,,,,567,560,566,564</t>
  </si>
  <si>
    <t>2025-05-09 13:51:00,500,,,486,470,,488,,,,,491,486,491,488</t>
  </si>
  <si>
    <t>2025-05-09 13:51:00,5680,,,5650,,5800,5660,,5670,,,5700,5600,5590,5650</t>
  </si>
  <si>
    <t>2025-05-09 13:51:00,20050,,,,19500,,20000,,,,,20200,19800,19800,19500</t>
  </si>
  <si>
    <t>2025-05-09 13:51:00,1526961515.6435,12447208325.384,2977.59484126984,1486,2034.71836111112,297.73,79.1804948017481,-286.58</t>
  </si>
  <si>
    <t>2025-05-09 13:51:00,940416658.494749,2266678282.96088,1617.14199392006,1017,1592.07993199596,974.02,-112.871532642289,583.51</t>
  </si>
  <si>
    <t>2025-05-09 13:51:00,26080635.2602418,26061855.9532142,,1611,,7189.48,-23.5296890447579,369.62</t>
  </si>
  <si>
    <t>2025-05-09 13:51:00,37636208.829058,331026.151035363,15.7260728715729,22,166.655116269841,137.61,-0.0232213026021131,2.16</t>
  </si>
  <si>
    <t>2025-05-09 13:52:00,580,,567,,580,,563.5,,,,,567,560,566,564</t>
  </si>
  <si>
    <t>2025-05-09 13:52:00,500,,,486,470,,488,,,,,491,486,491,488</t>
  </si>
  <si>
    <t>2025-05-09 13:52:00,5680,,,5650,,5800,5660,,,,,5700,5600,5590,5650</t>
  </si>
  <si>
    <t>2025-05-09 13:52:00,20050,,,,19500,,20000,,,,,20200,19800,19800,19500</t>
  </si>
  <si>
    <t>2025-05-09 13:52:00,1347984167.31137,13124676829.4951,2421.15012265512,-82,781.540623593075,-318.31,97.2470634215561,-157.3</t>
  </si>
  <si>
    <t>2025-05-09 13:52:00,837798723.043517,2083061614.77586,-915.277142857144,-683,-610.877428571429,-550.72,59.2417777178167,-247.44</t>
  </si>
  <si>
    <t>2025-05-09 13:52:00,22671874.2141612,-19433126.1988302,,1554,,19331.44,6.47886109511079,457.52</t>
  </si>
  <si>
    <t>2025-05-09 13:52:00,37909447.4924022,265449.427829036,-10.0294984731031,-19,123.197145642471,-72.88,0.0117022454967594,-1.69</t>
  </si>
  <si>
    <t>2025-05-09 13:53:00,580,,567,,580,,563.5,,,,,567,560,566,564</t>
  </si>
  <si>
    <t>2025-05-09 13:53:00,500,,,486,470,,488,,,,,491,486,491,488</t>
  </si>
  <si>
    <t>2025-05-09 13:53:00,5680,,,5650,,5800,5660,,,,,5700,5600,5590,5650</t>
  </si>
  <si>
    <t>2025-05-09 13:53:00,20050,,,,19500,,20000,,,,,20200,19800,19800,19500</t>
  </si>
  <si>
    <t>2025-05-09 13:53:00,1285641707.38167,11835502239.3082,1146.4709486166,-1165,2108.90394762846,-170.02,-136.796169962515,-57.8700000000003</t>
  </si>
  <si>
    <t>2025-05-09 13:53:00,756200037.815556,1679841492.90104,-797.76667450197,-1019,-310.284390756305,-373.63,-196.999656298373,-334.58</t>
  </si>
  <si>
    <t>2025-05-09 13:53:00,22256881.8689706,-60510222.7952862,,-1056,,-16623.33,-3.98971054675806,-365.92</t>
  </si>
  <si>
    <t>2025-05-09 13:53:00,31828138.779317,89861.3895615446,-12.3000825531058,-12,-93.3919015604549,-392.99,-0.039779607943996,-6.73</t>
  </si>
  <si>
    <t>2025-05-09 13:54:00,580,,567,,580,,563.5,,,,,567,560,566,564</t>
  </si>
  <si>
    <t>2025-05-09 13:54:00,500,,,486,470,,488,,,,,491,486,491,488</t>
  </si>
  <si>
    <t>2025-05-09 13:54:00,5680,,,5650,,5800,5660,,,,,5700,5600,5590,5650</t>
  </si>
  <si>
    <t>2025-05-09 13:54:00,20050,,,,19500,,20000,,,,,20200,19800,19800,19500</t>
  </si>
  <si>
    <t>2025-05-09 13:54:00,1340065800.99037,10937965531.5252,-3228.0378380074,-2969,-2469.35213934375,-1368.2,-85.0999111146631,-1121.06</t>
  </si>
  <si>
    <t>2025-05-09 13:54:00,797839904.48315,2181344039.21104,-226.357142857142,-674,128.922642857143,-72.92,-39.2364983193664,-106.45</t>
  </si>
  <si>
    <t>2025-05-09 13:54:00,18612288.2039163,-15594875.8153132,,-532,,-909,3.61230087055944,-139.96</t>
  </si>
  <si>
    <t>2025-05-09 13:54:00,33867970.455141,266434.404953843,7.03444444444443,13,153.662877777777,106.87,-0.00391564333902503,2.06</t>
  </si>
  <si>
    <t>2025-05-09 13:55:00,580,,567,,580,,563.5,,,,,567,560,566,564</t>
  </si>
  <si>
    <t>2025-05-09 13:55:00,500,,,486,470,,488,,,,,491,486,491,488</t>
  </si>
  <si>
    <t>2025-05-09 13:55:00,5680,,,5650,,5800,5660,,,,,5700,5600,5590,5650</t>
  </si>
  <si>
    <t>2025-05-09 13:55:00,20050,,,,19500,,20000,,,,,20200,19800,19800,19500</t>
  </si>
  <si>
    <t>2025-05-09 13:55:00,1458551998.82056,9968816645.22552,-1077.65714285714,-1513,131.61542857143,-379.46,184.523290564789,-118.85</t>
  </si>
  <si>
    <t>2025-05-09 13:55:00,820071248.700716,1756555173.93503,-133.902661064427,-375,-106.100840336135,-381.51,-27.4929515912793,-219.72</t>
  </si>
  <si>
    <t>2025-05-09 13:55:00,24542572.9095439,-15154338.6794071,,-651,,-4320.26,1.21650803639407,-207.99</t>
  </si>
  <si>
    <t>2025-05-09 13:55:00,33368293.94686,319285.51294889,0.506349206349209,-3,-7.13853968253964,-52.44,-0.00801710984524195,-1.21</t>
  </si>
  <si>
    <t>2025-05-09 13:56:00,580,,567,,580,,563.5,,,,,567,560,566,564</t>
  </si>
  <si>
    <t>2025-05-09 13:56:00,500,,,486,470,,488,,,,,491,486,491,488</t>
  </si>
  <si>
    <t>2025-05-09 13:56:00,5680,,,5650,,5800,5660,,,,,5700,5600,5590,5650</t>
  </si>
  <si>
    <t>2025-05-09 13:56:00,20050,,,,19500,,20000,,,,,20200,19800,19800,19500</t>
  </si>
  <si>
    <t>2025-05-09 13:56:00,1448303808.81925,11982987351.5405,-1117.35238095238,-677,103.525976190477,494.41,-309.692811240763,351.65</t>
  </si>
  <si>
    <t>2025-05-09 13:56:00,823746497.499276,1958694777.95807,-539.892307692308,-1178,-489.285846153846,-754.9,-25.247342221931,-399.63</t>
  </si>
  <si>
    <t>2025-05-09 13:56:00,23685480.9152938,-13867466.0319641,,-159,,-1485.04,-5.03786054583499,-114.68</t>
  </si>
  <si>
    <t>2025-05-09 13:56:00,32709005.2513341,262224.367723345,-1.26111893033074,-19,223.227593009618,-186.52,-0.0414763737794194,-4.89</t>
  </si>
  <si>
    <t>2025-05-09 13:57:00,580,,567,,580,,563.5,,,,,567,560,566,564</t>
  </si>
  <si>
    <t>2025-05-09 13:57:00,500,,,486,470,,488,,,,,491,486,491,488</t>
  </si>
  <si>
    <t>2025-05-09 13:57:00,5680,,,5650,,5800,5660,,,,,5700,5600,5590,5650</t>
  </si>
  <si>
    <t>2025-05-09 13:57:00,20050,,,,19500,,20000,,,,,20200,19800,19800,19500</t>
  </si>
  <si>
    <t>2025-05-09 13:57:00,1432096248.10493,12761318944.148,-766.916666666667,-1466,-180.682166666669,-633.85,-127.555497254059,-634.27</t>
  </si>
  <si>
    <t>2025-05-09 13:57:00,847446838.228467,2324029615.42912,652.04418655334,708,522.607341179035,832.81,9.4209550169756,548.4</t>
  </si>
  <si>
    <t>2025-05-09 13:57:00,24995351.5331449,1787349.97420636,,-221,,-715.91,1.65860245652977,-58.08</t>
  </si>
  <si>
    <t>2025-05-09 13:57:00,35241486.8112783,322323.856842492,-5.54404761904762,-13,-130.212202380952,-176.7,8.56758907156413E-05,-3.58</t>
  </si>
  <si>
    <t>2025-05-09 13:58:00,580,,567,,580,,563.5,,,,,567,560,566,564</t>
  </si>
  <si>
    <t>2025-05-09 13:58:00,500,,,486,470,,488,,,,,491,486,491,488</t>
  </si>
  <si>
    <t>2025-05-09 13:58:00,5680,,,5650,,5800,5660,,,,,5700,5600,5590,5650</t>
  </si>
  <si>
    <t>2025-05-09 13:58:00,20050,,,,19500,,20000,,,,,20200,19800,19800,19500</t>
  </si>
  <si>
    <t>2025-05-09 13:58:00,1471572304.89913,11759020471.0985,-325.203632478633,-1380,127.032617521367,-1021.27,-96.8181748787199,-815.85</t>
  </si>
  <si>
    <t>2025-05-09 13:58:00,863846410.977954,2067997357.85516,279.133494363929,-18,110.657107890499,70.91,28.8552671174325,39.78</t>
  </si>
  <si>
    <t>2025-05-09 13:58:00,24501800.5879272,7881045.90191961,,132,,1474.41,4.34188617520867,80.78</t>
  </si>
  <si>
    <t>2025-05-09 13:58:00,35057198.8926656,300932.332302627,1.57714285714286,0,3.9872,-2.41,-0.000895853128880573,-0.07</t>
  </si>
  <si>
    <t>2025-05-09 13:59:00,580,,567,,580,,563.5,,,,,567,560,566,564</t>
  </si>
  <si>
    <t>2025-05-09 13:59:00,500,,,486,470,,488,,,,,491,486,491,488</t>
  </si>
  <si>
    <t>2025-05-09 13:59:00,5680,,,5650,,5800,5660,,,,,5700,5600,5590,5650</t>
  </si>
  <si>
    <t>2025-05-09 13:59:00,20050,,,,19500,,20000,,,,,20200,19800,19800,19500</t>
  </si>
  <si>
    <t>2025-05-09 13:59:00,1475086697.32501,12136766650.6265,-61.8285714285714,398,-446.457047619046,-265.88,-151.99275961441,-223.93</t>
  </si>
  <si>
    <t>2025-05-09 13:59:00,906534240.443478,2118371497.5467,31.8666666666667,409,110.5175,182.62,5.16944072806381,127.8</t>
  </si>
  <si>
    <t>2025-05-09 13:59:00,24936250.1812209,-1936347.08032437,,684,,1790.7,1.09004410138049,117.83</t>
  </si>
  <si>
    <t>2025-05-09 13:59:00,36439328.615532,286341.63075176,2.92380952380952,1,49.243619047619,45.63,0.00626004439090268,0.87</t>
  </si>
  <si>
    <t>2025-05-09 14:00:00,580,,567,,580,,563.5,,,,,567,560,566,564</t>
  </si>
  <si>
    <t>2025-05-09 14:00:00,500,,,486,470,,488,,,,,491,486,491,488</t>
  </si>
  <si>
    <t>2025-05-09 14:00:00,5680,,,5650,5500,,5660,,,,,5700,5600,5590,5650</t>
  </si>
  <si>
    <t>2025-05-09 14:00:00,20050,,,,19500,,20000,,,,,20200,19800,19800,19500</t>
  </si>
  <si>
    <t>2025-05-09 14:00:00,1475339990.71618,14103386986.4824,-3267.67968559218,-1828,-5481.19200625762,-4290.14,-23.0236655049735,-1611.09</t>
  </si>
  <si>
    <t>2025-05-09 14:00:00,849625818.976596,2265252418.31067,-616.429928315414,-689,-710.917077060934,-677.51,-31.2425506022993,-363.64</t>
  </si>
  <si>
    <t>2025-05-09 14:00:00,24797822.2133665,2153488.14878941,,-723,,-5554.12,-1.93748780995889,-309.04</t>
  </si>
  <si>
    <t>2025-05-09 14:00:00,35612538.1000968,310091.056920741,-3.5608843537415,-9,-90.2861955782313,-170.73,-0.0151351458738805,-2.84</t>
  </si>
  <si>
    <t>2025-05-09 14:01:00,580,,567,,580,,563.5,,,,,567,560,566,564</t>
  </si>
  <si>
    <t>2025-05-09 14:01:00,500,,,486,470,,488,,,,,491,486,491,488</t>
  </si>
  <si>
    <t>2025-05-09 14:01:00,5680,,,5650,,5800,5660,,,,,5700,5600,5590,5650</t>
  </si>
  <si>
    <t>2025-05-09 14:01:00,20050,,,,19500,,20000,,,,,20200,19800,19800,19500</t>
  </si>
  <si>
    <t>2025-05-09 14:01:00,1455841102.0576,9842064223.11112,-3386.23690476191,-6041,-2203.39989285714,-3489.14,-420.467733591539,-2308.82</t>
  </si>
  <si>
    <t>2025-05-09 14:01:00,818139386.304859,1381004534.64145,-3310.18440545809,-2217,-1608.41111988304,-831.95,50.5914320961632,-578.06</t>
  </si>
  <si>
    <t>2025-05-09 14:01:00,24326650.2613642,-8205760.50644309,,-1174,,-4101.29,5.64964013250086,-404.17</t>
  </si>
  <si>
    <t>2025-05-09 14:01:00,36148171.0538915,241243.350972783,-0.86128502933381,-2,-100.208724149022,6.02,-0.0168954998612238,0.0700000000000001</t>
  </si>
  <si>
    <t>2025-05-09 14:02:00,580,,567,,580,,563.5,,,,,567,560,570,564</t>
  </si>
  <si>
    <t>2025-05-09 14:02:00,500,,,486,470,,488,,,,,491,486,491,488</t>
  </si>
  <si>
    <t>2025-05-09 14:02:00,5680,,,5650,,5800,5660,,,,,5700,5600,5590,5650</t>
  </si>
  <si>
    <t>2025-05-09 14:02:00,20050,,,,19500,,20000,,,,,20200,19800,19800,19500</t>
  </si>
  <si>
    <t>2025-05-09 14:02:00,1481283799.44388,12010550957.2326,406.408333333333,-1967,268.256234126984,-826.81,-743.562958173185,-711.82</t>
  </si>
  <si>
    <t>2025-05-09 14:02:00,823388702.46053,2204333840.29302,-740.069264069264,-486,-83.7135642135641,463.34,64.5791390454178,231.74</t>
  </si>
  <si>
    <t>2025-05-09 14:02:00,25357774.4038645,7478473.60027555,,-419,,-1737.02,-3.26493886110089,-117.25</t>
  </si>
  <si>
    <t>2025-05-09 14:02:00,37216560.0085152,229452.84542042,-0.164052287581703,18,-113.875938562092,5.44,0.000770338668665106,0.16</t>
  </si>
  <si>
    <t>2025-05-09 14:03:00,580,,567,,580,,563.5,,565,,,567,560,570,564</t>
  </si>
  <si>
    <t>2025-05-09 14:03:00,500,,491,,470,,488,,,,,491,485,491,488</t>
  </si>
  <si>
    <t>2025-05-09 14:03:00,5680,,5680,,5500,,5660,,,,,5700,5600,5590,5650</t>
  </si>
  <si>
    <t>2025-05-09 14:03:00,20050,,20100,,19500,,20000,,,,,20200,19800,19800,19500</t>
  </si>
  <si>
    <t>2025-05-09 14:03:00,1595799205.60293,16676324316.021,651.666666666669,1604,-4867.9273333333,-6551.85,-433.394951353392,-1732.63</t>
  </si>
  <si>
    <t>2025-05-09 14:03:00,874253434.661104,3406310437.87407,-1318.67618773946,-931,-1750.63378888889,-1334.01,-8.55584215659188,-672.89</t>
  </si>
  <si>
    <t>2025-05-09 14:03:00,28316284.419838,86592206.6836653,,-605,,1556.93,-2.09613174401117,95.41</t>
  </si>
  <si>
    <t>2025-05-09 14:03:00,37686733.6831129,507530.423970484,-47.1669392635103,-43,-645.904765184123,-512.44,-0.0483134321918046,-11.09</t>
  </si>
  <si>
    <t>2025-05-09 14:04:00,580,,567,,580,,563.5,,565,,,567,560,566,564</t>
  </si>
  <si>
    <t>2025-05-09 14:04:00,500,,491,,470,,488,,,,,491,485,491,488</t>
  </si>
  <si>
    <t>2025-05-09 14:04:00,5680,,5680,,5500,,5660,,,,,5700,5600,5590,5650</t>
  </si>
  <si>
    <t>2025-05-09 14:04:00,20050,,20100,,19500,,20000,,,,,20200,19800,19800,19500</t>
  </si>
  <si>
    <t>2025-05-09 14:04:00,1466340153.14481,16538563327.765,5444.18656737999,7106,3500.76711495084,-161.86,-1101.50632342641,998.85</t>
  </si>
  <si>
    <t>2025-05-09 14:04:00,822240542.20419,2611582975.43595,-5982.31826923077,-4672,-3213.2432481685,-1731.9,-92.3031359518824,-1495.84</t>
  </si>
  <si>
    <t>2025-05-09 14:04:00,23970349.7797645,82724441.8269926,,-1696,,-4512.2,-19.1937861195598,-467.38</t>
  </si>
  <si>
    <t>2025-05-09 14:04:00,33973188.2138917,505109.677297449,-3.61780827252907,21,336.009882321148,408.56,0.00947909112132619,8.41</t>
  </si>
  <si>
    <t>2025-05-09 14:05:00,580,,567,,580,,563.5,,,,,567,560,566,564</t>
  </si>
  <si>
    <t>2025-05-09 14:05:00,500,,491,,470,,488,,,,,491,485,491,488</t>
  </si>
  <si>
    <t>2025-05-09 14:05:00,5680,,5680,,5500,,5660,,,,,5700,5600,5590,5650</t>
  </si>
  <si>
    <t>2025-05-09 14:05:00,20050,,20200,,19500,,20000,,,,,20200,19800,19800,19500</t>
  </si>
  <si>
    <t>2025-05-09 14:05:00,1606200923.58241,15603748143.6571,3142.53253968254,6245,1024.79278571429,1263.4,33.8552955438354,1320.82</t>
  </si>
  <si>
    <t>2025-05-09 14:05:00,876479199.500552,3114527393.00768,-472.456140350877,-1832,-289.225307017544,-918.64,-36.690018966505,-575.24</t>
  </si>
  <si>
    <t>2025-05-09 14:05:00,28020399.1233551,97575126.5271807,,-8,,-3684.51,7.75663137075834,-33.75</t>
  </si>
  <si>
    <t>2025-05-09 14:05:00,35435823.2433478,515700.505961752,1.59688788901385,-7,-21.246577802775,-142.09,-0.0299824566711931,-3.1</t>
  </si>
  <si>
    <t>2025-05-09 14:06:00,580,,567,,580,,563.5,,,,,567,560,566,564</t>
  </si>
  <si>
    <t>2025-05-09 14:06:00,500,,491,,470,,488,,,,,491,485,491,488</t>
  </si>
  <si>
    <t>2025-05-09 14:06:00,5680,,5680,,5500,,5660,,,,,5700,5600,5590,5650</t>
  </si>
  <si>
    <t>2025-05-09 14:06:00,20050,,,,19500,,20000,,,,,20200,19800,19800,19500</t>
  </si>
  <si>
    <t>2025-05-09 14:06:00,1562614310.17173,14151902198.0671,113.713699690403,973,-1484.63685655315,-2086.41,341.798751439486,-1030.87</t>
  </si>
  <si>
    <t>2025-05-09 14:06:00,837521851.551393,2455971599.86632,-3472.45833333333,-2015,-2287.92630952381,-1013.7,-111.04482858574,-760.69</t>
  </si>
  <si>
    <t>2025-05-09 14:06:00,26891096.4110987,76942896.0603621,,-467,,-1746.48,-5.75880326178833,-208.58</t>
  </si>
  <si>
    <t>2025-05-09 14:06:00,35942105.7971145,406974.36504092,5.61984848484849,-2,880.83978939394,497.84,0.00886386243517149,6.18</t>
  </si>
  <si>
    <t>2025-05-09 14:07:00,580,,567,,580,,563.5,,,,,567,560,566,564</t>
  </si>
  <si>
    <t>2025-05-09 14:07:00,500,,491,,470,,488,,,,,491,485,491,488</t>
  </si>
  <si>
    <t>2025-05-09 14:07:00,5680,,5680,,5500,,5660,,,,,5700,5600,5590,5650</t>
  </si>
  <si>
    <t>2025-05-09 14:07:00,20050,,,,19500,,20000,,,,,20200,19800,19800,19500</t>
  </si>
  <si>
    <t>2025-05-09 14:07:00,1576899143.72699,16505185242.274,345.000000000004,-1838,2495.31408333337,4107.67,-631.431608868837,318.96</t>
  </si>
  <si>
    <t>2025-05-09 14:07:00,936494238.979511,2722626102.00721,31.7794821277794,432,129.155354629891,106.87,-75.6778514799932,97.93</t>
  </si>
  <si>
    <t>2025-05-09 14:07:00,21263245.5288214,107556747.683427,,251,,2745.65,5.22031203377021,88.92</t>
  </si>
  <si>
    <t>2025-05-09 14:07:00,38243290.4516476,412604.105566701,-0.962213740458019,-4,125.724481764207,97.7,0.0145247601275173,1.87</t>
  </si>
  <si>
    <t>2025-05-09 14:08:00,580,,567,,580,,563.5,,,,,567,560,566,564</t>
  </si>
  <si>
    <t>2025-05-09 14:08:00,500,,491,,470,,488,,489,,,491,485,491,488</t>
  </si>
  <si>
    <t>2025-05-09 14:08:00,5680,,5680,,5500,,5660,5680,,,,5700,5600,5590,5650</t>
  </si>
  <si>
    <t>2025-05-09 14:08:00,20050,,20200,,19500,,20000,,,,,20200,19800,19800,19500</t>
  </si>
  <si>
    <t>2025-05-09 14:08:00,1752945769.5052,19260510982.3631,4643.65995670996,4115,-1762.84276767677,-1507.53,1853.299127971,1259.46</t>
  </si>
  <si>
    <t>2025-05-09 14:08:00,984508456.12642,3737749868.10132,1392.57133235257,-484,1018.34128232619,-1000.19,295.029192068519,-487.45</t>
  </si>
  <si>
    <t>2025-05-09 14:08:00,28850082.4052726,148874140.22028,,750,,-6961.69,28.0657106987486,195.47</t>
  </si>
  <si>
    <t>2025-05-09 14:08:00,38587721.3010871,586720.007348944,-31.5408101237175,-34,-585.732106544268,-670.69,-0.0220100181692517,-10.89</t>
  </si>
  <si>
    <t>2025-05-09 14:09:00,580,,567,,580,,563.5,,,,,567,560,566,564</t>
  </si>
  <si>
    <t>2025-05-09 14:09:00,500,,491,,470,,488,,,,,491,485,491,488</t>
  </si>
  <si>
    <t>2025-05-09 14:09:00,5680,,5680,,5500,,5660,5670,5680,,,5700,5600,5590,5650</t>
  </si>
  <si>
    <t>2025-05-09 14:09:00,20050,,20200,,19500,,20000,,,,,20200,19800,19800,19500</t>
  </si>
  <si>
    <t>2025-05-09 14:09:00,1738480594.49154,22427783858.4329,-5132.64433621934,-26722,-477.61011544012,-13498.09,-2730.08588707814,-9521.3</t>
  </si>
  <si>
    <t>2025-05-09 14:09:00,1006144425.82224,4513963956.2546,7.7008911166783,-1164,277.119436090221,-453.06,308.698227289847,-201.46</t>
  </si>
  <si>
    <t>2025-05-09 14:09:00,30532919.0804602,212303852.609928,,-1504,,-4952.67,-23.2579023243274,-464.34</t>
  </si>
  <si>
    <t>2025-05-09 14:09:00,39675287.0246546,814876.322777601,15.3691356758006,-5,600.942063996426,366.59,-0.0986028625861386,10.38</t>
  </si>
  <si>
    <t>2025-05-09 14:10:00,580,,567,,580,,563.5,,566,,,567,560,566,564</t>
  </si>
  <si>
    <t>2025-05-09 14:10:00,500,,491,,470,,488,,,,,491,485,491,488</t>
  </si>
  <si>
    <t>2025-05-09 14:10:00,5680,,5680,,5500,,5660,,,,,5700,5600,5590,5650</t>
  </si>
  <si>
    <t>2025-05-09 14:10:00,20050,,20200,,19500,,20000,,,,,20200,19800,19800,19500</t>
  </si>
  <si>
    <t>2025-05-09 14:10:00,1912983345.1734,21841296643.2907,876.435606060606,-4481,736.790277777775,-7117.19,-1361.3376721284,-4328.86</t>
  </si>
  <si>
    <t>2025-05-09 14:10:00,984798390.321286,4597677952.13672,-211.112060250961,-391,1105.49040499546,514.27,-384.496034785937,-180.73</t>
  </si>
  <si>
    <t>2025-05-09 14:10:00,29811980.1184186,243365865.070006,,40,,3957.55,-3.34648809480546,162.89</t>
  </si>
  <si>
    <t>2025-05-09 14:10:00,38193143.8327792,921127.538827458,19.4999925595238,-3,727.855574181548,-1262.4,-0.0364308027510608,-12.04</t>
  </si>
  <si>
    <t>2025-05-09 14:11:00,580,,567,,580,,563.5,,566,,,567,560,570,564</t>
  </si>
  <si>
    <t>2025-05-09 14:11:00,500,,491,,470,,488,,,,,491,485,491,488</t>
  </si>
  <si>
    <t>2025-05-09 14:11:00,5680,,5680,,5500,,5660,5680,,,,5700,5600,5590,5650</t>
  </si>
  <si>
    <t>2025-05-09 14:11:00,20050,,20200,,19500,,20000,,,,,20200,19800,19800,19500</t>
  </si>
  <si>
    <t>2025-05-09 14:11:00,1896921495.83656,21564402635.31,-8202.64053030303,-16071,-2731.25860227273,-7979.15,-802.589928655347,-5408.53</t>
  </si>
  <si>
    <t>2025-05-09 14:11:00,929184998.144252,4256921726.42711,382.409126984128,-617,608.804515873019,-648.18,165.389973816693,-302.03</t>
  </si>
  <si>
    <t>2025-05-09 14:11:00,30830534.2080403,229348272.056807,,1369,,3459,14.2252871021661,346.26</t>
  </si>
  <si>
    <t>2025-05-09 14:11:00,34550258.6536851,902180.316881948,-8.58441433325828,-2,648.320327765682,776.1,0.0272925636873956,0.25</t>
  </si>
  <si>
    <t>2025-05-09 14:12:00,580,,567,,580,,563.5,,566,,,567,560,570,564</t>
  </si>
  <si>
    <t>2025-05-09 14:12:00,500,,490,,470,,487,,,,,491,485,491,488</t>
  </si>
  <si>
    <t>2025-05-09 14:12:00,5680,,5680,,5500,,5660,,5680,,,5700,5600,5590,5650</t>
  </si>
  <si>
    <t>2025-05-09 14:12:00,20050,,20200,,19500,,20000,,,,,20200,19800,19800,19500</t>
  </si>
  <si>
    <t>2025-05-09 14:12:00,1751895152.57877,24887443848.9622,-93.7908841158866,-4141,-54.4567410089952,-5688.21,-34.3362879455444,-3190.5</t>
  </si>
  <si>
    <t>2025-05-09 14:12:00,910595119.963055,4989746921.25298,-374.973338979862,-825,-973.043821287411,-1157.14,-88.4677107006087,-642.2</t>
  </si>
  <si>
    <t>2025-05-09 14:12:00,30392692.5706256,236307944.403237,,-2241,,-9583.25,-8.36815851302917,-713.52</t>
  </si>
  <si>
    <t>2025-05-09 14:12:00,39869021.662642,900199.484032501,33.055776081425,54,573.555074809161,742.25,0.124488427788033,14.42</t>
  </si>
  <si>
    <t>2025-05-09 14:13:00,580,,567,,580,,563.5,,,,,567,560,570,564</t>
  </si>
  <si>
    <t>2025-05-09 14:13:00,500,,491,,470,,488,,,,,491,485,491,488</t>
  </si>
  <si>
    <t>2025-05-09 14:13:00,5680,,5680,,5500,,5660,5680,,,,5700,5600,5590,5650</t>
  </si>
  <si>
    <t>2025-05-09 14:13:00,20050,,20200,,19500,,20025,,,,,20200,19800,19800,19500</t>
  </si>
  <si>
    <t>2025-05-09 14:13:00,1827521045.77835,19179642790.18,4134.65,1927,4305.71914285714,3228.02,-111.99057055334,1663.81</t>
  </si>
  <si>
    <t>2025-05-09 14:13:00,1015414574.34242,3840328206.59301,899.386658502785,382,970.048607951187,288.01,83.4969942012558,131.68</t>
  </si>
  <si>
    <t>2025-05-09 14:13:00,27489940.399201,216725843.225026,,514,,1996.62,4.38753056798637,95.14</t>
  </si>
  <si>
    <t>2025-05-09 14:13:00,34718686.8117168,865441.103738388,8.22035409035409,8,114.986704395604,193.69,-0.000987591813103569,3.54</t>
  </si>
  <si>
    <t>2025-05-09 14:14:00,580,,567,,580,,563.5,,,,565,567,560,570,564</t>
  </si>
  <si>
    <t>2025-05-09 14:14:00,500,,490,,470,,488,489,,,,491,485,491,488</t>
  </si>
  <si>
    <t>2025-05-09 14:14:00,5680,,5680,,5500,,5660,,,,,5700,5600,5590,5650</t>
  </si>
  <si>
    <t>2025-05-09 14:14:00,20050,,20200,,19500,,20000,,,,,20200,19800,19800,19500</t>
  </si>
  <si>
    <t>2025-05-09 14:14:00,1549013328.17137,20020386688.6594,-1303.00496170496,-5302,538.07657092907,-255.62,528.648537093544,-793.29</t>
  </si>
  <si>
    <t>2025-05-09 14:14:00,938921924.140245,3646605981.45537,-1327.33758589237,-2612,-564.685110975981,-1388.5,164.748332191999,-850.67</t>
  </si>
  <si>
    <t>2025-05-09 14:14:00,22757919.2445925,160927590.70519,,515,,3012.82,6.79131626563747,259.13</t>
  </si>
  <si>
    <t>2025-05-09 14:14:00,34410705.8988999,760656.811975354,-4.31279220779218,-18,159.973335714287,42.48,0.049108571638608,-0.6</t>
  </si>
  <si>
    <t>2025-05-09 14:15:00,580,,567,,580,,563.5,,,,,567,560,570,564</t>
  </si>
  <si>
    <t>2025-05-09 14:15:00,500,,490,,470,,488,,,,,491,485,491,488</t>
  </si>
  <si>
    <t>2025-05-09 14:15:00,5680,,5680,,5500,,5660,5670,5680,,,5700,5600,5590,5650</t>
  </si>
  <si>
    <t>2025-05-09 14:15:00,20050,,20200,,19500,,20000,,,,,20200,19800,19800,19500</t>
  </si>
  <si>
    <t>2025-05-09 14:15:00,1764504571.74324,18467247274.9176,3388.20231092437,3703,1676.27265546218,1284.33,588.288847244465,1151.92</t>
  </si>
  <si>
    <t>2025-05-09 14:15:00,982007198.239128,3643878273.93182,209.40879962949,-570,393.735592185595,-2038.54,-120.943449979431,-621.36</t>
  </si>
  <si>
    <t>2025-05-09 14:15:00,28664941.5820488,161489177.293987,,-612,,1665.03,0.459362946348066,-10.02</t>
  </si>
  <si>
    <t>2025-05-09 14:15:00,34309441.1076465,774056.16900748,-22.2582251082251,-30,-25.6125086580087,-116.69,0.00883560539148359,-2.6</t>
  </si>
  <si>
    <t>2025-05-09 14:16:00,580,,567,,580,,563.5,,,,565,567,560,570,564</t>
  </si>
  <si>
    <t>2025-05-09 14:16:00,500,,490,,470,,488,,,,,491,485,491,488</t>
  </si>
  <si>
    <t>2025-05-09 14:16:00,5680,,5680,,5500,,5660,,,,,5700,5600,5590,5650</t>
  </si>
  <si>
    <t>2025-05-09 14:16:00,20050,,20200,,19500,,20000,,,,,20200,19800,19800,19500</t>
  </si>
  <si>
    <t>2025-05-09 14:16:00,1631930391.7499,19310432153.681,-698.581746031747,-270,-3065.56836507937,-1989.84,78.6440320749861,-797.04</t>
  </si>
  <si>
    <t>2025-05-09 14:16:00,899634545.074332,3423084426.00085,-347.537349896479,2546,-781.826501863353,414.76,-508.680510649391,465.58</t>
  </si>
  <si>
    <t>2025-05-09 14:16:00,27682732.577313,133936718.199692,,661,,-3372.97,11.6236963737872,-74.8</t>
  </si>
  <si>
    <t>2025-05-09 14:16:00,33193356.8620852,688152.503362824,-18.8392857142857,-32,-40.514,-90.74,-0.00608408466235805,-2.27</t>
  </si>
  <si>
    <t>2025-05-09 14:17:00,580,,567,,580,,563.5,,,,,567,560,570,564</t>
  </si>
  <si>
    <t>2025-05-09 14:17:00,500,,490,,470,,488,,,,,491,485,491,488</t>
  </si>
  <si>
    <t>2025-05-09 14:17:00,5680,,5680,,5500,,5660,,,,,5700,5600,5590,5650</t>
  </si>
  <si>
    <t>2025-05-09 14:17:00,20050,,20200,,19500,,20000,,,,,20200,19800,19800,19500</t>
  </si>
  <si>
    <t>2025-05-09 14:17:00,1609759617.30656,18766570558.0187,-1063.38599439776,-3106,451.659253501402,-943.69,-298.528409190644,-1209.4</t>
  </si>
  <si>
    <t>2025-05-09 14:17:00,952502440.600033,3898467996.21327,-679.843983124968,-1212,-100.140154216186,-213.33,-79.8536671559929,-271.94</t>
  </si>
  <si>
    <t>2025-05-09 14:17:00,27526662.4434125,165089518.174803,,-530,,-1396.08,-3.28395933595233,-169.12</t>
  </si>
  <si>
    <t>2025-05-09 14:17:00,34404804.4920795,758525.524148317,-1.96904761904762,-9,-91.2161190476189,-148.73,0.0209138495340025,-2.69</t>
  </si>
  <si>
    <t>2025-05-09 14:18:00,580,,567,,580,,563.5,565,,,,567,560,570,564</t>
  </si>
  <si>
    <t>2025-05-09 14:18:00,500,,490,,470,,487,,,,,491,485,491,488</t>
  </si>
  <si>
    <t>2025-05-09 14:18:00,5680,,5680,,5500,,5660,,,,,5700,5600,5590,5650</t>
  </si>
  <si>
    <t>2025-05-09 14:18:00,20050,,20200,,19500,,20000,,,,,20200,19800,19800,19500</t>
  </si>
  <si>
    <t>2025-05-09 14:18:00,1660690258.21802,23195107493.3567,7997.58905904474,3598,5932.94090883465,1653.77,-261.382820331597,1537.94</t>
  </si>
  <si>
    <t>2025-05-09 14:18:00,918683037.25223,5267144475.48681,-820.447368421052,-1034,-1125.75552631579,-1037.76,-47.2643395029562,-537.75</t>
  </si>
  <si>
    <t>2025-05-09 14:18:00,21847894.9040214,162325349.367472,,-1878,,-5490.99,-6.91287041184786,-455.22</t>
  </si>
  <si>
    <t>2025-05-09 14:18:00,34355893.7197253,794680.963288607,-9.92990620490622,-12,-189.068312409813,-155.36,0.00868142491804326,-3.26</t>
  </si>
  <si>
    <t>2025-05-09 14:19:00,580,,567,,580,,563.5,,,,,567,560,570,564</t>
  </si>
  <si>
    <t>2025-05-09 14:19:00,500,,490,,470,,488,,,,,491,485,491,488</t>
  </si>
  <si>
    <t>2025-05-09 14:19:00,5680,,5680,,5500,,5660,,5680,,,5700,5600,5590,5650</t>
  </si>
  <si>
    <t>2025-05-09 14:19:00,20050,,20200,,19500,,20000,,,,,20200,19800,19800,19500</t>
  </si>
  <si>
    <t>2025-05-09 14:19:00,1658255422.98955,20049092886.8868,1756.82976190476,-721,1758.51783333333,8.96999999999995,-743.73142208718,-99.76</t>
  </si>
  <si>
    <t>2025-05-09 14:19:00,984672137.031902,4242725547.0871,2889.7346092504,3929,1823.6063891547,2138.02,150.543978082074,1434.2</t>
  </si>
  <si>
    <t>2025-05-09 14:19:00,29318643.2875386,188851706.461524,,471,,615.41,0.509719387273636,73.69</t>
  </si>
  <si>
    <t>2025-05-09 14:19:00,35181774.8557068,770891.570716489,13.1666666666667,19,164.124,219.16,0.00205834239994586,4.96</t>
  </si>
  <si>
    <t>2025-05-09 14:20:00,580,,567,,580,,563.5,,,,,567,560,570,564</t>
  </si>
  <si>
    <t>2025-05-09 14:20:00,500,,490,,470,,488,,,,,491,485,491,488</t>
  </si>
  <si>
    <t>2025-05-09 14:20:00,5680,,5680,,5500,,5660,5670,,,,5700,5600,5590,5650</t>
  </si>
  <si>
    <t>2025-05-09 14:20:00,20050,,20200,,19500,,20025,,,,,20200,19800,19800,19500</t>
  </si>
  <si>
    <t>2025-05-09 14:20:00,1585309849.19501,21222433349.6814,2527.42063492063,648,3662.93367460316,2789.92,-433.043544206423,570.99</t>
  </si>
  <si>
    <t>2025-05-09 14:20:00,1057061386.23685,4318322608.55846,2659.58005012531,1788,1606.84604010025,1089.81,82.7736282811484,731.54</t>
  </si>
  <si>
    <t>2025-05-09 14:20:00,23320120.9287091,240540142.599838,,1039,,6244.1,5.56704301397131,404.79</t>
  </si>
  <si>
    <t>2025-05-09 14:20:00,35379146.9748214,898141.263362945,17.8125,19,477.944345238095,324.35,0.00806161494852023,6.05</t>
  </si>
  <si>
    <t>2025-05-09 14:21:00,580,,567,,580,,563.5,,,565,,567,560,570,564</t>
  </si>
  <si>
    <t>2025-05-09 14:21:00,500,,490,,470,,488,,,,,491,485,491,488</t>
  </si>
  <si>
    <t>2025-05-09 14:21:00,5680,,5680,,,5800,5660,5670,,,,5700,5600,5590,5650</t>
  </si>
  <si>
    <t>2025-05-09 14:21:00,20050,,,,19500,,20000,,,,,20200,19800,19800,19500</t>
  </si>
  <si>
    <t>2025-05-09 14:21:00,1562129132.30127,15005254260.6055,-376.364584266333,-5831,2920.75534863411,-89.8399999999996,-377.626538696958,-129.39</t>
  </si>
  <si>
    <t>2025-05-09 14:21:00,897128247.904852,2680435228.52107,-1915.56738351253,-1166,-3152.69414336916,-1351.96,105.704708274975,-796.13</t>
  </si>
  <si>
    <t>2025-05-09 14:21:00,20638803.4519336,79398847.0422959,,-319,,-5390.72,-10.7337989224551,-295.48</t>
  </si>
  <si>
    <t>2025-05-09 14:21:00,33879759.980004,553356.443194501,-4.4755672714946,-9,-52.2076086156758,-181.25,0.061838429283387,-3.74</t>
  </si>
  <si>
    <t>2025-05-09 14:22:00,580,,567,,580,,563.5,,,565,,567,560,570,564</t>
  </si>
  <si>
    <t>2025-05-09 14:22:00,500,,490,,470,,488,,,,488,491,485,491,488</t>
  </si>
  <si>
    <t>2025-05-09 14:22:00,5680,,5680,,,5800,5660,,,,,5700,5600,5590,5650</t>
  </si>
  <si>
    <t>2025-05-09 14:22:00,20050,,,,19500,,20000,,,,,20200,19800,19800,19500</t>
  </si>
  <si>
    <t>2025-05-09 14:22:00,1444369925.91302,16162339464.8013,980.547408963585,11,-130.577219187676,728.02,-735.833368458476,913.3</t>
  </si>
  <si>
    <t>2025-05-09 14:22:00,876177964.081568,3148153476.70955,1038.17944077147,782,207.426619407717,59.1500000000002,197.952331248113,163.81</t>
  </si>
  <si>
    <t>2025-05-09 14:22:00,25112255.5178903,72770920.8392377,,116,,1614.94,-21.706989153263,157.58</t>
  </si>
  <si>
    <t>2025-05-09 14:22:00,32129809.224648,428306.857118762,-2.21208513708514,-15,-36.3305454545454,-183.25,-0.0190909502659176,-4.04</t>
  </si>
  <si>
    <t>2025-05-09 14:23:00,580,,567,,580,,563.5,,,,,567,560,570,564</t>
  </si>
  <si>
    <t>2025-05-09 14:23:00,500,,490,,470,,488,,,,,491,485,491,488</t>
  </si>
  <si>
    <t>2025-05-09 14:23:00,5680,,5680,,,5800,5660,,,,,5700,5600,5590,5650</t>
  </si>
  <si>
    <t>2025-05-09 14:23:00,20050,,,,19500,,20000,,,,,20200,19800,19800,19500</t>
  </si>
  <si>
    <t>2025-05-09 14:23:00,1468762237.88025,17656706451.8551,158.010101010099,-3242,724.662212121211,-876.73,-80.9455359085157,-916.75</t>
  </si>
  <si>
    <t>2025-05-09 14:23:00,897252047.022178,3471597080.6491,-45.3695068089804,-902,-38.3272796589375,-258.33,-202.671051452663,-218.52</t>
  </si>
  <si>
    <t>2025-05-09 14:23:00,21934226.1776521,88370667.1867238,,-772,,-1618.8,-1.4765224868885,-287.16</t>
  </si>
  <si>
    <t>2025-05-09 14:23:00,33088730.9999516,527825.19136087,-8.88000000000001,-1,32.0997556166054,-2.78,0.0922538691178218,-0.37</t>
  </si>
  <si>
    <t>2025-05-09 14:24:00,580,,567,,580,,563.5,,,,,567,560,570,564</t>
  </si>
  <si>
    <t>2025-05-09 14:24:00,500,,490,,470,,488,,,,,491,485,491,488</t>
  </si>
  <si>
    <t>2025-05-09 14:24:00,5680,,5680,,5500,,5660,,,,,5700,5600,5590,5650</t>
  </si>
  <si>
    <t>2025-05-09 14:24:00,20050,,20100,,19500,,20000,,,,,20200,19800,19800,19500</t>
  </si>
  <si>
    <t>2025-05-09 14:24:00,1524015195.80982,19322555048.1487,3185.97142857143,893,2027.48571428571,-0.789999999999898,-325.948019429655,209.86</t>
  </si>
  <si>
    <t>2025-05-09 14:24:00,905112283.063147,3645228084.075,-1304.15047768324,-1269,-737.975226526347,-825.35,6.42774877169895,-557.38</t>
  </si>
  <si>
    <t>2025-05-09 14:24:00,26340048.2609504,124600352.208153,,-348,,-158.5,6.86125811899718,-8.10999999999998</t>
  </si>
  <si>
    <t>2025-05-09 14:24:00,33444449.8134,639305.281287773,0.876190476190479,-1,3.03552380952385,32.02,0.00755358562939832,0.8</t>
  </si>
  <si>
    <t>2025-05-09 14:25:00,580,,567,,580,,563.5,,,,,567,560,570,564</t>
  </si>
  <si>
    <t>2025-05-09 14:25:00,500,,490,,470,,488,,,,,491,485,491,488</t>
  </si>
  <si>
    <t>2025-05-09 14:25:00,5680,,5680,,5500,,5660,,,,,5700,5600,5590,5650</t>
  </si>
  <si>
    <t>2025-05-09 14:25:00,20050,,20100,,19500,,20000,,,,,20200,19800,19800,19500</t>
  </si>
  <si>
    <t>2025-05-09 14:25:00,1448049736.78853,18351022412.2339,-192.464285714286,-1588,123.231607142856,-925.87,-244.577336023143,-911.98</t>
  </si>
  <si>
    <t>2025-05-09 14:25:00,913504171.608824,3547483301.03173,880.687154150197,1003,848.362208827404,672.34,47.2144239345853,350.42</t>
  </si>
  <si>
    <t>2025-05-09 14:25:00,23055372.6554048,131805887.626771,,-732,,-1072.28,1.35338639838521,-210.52</t>
  </si>
  <si>
    <t>2025-05-09 14:25:00,33626234.1407469,650675.421844525,25.0002976190476,18,407.653889880952,536.95,0.0751977175993853,9.22</t>
  </si>
  <si>
    <t>2025-05-09 14:26:00,580,,567,,580,,563.5,,,,,567,560,570,564</t>
  </si>
  <si>
    <t>2025-05-09 14:26:00,500,,490,,470,,488,,,,,491,485,491,488</t>
  </si>
  <si>
    <t>2025-05-09 14:26:00,5680,,5680,,,5800,5660,,,,,5700,5600,5590,5650</t>
  </si>
  <si>
    <t>2025-05-09 14:26:00,20050,,20100,,19500,,20025,,,,,20200,19800,19800,19500</t>
  </si>
  <si>
    <t>2025-05-09 14:26:00,1501779619.78605,16469445841.974,1412.81626662811,2571,1108.74227968961,2008.85,-194.933272586627,1436.1</t>
  </si>
  <si>
    <t>2025-05-09 14:26:00,954151113.104181,3095388538.5997,-412.76079560678,-946,-106.983140700391,-395.1,-48.0798958380672,-354.17</t>
  </si>
  <si>
    <t>2025-05-09 14:26:00,18134226.2851623,110170496.683795,,-994,,-1372.93,-8.80057569561579,-244.98</t>
  </si>
  <si>
    <t>2025-05-09 14:26:00,32967795.3830459,569005.247920451,-1.12797619047619,-6,18.9966944444444,-12.86,0.021947620131714,-0.29</t>
  </si>
  <si>
    <t>2025-05-09 14:27:00,580,,567,,580,,563.5,,,,,567,560,570,564</t>
  </si>
  <si>
    <t>2025-05-09 14:27:00,500,,490,,470,,488,489,,,,491,485,491,488</t>
  </si>
  <si>
    <t>2025-05-09 14:27:00,5680,,5680,,5500,,5660,,,,,5700,5600,5590,5650</t>
  </si>
  <si>
    <t>2025-05-09 14:27:00,20050,,20100,,19500,,20025,,,,,20200,19800,19800,19500</t>
  </si>
  <si>
    <t>2025-05-09 14:27:00,1634601902.88813,15574903251.2192,-357.994841269841,-1688,-151.033023809524,178.23,49.4733316563588,-32.46</t>
  </si>
  <si>
    <t>2025-05-09 14:27:00,967138965.293271,3107043345.65216,-425.285138297639,-233,35.9129427655663,283.11,418.293019580907,107.61</t>
  </si>
  <si>
    <t>2025-05-09 14:27:00,22658849.3768444,126321958.892692,,-684,,-2129.75,-1.031973511366,-140.86</t>
  </si>
  <si>
    <t>2025-05-09 14:27:00,34091874.4836499,675103.02619689,0.743583797155231,-4,108.399013296228,144.7,-0.0172351613261994,-0.05</t>
  </si>
  <si>
    <t>2025-05-09 14:28:00,580,,567,,580,,563.5,,,,,567,560,570,564</t>
  </si>
  <si>
    <t>2025-05-09 14:28:00,500,,490,,470,,488,,,,,491,485,491,488</t>
  </si>
  <si>
    <t>2025-05-09 14:28:00,5680,,5680,,5500,,5660,,,,,5700,5600,5590,5650</t>
  </si>
  <si>
    <t>2025-05-09 14:28:00,20050,,20100,,19500,,20025,,,,,20200,19800,19800,19500</t>
  </si>
  <si>
    <t>2025-05-09 14:28:00,1529038868.00553,16433381663.5312,-657.807509157509,-4034,-356.725741758242,-1059.84,-144.224800423963,-974.81</t>
  </si>
  <si>
    <t>2025-05-09 14:28:00,988204501.299876,3650813305.56326,-274.192842215256,-16,-119.941819749217,72.74,-40.7808869126312,70.01</t>
  </si>
  <si>
    <t>2025-05-09 14:28:00,25976911.8213232,101074179.92692,,347,,1290.1,-2.34095141718277,166.87</t>
  </si>
  <si>
    <t>2025-05-09 14:28:00,33675790.0189119,656787.120729225,3.83873626373627,2,90.6400604395606,24.83,0.000471434515440109,0.59</t>
  </si>
  <si>
    <t>2025-05-09 14:29:00,580,,567,,580,,563.5,,,,,567,560,570,564</t>
  </si>
  <si>
    <t>2025-05-09 14:29:00,500,,490,,470,,488,,,,,491,485,491,488</t>
  </si>
  <si>
    <t>2025-05-09 14:29:00,5680,,5680,,,5800,5660,,,,,5700,5600,5590,5650</t>
  </si>
  <si>
    <t>2025-05-09 14:29:00,20050,,20100,,19500,,20025,,,,,20200,19800,19800,19500</t>
  </si>
  <si>
    <t>2025-05-09 14:29:00,1619092136.38141,14416910085.201,3325.63611111111,4782,2213.21502777778,4474.75,-311.089213509541,1592.52</t>
  </si>
  <si>
    <t>2025-05-09 14:29:00,975146016.013889,3067719467.99839,2113.10579390755,2113,1430.63642079336,1277.96,-63.8012353901122,848.83</t>
  </si>
  <si>
    <t>2025-05-09 14:29:00,19598975.2289641,82461882.8245604,,989,,2268.72,3.76573984637217,200.21</t>
  </si>
  <si>
    <t>2025-05-09 14:29:00,34243346.3357147,604024.102178312,1.36666666666667,41,2.50833333333335,32.3,-0.0509804358092834,0.98</t>
  </si>
  <si>
    <t>2025-05-09 14:30:00,580,,567,,580,,563.5,,,,564,567,560,570,564</t>
  </si>
  <si>
    <t>2025-05-09 14:30:00,500,,490,,470,,488,,,,488,491,485,491,488</t>
  </si>
  <si>
    <t>2025-05-09 14:30:00,5680,,5680,,,5800,5660,,,,5660,5700,5650,5590,5650</t>
  </si>
  <si>
    <t>2025-05-09 14:30:00,20050,,,,19500,,20000,,,,,20200,19800,19800,19500</t>
  </si>
  <si>
    <t>2025-05-09 14:30:00,1098822476.77723,11587825514.631,-21299.9056876456,-21322,-18757.8299888111,-3608.96,-1745.45377068108,-4880.55</t>
  </si>
  <si>
    <t>2025-05-09 14:30:00,808858672.534644,2188403937.85064,-4560.56294775138,-8527,-2528.91627650222,-2745.96,-276.82228076206,-2225.22</t>
  </si>
  <si>
    <t>2025-05-09 14:30:00,16151247.9602717,15814900.4476935,,173,,4655.71,23.7473909192953,-306.59</t>
  </si>
  <si>
    <t>2025-05-09 14:30:00,32028624.2319188,295277.408355654,26.4448717948718,3,182.529406593407,-73.75,-0.107370574481774,-1.81</t>
  </si>
  <si>
    <t>2025-05-09 14:32:00,580,,567,,580,,563.5,,,,564,567,560,570,564</t>
  </si>
  <si>
    <t>2025-05-09 14:32:00,500,,490,,470,,488,,,,,491,485,491,488</t>
  </si>
  <si>
    <t>2025-05-09 14:32:00,5680,,,5650,,5800,5660,,5670,,,5700,5650,5590,5650</t>
  </si>
  <si>
    <t>2025-05-09 14:32:00,20050,,,,19500,,20050,,,,,20200,19800,19800,19500</t>
  </si>
  <si>
    <t>2025-05-09 14:32:00,1267869502.04014,7875284902.62571,-24319.6736741329,-31167,-22295.5018482527,-15127.16,730.478322428294,-8705.51</t>
  </si>
  <si>
    <t>2025-05-09 14:32:00,868733149.284848,2008636559.3114,-2082.75296731448,-6605,-3584.26729204426,-3108.59,-90.6086885962369,-1884.42</t>
  </si>
  <si>
    <t>2025-05-09 14:32:00,18290463.4789088,-65479947.03381,,-4190,,-18159.69,54.1190815516379,-1527.99</t>
  </si>
  <si>
    <t>2025-05-09 14:32:00,33920700.8329807,169600.365834637,-24.2851863354037,-58,-261.394163871636,-406.96,-0.0279395862073516,-7.99</t>
  </si>
  <si>
    <t>2025-05-09 14:33:00,580,,567,,580,,563.5,,565,,,567,560,570,564</t>
  </si>
  <si>
    <t>2025-05-09 14:33:00,500,,490,,470,,488,,,,488,491,485,491,488</t>
  </si>
  <si>
    <t>2025-05-09 14:33:00,5680,,5680,,,5800,5660,,,,,5700,5650,5590,5650</t>
  </si>
  <si>
    <t>2025-05-09 14:33:00,20050,,,,19500,,20050,,,,,20200,19800,19800,19500</t>
  </si>
  <si>
    <t>2025-05-09 14:33:00,1209147631.07276,14441186375.8062,-3584.70914502165,-8376,-2674.94345075758,-5388.3,-259.716118618692,-3858.51</t>
  </si>
  <si>
    <t>2025-05-09 14:33:00,818382954.594103,3024020477.90057,-981.372925891805,-2047,-1418.55488570735,-1679.91,356.731359356364,-891.31</t>
  </si>
  <si>
    <t>2025-05-09 14:33:00,23511904.0660188,7234159.9596992,,-1416,,-5884.7,-24.478261547936,-469.53</t>
  </si>
  <si>
    <t>2025-05-09 14:33:00,37847305.4673502,304517.872650995,-89.752333054115,-70,-771.599475046555,-991.92,0.111973418457032,-20.25</t>
  </si>
  <si>
    <t>2025-05-09 14:34:00,580,,567,,580,,563.5,,,,,567,560,570,564</t>
  </si>
  <si>
    <t>2025-05-09 14:34:00,500,,490,,470,,488,,,,,491,485,491,488</t>
  </si>
  <si>
    <t>2025-05-09 14:34:00,5680,,5680,,,5800,5660,,,,5660,5700,5650,5590,5650</t>
  </si>
  <si>
    <t>2025-05-09 14:34:00,20050,,20100,,19500,,20050,,,,,20200,19800,19800,19500</t>
  </si>
  <si>
    <t>2025-05-09 14:34:00,1475776963.04876,11284468345.8645,10561.6392661849,8603,5425.25005465774,2706.78,1304.9457524746,1299.57</t>
  </si>
  <si>
    <t>2025-05-09 14:34:00,962196413.205741,3533923991.08726,4755.11862198231,5849,4103.69855206392,3544.44,-112.132385456691,2243.25</t>
  </si>
  <si>
    <t>2025-05-09 14:34:00,23454074.2011885,35106791.5936501,,-1466,,-1995.33,-14.5553861100553,-412.06</t>
  </si>
  <si>
    <t>2025-05-09 14:34:00,38343876.7981246,612427.147618706,22.8524681595515,14,579.575920462159,452.82,0.0255166107612957,8.23</t>
  </si>
  <si>
    <t>2025-05-09 14:35:00,580,,567,,580,,563.5,,,,,567,560,570,564</t>
  </si>
  <si>
    <t>2025-05-09 14:35:00,500,,490,,470,,488,,,,,491,485,491,488</t>
  </si>
  <si>
    <t>2025-05-09 14:35:00,5680,,5680,,5500,,5660,,,,,5700,5650,5590,5650</t>
  </si>
  <si>
    <t>2025-05-09 14:35:00,20050,,20200,,19500,,20025,,,,,20200,19800,19800,19500</t>
  </si>
  <si>
    <t>2025-05-09 14:35:00,1406324355.74133,17749581211.2908,-3500.93544759334,-5260,-1877.16931961314,-1496.92,-58.9878399265024,-1366.24</t>
  </si>
  <si>
    <t>2025-05-09 14:35:00,878525768.084357,3980878036.1386,-261.064878385372,-639,-94.7659050083365,-706.65,58.1537431453336,-299</t>
  </si>
  <si>
    <t>2025-05-09 14:35:00,24214645.1810234,38538333.8610329,,-1369,,-7337.46,-8.50316631675911,-558.3</t>
  </si>
  <si>
    <t>2025-05-09 14:35:00,39253320.800346,611216.66475322,-2.2649629983791,-50,-170.662251509592,-208.11,-0.0809282626972687,-4.49</t>
  </si>
  <si>
    <t>2025-05-09 14:36:00,580,,567,,580,,563.5,,,,,567,560,570,564</t>
  </si>
  <si>
    <t>2025-05-09 14:36:00,500,,490,,470,,488,,,,,491,485,491,488</t>
  </si>
  <si>
    <t>2025-05-09 14:36:00,5680,,5680,,,5800,5660,,5670,,5660,5700,5650,5590,5650</t>
  </si>
  <si>
    <t>2025-05-09 14:36:00,20050,,20100,,19500,,20025,,,,,20200,19800,19800,19500</t>
  </si>
  <si>
    <t>2025-05-09 14:36:00,1531312187.09381,15011302719.2075,-2589.15909090909,-4558,-348.882727272728,-1541.7,22.0014495908002,-1632.09</t>
  </si>
  <si>
    <t>2025-05-09 14:36:00,1004781137.5531,3908952448.11816,123.467257168118,-522,753.419431634456,95.9,-25.2162953314733,-95.97</t>
  </si>
  <si>
    <t>2025-05-09 14:36:00,16983401.3648312,91741272.1227907,,-1725,,-4570.46,-0.978111836971161,-559.42</t>
  </si>
  <si>
    <t>2025-05-09 14:36:00,34200982.3106722,654276.628334994,37.1324898481069,67,843.232131615737,1246.34,0.027627465238203,23.18</t>
  </si>
  <si>
    <t>2025-05-09 14:37:00,580,,567,,580,,563.5,,,,,567,560,570,564</t>
  </si>
  <si>
    <t>2025-05-09 14:37:00,500,,490,,470,,488,,,,,491,485,491,488</t>
  </si>
  <si>
    <t>2025-05-09 14:37:00,5680,,5680,,,5800,5660,,,,,5700,5650,5590,5650</t>
  </si>
  <si>
    <t>2025-05-09 14:37:00,20050,,20100,,19500,,20050,,,,,20200,19800,19800,19500</t>
  </si>
  <si>
    <t>2025-05-09 14:37:00,1519941036.85527,13851728638.0887,157.167460317468,168,14.3675079365183,655.2,154.548527362016,194.76</t>
  </si>
  <si>
    <t>2025-05-09 14:37:00,986519877.496484,3634426016.75865,-256.766960672428,9,489.89128708142,538.83,-49.4845732955258,25.16</t>
  </si>
  <si>
    <t>2025-05-09 14:37:00,19802269.7129263,47337120.1757309,,327,,414.93,12.6111986182593,48.17</t>
  </si>
  <si>
    <t>2025-05-09 14:37:00,33334023.091264,531616.002112276,-11.7209956709957,7,31.4284718614718,113.48,-0.022732526480569,3.05</t>
  </si>
  <si>
    <t>2025-05-09 14:38:00,580,,567,,580,,563.5,,,,,567,560,570,564</t>
  </si>
  <si>
    <t>2025-05-09 14:38:00,500,,490,,470,,488,,,,,491,485,491,488</t>
  </si>
  <si>
    <t>2025-05-09 14:38:00,5680,,5680,,,5800,5660,,,,,5700,5650,5590,5650</t>
  </si>
  <si>
    <t>2025-05-09 14:38:00,20050,,20100,,19500,,20050,,,,,20200,19800,19800,19500</t>
  </si>
  <si>
    <t>2025-05-09 14:38:00,1332461603.29359,14459546033.542,-2197.12236652236,-2353,-2187.25391414141,-2230.22,548.322162913158,-1487.58</t>
  </si>
  <si>
    <t>2025-05-09 14:38:00,869534879.291533,3458288990.32875,544.722146923286,180,21.8069856329631,72,120.41006452995,231.57</t>
  </si>
  <si>
    <t>2025-05-09 14:38:00,21641849.7093512,5191539.05144135,,-1616,,-3888.43,7.13738724056194,-418.1</t>
  </si>
  <si>
    <t>2025-05-09 14:38:00,35059548.3254377,535674.374322301,-7.51880300065231,32,159.143370759948,485.29,-0.0717226274887031,11.43</t>
  </si>
  <si>
    <t>2025-05-09 14:39:00,580,,567,,580,,563.5,,,,,567,560,570,564</t>
  </si>
  <si>
    <t>2025-05-09 14:39:00,500,,490,,470,,488,,,,,491,485,491,488</t>
  </si>
  <si>
    <t>2025-05-09 14:39:00,5680,,5680,,,5800,5660,,,5660,,5700,5650,5590,5650</t>
  </si>
  <si>
    <t>2025-05-09 14:39:00,20050,,20100,,19500,,20050,,,,,20200,19800,19800,19500</t>
  </si>
  <si>
    <t>2025-05-09 14:39:00,1235480310.88578,14702181580.1775,410.660317460317,1787,-73.9486666666668,1651.02,-76.6581561287614,1013.61</t>
  </si>
  <si>
    <t>2025-05-09 14:39:00,909642352.60138,3586154439.56378,1159.64113181505,1369,482.10242926156,415.8,218.353990586156,407.9</t>
  </si>
  <si>
    <t>2025-05-09 14:39:00,23881094.0751054,-476733.358257951,,-161,,538.080000000001,-4.41660576557032,133.38</t>
  </si>
  <si>
    <t>2025-05-09 14:39:00,31760789.6114309,415218.470311566,-7.23469218500797,-3,130.114290726817,93.54,0.0063801300944003,2</t>
  </si>
  <si>
    <t>2025-05-09 14:40:00,580,,567,,580,,563.5,,,,,567,560,570,564</t>
  </si>
  <si>
    <t>2025-05-09 14:40:00,500,,490,,470,,488,,,,488,491,485,491,488</t>
  </si>
  <si>
    <t>2025-05-09 14:40:00,5680,,,5650,,5800,5660,,,,,5700,5650,5590,5650</t>
  </si>
  <si>
    <t>2025-05-09 14:40:00,20050,,20100,,19500,,20050,,,,,20200,19800,19800,19500</t>
  </si>
  <si>
    <t>2025-05-09 14:40:00,1373197112.07388,12219165770.7898,1125.63452380952,-604,661.632238095236,-73.3499999999999,346.972517647711,-305.91</t>
  </si>
  <si>
    <t>2025-05-09 14:40:00,916292138.300508,2963367810.14848,407.642521994135,601,203.161316715543,250,236.732734439936,175.97</t>
  </si>
  <si>
    <t>2025-05-09 14:40:00,22458589.9309865,-33673002.1517715,,-474,,-2964.1,15.8939175837534,-149.52</t>
  </si>
  <si>
    <t>2025-05-09 14:40:00,37783546.4981745,341993.948156308,-0.966666666666666,-3,-8.03366666666666,-5.42,0.0290477249684223,-0.19</t>
  </si>
  <si>
    <t>2025-05-09 14:41:00,580,,567,,580,,563.5,,,,,567,560,570,564</t>
  </si>
  <si>
    <t>2025-05-09 14:41:00,500,,490,,470,,488,,,,,491,485,491,488</t>
  </si>
  <si>
    <t>2025-05-09 14:41:00,5680,,5680,,,5800,5660,,,,,5700,5650,5590,5650</t>
  </si>
  <si>
    <t>2025-05-09 14:41:00,20050,,20100,,19500,,20050,,,,,20200,19800,19800,19500</t>
  </si>
  <si>
    <t>2025-05-09 14:41:00,1435607107.53451,9308768551.71754,-460.607142857143,-606,-266.19642857143,-248.34,-243.596701068554,-206.08</t>
  </si>
  <si>
    <t>2025-05-09 14:41:00,928293006.148708,2672199479.29651,2135.40529983876,2256,870.59857689707,1029.7,-5.77481472792529,862.17</t>
  </si>
  <si>
    <t>2025-05-09 14:41:00,20287335.2130037,-3951837.34467756,,475,,-155.12,6.32918297026872,69.37</t>
  </si>
  <si>
    <t>2025-05-09 14:41:00,38598717.1150043,473595.726257668,-4.77936507936507,12,6.79215873015874,36.55,0.0282572383398556,1.32</t>
  </si>
  <si>
    <t>2025-05-09 14:42:00,580,,567,,580,,563.5,,,,,567,560,570,564</t>
  </si>
  <si>
    <t>2025-05-09 14:42:00,500,,490,,470,,488,,,488,,491,485,491,488</t>
  </si>
  <si>
    <t>2025-05-09 14:42:00,5680,,5680,,,5800,5660,,,,,5700,5650,5590,5650</t>
  </si>
  <si>
    <t>2025-05-09 14:42:00,20050,,20100,,19500,,20050,,,,,20200,19800,19800,19500</t>
  </si>
  <si>
    <t>2025-05-09 14:42:00,1467610823.02332,10291674139.6388,5547.710236822,4318,3897.0717486631,2848.57,-191.665298458212,2172.09</t>
  </si>
  <si>
    <t>2025-05-09 14:42:00,962337730.23737,3290783358.90498,3401.52551791772,3715,1024.55606732781,187.61,-54.1338132394614,710.82</t>
  </si>
  <si>
    <t>2025-05-09 14:42:00,21079368.6289519,15392954.1575019,,975,,1649.57,-14.0987765408464,294.84</t>
  </si>
  <si>
    <t>2025-05-09 14:42:00,34232408.474878,455604.286885385,-1.53016233766234,-2,-46.036029978355,4.87,-0.00366832010932364,0.08</t>
  </si>
  <si>
    <t>2025-05-09 14:43:00,580,,567,,580,,563.5,,,,,567,560,570,564</t>
  </si>
  <si>
    <t>2025-05-09 14:43:00,500,,491,,470,,488,,,,,491,485,491,488</t>
  </si>
  <si>
    <t>2025-05-09 14:43:00,5680,,5680,,,5800,5660,,,,,5700,5650,5590,5650</t>
  </si>
  <si>
    <t>2025-05-09 14:43:00,20050,,20200,,19500,,20050,,,,,20200,19800,19800,19500</t>
  </si>
  <si>
    <t>2025-05-09 14:43:00,1572348636.79839,13869125396.7257,1770.41955266955,389,1159.56905483405,241.78,-22.4958748949032,384.5</t>
  </si>
  <si>
    <t>2025-05-09 14:43:00,963154582.933516,3743258989.69553,1328.21942934259,3675,508.690416772701,1383.43,-191.987880321032,1226.42</t>
  </si>
  <si>
    <t>2025-05-09 14:43:00,22725033.4128066,-7336357.24948166,,-568,,-9706.21,4.37643233173388,-510.94</t>
  </si>
  <si>
    <t>2025-05-09 14:43:00,36667170.5235668,362951.389521674,-14.1563046757164,-20,-552.803916591252,-484.61,0.0261769942030848,-2.25</t>
  </si>
  <si>
    <t>2025-05-09 14:44:00,580,,567,,580,,563.5,,,,,567,560,570,564</t>
  </si>
  <si>
    <t>2025-05-09 14:44:00,500,,490,,470,,488,,,,,491,485,491,488</t>
  </si>
  <si>
    <t>2025-05-09 14:44:00,5680,,,5650,,5800,5660,,,,,5700,5650,5590,5650</t>
  </si>
  <si>
    <t>2025-05-09 14:44:00,20050,,20100,,19500,,20050,,,,,20200,19800,19800,19500</t>
  </si>
  <si>
    <t>2025-05-09 14:44:00,1513171175.34897,11310287028.1357,3582.69880952381,3347,2239.85155952381,1781.96,133.386580106078,1319.37</t>
  </si>
  <si>
    <t>2025-05-09 14:44:00,973250120.269999,3273802865.82098,1034.65618749067,1747,599.073734885804,912.17,-99.5146647556849,688.27</t>
  </si>
  <si>
    <t>2025-05-09 14:44:00,21856550.2733739,-41673758.2506774,,-613,,901.43,-6.13482630643883,-104.8</t>
  </si>
  <si>
    <t>2025-05-09 14:44:00,36989215.131651,313898.995366178,5.14906204906205,2,176.088994588745,208.41,0.0181807173071279,3.96</t>
  </si>
  <si>
    <t>2025-05-09 14:45:00,580,,567,,580,,563.5,,,,,567,560,570,564</t>
  </si>
  <si>
    <t>2025-05-09 14:45:00,500,,490,,470,,488,,,,,491,485,491,488</t>
  </si>
  <si>
    <t>2025-05-09 14:45:00,5680,,5680,,,5800,5660,,,,,5700,5650,5590,5650</t>
  </si>
  <si>
    <t>2025-05-09 14:45:00,20050,,20100,,19500,,20050,,,,,20200,19800,19800,19500</t>
  </si>
  <si>
    <t>2025-05-09 14:45:00,1438228021.98492,9742555431.6557,649.903932178931,1247,1522.21697763347,1548.31,15.7115995634329,872.43</t>
  </si>
  <si>
    <t>2025-05-09 14:45:00,964975746.498369,3077339574.97477,444.09126984127,-491,990.02546031746,601.21,42.2642326422797,452.24</t>
  </si>
  <si>
    <t>2025-05-09 14:45:00,22664405.992685,-19783656.5182417,,511,,6076.51,-9.38208828701591,379.78</t>
  </si>
  <si>
    <t>2025-05-09 14:45:00,39152349.0269992,504208.000327272,4.45542260208927,1,50.3082793922127,68.92,0.0203779689392973,1.66</t>
  </si>
  <si>
    <t>2025-05-09 14:46:00,580,,,,580,,563.5,,,,564,567,560,570,564</t>
  </si>
  <si>
    <t>2025-05-09 14:46:00,500,,,486,470,,488,,488,488,,491,485,491,488</t>
  </si>
  <si>
    <t>2025-05-09 14:46:00,5700,,,5650,,5800,5660,,,5660,5650,5700,5650,5590,5650</t>
  </si>
  <si>
    <t>2025-05-09 14:46:00,20050,,,,19500,,20050,,,,,20200,19800,19800,19500</t>
  </si>
  <si>
    <t>2025-05-09 14:46:00,1148599193.9518,1012578883.4793,-1335.19582639582,-1552,-951.055078532578,2558.44,26.5837164695945,879.12</t>
  </si>
  <si>
    <t>2025-05-09 14:46:00,853710371.136284,1199220131.45792,4940.420472272,3140,2160.41873063145,923.52,-197.71354729294,845.75</t>
  </si>
  <si>
    <t>2025-05-09 14:46:00,14351825.8176841,-286533552.436229,,-2104,,9234.27,-30.287513998428,421.34</t>
  </si>
  <si>
    <t>2025-05-09 14:46:00,38058203.6999434,49700.6038015741,63.9810989010989,33,640.309404945055,203.1,0.145297666206621,4.23</t>
  </si>
  <si>
    <t>2025-05-09 14:47:00,580,,567,,580,,563.5,,,,,567,560,570,564</t>
  </si>
  <si>
    <t>2025-05-09 14:47:00,500,,490,,470,,488,,,,,491,485,491,488</t>
  </si>
  <si>
    <t>2025-05-09 14:47:00,5680,,,5650,,5800,5660,,,5660,,5700,5650,5590,5650</t>
  </si>
  <si>
    <t>2025-05-09 14:47:00,20050,,20100,,19500,,20050,,,,,20200,19800,19800,19500</t>
  </si>
  <si>
    <t>2025-05-09 14:47:00,1307548491.01819,11296376655.6074,-2220.6130952381,-1114,-3382.60660714286,-524.660000000001,-157.756805986933,-228.8</t>
  </si>
  <si>
    <t>2025-05-09 14:47:00,897904703.396282,3146261126.68421,-1971.85455486542,269,-1367.75008902691,-247.31,100.897364952107,-113.22</t>
  </si>
  <si>
    <t>2025-05-09 14:47:00,20356929.5923614,-113630535.232749,,81,,1854.44,15.5094364035384,250.65</t>
  </si>
  <si>
    <t>2025-05-09 14:47:00,32934264.3279165,375982.431115047,-4.63882783882784,-21,-22.3501465201466,-124.82,-0.0502601119248498,-3.88</t>
  </si>
  <si>
    <t>2025-05-09 14:48:00,580,,567,,580,,563.5,,,,,567,560,570,564</t>
  </si>
  <si>
    <t>2025-05-09 14:48:00,500,,490,,470,,488,,,,,491,485,491,488</t>
  </si>
  <si>
    <t>2025-05-09 14:48:00,5680,,,5650,,5800,5660,,,,,5700,5650,5590,5650</t>
  </si>
  <si>
    <t>2025-05-09 14:48:00,20050,,20100,,19500,,20050,,,,,20200,19800,19800,19500</t>
  </si>
  <si>
    <t>2025-05-09 14:48:00,1002200050.47967,11635647438.9913,277.308302808303,2525,233.553954517704,1817.67,-92.4655886605045,1639.83</t>
  </si>
  <si>
    <t>2025-05-09 14:48:00,804250731.068451,2869065757.15787,-1477.28205123763,-2504,-1658.83624599043,-2480.42,-5.42533201208785,-1255.96</t>
  </si>
  <si>
    <t>2025-05-09 14:48:00,18391520.6192845,-195367715.463621,,116,,2147.71,-18.7809571046025,275.68</t>
  </si>
  <si>
    <t>2025-05-09 14:48:00,33143376.6612608,152078.498315926,-1.69477103980478,20,139.869945418524,158.07,-0.0272119797045951,2.02</t>
  </si>
  <si>
    <t>2025-05-09 14:49:00,580,,,,580,,563.5,564,,,,567,560,570,564</t>
  </si>
  <si>
    <t>2025-05-09 14:49:00,500,,490,,470,,488,,,,,491,485,491,488</t>
  </si>
  <si>
    <t>2025-05-09 14:49:00,5680,,,5650,,5800,5660,,,,,5700,5650,5590,5650</t>
  </si>
  <si>
    <t>2025-05-09 14:49:00,20050,,20100,,19500,,20050,,,,,20200,19800,19800,19500</t>
  </si>
  <si>
    <t>2025-05-09 14:49:00,1273196508.91627,4947315027.73978,4630.56547619048,2548,2698.11702380953,1335.69,677.102395611141,1138.92</t>
  </si>
  <si>
    <t>2025-05-09 14:49:00,882064939.86138,1851637177.21298,4779.35124946948,3010,522.004124437654,-197.25,94.695296793668,-29.2</t>
  </si>
  <si>
    <t>2025-05-09 14:49:00,17677907.639668,-211965554.581978,,811,,4543.25,-2.47654117598431,205.44</t>
  </si>
  <si>
    <t>2025-05-09 14:49:00,38594583.3324803,23821.395519228,11.8883856010121,2,27.4982292516586,-14.92,-0.00925332749572037,-0.119999999999999</t>
  </si>
  <si>
    <t>2025-05-09 14:50:00,580,,567,,580,,563.5,,,,,567,560,570,564</t>
  </si>
  <si>
    <t>2025-05-09 14:50:00,500,,490,,470,,488,,,,,491,485,491,488</t>
  </si>
  <si>
    <t>2025-05-09 14:50:00,5680,,,5650,,5800,5660,5670,,5660,,5700,5650,5590,5650</t>
  </si>
  <si>
    <t>2025-05-09 14:50:00,20050,,20100,,19500,,20050,,,,,20200,19800,19800,19500</t>
  </si>
  <si>
    <t>2025-05-09 14:50:00,1515642024.05638,12197809256.4938,2958.60128205128,2067,218.830217948721,-888.87,-343.924045872552,-130.99</t>
  </si>
  <si>
    <t>2025-05-09 14:50:00,982515097.363065,4083269959.43835,-842.151488892937,-1953,-35.0273870278275,-426.13,20.2112042589791,-409.57</t>
  </si>
  <si>
    <t>2025-05-09 14:50:00,21520991.523612,-71306104.7957439,,3117,,-5978.92,32.5722896660636,744.94</t>
  </si>
  <si>
    <t>2025-05-09 14:50:00,39459066.4193484,512249.49064682,-13.8612314156432,-22,14.0501891294978,-137.23,0.0716406672464663,-4.03</t>
  </si>
  <si>
    <t>2025-05-09 14:51:00,580,,567,,580,,563.5,,,,,567,563,570,564</t>
  </si>
  <si>
    <t>2025-05-09 14:51:00,500,,490,,470,,488,,,,,491,485,491,488</t>
  </si>
  <si>
    <t>2025-05-09 14:51:00,5680,,,5650,,5800,5660,5670,,5660,,5700,5650,5590,5650</t>
  </si>
  <si>
    <t>2025-05-09 14:51:00,20050,,20100,,19500,,20025,,,,,20200,19800,19800,19500</t>
  </si>
  <si>
    <t>2025-05-09 14:51:00,1340721669.30971,12510042918.7003,3298.6067361288,8524,1411.43784027247,809.97,-763.765319915653,1515.35</t>
  </si>
  <si>
    <t>2025-05-09 14:51:00,1011306174.46591,3898485434.31034,1929.6806775002,2576,806.343769342711,849.28,86.1629160029856,868.16</t>
  </si>
  <si>
    <t>2025-05-09 14:51:00,20663210.4702693,-103638859.702102,,2292,,4991.93,30.5874855866173,646.89</t>
  </si>
  <si>
    <t>2025-05-09 14:51:00,35914826.7490894,734756.875921996,3.69176780040305,6,-177.822146057268,422.76,0.0391873851068455,1.06</t>
  </si>
  <si>
    <t>2025-05-09 14:52:00,580,,567,,580,,563.5,,,,,567,563,570,564</t>
  </si>
  <si>
    <t>2025-05-09 14:52:00,500,,490,,470,,488,,,,,491,485,491,488</t>
  </si>
  <si>
    <t>2025-05-09 14:52:00,5680,,,5650,,5800,5660,5670,,5660,,5700,5650,5590,5650</t>
  </si>
  <si>
    <t>2025-05-09 14:52:00,20050,,20100,,19500,,20025,,,,,20200,19800,19800,19500</t>
  </si>
  <si>
    <t>2025-05-09 14:52:00,1224909734.00935,17345137246.3909,3064.04321789322,4874,1223.22858080808,1270.7,-200.764187356333,1464.84</t>
  </si>
  <si>
    <t>2025-05-09 14:52:00,877024357.5821,4562303951.04843,665.869757614955,316,280.409621407318,213.37,-13.9774850387513,125.46</t>
  </si>
  <si>
    <t>2025-05-09 14:52:00,19704831.2703374,-191041205.928314,,1093,,10129.3,-6.53619665140026,803.24</t>
  </si>
  <si>
    <t>2025-05-09 14:52:00,37404547.7212847,912265.674457521,7.28531958237841,5,59.3833664374841,-99.72,0.0233821711546294,-0.51</t>
  </si>
  <si>
    <t>2025-05-09 14:53:00,580,,566,,580,,563.5,,,,,567,563,570,564</t>
  </si>
  <si>
    <t>2025-05-09 14:53:00,500,,490,,470,,488,,,,,491,485,491,488</t>
  </si>
  <si>
    <t>2025-05-09 14:53:00,5680,,,5650,,5800,5660,5670,,5660,,5700,5650,5590,5650</t>
  </si>
  <si>
    <t>2025-05-09 14:53:00,20050,,20100,,19500,,20050,,,,,20200,19800,19800,19500</t>
  </si>
  <si>
    <t>2025-05-09 14:53:00,1277943082.68179,14348580867.4976,-278.248147354893,198,258.926966588134,-146.4,-177.129099366418,13.44</t>
  </si>
  <si>
    <t>2025-05-09 14:53:00,857535365.019549,4132957291.26015,-560.769786649152,-458,-156.618195219425,-134.06,6.53881482549172,-27.01</t>
  </si>
  <si>
    <t>2025-05-09 14:53:00,24879741.2178125,-80252179.0875267,,1765,,-1050.13,8.39721360584306,457.44</t>
  </si>
  <si>
    <t>2025-05-09 14:53:00,35126468.2211865,698735.194733819,3.20753968253968,0,-30.3790952380952,-32.53,0.02116688955973,-0.97</t>
  </si>
  <si>
    <t>2025-05-09 14:54:00,580,,565,,580,,562.5,,,,,567,563,570,564</t>
  </si>
  <si>
    <t>2025-05-09 14:54:00,490,,489,,470,,487,,,,,491,485,491,488</t>
  </si>
  <si>
    <t>2025-05-09 14:54:00,5680,,5670,,,5800,5660,5670,,,5660,5700,5650,5590,5650</t>
  </si>
  <si>
    <t>2025-05-09 14:54:00,20050,,20100,,19500,,20050,,,,,20200,19800,19800,19500</t>
  </si>
  <si>
    <t>2025-05-09 14:54:00,1640421113.27078,41209893821.4238,1362.16437728938,2102,1001.85177364302,1232.78,392.436926261757,914.25</t>
  </si>
  <si>
    <t>2025-05-09 14:54:00,1014589976.13072,9901209093.41657,1216.97101789103,2487,341.01472831596,467.33,-123.718049063281,627.85</t>
  </si>
  <si>
    <t>2025-05-09 14:54:00,31249392.2861547,256776069.056442,,153,,2499.69,43.9727799877294,113.36</t>
  </si>
  <si>
    <t>2025-05-09 14:54:00,40830383.2604826,2066548.56691127,-4.20910005027651,4,-205.342799396682,-110.7,0.0927297519244687,-1.98</t>
  </si>
  <si>
    <t>2025-05-09 14:55:00,580,,,,580,,563.5,,,564,,567,563,570,564</t>
  </si>
  <si>
    <t>2025-05-09 14:55:00,500,,489,,470,,488,,,,,491,485,491,488</t>
  </si>
  <si>
    <t>2025-05-09 14:55:00,,5660,,5660,,5800,5660,,,5660,5650,5700,5650,5590,5650</t>
  </si>
  <si>
    <t>2025-05-09 14:55:00,20050,,20100,,19500,,20000,,,,,20200,19800,19800,19500</t>
  </si>
  <si>
    <t>2025-05-09 14:55:00,975249468.683198,7670436507.26601,-5977.12080237849,-6313,-1262.6928672412,-1168.65,-1336.94519532916,-601.73</t>
  </si>
  <si>
    <t>2025-05-09 14:55:00,897851921.350718,2400414457.74815,-278.456240750249,1387,345.504804191552,-185.52,-167.185873985388,6.94000000000005</t>
  </si>
  <si>
    <t>2025-05-09 14:55:00,11616189.5268438,-827906080.328488,,-1670,,5056.74,-203.941328529302,1263.53</t>
  </si>
  <si>
    <t>2025-05-09 14:55:00,41514376.2350294,956616.730523968,67.0197944769801,36,180.054649766401,322.25,0.105810076546909,10.59</t>
  </si>
  <si>
    <t>2025-05-09 14:56:00,580,,,,580,,563.5,,,,,567,563,570,564</t>
  </si>
  <si>
    <t>2025-05-09 14:56:00,500,,489,,470,,488,,,,488,491,485,491,488</t>
  </si>
  <si>
    <t>2025-05-09 14:56:00,,5660,,5660,,5800,5660,,5660,,5660,5700,5650,5590,5650</t>
  </si>
  <si>
    <t>2025-05-09 14:56:00,20050,,20100,,19500,,20025,,,,,20200,19800,19800,19500</t>
  </si>
  <si>
    <t>2025-05-09 14:56:00,985872921.372853,6609720477.30717,144.503990453988,158,179.261912309909,497.08,743.680132629946,894.62</t>
  </si>
  <si>
    <t>2025-05-09 14:56:00,782880707.358036,1414325171.6255,-2124.77364600956,-3969,-2635.49921026557,-3856.55,490.989005692061,-2743.08</t>
  </si>
  <si>
    <t>2025-05-09 14:56:00,-4437474.30138493,-1579138210.88143,,-4635,,-9404.74,152.355755457121,-3081.03</t>
  </si>
  <si>
    <t>2025-05-09 14:56:00,40685800.4588383,380296.25375968,16.8136546745738,41,65.3273846882285,78.71,0.122268710982648,3.78</t>
  </si>
  <si>
    <t>2025-05-09 14:57:00,580,,565,,580,,563.5,,,,,567,563,570,564</t>
  </si>
  <si>
    <t>2025-05-09 14:57:00,500,,489,,470,,488,,,,,491,485,491,488</t>
  </si>
  <si>
    <t>2025-05-09 14:57:00,5680,,,5660,,5800,5660,,5660,,5660,5700,5650,5590,5650</t>
  </si>
  <si>
    <t>2025-05-09 14:57:00,20050,,20100,,19500,,20025,,,,,20200,19800,19800,19500</t>
  </si>
  <si>
    <t>2025-05-09 14:57:00,856728051.951433,11082083083.9557,-1234.66035353535,-4647,-494.348828282828,-763.8,-737.823528266074,-1159.4</t>
  </si>
  <si>
    <t>2025-05-09 14:57:00,817433348.606525,4809770096.64007,-968.62430528386,-971,-344.543207101917,-1169.89,-228.20020188188,-429.33</t>
  </si>
  <si>
    <t>2025-05-09 14:57:00,16628987.1218535,-762539803.941469,,-2433,,-4504.3,-22.6583020028459,-1218.37</t>
  </si>
  <si>
    <t>2025-05-09 14:57:00,45767270.9281686,993647.71780218,-8.79018759018759,-34,-272.19720995671,-261.29,-0.000909422121165075,-8.69</t>
  </si>
  <si>
    <t>2025-05-09 14:58:00,580,,,,580,,563.5,,,,,567,563,570,564</t>
  </si>
  <si>
    <t>2025-05-09 14:58:00,500,,489,,470,,488,,,488,,491,485,491,488</t>
  </si>
  <si>
    <t>2025-05-09 14:58:00,5700,,,5650,,5800,5660,,5660,5650,,5700,5650,5590,5650</t>
  </si>
  <si>
    <t>2025-05-09 14:58:00,20050,,20100,,19500,,20025,,,,,20200,19800,19800,19500</t>
  </si>
  <si>
    <t>2025-05-09 14:58:00,1013945048.3272,80417868.3791299,104.854682539683,930,78.0215690476204,34.58,-621.000464998977,239.43</t>
  </si>
  <si>
    <t>2025-05-09 14:58:00,864266864.494844,1697263322.00474,-148.723646044625,1224,316.026074475997,1168.73,-423.820999522423,1178.15</t>
  </si>
  <si>
    <t>2025-05-09 14:58:00,21130673.6037809,-640393243.000146,,-726,,3484.86,-124.719811531957,-182.79</t>
  </si>
  <si>
    <t>2025-05-09 14:58:00,53736007.5782167,800760.164072757,2.11626706626707,-14,56.343792041292,33.35,-0.116900158471506,0.88</t>
  </si>
  <si>
    <t>2025-05-09 14:59:00,580,,565,,580,,563.5,,,,,567,563,570,564</t>
  </si>
  <si>
    <t>2025-05-09 14:59:00,500,,489,,470,,488,,,,,491,485,491,488</t>
  </si>
  <si>
    <t>2025-05-09 14:59:00,,5660,,5660,,5800,5660,5660,,5660,5650,5700,5650,5590,5650</t>
  </si>
  <si>
    <t>2025-05-09 14:59:00,20050,,20100,,19500,,20050,,,,,20200,19800,19800,19500</t>
  </si>
  <si>
    <t>2025-05-09 14:59:00,1267876618.18234,2287485281.12034,1281.86230283127,4488,85.057013484598,569.63,262.256493561192,1189.73</t>
  </si>
  <si>
    <t>2025-05-09 14:59:00,927940083.270996,923287389.321815,68.1551363287253,2124,775.682519646348,1933.35,-862.404077710273,1567.18</t>
  </si>
  <si>
    <t>2025-05-09 14:59:00,-17877874.7283506,-2691364230.24259,,2598,,2644.17,-14.0551887255441,1537.28</t>
  </si>
  <si>
    <t>2025-05-09 14:59:00,44037757.1975603,113899.632452291,8.79998892330768,32,12.6729116966089,8.08,-0.197671080475608,2.63</t>
  </si>
  <si>
    <t>2025-05-09 15:00:00,580,,,,580,,563.5,,,,564,567,563,570,564</t>
  </si>
  <si>
    <t>2025-05-09 15:00:00,500,,489,,470,,488,,,,,491,485,491,488</t>
  </si>
  <si>
    <t>2025-05-09 15:00:00,5680,,,5660,,5800,5660,5660,,,5660,5700,5650,5590,5650</t>
  </si>
  <si>
    <t>2025-05-09 15:00:00,20050,,,,19500,,20050,,,,,20200,19800,19800,19500</t>
  </si>
  <si>
    <t>2025-05-09 15:00:00,760063073.357023,9382797952.59664,-13863.5416650601,-14205,-3201.42589810688,-3129.03,1226.53690499919,-4219.51</t>
  </si>
  <si>
    <t>2025-05-09 15:00:00,762926680.730397,2374171644.27155,-1596.2551948052,-1798,-641.146941558442,-1335.52,-46.712663071437,-991.26</t>
  </si>
  <si>
    <t>2025-05-09 15:00:00,14739564.5282285,-868301318.412621,,246,,-50.79,224.249883732096,84.5599999999999</t>
  </si>
  <si>
    <t>2025-05-09 15:00:00,49181991.6139687,-114630.721024805,-34.7833333333333,-18,-54.6721666666666,-37.34,0.0804073447056852,-1.18</t>
  </si>
  <si>
    <t>2025-05-09 15:01:00,580,,,,580,,563.5,,,,564,567,563,570,564</t>
  </si>
  <si>
    <t>2025-05-09 15:01:00,500,,489,,470,,488,,,,,491,485,491,488</t>
  </si>
  <si>
    <t>2025-05-09 15:01:00,5680,,,5660,,5800,5660,,,,,5700,5650,5590,5650</t>
  </si>
  <si>
    <t>2025-05-09 15:01:00,20050,,,,19500,,20050,,,,,20200,19800,19800,19500</t>
  </si>
  <si>
    <t>2025-05-09 15:01:00,1149350855.11489,4870449454.89613,-2112.25164304993,418,-222.409914439946,-140.05,1335.42127739573,-549.2</t>
  </si>
  <si>
    <t>2025-05-09 15:01:00,893140478.800969,1034077919.49202,-423.366017316017,-140,398.754294372294,560.64,-198.257240974882,357.77</t>
  </si>
  <si>
    <t>2025-05-09 15:01:00,14959157.820208,-697781365.025986,,0,,0,0,0</t>
  </si>
  <si>
    <t>2025-05-09 15:01:00,47880750.9031875,-116956.736826442,0,0,0,0,0,0</t>
  </si>
  <si>
    <t>2025-05-09 15:02:00,580,,565,,580,,563.5,,,,,567,563,570,564</t>
  </si>
  <si>
    <t>2025-05-09 15:02:00,500,,489,,470,,488,,,,,491,485,491,488</t>
  </si>
  <si>
    <t>2025-05-09 15:02:00,5680,,,5660,,5800,5660,,,,,5700,5650,5590,5650</t>
  </si>
  <si>
    <t>2025-05-09 15:02:00,20050,,,,19500,,20050,,,,,20200,19800,19800,19500</t>
  </si>
  <si>
    <t>2025-05-09 15:02:00,1491926732.85373,10309353015.3421,-4034.56794871795,-5023,-466.612173493174,-405.2,-506.089361386638,-508.56</t>
  </si>
  <si>
    <t>2025-05-09 15:02:00,833655701.23464,2024840429.06583,-894.309761904762,-166,64.0357791208795,-68.48,89.7667896638495,52.43</t>
  </si>
  <si>
    <t>2025-05-09 15:02:00,13679038.4947687,-703484693.534936,,0,,0,0,0</t>
  </si>
  <si>
    <t>2025-05-09 15:02:00,47474181.2188908,-118626.089630275,0,0,0,0,0,0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</si>
</sst>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0</v>
        <stp/>
        <stp>VOLUME</stp>
        <stp>.NDXC19700</stp>
        <tr r="K172" s="2"/>
        <tr r="K172" s="2"/>
      </tp>
      <tp t="s">
        <v>N/A</v>
        <stp/>
        <stp>VOLUME</stp>
        <stp>.NDXC19725</stp>
        <tr r="K171" s="2"/>
      </tp>
      <tp t="s">
        <v>N/A</v>
        <stp/>
        <stp>VOLUME</stp>
        <stp>.NDXC19750</stp>
        <tr r="K170" s="2"/>
      </tp>
      <tp t="s">
        <v>N/A</v>
        <stp/>
        <stp>VOLUME</stp>
        <stp>.NDXC19775</stp>
        <tr r="K169" s="2"/>
      </tp>
      <tp t="s">
        <v>N/A</v>
        <stp/>
        <stp>VOLUME</stp>
        <stp>.SPXWC5780</stp>
        <tr r="C95" s="2"/>
        <tr r="G95" s="2"/>
        <tr r="B95" s="2"/>
        <tr r="E95" s="2"/>
        <tr r="F95" s="2"/>
        <tr r="D95" s="2"/>
      </tp>
      <tp t="s">
        <v>N/A</v>
        <stp/>
        <stp>VOLUME</stp>
        <stp>.SPXWP5780</stp>
        <tr r="C95" s="2"/>
        <tr r="G95" s="2"/>
        <tr r="B95" s="2"/>
        <tr r="E95" s="2"/>
        <tr r="F95" s="2"/>
        <tr r="D95" s="2"/>
      </tp>
      <tp t="s">
        <v>N/A</v>
        <stp/>
        <stp>VOLUME</stp>
        <stp>.SPXWC5790</stp>
        <tr r="D94" s="2"/>
        <tr r="B94" s="2"/>
        <tr r="E94" s="2"/>
        <tr r="C94" s="2"/>
        <tr r="F94" s="2"/>
        <tr r="G94" s="2"/>
      </tp>
      <tp t="s">
        <v>N/A</v>
        <stp/>
        <stp>VOLUME</stp>
        <stp>.SPXWP5790</stp>
        <tr r="D94" s="2"/>
        <tr r="B94" s="2"/>
        <tr r="E94" s="2"/>
        <tr r="C94" s="2"/>
        <tr r="F94" s="2"/>
        <tr r="G94" s="2"/>
      </tp>
      <tp t="s">
        <v>N/A</v>
        <stp/>
        <stp>VOLUME</stp>
        <stp>.SPXWC5740</stp>
        <tr r="C99" s="2"/>
        <tr r="D99" s="2"/>
        <tr r="B99" s="2"/>
        <tr r="E99" s="2"/>
        <tr r="G99" s="2"/>
        <tr r="F99" s="2"/>
      </tp>
      <tp t="s">
        <v>N/A</v>
        <stp/>
        <stp>VOLUME</stp>
        <stp>.SPXWP5740</stp>
        <tr r="C99" s="2"/>
        <tr r="D99" s="2"/>
        <tr r="B99" s="2"/>
        <tr r="E99" s="2"/>
        <tr r="G99" s="2"/>
        <tr r="F99" s="2"/>
      </tp>
      <tp t="s">
        <v>N/A</v>
        <stp/>
        <stp>VOLUME</stp>
        <stp>.SPXWC5750</stp>
        <tr r="F98" s="2"/>
        <tr r="E98" s="2"/>
        <tr r="B98" s="2"/>
        <tr r="G98" s="2"/>
        <tr r="C98" s="2"/>
        <tr r="D98" s="2"/>
      </tp>
      <tp t="s">
        <v>N/A</v>
        <stp/>
        <stp>VOLUME</stp>
        <stp>.SPXWP5750</stp>
        <tr r="F98" s="2"/>
        <tr r="E98" s="2"/>
        <tr r="B98" s="2"/>
        <tr r="G98" s="2"/>
        <tr r="C98" s="2"/>
        <tr r="D98" s="2"/>
      </tp>
      <tp t="s">
        <v>N/A</v>
        <stp/>
        <stp>VOLUME</stp>
        <stp>.NDXP19725</stp>
        <tr r="K171" s="2"/>
      </tp>
      <tp t="s">
        <v>N/A</v>
        <stp/>
        <stp>VOLUME</stp>
        <stp>.SPXWC5760</stp>
        <tr r="E97" s="2"/>
        <tr r="B97" s="2"/>
        <tr r="F97" s="2"/>
        <tr r="D97" s="2"/>
        <tr r="C97" s="2"/>
        <tr r="G97" s="2"/>
      </tp>
      <tp t="s">
        <v>N/A</v>
        <stp/>
        <stp>VOLUME</stp>
        <stp>.SPXWP5760</stp>
        <tr r="E97" s="2"/>
        <tr r="B97" s="2"/>
        <tr r="F97" s="2"/>
        <tr r="D97" s="2"/>
        <tr r="C97" s="2"/>
        <tr r="G97" s="2"/>
      </tp>
      <tp t="s">
        <v>N/A</v>
        <stp/>
        <stp>VOLUME</stp>
        <stp>.SPXWC5770</stp>
        <tr r="C96" s="2"/>
        <tr r="D96" s="2"/>
        <tr r="F96" s="2"/>
        <tr r="G96" s="2"/>
        <tr r="E96" s="2"/>
        <tr r="B96" s="2"/>
      </tp>
      <tp t="s">
        <v>N/A</v>
        <stp/>
        <stp>VOLUME</stp>
        <stp>.SPXWP5770</stp>
        <tr r="C96" s="2"/>
        <tr r="D96" s="2"/>
        <tr r="F96" s="2"/>
        <tr r="G96" s="2"/>
        <tr r="E96" s="2"/>
        <tr r="B96" s="2"/>
      </tp>
      <tp t="s">
        <v>N/A</v>
        <stp/>
        <stp>VOLUME</stp>
        <stp>.NDXP19700</stp>
        <tr r="K172" s="2"/>
      </tp>
      <tp t="s">
        <v>N/A</v>
        <stp/>
        <stp>VOLUME</stp>
        <stp>.SPXWC5700</stp>
        <tr r="G103" s="2"/>
        <tr r="F103" s="2"/>
        <tr r="B103" s="2"/>
        <tr r="E103" s="2"/>
        <tr r="C103" s="2"/>
        <tr r="D103" s="2"/>
      </tp>
      <tp t="s">
        <v>N/A</v>
        <stp/>
        <stp>VOLUME</stp>
        <stp>.SPXWP5700</stp>
        <tr r="G103" s="2"/>
        <tr r="F103" s="2"/>
        <tr r="B103" s="2"/>
        <tr r="E103" s="2"/>
        <tr r="C103" s="2"/>
        <tr r="D103" s="2"/>
      </tp>
      <tp t="s">
        <v>N/A</v>
        <stp/>
        <stp>VOLUME</stp>
        <stp>.NDXP19775</stp>
        <tr r="K169" s="2"/>
      </tp>
      <tp t="s">
        <v>N/A</v>
        <stp/>
        <stp>VOLUME</stp>
        <stp>.SPXWC5710</stp>
        <tr r="F102" s="2"/>
        <tr r="D102" s="2"/>
        <tr r="E102" s="2"/>
        <tr r="G102" s="2"/>
        <tr r="C102" s="2"/>
        <tr r="B102" s="2"/>
      </tp>
      <tp t="s">
        <v>N/A</v>
        <stp/>
        <stp>VOLUME</stp>
        <stp>.SPXWP5710</stp>
        <tr r="F102" s="2"/>
        <tr r="D102" s="2"/>
        <tr r="E102" s="2"/>
        <tr r="G102" s="2"/>
        <tr r="C102" s="2"/>
        <tr r="B102" s="2"/>
      </tp>
      <tp t="s">
        <v>N/A</v>
        <stp/>
        <stp>VOLUME</stp>
        <stp>.SPXWC5720</stp>
        <tr r="C101" s="2"/>
        <tr r="B101" s="2"/>
        <tr r="D101" s="2"/>
        <tr r="F101" s="2"/>
        <tr r="G101" s="2"/>
        <tr r="E101" s="2"/>
      </tp>
      <tp t="s">
        <v>N/A</v>
        <stp/>
        <stp>VOLUME</stp>
        <stp>.SPXWP5720</stp>
        <tr r="C101" s="2"/>
        <tr r="B101" s="2"/>
        <tr r="D101" s="2"/>
        <tr r="F101" s="2"/>
        <tr r="G101" s="2"/>
        <tr r="E101" s="2"/>
      </tp>
      <tp t="s">
        <v>N/A</v>
        <stp/>
        <stp>VOLUME</stp>
        <stp>.NDXP19750</stp>
        <tr r="K170" s="2"/>
      </tp>
      <tp t="s">
        <v>N/A</v>
        <stp/>
        <stp>VOLUME</stp>
        <stp>.SPXWC5730</stp>
        <tr r="E100" s="2"/>
        <tr r="G100" s="2"/>
        <tr r="C100" s="2"/>
        <tr r="D100" s="2"/>
        <tr r="B100" s="2"/>
        <tr r="F100" s="2"/>
      </tp>
      <tp t="s">
        <v>N/A</v>
        <stp/>
        <stp>VOLUME</stp>
        <stp>.SPXWP5730</stp>
        <tr r="E100" s="2"/>
        <tr r="G100" s="2"/>
        <tr r="C100" s="2"/>
        <tr r="D100" s="2"/>
        <tr r="B100" s="2"/>
        <tr r="F100" s="2"/>
      </tp>
      <tp>
        <v>15.34</v>
        <stp/>
        <stp>LAST</stp>
        <stp>.SPY250509P581</stp>
        <tr r="DB5" s="1"/>
        <tr r="DB5" s="1"/>
      </tp>
      <tp>
        <v>0.01</v>
        <stp/>
        <stp>LAST</stp>
        <stp>.SPY250509C581</stp>
        <tr r="DA5" s="1"/>
        <tr r="DA5" s="1"/>
      </tp>
      <tp>
        <v>15.53</v>
        <stp/>
        <stp>LAST</stp>
        <stp>.SPY250509P580</stp>
        <tr r="DB6" s="1"/>
        <tr r="DB6" s="1"/>
      </tp>
      <tp>
        <v>0.01</v>
        <stp/>
        <stp>LAST</stp>
        <stp>.SPY250509C580</stp>
        <tr r="DA6" s="1"/>
        <tr r="DA6" s="1"/>
      </tp>
      <tp>
        <v>16.38</v>
        <stp/>
        <stp>LAST</stp>
        <stp>.SPY250509P582</stp>
        <tr r="DB4" s="1"/>
        <tr r="DB4" s="1"/>
      </tp>
      <tp>
        <v>0.01</v>
        <stp/>
        <stp>LAST</stp>
        <stp>.SPY250509C582</stp>
        <tr r="DA4" s="1"/>
        <tr r="DA4" s="1"/>
      </tp>
      <tp>
        <v>0.59</v>
        <stp/>
        <stp>LAST</stp>
        <stp>.SPY250509P565</stp>
        <tr r="DB21" s="1"/>
        <tr r="DB21" s="1"/>
      </tp>
      <tp>
        <v>0.01</v>
        <stp/>
        <stp>LAST</stp>
        <stp>.SPY250509C565</stp>
        <tr r="DA21" s="1"/>
        <tr r="DA21" s="1"/>
      </tp>
      <tp>
        <v>0.01</v>
        <stp/>
        <stp>LAST</stp>
        <stp>.SPY250509P564</stp>
        <tr r="DB22" s="1"/>
        <tr r="DB22" s="1"/>
      </tp>
      <tp>
        <v>0.45</v>
        <stp/>
        <stp>LAST</stp>
        <stp>.SPY250509C564</stp>
        <tr r="DA22" s="1"/>
        <tr r="DA22" s="1"/>
      </tp>
      <tp>
        <v>2.64</v>
        <stp/>
        <stp>LAST</stp>
        <stp>.SPY250509P567</stp>
        <tr r="DB19" s="1"/>
        <tr r="DB19" s="1"/>
      </tp>
      <tp>
        <v>0.01</v>
        <stp/>
        <stp>LAST</stp>
        <stp>.SPY250509C567</stp>
        <tr r="DA19" s="1"/>
        <tr r="DA19" s="1"/>
      </tp>
      <tp>
        <v>1.69</v>
        <stp/>
        <stp>LAST</stp>
        <stp>.SPY250509P566</stp>
        <tr r="DB20" s="1"/>
        <tr r="DB20" s="1"/>
      </tp>
      <tp>
        <v>0.01</v>
        <stp/>
        <stp>LAST</stp>
        <stp>.SPY250509C566</stp>
        <tr r="DA20" s="1"/>
        <tr r="DA20" s="1"/>
      </tp>
      <tp>
        <v>0.01</v>
        <stp/>
        <stp>LAST</stp>
        <stp>.SPY250509P561</stp>
        <tr r="DB25" s="1"/>
        <tr r="DB25" s="1"/>
      </tp>
      <tp>
        <v>3.1</v>
        <stp/>
        <stp>LAST</stp>
        <stp>.SPY250509C561</stp>
        <tr r="DA25" s="1"/>
        <tr r="DA25" s="1"/>
      </tp>
      <tp>
        <v>0.01</v>
        <stp/>
        <stp>LAST</stp>
        <stp>.SPY250509P560</stp>
        <tr r="DB26" s="1"/>
        <tr r="DB26" s="1"/>
      </tp>
      <tp>
        <v>3.9</v>
        <stp/>
        <stp>LAST</stp>
        <stp>.SPY250509C560</stp>
        <tr r="DA26" s="1"/>
        <tr r="DA26" s="1"/>
      </tp>
      <tp>
        <v>0.01</v>
        <stp/>
        <stp>LAST</stp>
        <stp>.SPY250509P563</stp>
        <tr r="DB23" s="1"/>
        <tr r="DB23" s="1"/>
      </tp>
      <tp>
        <v>1.28</v>
        <stp/>
        <stp>LAST</stp>
        <stp>.SPY250509C563</stp>
        <tr r="DA23" s="1"/>
        <tr r="DA23" s="1"/>
      </tp>
      <tp>
        <v>0.01</v>
        <stp/>
        <stp>LAST</stp>
        <stp>.SPY250509P562</stp>
        <tr r="DB24" s="1"/>
        <tr r="DB24" s="1"/>
      </tp>
      <tp>
        <v>2.38</v>
        <stp/>
        <stp>LAST</stp>
        <stp>.SPY250509C562</stp>
        <tr r="DA24" s="1"/>
        <tr r="DA24" s="1"/>
      </tp>
      <tp>
        <v>4.66</v>
        <stp/>
        <stp>LAST</stp>
        <stp>.SPY250509P569</stp>
        <tr r="DB17" s="1"/>
        <tr r="DB17" s="1"/>
      </tp>
      <tp>
        <v>0.01</v>
        <stp/>
        <stp>LAST</stp>
        <stp>.SPY250509C569</stp>
        <tr r="DA17" s="1"/>
        <tr r="DA17" s="1"/>
      </tp>
      <tp>
        <v>3.48</v>
        <stp/>
        <stp>LAST</stp>
        <stp>.SPY250509P568</stp>
        <tr r="DB18" s="1"/>
        <tr r="DB18" s="1"/>
      </tp>
      <tp>
        <v>0.01</v>
        <stp/>
        <stp>LAST</stp>
        <stp>.SPY250509C568</stp>
        <tr r="DA18" s="1"/>
        <tr r="DA18" s="1"/>
      </tp>
      <tp>
        <v>10.58</v>
        <stp/>
        <stp>LAST</stp>
        <stp>.SPY250509P575</stp>
        <tr r="DB11" s="1"/>
        <tr r="DB11" s="1"/>
      </tp>
      <tp>
        <v>0.01</v>
        <stp/>
        <stp>LAST</stp>
        <stp>.SPY250509C575</stp>
        <tr r="DA11" s="1"/>
        <tr r="DA11" s="1"/>
      </tp>
      <tp>
        <v>9.7899999999999991</v>
        <stp/>
        <stp>LAST</stp>
        <stp>.SPY250509P574</stp>
        <tr r="DB12" s="1"/>
        <tr r="DB12" s="1"/>
      </tp>
      <tp>
        <v>0.01</v>
        <stp/>
        <stp>LAST</stp>
        <stp>.SPY250509C574</stp>
        <tr r="DA12" s="1"/>
        <tr r="DA12" s="1"/>
      </tp>
      <tp>
        <v>12.49</v>
        <stp/>
        <stp>LAST</stp>
        <stp>.SPY250509P577</stp>
        <tr r="DB9" s="1"/>
        <tr r="DB9" s="1"/>
      </tp>
      <tp>
        <v>0.01</v>
        <stp/>
        <stp>LAST</stp>
        <stp>.SPY250509C577</stp>
        <tr r="DA9" s="1"/>
        <tr r="DA9" s="1"/>
      </tp>
      <tp>
        <v>11.58</v>
        <stp/>
        <stp>LAST</stp>
        <stp>.SPY250509P576</stp>
        <tr r="DB10" s="1"/>
        <tr r="DB10" s="1"/>
      </tp>
      <tp>
        <v>0.01</v>
        <stp/>
        <stp>LAST</stp>
        <stp>.SPY250509C576</stp>
        <tr r="DA10" s="1"/>
        <tr r="DA10" s="1"/>
      </tp>
      <tp>
        <v>6.36</v>
        <stp/>
        <stp>LAST</stp>
        <stp>.SPY250509P571</stp>
        <tr r="DB15" s="1"/>
        <tr r="DB15" s="1"/>
      </tp>
      <tp>
        <v>0.01</v>
        <stp/>
        <stp>LAST</stp>
        <stp>.SPY250509C571</stp>
        <tr r="DA15" s="1"/>
        <tr r="DA15" s="1"/>
      </tp>
      <tp>
        <v>5.68</v>
        <stp/>
        <stp>LAST</stp>
        <stp>.SPY250509P570</stp>
        <tr r="DB16" s="1"/>
        <tr r="DB16" s="1"/>
      </tp>
      <tp>
        <v>0.01</v>
        <stp/>
        <stp>LAST</stp>
        <stp>.SPY250509C570</stp>
        <tr r="DA16" s="1"/>
        <tr r="DA16" s="1"/>
      </tp>
      <tp>
        <v>8.57</v>
        <stp/>
        <stp>LAST</stp>
        <stp>.SPY250509P573</stp>
        <tr r="DB13" s="1"/>
        <tr r="DB13" s="1"/>
      </tp>
      <tp>
        <v>0.01</v>
        <stp/>
        <stp>LAST</stp>
        <stp>.SPY250509C573</stp>
        <tr r="DA13" s="1"/>
        <tr r="DA13" s="1"/>
      </tp>
      <tp>
        <v>7.59</v>
        <stp/>
        <stp>LAST</stp>
        <stp>.SPY250509P572</stp>
        <tr r="DB14" s="1"/>
        <tr r="DB14" s="1"/>
      </tp>
      <tp>
        <v>0.01</v>
        <stp/>
        <stp>LAST</stp>
        <stp>.SPY250509C572</stp>
        <tr r="DA14" s="1"/>
        <tr r="DA14" s="1"/>
      </tp>
      <tp>
        <v>14.47</v>
        <stp/>
        <stp>LAST</stp>
        <stp>.SPY250509P579</stp>
        <tr r="DB7" s="1"/>
        <tr r="DB7" s="1"/>
      </tp>
      <tp>
        <v>0.01</v>
        <stp/>
        <stp>LAST</stp>
        <stp>.SPY250509C579</stp>
        <tr r="DA7" s="1"/>
        <tr r="DA7" s="1"/>
      </tp>
      <tp>
        <v>13.74</v>
        <stp/>
        <stp>LAST</stp>
        <stp>.SPY250509P578</stp>
        <tr r="DB8" s="1"/>
        <tr r="DB8" s="1"/>
      </tp>
      <tp>
        <v>0.01</v>
        <stp/>
        <stp>LAST</stp>
        <stp>.SPY250509C578</stp>
        <tr r="DA8" s="1"/>
        <tr r="DA8" s="1"/>
      </tp>
      <tp>
        <v>0.01</v>
        <stp/>
        <stp>LAST</stp>
        <stp>.SPY250509P549</stp>
        <tr r="DB37" s="1"/>
        <tr r="DB37" s="1"/>
      </tp>
      <tp>
        <v>15.05</v>
        <stp/>
        <stp>LAST</stp>
        <stp>.SPY250509C549</stp>
        <tr r="DA37" s="1"/>
        <tr r="DA37" s="1"/>
      </tp>
      <tp>
        <v>0.01</v>
        <stp/>
        <stp>LAST</stp>
        <stp>.SPY250509P548</stp>
        <tr r="DB38" s="1"/>
        <tr r="DB38" s="1"/>
      </tp>
      <tp>
        <v>16.350000000000001</v>
        <stp/>
        <stp>LAST</stp>
        <stp>.SPY250509C548</stp>
        <tr r="DA38" s="1"/>
        <tr r="DA38" s="1"/>
      </tp>
      <tp>
        <v>0.01</v>
        <stp/>
        <stp>LAST</stp>
        <stp>.SPY250509P555</stp>
        <tr r="DB31" s="1"/>
        <tr r="DB31" s="1"/>
      </tp>
      <tp>
        <v>9.1</v>
        <stp/>
        <stp>LAST</stp>
        <stp>.SPY250509C555</stp>
        <tr r="DA31" s="1"/>
        <tr r="DA31" s="1"/>
      </tp>
      <tp>
        <v>0.01</v>
        <stp/>
        <stp>LAST</stp>
        <stp>.SPY250509P554</stp>
        <tr r="DB32" s="1"/>
        <tr r="DB32" s="1"/>
      </tp>
      <tp>
        <v>10.44</v>
        <stp/>
        <stp>LAST</stp>
        <stp>.SPY250509C554</stp>
        <tr r="DA32" s="1"/>
        <tr r="DA32" s="1"/>
      </tp>
      <tp>
        <v>0.01</v>
        <stp/>
        <stp>LAST</stp>
        <stp>.SPY250509P557</stp>
        <tr r="DB29" s="1"/>
        <tr r="DB29" s="1"/>
      </tp>
      <tp>
        <v>7.03</v>
        <stp/>
        <stp>LAST</stp>
        <stp>.SPY250509C557</stp>
        <tr r="DA29" s="1"/>
        <tr r="DA29" s="1"/>
      </tp>
      <tp>
        <v>0.01</v>
        <stp/>
        <stp>LAST</stp>
        <stp>.SPY250509P556</stp>
        <tr r="DB30" s="1"/>
        <tr r="DB30" s="1"/>
      </tp>
      <tp>
        <v>8.4</v>
        <stp/>
        <stp>LAST</stp>
        <stp>.SPY250509C556</stp>
        <tr r="DA30" s="1"/>
        <tr r="DA30" s="1"/>
      </tp>
      <tp>
        <v>0.01</v>
        <stp/>
        <stp>LAST</stp>
        <stp>.SPY250509P551</stp>
        <tr r="DB35" s="1"/>
        <tr r="DB35" s="1"/>
      </tp>
      <tp>
        <v>13.25</v>
        <stp/>
        <stp>LAST</stp>
        <stp>.SPY250509C551</stp>
        <tr r="DA35" s="1"/>
        <tr r="DA35" s="1"/>
      </tp>
      <tp>
        <v>0.01</v>
        <stp/>
        <stp>LAST</stp>
        <stp>.SPY250509P550</stp>
        <tr r="DB36" s="1"/>
        <tr r="DB36" s="1"/>
      </tp>
      <tp>
        <v>14.48</v>
        <stp/>
        <stp>LAST</stp>
        <stp>.SPY250509C550</stp>
        <tr r="DA36" s="1"/>
        <tr r="DA36" s="1"/>
      </tp>
      <tp>
        <v>0.01</v>
        <stp/>
        <stp>LAST</stp>
        <stp>.SPY250509P553</stp>
        <tr r="DB33" s="1"/>
        <tr r="DB33" s="1"/>
      </tp>
      <tp>
        <v>11.4</v>
        <stp/>
        <stp>LAST</stp>
        <stp>.SPY250509C553</stp>
        <tr r="DA33" s="1"/>
        <tr r="DA33" s="1"/>
      </tp>
      <tp>
        <v>0.01</v>
        <stp/>
        <stp>LAST</stp>
        <stp>.SPY250509P552</stp>
        <tr r="DB34" s="1"/>
        <tr r="DB34" s="1"/>
      </tp>
      <tp>
        <v>12.25</v>
        <stp/>
        <stp>LAST</stp>
        <stp>.SPY250509C552</stp>
        <tr r="DA34" s="1"/>
        <tr r="DA34" s="1"/>
      </tp>
      <tp>
        <v>0.01</v>
        <stp/>
        <stp>LAST</stp>
        <stp>.SPY250509P559</stp>
        <tr r="DB27" s="1"/>
        <tr r="DB27" s="1"/>
      </tp>
      <tp>
        <v>5.32</v>
        <stp/>
        <stp>LAST</stp>
        <stp>.SPY250509C559</stp>
        <tr r="DA27" s="1"/>
        <tr r="DA27" s="1"/>
      </tp>
      <tp>
        <v>0.01</v>
        <stp/>
        <stp>LAST</stp>
        <stp>.SPY250509P558</stp>
        <tr r="DB28" s="1"/>
        <tr r="DB28" s="1"/>
      </tp>
      <tp>
        <v>6.49</v>
        <stp/>
        <stp>LAST</stp>
        <stp>.SPY250509C558</stp>
        <tr r="DA28" s="1"/>
        <tr r="DA28" s="1"/>
      </tp>
      <tp t="s">
        <v>N/A</v>
        <stp/>
        <stp>VOLUME</stp>
        <stp>.NDXC19600</stp>
        <tr r="K176" s="2"/>
      </tp>
      <tp t="s">
        <v>N/A</v>
        <stp/>
        <stp>VOLUME</stp>
        <stp>.NDXC19625</stp>
        <tr r="K175" s="2"/>
      </tp>
      <tp t="s">
        <v>N/A</v>
        <stp/>
        <stp>VOLUME</stp>
        <stp>.NDXC19650</stp>
        <tr r="K174" s="2"/>
      </tp>
      <tp t="s">
        <v>N/A</v>
        <stp/>
        <stp>VOLUME</stp>
        <stp>.NDXC19675</stp>
        <tr r="K173" s="2"/>
      </tp>
      <tp t="s">
        <v>N/A</v>
        <stp/>
        <stp>VOLUME</stp>
        <stp>.SPXWC5680</stp>
        <tr r="G105" s="2"/>
        <tr r="C105" s="2"/>
        <tr r="B105" s="2"/>
        <tr r="F105" s="2"/>
        <tr r="D105" s="2"/>
        <tr r="E105" s="2"/>
      </tp>
      <tp t="s">
        <v>N/A</v>
        <stp/>
        <stp>VOLUME</stp>
        <stp>.SPXWP5680</stp>
        <tr r="G105" s="2"/>
        <tr r="C105" s="2"/>
        <tr r="B105" s="2"/>
        <tr r="F105" s="2"/>
        <tr r="D105" s="2"/>
        <tr r="E105" s="2"/>
      </tp>
      <tp t="s">
        <v>N/A</v>
        <stp/>
        <stp>VOLUME</stp>
        <stp>.SPXWC5690</stp>
        <tr r="G104" s="2"/>
        <tr r="B104" s="2"/>
        <tr r="D104" s="2"/>
        <tr r="F104" s="2"/>
        <tr r="C104" s="2"/>
        <tr r="E104" s="2"/>
      </tp>
      <tp t="s">
        <v>N/A</v>
        <stp/>
        <stp>VOLUME</stp>
        <stp>.SPXWP5690</stp>
        <tr r="G104" s="2"/>
        <tr r="B104" s="2"/>
        <tr r="D104" s="2"/>
        <tr r="F104" s="2"/>
        <tr r="C104" s="2"/>
        <tr r="E104" s="2"/>
      </tp>
      <tp t="s">
        <v>N/A</v>
        <stp/>
        <stp>VOLUME</stp>
        <stp>.SPXWC5640</stp>
        <tr r="C109" s="2"/>
        <tr r="D109" s="2"/>
        <tr r="E109" s="2"/>
        <tr r="B109" s="2"/>
        <tr r="F109" s="2"/>
        <tr r="G109" s="2"/>
      </tp>
      <tp t="s">
        <v>N/A</v>
        <stp/>
        <stp>VOLUME</stp>
        <stp>.SPXWP5640</stp>
        <tr r="C109" s="2"/>
        <tr r="D109" s="2"/>
        <tr r="E109" s="2"/>
        <tr r="B109" s="2"/>
        <tr r="F109" s="2"/>
        <tr r="G109" s="2"/>
      </tp>
      <tp t="s">
        <v>N/A</v>
        <stp/>
        <stp>VOLUME</stp>
        <stp>.SPXWC5650</stp>
        <tr r="F108" s="2"/>
        <tr r="E108" s="2"/>
        <tr r="D108" s="2"/>
        <tr r="G108" s="2"/>
        <tr r="B108" s="2"/>
        <tr r="C108" s="2"/>
      </tp>
      <tp t="s">
        <v>N/A</v>
        <stp/>
        <stp>VOLUME</stp>
        <stp>.SPXWP5650</stp>
        <tr r="F108" s="2"/>
        <tr r="E108" s="2"/>
        <tr r="D108" s="2"/>
        <tr r="G108" s="2"/>
        <tr r="B108" s="2"/>
        <tr r="C108" s="2"/>
      </tp>
      <tp t="s">
        <v>N/A</v>
        <stp/>
        <stp>VOLUME</stp>
        <stp>.NDXP19625</stp>
        <tr r="K175" s="2"/>
      </tp>
      <tp t="s">
        <v>N/A</v>
        <stp/>
        <stp>VOLUME</stp>
        <stp>.SPXWC5660</stp>
        <tr r="B107" s="2"/>
        <tr r="D107" s="2"/>
        <tr r="F107" s="2"/>
        <tr r="G107" s="2"/>
        <tr r="C107" s="2"/>
        <tr r="E107" s="2"/>
      </tp>
      <tp t="s">
        <v>N/A</v>
        <stp/>
        <stp>VOLUME</stp>
        <stp>.SPXWP5660</stp>
        <tr r="B107" s="2"/>
        <tr r="D107" s="2"/>
        <tr r="F107" s="2"/>
        <tr r="G107" s="2"/>
        <tr r="C107" s="2"/>
        <tr r="E107" s="2"/>
      </tp>
      <tp t="s">
        <v>N/A</v>
        <stp/>
        <stp>VOLUME</stp>
        <stp>.SPXWC5670</stp>
        <tr r="F106" s="2"/>
        <tr r="C106" s="2"/>
        <tr r="D106" s="2"/>
        <tr r="E106" s="2"/>
        <tr r="B106" s="2"/>
        <tr r="G106" s="2"/>
      </tp>
      <tp t="s">
        <v>N/A</v>
        <stp/>
        <stp>VOLUME</stp>
        <stp>.SPXWP5670</stp>
        <tr r="F106" s="2"/>
        <tr r="C106" s="2"/>
        <tr r="D106" s="2"/>
        <tr r="E106" s="2"/>
        <tr r="B106" s="2"/>
        <tr r="G106" s="2"/>
      </tp>
      <tp t="s">
        <v>N/A</v>
        <stp/>
        <stp>VOLUME</stp>
        <stp>.NDXP19600</stp>
        <tr r="K176" s="2"/>
      </tp>
      <tp t="s">
        <v>N/A</v>
        <stp/>
        <stp>VOLUME</stp>
        <stp>.SPXWC5600</stp>
        <tr r="G113" s="2"/>
        <tr r="C113" s="2"/>
        <tr r="D113" s="2"/>
        <tr r="B113" s="2"/>
        <tr r="E113" s="2"/>
        <tr r="F113" s="2"/>
      </tp>
      <tp t="s">
        <v>N/A</v>
        <stp/>
        <stp>VOLUME</stp>
        <stp>.SPXWP5600</stp>
        <tr r="G113" s="2"/>
        <tr r="C113" s="2"/>
        <tr r="D113" s="2"/>
        <tr r="B113" s="2"/>
        <tr r="E113" s="2"/>
        <tr r="F113" s="2"/>
      </tp>
      <tp t="s">
        <v>N/A</v>
        <stp/>
        <stp>VOLUME</stp>
        <stp>.NDXP19675</stp>
        <tr r="K173" s="2"/>
      </tp>
      <tp t="s">
        <v>N/A</v>
        <stp/>
        <stp>VOLUME</stp>
        <stp>.SPXWC5610</stp>
        <tr r="C112" s="2"/>
        <tr r="E112" s="2"/>
        <tr r="D112" s="2"/>
        <tr r="F112" s="2"/>
        <tr r="G112" s="2"/>
        <tr r="B112" s="2"/>
      </tp>
      <tp t="s">
        <v>N/A</v>
        <stp/>
        <stp>VOLUME</stp>
        <stp>.SPXWP5610</stp>
        <tr r="C112" s="2"/>
        <tr r="E112" s="2"/>
        <tr r="D112" s="2"/>
        <tr r="F112" s="2"/>
        <tr r="G112" s="2"/>
        <tr r="B112" s="2"/>
      </tp>
      <tp t="s">
        <v>N/A</v>
        <stp/>
        <stp>VOLUME</stp>
        <stp>.SPXWC5620</stp>
        <tr r="D111" s="2"/>
        <tr r="B111" s="2"/>
        <tr r="C111" s="2"/>
        <tr r="F111" s="2"/>
        <tr r="G111" s="2"/>
        <tr r="E111" s="2"/>
      </tp>
      <tp t="s">
        <v>N/A</v>
        <stp/>
        <stp>VOLUME</stp>
        <stp>.SPXWP5620</stp>
        <tr r="D111" s="2"/>
        <tr r="B111" s="2"/>
        <tr r="C111" s="2"/>
        <tr r="F111" s="2"/>
        <tr r="G111" s="2"/>
        <tr r="E111" s="2"/>
      </tp>
      <tp t="s">
        <v>N/A</v>
        <stp/>
        <stp>VOLUME</stp>
        <stp>.NDXP19650</stp>
        <tr r="K174" s="2"/>
      </tp>
      <tp t="s">
        <v>N/A</v>
        <stp/>
        <stp>VOLUME</stp>
        <stp>.SPXWC5630</stp>
        <tr r="D110" s="2"/>
        <tr r="F110" s="2"/>
        <tr r="C110" s="2"/>
        <tr r="E110" s="2"/>
        <tr r="G110" s="2"/>
        <tr r="B110" s="2"/>
      </tp>
      <tp t="s">
        <v>N/A</v>
        <stp/>
        <stp>VOLUME</stp>
        <stp>.SPXWP5630</stp>
        <tr r="D110" s="2"/>
        <tr r="F110" s="2"/>
        <tr r="C110" s="2"/>
        <tr r="E110" s="2"/>
        <tr r="G110" s="2"/>
        <tr r="B110" s="2"/>
      </tp>
      <tp t="s">
        <v>N/A</v>
        <stp/>
        <stp>VOLUME</stp>
        <stp>.NDXC20500</stp>
        <tr r="K140" s="2"/>
      </tp>
      <tp t="s">
        <v>N/A</v>
        <stp/>
        <stp>VOLUME</stp>
        <stp>.NDXC19500</stp>
        <tr r="K180" s="2"/>
      </tp>
      <tp t="s">
        <v>N/A</v>
        <stp/>
        <stp>VOLUME</stp>
        <stp>.NDXC20525</stp>
        <tr r="K139" s="2"/>
      </tp>
      <tp t="s">
        <v>N/A</v>
        <stp/>
        <stp>VOLUME</stp>
        <stp>.NDXC19525</stp>
        <tr r="K179" s="2"/>
      </tp>
      <tp t="s">
        <v>N/A</v>
        <stp/>
        <stp>VOLUME</stp>
        <stp>.NDXC20550</stp>
        <tr r="K138" s="2"/>
      </tp>
      <tp t="s">
        <v>N/A</v>
        <stp/>
        <stp>VOLUME</stp>
        <stp>.NDXC19550</stp>
        <tr r="K178" s="2"/>
      </tp>
      <tp t="s">
        <v>N/A</v>
        <stp/>
        <stp>VOLUME</stp>
        <stp>.NDXC19575</stp>
        <tr r="K177" s="2"/>
      </tp>
      <tp t="s">
        <v>N/A</v>
        <stp/>
        <stp>VOLUME</stp>
        <stp>.SPXWC5580</stp>
        <tr r="D115" s="2"/>
        <tr r="G115" s="2"/>
        <tr r="C115" s="2"/>
        <tr r="E115" s="2"/>
        <tr r="B115" s="2"/>
        <tr r="F115" s="2"/>
      </tp>
      <tp t="s">
        <v>N/A</v>
        <stp/>
        <stp>VOLUME</stp>
        <stp>.SPXWP5580</stp>
        <tr r="D115" s="2"/>
        <tr r="G115" s="2"/>
        <tr r="C115" s="2"/>
        <tr r="E115" s="2"/>
        <tr r="B115" s="2"/>
        <tr r="F115" s="2"/>
      </tp>
      <tp t="s">
        <v>N/A</v>
        <stp/>
        <stp>VOLUME</stp>
        <stp>.SPXWC5590</stp>
        <tr r="E114" s="2"/>
        <tr r="D114" s="2"/>
        <tr r="B114" s="2"/>
        <tr r="C114" s="2"/>
        <tr r="F114" s="2"/>
        <tr r="G114" s="2"/>
      </tp>
      <tp t="s">
        <v>N/A</v>
        <stp/>
        <stp>VOLUME</stp>
        <stp>.SPXWP5590</stp>
        <tr r="E114" s="2"/>
        <tr r="D114" s="2"/>
        <tr r="B114" s="2"/>
        <tr r="C114" s="2"/>
        <tr r="F114" s="2"/>
        <tr r="G114" s="2"/>
      </tp>
      <tp t="s">
        <v>N/A</v>
        <stp/>
        <stp>VOLUME</stp>
        <stp>.SPXWC5540</stp>
        <tr r="C119" s="2"/>
        <tr r="G119" s="2"/>
        <tr r="E119" s="2"/>
        <tr r="F119" s="2"/>
        <tr r="D119" s="2"/>
        <tr r="B119" s="2"/>
      </tp>
      <tp t="s">
        <v>N/A</v>
        <stp/>
        <stp>VOLUME</stp>
        <stp>.SPXWP5540</stp>
        <tr r="C119" s="2"/>
        <tr r="G119" s="2"/>
        <tr r="E119" s="2"/>
        <tr r="F119" s="2"/>
        <tr r="D119" s="2"/>
        <tr r="B119" s="2"/>
      </tp>
      <tp t="s">
        <v>N/A</v>
        <stp/>
        <stp>VOLUME</stp>
        <stp>.SPXWC5550</stp>
        <tr r="B118" s="2"/>
        <tr r="E118" s="2"/>
        <tr r="C118" s="2"/>
        <tr r="D118" s="2"/>
        <tr r="G118" s="2"/>
        <tr r="F118" s="2"/>
      </tp>
      <tp t="s">
        <v>N/A</v>
        <stp/>
        <stp>VOLUME</stp>
        <stp>.SPXWP5550</stp>
        <tr r="B118" s="2"/>
        <tr r="E118" s="2"/>
        <tr r="C118" s="2"/>
        <tr r="D118" s="2"/>
        <tr r="G118" s="2"/>
        <tr r="F118" s="2"/>
      </tp>
      <tp t="s">
        <v>N/A</v>
        <stp/>
        <stp>VOLUME</stp>
        <stp>.NDXP20525</stp>
        <tr r="K139" s="2"/>
      </tp>
      <tp t="s">
        <v>N/A</v>
        <stp/>
        <stp>VOLUME</stp>
        <stp>.NDXP19525</stp>
        <tr r="K179" s="2"/>
      </tp>
      <tp t="s">
        <v>N/A</v>
        <stp/>
        <stp>VOLUME</stp>
        <stp>.SPXWC5560</stp>
        <tr r="D117" s="2"/>
        <tr r="C117" s="2"/>
        <tr r="E117" s="2"/>
        <tr r="F117" s="2"/>
        <tr r="G117" s="2"/>
        <tr r="B117" s="2"/>
      </tp>
      <tp t="s">
        <v>N/A</v>
        <stp/>
        <stp>VOLUME</stp>
        <stp>.SPXWP5560</stp>
        <tr r="D117" s="2"/>
        <tr r="C117" s="2"/>
        <tr r="E117" s="2"/>
        <tr r="F117" s="2"/>
        <tr r="G117" s="2"/>
        <tr r="B117" s="2"/>
      </tp>
      <tp t="s">
        <v>N/A</v>
        <stp/>
        <stp>VOLUME</stp>
        <stp>.SPXWC5570</stp>
        <tr r="G116" s="2"/>
        <tr r="C116" s="2"/>
        <tr r="E116" s="2"/>
        <tr r="B116" s="2"/>
        <tr r="D116" s="2"/>
        <tr r="F116" s="2"/>
      </tp>
      <tp t="s">
        <v>N/A</v>
        <stp/>
        <stp>VOLUME</stp>
        <stp>.SPXWP5570</stp>
        <tr r="G116" s="2"/>
        <tr r="C116" s="2"/>
        <tr r="E116" s="2"/>
        <tr r="B116" s="2"/>
        <tr r="D116" s="2"/>
        <tr r="F116" s="2"/>
      </tp>
      <tp t="s">
        <v>N/A</v>
        <stp/>
        <stp>VOLUME</stp>
        <stp>.NDXP20500</stp>
        <tr r="K140" s="2"/>
      </tp>
      <tp t="s">
        <v>N/A</v>
        <stp/>
        <stp>VOLUME</stp>
        <stp>.NDXP19500</stp>
        <tr r="K180" s="2"/>
      </tp>
      <tp t="s">
        <v>N/A</v>
        <stp/>
        <stp>VOLUME</stp>
        <stp>.SPXWC5500</stp>
        <tr r="C123" s="2"/>
        <tr r="B123" s="2"/>
        <tr r="E123" s="2"/>
        <tr r="F123" s="2"/>
        <tr r="G123" s="2"/>
        <tr r="D123" s="2"/>
      </tp>
      <tp t="s">
        <v>N/A</v>
        <stp/>
        <stp>VOLUME</stp>
        <stp>.SPXWP5500</stp>
        <tr r="C123" s="2"/>
        <tr r="B123" s="2"/>
        <tr r="E123" s="2"/>
        <tr r="F123" s="2"/>
        <tr r="G123" s="2"/>
        <tr r="D123" s="2"/>
      </tp>
      <tp t="s">
        <v>N/A</v>
        <stp/>
        <stp>VOLUME</stp>
        <stp>.NDXP19575</stp>
        <tr r="K177" s="2"/>
      </tp>
      <tp t="s">
        <v>N/A</v>
        <stp/>
        <stp>VOLUME</stp>
        <stp>.SPXWC5510</stp>
        <tr r="G122" s="2"/>
        <tr r="C122" s="2"/>
        <tr r="D122" s="2"/>
        <tr r="F122" s="2"/>
        <tr r="E122" s="2"/>
        <tr r="B122" s="2"/>
      </tp>
      <tp t="s">
        <v>N/A</v>
        <stp/>
        <stp>VOLUME</stp>
        <stp>.SPXWP5510</stp>
        <tr r="G122" s="2"/>
        <tr r="C122" s="2"/>
        <tr r="D122" s="2"/>
        <tr r="F122" s="2"/>
        <tr r="E122" s="2"/>
        <tr r="B122" s="2"/>
      </tp>
      <tp t="s">
        <v>N/A</v>
        <stp/>
        <stp>VOLUME</stp>
        <stp>.SPXWC5520</stp>
        <tr r="D121" s="2"/>
        <tr r="C121" s="2"/>
        <tr r="F121" s="2"/>
        <tr r="E121" s="2"/>
        <tr r="B121" s="2"/>
        <tr r="G121" s="2"/>
      </tp>
      <tp t="s">
        <v>N/A</v>
        <stp/>
        <stp>VOLUME</stp>
        <stp>.SPXWP5520</stp>
        <tr r="D121" s="2"/>
        <tr r="C121" s="2"/>
        <tr r="F121" s="2"/>
        <tr r="E121" s="2"/>
        <tr r="B121" s="2"/>
        <tr r="G121" s="2"/>
      </tp>
      <tp t="s">
        <v>N/A</v>
        <stp/>
        <stp>VOLUME</stp>
        <stp>.NDXP20550</stp>
        <tr r="K138" s="2"/>
      </tp>
      <tp t="s">
        <v>N/A</v>
        <stp/>
        <stp>VOLUME</stp>
        <stp>.NDXP19550</stp>
        <tr r="K178" s="2"/>
      </tp>
      <tp t="s">
        <v>N/A</v>
        <stp/>
        <stp>VOLUME</stp>
        <stp>.SPXWC5530</stp>
        <tr r="G120" s="2"/>
        <tr r="B120" s="2"/>
        <tr r="D120" s="2"/>
        <tr r="C120" s="2"/>
        <tr r="E120" s="2"/>
        <tr r="F120" s="2"/>
      </tp>
      <tp t="s">
        <v>N/A</v>
        <stp/>
        <stp>VOLUME</stp>
        <stp>.SPXWP5530</stp>
        <tr r="G120" s="2"/>
        <tr r="B120" s="2"/>
        <tr r="D120" s="2"/>
        <tr r="C120" s="2"/>
        <tr r="E120" s="2"/>
        <tr r="F120" s="2"/>
      </tp>
      <tp t="s">
        <v>N/A</v>
        <stp/>
        <stp>VOLUME</stp>
        <stp>.NDXC20400</stp>
        <tr r="K144" s="2"/>
      </tp>
      <tp t="s">
        <v>N/A</v>
        <stp/>
        <stp>VOLUME</stp>
        <stp>.NDXC19400</stp>
        <tr r="K184" s="2"/>
      </tp>
      <tp t="s">
        <v>N/A</v>
        <stp/>
        <stp>VOLUME</stp>
        <stp>.NDXC20425</stp>
        <tr r="K143" s="2"/>
      </tp>
      <tp t="s">
        <v>N/A</v>
        <stp/>
        <stp>VOLUME</stp>
        <stp>.NDXC19425</stp>
        <tr r="K183" s="2"/>
      </tp>
      <tp t="s">
        <v>N/A</v>
        <stp/>
        <stp>VOLUME</stp>
        <stp>.NDXC20450</stp>
        <tr r="K142" s="2"/>
      </tp>
      <tp t="s">
        <v>N/A</v>
        <stp/>
        <stp>VOLUME</stp>
        <stp>.NDXC19450</stp>
        <tr r="K182" s="2"/>
      </tp>
      <tp t="s">
        <v>N/A</v>
        <stp/>
        <stp>VOLUME</stp>
        <stp>.NDXC20475</stp>
        <tr r="K141" s="2"/>
      </tp>
      <tp t="s">
        <v>N/A</v>
        <stp/>
        <stp>VOLUME</stp>
        <stp>.NDXC19475</stp>
        <tr r="K181" s="2"/>
      </tp>
      <tp t="s">
        <v>N/A</v>
        <stp/>
        <stp>VOLUME</stp>
        <stp>.SPXWC5480</stp>
        <tr r="E125" s="2"/>
        <tr r="F125" s="2"/>
        <tr r="C125" s="2"/>
        <tr r="G125" s="2"/>
        <tr r="B125" s="2"/>
        <tr r="D125" s="2"/>
      </tp>
      <tp t="s">
        <v>N/A</v>
        <stp/>
        <stp>VOLUME</stp>
        <stp>.SPXWP5480</stp>
        <tr r="E125" s="2"/>
        <tr r="F125" s="2"/>
        <tr r="C125" s="2"/>
        <tr r="G125" s="2"/>
        <tr r="B125" s="2"/>
        <tr r="D125" s="2"/>
      </tp>
      <tp t="s">
        <v>N/A</v>
        <stp/>
        <stp>VOLUME</stp>
        <stp>.SPXWC5490</stp>
        <tr r="B124" s="2"/>
        <tr r="F124" s="2"/>
        <tr r="G124" s="2"/>
        <tr r="C124" s="2"/>
        <tr r="E124" s="2"/>
        <tr r="D124" s="2"/>
      </tp>
      <tp t="s">
        <v>N/A</v>
        <stp/>
        <stp>VOLUME</stp>
        <stp>.SPXWP5490</stp>
        <tr r="B124" s="2"/>
        <tr r="F124" s="2"/>
        <tr r="G124" s="2"/>
        <tr r="C124" s="2"/>
        <tr r="E124" s="2"/>
        <tr r="D124" s="2"/>
      </tp>
      <tp t="s">
        <v>N/A</v>
        <stp/>
        <stp>VOLUME</stp>
        <stp>.SPXWC5440</stp>
        <tr r="C129" s="2"/>
        <tr r="G129" s="2"/>
        <tr r="F129" s="2"/>
        <tr r="E129" s="2"/>
        <tr r="D129" s="2"/>
        <tr r="B129" s="2"/>
      </tp>
      <tp t="s">
        <v>N/A</v>
        <stp/>
        <stp>VOLUME</stp>
        <stp>.SPXWP5440</stp>
        <tr r="C129" s="2"/>
        <tr r="G129" s="2"/>
        <tr r="F129" s="2"/>
        <tr r="E129" s="2"/>
        <tr r="D129" s="2"/>
        <tr r="B129" s="2"/>
      </tp>
      <tp t="s">
        <v>N/A</v>
        <stp/>
        <stp>VOLUME</stp>
        <stp>.SPXWC5450</stp>
        <tr r="D128" s="2"/>
        <tr r="E128" s="2"/>
        <tr r="G128" s="2"/>
        <tr r="C128" s="2"/>
        <tr r="F128" s="2"/>
        <tr r="B128" s="2"/>
      </tp>
      <tp t="s">
        <v>N/A</v>
        <stp/>
        <stp>VOLUME</stp>
        <stp>.SPXWP5450</stp>
        <tr r="D128" s="2"/>
        <tr r="E128" s="2"/>
        <tr r="G128" s="2"/>
        <tr r="C128" s="2"/>
        <tr r="F128" s="2"/>
        <tr r="B128" s="2"/>
      </tp>
      <tp t="s">
        <v>N/A</v>
        <stp/>
        <stp>VOLUME</stp>
        <stp>.NDXP20425</stp>
        <tr r="K143" s="2"/>
      </tp>
      <tp t="s">
        <v>N/A</v>
        <stp/>
        <stp>VOLUME</stp>
        <stp>.NDXP19425</stp>
        <tr r="K183" s="2"/>
      </tp>
      <tp t="s">
        <v>N/A</v>
        <stp/>
        <stp>VOLUME</stp>
        <stp>.SPXWC5460</stp>
        <tr r="F127" s="2"/>
        <tr r="B127" s="2"/>
        <tr r="D127" s="2"/>
        <tr r="C127" s="2"/>
        <tr r="G127" s="2"/>
        <tr r="E127" s="2"/>
      </tp>
      <tp t="s">
        <v>N/A</v>
        <stp/>
        <stp>VOLUME</stp>
        <stp>.SPXWP5460</stp>
        <tr r="F127" s="2"/>
        <tr r="B127" s="2"/>
        <tr r="D127" s="2"/>
        <tr r="C127" s="2"/>
        <tr r="G127" s="2"/>
        <tr r="E127" s="2"/>
      </tp>
      <tp t="s">
        <v>N/A</v>
        <stp/>
        <stp>VOLUME</stp>
        <stp>.SPXWC5470</stp>
        <tr r="E126" s="2"/>
        <tr r="G126" s="2"/>
        <tr r="B126" s="2"/>
        <tr r="D126" s="2"/>
        <tr r="C126" s="2"/>
        <tr r="F126" s="2"/>
      </tp>
      <tp t="s">
        <v>N/A</v>
        <stp/>
        <stp>VOLUME</stp>
        <stp>.SPXWP5470</stp>
        <tr r="E126" s="2"/>
        <tr r="G126" s="2"/>
        <tr r="B126" s="2"/>
        <tr r="D126" s="2"/>
        <tr r="C126" s="2"/>
        <tr r="F126" s="2"/>
      </tp>
      <tp t="s">
        <v>N/A</v>
        <stp/>
        <stp>VOLUME</stp>
        <stp>.NDXP20400</stp>
        <tr r="K144" s="2"/>
      </tp>
      <tp t="s">
        <v>N/A</v>
        <stp/>
        <stp>VOLUME</stp>
        <stp>.NDXP19400</stp>
        <tr r="K184" s="2"/>
      </tp>
      <tp t="s">
        <v>N/A</v>
        <stp/>
        <stp>VOLUME</stp>
        <stp>.NDXP20475</stp>
        <tr r="K141" s="2"/>
      </tp>
      <tp t="s">
        <v>N/A</v>
        <stp/>
        <stp>VOLUME</stp>
        <stp>.NDXP19475</stp>
        <tr r="K181" s="2"/>
      </tp>
      <tp t="s">
        <v>N/A</v>
        <stp/>
        <stp>VOLUME</stp>
        <stp>.SPXWC5420</stp>
        <tr r="B131" s="2"/>
        <tr r="E131" s="2"/>
        <tr r="D131" s="2"/>
        <tr r="G131" s="2"/>
        <tr r="F131" s="2"/>
        <tr r="C131" s="2"/>
      </tp>
      <tp t="s">
        <v>N/A</v>
        <stp/>
        <stp>VOLUME</stp>
        <stp>.SPXWP5420</stp>
        <tr r="B131" s="2"/>
        <tr r="E131" s="2"/>
        <tr r="D131" s="2"/>
        <tr r="G131" s="2"/>
        <tr r="F131" s="2"/>
        <tr r="C131" s="2"/>
      </tp>
      <tp t="s">
        <v>N/A</v>
        <stp/>
        <stp>VOLUME</stp>
        <stp>.NDXP20450</stp>
        <tr r="K142" s="2"/>
      </tp>
      <tp t="s">
        <v>N/A</v>
        <stp/>
        <stp>VOLUME</stp>
        <stp>.NDXP19450</stp>
        <tr r="K182" s="2"/>
      </tp>
      <tp t="s">
        <v>N/A</v>
        <stp/>
        <stp>VOLUME</stp>
        <stp>.SPXWC5430</stp>
        <tr r="C130" s="2"/>
        <tr r="F130" s="2"/>
        <tr r="G130" s="2"/>
        <tr r="B130" s="2"/>
        <tr r="D130" s="2"/>
        <tr r="E130" s="2"/>
      </tp>
      <tp t="s">
        <v>N/A</v>
        <stp/>
        <stp>VOLUME</stp>
        <stp>.SPXWP5430</stp>
        <tr r="C130" s="2"/>
        <tr r="F130" s="2"/>
        <tr r="G130" s="2"/>
        <tr r="B130" s="2"/>
        <tr r="D130" s="2"/>
        <tr r="E130" s="2"/>
      </tp>
      <tp t="s">
        <v>N/A</v>
        <stp/>
        <stp>VOLUME</stp>
        <stp>.NDXC20300</stp>
        <tr r="K148" s="2"/>
      </tp>
      <tp t="s">
        <v>N/A</v>
        <stp/>
        <stp>VOLUME</stp>
        <stp>.NDXC19300</stp>
        <tr r="K188" s="2"/>
      </tp>
      <tp t="s">
        <v>N/A</v>
        <stp/>
        <stp>VOLUME</stp>
        <stp>.NDXC20325</stp>
        <tr r="K147" s="2"/>
      </tp>
      <tp t="s">
        <v>N/A</v>
        <stp/>
        <stp>VOLUME</stp>
        <stp>.NDXC19325</stp>
        <tr r="K187" s="2"/>
      </tp>
      <tp t="s">
        <v>N/A</v>
        <stp/>
        <stp>VOLUME</stp>
        <stp>.NDXC20350</stp>
        <tr r="K146" s="2"/>
      </tp>
      <tp t="s">
        <v>N/A</v>
        <stp/>
        <stp>VOLUME</stp>
        <stp>.NDXC19350</stp>
        <tr r="K186" s="2"/>
      </tp>
      <tp t="s">
        <v>N/A</v>
        <stp/>
        <stp>VOLUME</stp>
        <stp>.NDXC20375</stp>
        <tr r="K145" s="2"/>
      </tp>
      <tp t="s">
        <v>N/A</v>
        <stp/>
        <stp>VOLUME</stp>
        <stp>.NDXC19375</stp>
        <tr r="K185" s="2"/>
      </tp>
      <tp t="s">
        <v>N/A</v>
        <stp/>
        <stp>VOLUME</stp>
        <stp>.NDXP20325</stp>
        <tr r="K147" s="2"/>
      </tp>
      <tp t="s">
        <v>N/A</v>
        <stp/>
        <stp>VOLUME</stp>
        <stp>.NDXP19325</stp>
        <tr r="K187" s="2"/>
      </tp>
      <tp t="s">
        <v>N/A</v>
        <stp/>
        <stp>VOLUME</stp>
        <stp>.NDXP20300</stp>
        <tr r="K148" s="2"/>
      </tp>
      <tp t="s">
        <v>N/A</v>
        <stp/>
        <stp>VOLUME</stp>
        <stp>.NDXP19300</stp>
        <tr r="K188" s="2"/>
      </tp>
      <tp t="s">
        <v>N/A</v>
        <stp/>
        <stp>VOLUME</stp>
        <stp>.NDXP20375</stp>
        <tr r="K145" s="2"/>
      </tp>
      <tp t="s">
        <v>N/A</v>
        <stp/>
        <stp>VOLUME</stp>
        <stp>.NDXP19375</stp>
        <tr r="K185" s="2"/>
      </tp>
      <tp t="s">
        <v>N/A</v>
        <stp/>
        <stp>VOLUME</stp>
        <stp>.NDXP20350</stp>
        <tr r="K146" s="2"/>
      </tp>
      <tp t="s">
        <v>N/A</v>
        <stp/>
        <stp>VOLUME</stp>
        <stp>.NDXP19350</stp>
        <tr r="K186" s="2"/>
      </tp>
      <tp t="s">
        <v>N/A</v>
        <stp/>
        <stp>VOLUME</stp>
        <stp>.NDXC20200</stp>
        <tr r="K152" s="2"/>
      </tp>
      <tp t="s">
        <v>N/A</v>
        <stp/>
        <stp>VOLUME</stp>
        <stp>.NDXC20225</stp>
        <tr r="K151" s="2"/>
      </tp>
      <tp t="s">
        <v>N/A</v>
        <stp/>
        <stp>VOLUME</stp>
        <stp>.NDXC20250</stp>
        <tr r="K150" s="2"/>
      </tp>
      <tp t="s">
        <v>N/A</v>
        <stp/>
        <stp>VOLUME</stp>
        <stp>.NDXC19250</stp>
        <tr r="K190" s="2"/>
      </tp>
      <tp t="s">
        <v>N/A</v>
        <stp/>
        <stp>VOLUME</stp>
        <stp>.NDXC20275</stp>
        <tr r="K149" s="2"/>
      </tp>
      <tp t="s">
        <v>N/A</v>
        <stp/>
        <stp>VOLUME</stp>
        <stp>.NDXC19275</stp>
        <tr r="K189" s="2"/>
      </tp>
      <tp t="s">
        <v>N/A</v>
        <stp/>
        <stp>VOLUME</stp>
        <stp>.NDXP20225</stp>
        <tr r="K151" s="2"/>
      </tp>
      <tp t="s">
        <v>N/A</v>
        <stp/>
        <stp>VOLUME</stp>
        <stp>.NDXP20200</stp>
        <tr r="K152" s="2"/>
      </tp>
      <tp t="s">
        <v>N/A</v>
        <stp/>
        <stp>VOLUME</stp>
        <stp>.NDXP20275</stp>
        <tr r="K149" s="2"/>
      </tp>
      <tp t="s">
        <v>N/A</v>
        <stp/>
        <stp>VOLUME</stp>
        <stp>.NDXP19275</stp>
        <tr r="K189" s="2"/>
      </tp>
      <tp t="s">
        <v>N/A</v>
        <stp/>
        <stp>VOLUME</stp>
        <stp>.NDXP20250</stp>
        <tr r="K150" s="2"/>
      </tp>
      <tp t="s">
        <v>N/A</v>
        <stp/>
        <stp>VOLUME</stp>
        <stp>.NDXP19250</stp>
        <tr r="K190" s="2"/>
      </tp>
      <tp>
        <v>571.44000000000005</v>
        <stp/>
        <stp>MARK</stp>
        <stp>SPY</stp>
        <tr r="G84" s="1"/>
        <tr r="A3" s="1"/>
      </tp>
      <tp>
        <v>5659.91</v>
        <stp/>
        <stp>MARK</stp>
        <stp>SPX</stp>
        <tr r="E82" s="1"/>
      </tp>
      <tp>
        <v>-0.62</v>
        <stp/>
        <stp>DELTA</stp>
        <stp>.SPY250516P582</stp>
        <tr r="CG4" s="1"/>
        <tr r="CG4" s="1"/>
      </tp>
      <tp>
        <v>0.16</v>
        <stp/>
        <stp>DELTA</stp>
        <stp>.SPY250516C582</stp>
        <tr r="CF4" s="1"/>
        <tr r="CF4" s="1"/>
      </tp>
      <tp>
        <v>-0.61</v>
        <stp/>
        <stp>DELTA</stp>
        <stp>.SPY250516P581</stp>
        <tr r="CG5" s="1"/>
        <tr r="CG5" s="1"/>
      </tp>
      <tp>
        <v>0.18</v>
        <stp/>
        <stp>DELTA</stp>
        <stp>.SPY250516C581</stp>
        <tr r="CF5" s="1"/>
        <tr r="CF5" s="1"/>
      </tp>
      <tp>
        <v>-0.6</v>
        <stp/>
        <stp>DELTA</stp>
        <stp>.SPY250516P580</stp>
        <tr r="CG6" s="1"/>
        <tr r="CG6" s="1"/>
      </tp>
      <tp>
        <v>0.2</v>
        <stp/>
        <stp>DELTA</stp>
        <stp>.SPY250516C580</stp>
        <tr r="CF6" s="1"/>
        <tr r="CF6" s="1"/>
      </tp>
      <tp>
        <v>-0.61</v>
        <stp/>
        <stp>DELTA</stp>
        <stp>.SPY250509P580</stp>
        <tr r="CE6" s="1"/>
        <tr r="CE6" s="1"/>
      </tp>
      <tp>
        <v>0</v>
        <stp/>
        <stp>DELTA</stp>
        <stp>.SPY250509C580</stp>
        <tr r="CD6" s="1"/>
        <tr r="CD6" s="1"/>
      </tp>
      <tp>
        <v>-0.62</v>
        <stp/>
        <stp>DELTA</stp>
        <stp>.SPY250509P581</stp>
        <tr r="CE5" s="1"/>
        <tr r="CE5" s="1"/>
      </tp>
      <tp>
        <v>0</v>
        <stp/>
        <stp>DELTA</stp>
        <stp>.SPY250509C581</stp>
        <tr r="CD5" s="1"/>
        <tr r="CD5" s="1"/>
      </tp>
      <tp>
        <v>-0.63</v>
        <stp/>
        <stp>DELTA</stp>
        <stp>.SPY250509P582</stp>
        <tr r="CE4" s="1"/>
        <tr r="CE4" s="1"/>
      </tp>
      <tp>
        <v>0</v>
        <stp/>
        <stp>DELTA</stp>
        <stp>.SPY250509C582</stp>
        <tr r="CD4" s="1"/>
        <tr r="CD4" s="1"/>
      </tp>
      <tp>
        <v>0</v>
        <stp/>
        <stp>DELTA</stp>
        <stp>.SPY250509P558</stp>
        <tr r="CE28" s="1"/>
        <tr r="CE28" s="1"/>
      </tp>
      <tp>
        <v>1</v>
        <stp/>
        <stp>DELTA</stp>
        <stp>.SPY250509C558</stp>
        <tr r="CD28" s="1"/>
        <tr r="CD28" s="1"/>
      </tp>
      <tp>
        <v>0</v>
        <stp/>
        <stp>DELTA</stp>
        <stp>.SPY250509P559</stp>
        <tr r="CE27" s="1"/>
        <tr r="CE27" s="1"/>
      </tp>
      <tp>
        <v>1</v>
        <stp/>
        <stp>DELTA</stp>
        <stp>.SPY250509C559</stp>
        <tr r="CD27" s="1"/>
        <tr r="CD27" s="1"/>
      </tp>
      <tp>
        <v>0</v>
        <stp/>
        <stp>DELTA</stp>
        <stp>.SPY250509P550</stp>
        <tr r="CE36" s="1"/>
        <tr r="CE36" s="1"/>
      </tp>
      <tp>
        <v>1</v>
        <stp/>
        <stp>DELTA</stp>
        <stp>.SPY250509C550</stp>
        <tr r="CD36" s="1"/>
        <tr r="CD36" s="1"/>
      </tp>
      <tp>
        <v>0</v>
        <stp/>
        <stp>DELTA</stp>
        <stp>.SPY250509P551</stp>
        <tr r="CE35" s="1"/>
        <tr r="CE35" s="1"/>
      </tp>
      <tp>
        <v>1</v>
        <stp/>
        <stp>DELTA</stp>
        <stp>.SPY250509C551</stp>
        <tr r="CD35" s="1"/>
        <tr r="CD35" s="1"/>
      </tp>
      <tp>
        <v>0</v>
        <stp/>
        <stp>DELTA</stp>
        <stp>.SPY250509P552</stp>
        <tr r="CE34" s="1"/>
        <tr r="CE34" s="1"/>
      </tp>
      <tp>
        <v>1</v>
        <stp/>
        <stp>DELTA</stp>
        <stp>.SPY250509C552</stp>
        <tr r="CD34" s="1"/>
        <tr r="CD34" s="1"/>
      </tp>
      <tp>
        <v>0</v>
        <stp/>
        <stp>DELTA</stp>
        <stp>.SPY250509P553</stp>
        <tr r="CE33" s="1"/>
        <tr r="CE33" s="1"/>
      </tp>
      <tp>
        <v>1</v>
        <stp/>
        <stp>DELTA</stp>
        <stp>.SPY250509C553</stp>
        <tr r="CD33" s="1"/>
        <tr r="CD33" s="1"/>
      </tp>
      <tp>
        <v>0</v>
        <stp/>
        <stp>DELTA</stp>
        <stp>.SPY250509P554</stp>
        <tr r="CE32" s="1"/>
        <tr r="CE32" s="1"/>
      </tp>
      <tp>
        <v>1</v>
        <stp/>
        <stp>DELTA</stp>
        <stp>.SPY250509C554</stp>
        <tr r="CD32" s="1"/>
        <tr r="CD32" s="1"/>
      </tp>
      <tp>
        <v>0</v>
        <stp/>
        <stp>DELTA</stp>
        <stp>.SPY250509P555</stp>
        <tr r="CE31" s="1"/>
        <tr r="CE31" s="1"/>
      </tp>
      <tp>
        <v>1</v>
        <stp/>
        <stp>DELTA</stp>
        <stp>.SPY250509C555</stp>
        <tr r="CD31" s="1"/>
        <tr r="CD31" s="1"/>
      </tp>
      <tp>
        <v>0</v>
        <stp/>
        <stp>DELTA</stp>
        <stp>.SPY250509P556</stp>
        <tr r="CE30" s="1"/>
        <tr r="CE30" s="1"/>
      </tp>
      <tp>
        <v>-0.15</v>
        <stp/>
        <stp>DELTA</stp>
        <stp>.SPY250516P549</stp>
        <tr r="CG37" s="1"/>
        <tr r="CG37" s="1"/>
      </tp>
      <tp>
        <v>1</v>
        <stp/>
        <stp>DELTA</stp>
        <stp>.SPY250509C556</stp>
        <tr r="CD30" s="1"/>
        <tr r="CD30" s="1"/>
      </tp>
      <tp>
        <v>1</v>
        <stp/>
        <stp>DELTA</stp>
        <stp>.SPY250516C549</stp>
        <tr r="CF37" s="1"/>
        <tr r="CF37" s="1"/>
      </tp>
      <tp>
        <v>0</v>
        <stp/>
        <stp>DELTA</stp>
        <stp>.SPY250509P557</stp>
        <tr r="CE29" s="1"/>
        <tr r="CE29" s="1"/>
      </tp>
      <tp>
        <v>-0.14000000000000001</v>
        <stp/>
        <stp>DELTA</stp>
        <stp>.SPY250516P548</stp>
        <tr r="CG38" s="1"/>
        <tr r="CG38" s="1"/>
      </tp>
      <tp>
        <v>1</v>
        <stp/>
        <stp>DELTA</stp>
        <stp>.SPY250509C557</stp>
        <tr r="CD29" s="1"/>
        <tr r="CD29" s="1"/>
      </tp>
      <tp>
        <v>1</v>
        <stp/>
        <stp>DELTA</stp>
        <stp>.SPY250516C548</stp>
        <tr r="CF38" s="1"/>
        <tr r="CF38" s="1"/>
      </tp>
      <tp>
        <v>0</v>
        <stp/>
        <stp>DELTA</stp>
        <stp>.SPY250509P548</stp>
        <tr r="CE38" s="1"/>
        <tr r="CE38" s="1"/>
      </tp>
      <tp>
        <v>-0.25</v>
        <stp/>
        <stp>DELTA</stp>
        <stp>.SPY250516P557</stp>
        <tr r="CG29" s="1"/>
        <tr r="CG29" s="1"/>
      </tp>
      <tp>
        <v>1</v>
        <stp/>
        <stp>DELTA</stp>
        <stp>.SPY250509C548</stp>
        <tr r="CD38" s="1"/>
        <tr r="CD38" s="1"/>
      </tp>
      <tp>
        <v>1</v>
        <stp/>
        <stp>DELTA</stp>
        <stp>.SPY250516C557</stp>
        <tr r="CF29" s="1"/>
        <tr r="CF29" s="1"/>
      </tp>
      <tp>
        <v>0</v>
        <stp/>
        <stp>DELTA</stp>
        <stp>.SPY250509P549</stp>
        <tr r="CE37" s="1"/>
        <tr r="CE37" s="1"/>
      </tp>
      <tp>
        <v>-0.24</v>
        <stp/>
        <stp>DELTA</stp>
        <stp>.SPY250516P556</stp>
        <tr r="CG30" s="1"/>
        <tr r="CG30" s="1"/>
      </tp>
      <tp>
        <v>1</v>
        <stp/>
        <stp>DELTA</stp>
        <stp>.SPY250509C549</stp>
        <tr r="CD37" s="1"/>
        <tr r="CD37" s="1"/>
      </tp>
      <tp>
        <v>1</v>
        <stp/>
        <stp>DELTA</stp>
        <stp>.SPY250516C556</stp>
        <tr r="CF30" s="1"/>
        <tr r="CF30" s="1"/>
      </tp>
      <tp>
        <v>-0.22</v>
        <stp/>
        <stp>DELTA</stp>
        <stp>.SPY250516P555</stp>
        <tr r="CG31" s="1"/>
        <tr r="CG31" s="1"/>
      </tp>
      <tp>
        <v>1</v>
        <stp/>
        <stp>DELTA</stp>
        <stp>.SPY250516C555</stp>
        <tr r="CF31" s="1"/>
        <tr r="CF31" s="1"/>
      </tp>
      <tp>
        <v>-0.21</v>
        <stp/>
        <stp>DELTA</stp>
        <stp>.SPY250516P554</stp>
        <tr r="CG32" s="1"/>
        <tr r="CG32" s="1"/>
      </tp>
      <tp>
        <v>1</v>
        <stp/>
        <stp>DELTA</stp>
        <stp>.SPY250516C554</stp>
        <tr r="CF32" s="1"/>
        <tr r="CF32" s="1"/>
      </tp>
      <tp>
        <v>-0.19</v>
        <stp/>
        <stp>DELTA</stp>
        <stp>.SPY250516P553</stp>
        <tr r="CG33" s="1"/>
        <tr r="CG33" s="1"/>
      </tp>
      <tp>
        <v>1</v>
        <stp/>
        <stp>DELTA</stp>
        <stp>.SPY250516C553</stp>
        <tr r="CF33" s="1"/>
        <tr r="CF33" s="1"/>
      </tp>
      <tp>
        <v>-0.18</v>
        <stp/>
        <stp>DELTA</stp>
        <stp>.SPY250516P552</stp>
        <tr r="CG34" s="1"/>
        <tr r="CG34" s="1"/>
      </tp>
      <tp>
        <v>1</v>
        <stp/>
        <stp>DELTA</stp>
        <stp>.SPY250516C552</stp>
        <tr r="CF34" s="1"/>
        <tr r="CF34" s="1"/>
      </tp>
      <tp>
        <v>-0.17</v>
        <stp/>
        <stp>DELTA</stp>
        <stp>.SPY250516P551</stp>
        <tr r="CG35" s="1"/>
        <tr r="CG35" s="1"/>
      </tp>
      <tp>
        <v>1</v>
        <stp/>
        <stp>DELTA</stp>
        <stp>.SPY250516C551</stp>
        <tr r="CF35" s="1"/>
        <tr r="CF35" s="1"/>
      </tp>
      <tp>
        <v>-0.16</v>
        <stp/>
        <stp>DELTA</stp>
        <stp>.SPY250516P550</stp>
        <tr r="CG36" s="1"/>
        <tr r="CG36" s="1"/>
      </tp>
      <tp>
        <v>1</v>
        <stp/>
        <stp>DELTA</stp>
        <stp>.SPY250516C550</stp>
        <tr r="CF36" s="1"/>
        <tr r="CF36" s="1"/>
      </tp>
      <tp>
        <v>-0.28000000000000003</v>
        <stp/>
        <stp>DELTA</stp>
        <stp>.SPY250516P559</stp>
        <tr r="CG27" s="1"/>
        <tr r="CG27" s="1"/>
      </tp>
      <tp>
        <v>1</v>
        <stp/>
        <stp>DELTA</stp>
        <stp>.SPY250516C559</stp>
        <tr r="CF27" s="1"/>
        <tr r="CF27" s="1"/>
      </tp>
      <tp>
        <v>-0.27</v>
        <stp/>
        <stp>DELTA</stp>
        <stp>.SPY250516P558</stp>
        <tr r="CG28" s="1"/>
        <tr r="CG28" s="1"/>
      </tp>
      <tp>
        <v>1</v>
        <stp/>
        <stp>DELTA</stp>
        <stp>.SPY250516C558</stp>
        <tr r="CF28" s="1"/>
        <tr r="CF28" s="1"/>
      </tp>
      <tp>
        <v>-0.59</v>
        <stp/>
        <stp>DELTA</stp>
        <stp>.SPY250509P578</stp>
        <tr r="CE8" s="1"/>
        <tr r="CE8" s="1"/>
      </tp>
      <tp>
        <v>-0.42</v>
        <stp/>
        <stp>DELTA</stp>
        <stp>.SPY250516P567</stp>
        <tr r="CG19" s="1"/>
        <tr r="CG19" s="1"/>
      </tp>
      <tp>
        <v>0.01</v>
        <stp/>
        <stp>DELTA</stp>
        <stp>.SPY250509C578</stp>
        <tr r="CD8" s="1"/>
        <tr r="CD8" s="1"/>
      </tp>
      <tp>
        <v>0.81</v>
        <stp/>
        <stp>DELTA</stp>
        <stp>.SPY250516C567</stp>
        <tr r="CF19" s="1"/>
        <tr r="CF19" s="1"/>
      </tp>
      <tp>
        <v>-0.6</v>
        <stp/>
        <stp>DELTA</stp>
        <stp>.SPY250509P579</stp>
        <tr r="CE7" s="1"/>
        <tr r="CE7" s="1"/>
      </tp>
      <tp>
        <v>-0.4</v>
        <stp/>
        <stp>DELTA</stp>
        <stp>.SPY250516P566</stp>
        <tr r="CG20" s="1"/>
        <tr r="CG20" s="1"/>
      </tp>
      <tp>
        <v>0.01</v>
        <stp/>
        <stp>DELTA</stp>
        <stp>.SPY250509C579</stp>
        <tr r="CD7" s="1"/>
        <tr r="CD7" s="1"/>
      </tp>
      <tp>
        <v>0.95</v>
        <stp/>
        <stp>DELTA</stp>
        <stp>.SPY250516C566</stp>
        <tr r="CF20" s="1"/>
        <tr r="CF20" s="1"/>
      </tp>
      <tp>
        <v>-0.38</v>
        <stp/>
        <stp>DELTA</stp>
        <stp>.SPY250516P565</stp>
        <tr r="CG21" s="1"/>
        <tr r="CG21" s="1"/>
      </tp>
      <tp>
        <v>1</v>
        <stp/>
        <stp>DELTA</stp>
        <stp>.SPY250516C565</stp>
        <tr r="CF21" s="1"/>
        <tr r="CF21" s="1"/>
      </tp>
      <tp>
        <v>-0.36</v>
        <stp/>
        <stp>DELTA</stp>
        <stp>.SPY250516P564</stp>
        <tr r="CG22" s="1"/>
        <tr r="CG22" s="1"/>
      </tp>
      <tp>
        <v>1</v>
        <stp/>
        <stp>DELTA</stp>
        <stp>.SPY250516C564</stp>
        <tr r="CF22" s="1"/>
        <tr r="CF22" s="1"/>
      </tp>
      <tp>
        <v>-0.35</v>
        <stp/>
        <stp>DELTA</stp>
        <stp>.SPY250516P563</stp>
        <tr r="CG23" s="1"/>
        <tr r="CG23" s="1"/>
      </tp>
      <tp>
        <v>1</v>
        <stp/>
        <stp>DELTA</stp>
        <stp>.SPY250516C563</stp>
        <tr r="CF23" s="1"/>
        <tr r="CF23" s="1"/>
      </tp>
      <tp>
        <v>-0.33</v>
        <stp/>
        <stp>DELTA</stp>
        <stp>.SPY250516P562</stp>
        <tr r="CG24" s="1"/>
        <tr r="CG24" s="1"/>
      </tp>
      <tp>
        <v>1</v>
        <stp/>
        <stp>DELTA</stp>
        <stp>.SPY250516C562</stp>
        <tr r="CF24" s="1"/>
        <tr r="CF24" s="1"/>
      </tp>
      <tp>
        <v>-0.31</v>
        <stp/>
        <stp>DELTA</stp>
        <stp>.SPY250516P561</stp>
        <tr r="CG25" s="1"/>
        <tr r="CG25" s="1"/>
      </tp>
      <tp>
        <v>1</v>
        <stp/>
        <stp>DELTA</stp>
        <stp>.SPY250516C561</stp>
        <tr r="CF25" s="1"/>
        <tr r="CF25" s="1"/>
      </tp>
      <tp>
        <v>-0.3</v>
        <stp/>
        <stp>DELTA</stp>
        <stp>.SPY250516P560</stp>
        <tr r="CG26" s="1"/>
        <tr r="CG26" s="1"/>
      </tp>
      <tp>
        <v>1</v>
        <stp/>
        <stp>DELTA</stp>
        <stp>.SPY250516C560</stp>
        <tr r="CF26" s="1"/>
        <tr r="CF26" s="1"/>
      </tp>
      <tp>
        <v>-0.46</v>
        <stp/>
        <stp>DELTA</stp>
        <stp>.SPY250509P570</stp>
        <tr r="CE16" s="1"/>
        <tr r="CE16" s="1"/>
      </tp>
      <tp>
        <v>1</v>
        <stp/>
        <stp>DELTA</stp>
        <stp>.SPY250509C570</stp>
        <tr r="CD16" s="1"/>
        <tr r="CD16" s="1"/>
      </tp>
      <tp>
        <v>-0.48</v>
        <stp/>
        <stp>DELTA</stp>
        <stp>.SPY250509P571</stp>
        <tr r="CE15" s="1"/>
        <tr r="CE15" s="1"/>
      </tp>
      <tp>
        <v>1</v>
        <stp/>
        <stp>DELTA</stp>
        <stp>.SPY250509C571</stp>
        <tr r="CD15" s="1"/>
        <tr r="CD15" s="1"/>
      </tp>
      <tp>
        <v>-0.51</v>
        <stp/>
        <stp>DELTA</stp>
        <stp>.SPY250509P572</stp>
        <tr r="CE14" s="1"/>
        <tr r="CE14" s="1"/>
      </tp>
      <tp>
        <v>0.04</v>
        <stp/>
        <stp>DELTA</stp>
        <stp>.SPY250509C572</stp>
        <tr r="CD14" s="1"/>
        <tr r="CD14" s="1"/>
      </tp>
      <tp>
        <v>-0.52</v>
        <stp/>
        <stp>DELTA</stp>
        <stp>.SPY250509P573</stp>
        <tr r="CE13" s="1"/>
        <tr r="CE13" s="1"/>
      </tp>
      <tp>
        <v>0.02</v>
        <stp/>
        <stp>DELTA</stp>
        <stp>.SPY250509C573</stp>
        <tr r="CD13" s="1"/>
        <tr r="CD13" s="1"/>
      </tp>
      <tp>
        <v>-0.54</v>
        <stp/>
        <stp>DELTA</stp>
        <stp>.SPY250509P574</stp>
        <tr r="CE12" s="1"/>
        <tr r="CE12" s="1"/>
      </tp>
      <tp>
        <v>0.01</v>
        <stp/>
        <stp>DELTA</stp>
        <stp>.SPY250509C574</stp>
        <tr r="CD12" s="1"/>
        <tr r="CD12" s="1"/>
      </tp>
      <tp>
        <v>-0.56000000000000005</v>
        <stp/>
        <stp>DELTA</stp>
        <stp>.SPY250509P575</stp>
        <tr r="CE11" s="1"/>
        <tr r="CE11" s="1"/>
      </tp>
      <tp>
        <v>0.01</v>
        <stp/>
        <stp>DELTA</stp>
        <stp>.SPY250509C575</stp>
        <tr r="CD11" s="1"/>
        <tr r="CD11" s="1"/>
      </tp>
      <tp>
        <v>-0.56999999999999995</v>
        <stp/>
        <stp>DELTA</stp>
        <stp>.SPY250509P576</stp>
        <tr r="CE10" s="1"/>
        <tr r="CE10" s="1"/>
      </tp>
      <tp>
        <v>-0.45</v>
        <stp/>
        <stp>DELTA</stp>
        <stp>.SPY250516P569</stp>
        <tr r="CG17" s="1"/>
        <tr r="CG17" s="1"/>
      </tp>
      <tp>
        <v>0.01</v>
        <stp/>
        <stp>DELTA</stp>
        <stp>.SPY250509C576</stp>
        <tr r="CD10" s="1"/>
        <tr r="CD10" s="1"/>
      </tp>
      <tp>
        <v>0.65</v>
        <stp/>
        <stp>DELTA</stp>
        <stp>.SPY250516C569</stp>
        <tr r="CF17" s="1"/>
        <tr r="CF17" s="1"/>
      </tp>
      <tp>
        <v>-0.57999999999999996</v>
        <stp/>
        <stp>DELTA</stp>
        <stp>.SPY250509P577</stp>
        <tr r="CE9" s="1"/>
        <tr r="CE9" s="1"/>
      </tp>
      <tp>
        <v>-0.43</v>
        <stp/>
        <stp>DELTA</stp>
        <stp>.SPY250516P568</stp>
        <tr r="CG18" s="1"/>
        <tr r="CG18" s="1"/>
      </tp>
      <tp>
        <v>0.01</v>
        <stp/>
        <stp>DELTA</stp>
        <stp>.SPY250509C577</stp>
        <tr r="CD9" s="1"/>
        <tr r="CD9" s="1"/>
      </tp>
      <tp>
        <v>0.72</v>
        <stp/>
        <stp>DELTA</stp>
        <stp>.SPY250516C568</stp>
        <tr r="CF18" s="1"/>
        <tr r="CF18" s="1"/>
      </tp>
      <tp>
        <v>-0.39</v>
        <stp/>
        <stp>DELTA</stp>
        <stp>.SPY250509P568</stp>
        <tr r="CE18" s="1"/>
        <tr r="CE18" s="1"/>
      </tp>
      <tp>
        <v>-0.56999999999999995</v>
        <stp/>
        <stp>DELTA</stp>
        <stp>.SPY250516P577</stp>
        <tr r="CG9" s="1"/>
        <tr r="CG9" s="1"/>
      </tp>
      <tp>
        <v>1</v>
        <stp/>
        <stp>DELTA</stp>
        <stp>.SPY250509C568</stp>
        <tr r="CD18" s="1"/>
        <tr r="CD18" s="1"/>
      </tp>
      <tp>
        <v>0.28999999999999998</v>
        <stp/>
        <stp>DELTA</stp>
        <stp>.SPY250516C577</stp>
        <tr r="CF9" s="1"/>
        <tr r="CF9" s="1"/>
      </tp>
      <tp>
        <v>-0.43</v>
        <stp/>
        <stp>DELTA</stp>
        <stp>.SPY250509P569</stp>
        <tr r="CE17" s="1"/>
        <tr r="CE17" s="1"/>
      </tp>
      <tp>
        <v>-0.55000000000000004</v>
        <stp/>
        <stp>DELTA</stp>
        <stp>.SPY250516P576</stp>
        <tr r="CG10" s="1"/>
        <tr r="CG10" s="1"/>
      </tp>
      <tp>
        <v>1</v>
        <stp/>
        <stp>DELTA</stp>
        <stp>.SPY250509C569</stp>
        <tr r="CD17" s="1"/>
        <tr r="CD17" s="1"/>
      </tp>
      <tp>
        <v>0.33</v>
        <stp/>
        <stp>DELTA</stp>
        <stp>.SPY250516C576</stp>
        <tr r="CF10" s="1"/>
        <tr r="CF10" s="1"/>
      </tp>
      <tp>
        <v>-0.54</v>
        <stp/>
        <stp>DELTA</stp>
        <stp>.SPY250516P575</stp>
        <tr r="CG11" s="1"/>
        <tr r="CG11" s="1"/>
      </tp>
      <tp>
        <v>0.36</v>
        <stp/>
        <stp>DELTA</stp>
        <stp>.SPY250516C575</stp>
        <tr r="CF11" s="1"/>
        <tr r="CF11" s="1"/>
      </tp>
      <tp>
        <v>-0.53</v>
        <stp/>
        <stp>DELTA</stp>
        <stp>.SPY250516P574</stp>
        <tr r="CG12" s="1"/>
        <tr r="CG12" s="1"/>
      </tp>
      <tp>
        <v>0.4</v>
        <stp/>
        <stp>DELTA</stp>
        <stp>.SPY250516C574</stp>
        <tr r="CF12" s="1"/>
        <tr r="CF12" s="1"/>
      </tp>
      <tp>
        <v>-0.51</v>
        <stp/>
        <stp>DELTA</stp>
        <stp>.SPY250516P573</stp>
        <tr r="CG13" s="1"/>
        <tr r="CG13" s="1"/>
      </tp>
      <tp>
        <v>0.44</v>
        <stp/>
        <stp>DELTA</stp>
        <stp>.SPY250516C573</stp>
        <tr r="CF13" s="1"/>
        <tr r="CF13" s="1"/>
      </tp>
      <tp>
        <v>-0.5</v>
        <stp/>
        <stp>DELTA</stp>
        <stp>.SPY250516P572</stp>
        <tr r="CG14" s="1"/>
        <tr r="CG14" s="1"/>
      </tp>
      <tp>
        <v>0.49</v>
        <stp/>
        <stp>DELTA</stp>
        <stp>.SPY250516C572</stp>
        <tr r="CF14" s="1"/>
        <tr r="CF14" s="1"/>
      </tp>
      <tp>
        <v>-0.48</v>
        <stp/>
        <stp>DELTA</stp>
        <stp>.SPY250516P571</stp>
        <tr r="CG15" s="1"/>
        <tr r="CG15" s="1"/>
      </tp>
      <tp>
        <v>0.54</v>
        <stp/>
        <stp>DELTA</stp>
        <stp>.SPY250516C571</stp>
        <tr r="CF15" s="1"/>
        <tr r="CF15" s="1"/>
      </tp>
      <tp>
        <v>-0.46</v>
        <stp/>
        <stp>DELTA</stp>
        <stp>.SPY250516P570</stp>
        <tr r="CG16" s="1"/>
        <tr r="CG16" s="1"/>
      </tp>
      <tp>
        <v>0.59</v>
        <stp/>
        <stp>DELTA</stp>
        <stp>.SPY250516C570</stp>
        <tr r="CF16" s="1"/>
        <tr r="CF16" s="1"/>
      </tp>
      <tp>
        <v>0</v>
        <stp/>
        <stp>DELTA</stp>
        <stp>.SPY250509P560</stp>
        <tr r="CE26" s="1"/>
        <tr r="CE26" s="1"/>
      </tp>
      <tp>
        <v>1</v>
        <stp/>
        <stp>DELTA</stp>
        <stp>.SPY250509C560</stp>
        <tr r="CD26" s="1"/>
        <tr r="CD26" s="1"/>
      </tp>
      <tp>
        <v>0</v>
        <stp/>
        <stp>DELTA</stp>
        <stp>.SPY250509P561</stp>
        <tr r="CE25" s="1"/>
        <tr r="CE25" s="1"/>
      </tp>
      <tp>
        <v>1</v>
        <stp/>
        <stp>DELTA</stp>
        <stp>.SPY250509C561</stp>
        <tr r="CD25" s="1"/>
        <tr r="CD25" s="1"/>
      </tp>
      <tp>
        <v>0</v>
        <stp/>
        <stp>DELTA</stp>
        <stp>.SPY250509P562</stp>
        <tr r="CE24" s="1"/>
        <tr r="CE24" s="1"/>
      </tp>
      <tp>
        <v>1</v>
        <stp/>
        <stp>DELTA</stp>
        <stp>.SPY250509C562</stp>
        <tr r="CD24" s="1"/>
        <tr r="CD24" s="1"/>
      </tp>
      <tp>
        <v>0</v>
        <stp/>
        <stp>DELTA</stp>
        <stp>.SPY250509P563</stp>
        <tr r="CE23" s="1"/>
        <tr r="CE23" s="1"/>
      </tp>
      <tp>
        <v>1</v>
        <stp/>
        <stp>DELTA</stp>
        <stp>.SPY250509C563</stp>
        <tr r="CD23" s="1"/>
        <tr r="CD23" s="1"/>
      </tp>
      <tp>
        <v>-0.01</v>
        <stp/>
        <stp>DELTA</stp>
        <stp>.SPY250509P564</stp>
        <tr r="CE22" s="1"/>
        <tr r="CE22" s="1"/>
      </tp>
      <tp>
        <v>1</v>
        <stp/>
        <stp>DELTA</stp>
        <stp>.SPY250509C564</stp>
        <tr r="CD22" s="1"/>
        <tr r="CD22" s="1"/>
      </tp>
      <tp>
        <v>-0.17</v>
        <stp/>
        <stp>DELTA</stp>
        <stp>.SPY250509P565</stp>
        <tr r="CE21" s="1"/>
        <tr r="CE21" s="1"/>
      </tp>
      <tp>
        <v>1</v>
        <stp/>
        <stp>DELTA</stp>
        <stp>.SPY250509C565</stp>
        <tr r="CD21" s="1"/>
        <tr r="CD21" s="1"/>
      </tp>
      <tp>
        <v>-0.28000000000000003</v>
        <stp/>
        <stp>DELTA</stp>
        <stp>.SPY250509P566</stp>
        <tr r="CE20" s="1"/>
        <tr r="CE20" s="1"/>
      </tp>
      <tp>
        <v>-0.59</v>
        <stp/>
        <stp>DELTA</stp>
        <stp>.SPY250516P579</stp>
        <tr r="CG7" s="1"/>
        <tr r="CG7" s="1"/>
      </tp>
      <tp>
        <v>1</v>
        <stp/>
        <stp>DELTA</stp>
        <stp>.SPY250509C566</stp>
        <tr r="CD20" s="1"/>
        <tr r="CD20" s="1"/>
      </tp>
      <tp>
        <v>0.23</v>
        <stp/>
        <stp>DELTA</stp>
        <stp>.SPY250516C579</stp>
        <tr r="CF7" s="1"/>
        <tr r="CF7" s="1"/>
      </tp>
      <tp>
        <v>-0.34</v>
        <stp/>
        <stp>DELTA</stp>
        <stp>.SPY250509P567</stp>
        <tr r="CE19" s="1"/>
        <tr r="CE19" s="1"/>
      </tp>
      <tp>
        <v>-0.57999999999999996</v>
        <stp/>
        <stp>DELTA</stp>
        <stp>.SPY250516P578</stp>
        <tr r="CG8" s="1"/>
        <tr r="CG8" s="1"/>
      </tp>
      <tp>
        <v>1</v>
        <stp/>
        <stp>DELTA</stp>
        <stp>.SPY250509C567</stp>
        <tr r="CD19" s="1"/>
        <tr r="CD19" s="1"/>
      </tp>
      <tp>
        <v>0.26</v>
        <stp/>
        <stp>DELTA</stp>
        <stp>.SPY250516C578</stp>
        <tr r="CF8" s="1"/>
        <tr r="CF8" s="1"/>
      </tp>
      <tp t="s">
        <v>N/A</v>
        <stp/>
        <stp>VOLUME</stp>
        <stp>.NDXC20100</stp>
        <tr r="K156" s="2"/>
      </tp>
      <tp t="s">
        <v>N/A</v>
        <stp/>
        <stp>VOLUME</stp>
        <stp>.NDXC20125</stp>
        <tr r="K155" s="2"/>
      </tp>
      <tp t="s">
        <v>N/A</v>
        <stp/>
        <stp>VOLUME</stp>
        <stp>.NDXC20150</stp>
        <tr r="K154" s="2"/>
      </tp>
      <tp t="s">
        <v>N/A</v>
        <stp/>
        <stp>VOLUME</stp>
        <stp>.NDXC20175</stp>
        <tr r="K153" s="2"/>
      </tp>
      <tp t="s">
        <v>N/A</v>
        <stp/>
        <stp>VOLUME</stp>
        <stp>.NDXP20125</stp>
        <tr r="K155" s="2"/>
      </tp>
      <tp t="s">
        <v>N/A</v>
        <stp/>
        <stp>VOLUME</stp>
        <stp>.NDXP20100</stp>
        <tr r="K156" s="2"/>
      </tp>
      <tp t="s">
        <v>N/A</v>
        <stp/>
        <stp>VOLUME</stp>
        <stp>.NDXP20175</stp>
        <tr r="K153" s="2"/>
      </tp>
      <tp t="s">
        <v>N/A</v>
        <stp/>
        <stp>VOLUME</stp>
        <stp>.NDXP20150</stp>
        <tr r="K154" s="2"/>
      </tp>
      <tp>
        <v>-0.55000000000000004</v>
        <stp/>
        <stp>DELTA</stp>
        <stp>.SPY250620P581</stp>
        <tr r="CI5" s="1"/>
        <tr r="CI5" s="1"/>
      </tp>
      <tp>
        <v>0.39</v>
        <stp/>
        <stp>DELTA</stp>
        <stp>.SPY250620C581</stp>
        <tr r="CH5" s="1"/>
        <tr r="CH5" s="1"/>
      </tp>
      <tp>
        <v>-0.55000000000000004</v>
        <stp/>
        <stp>DELTA</stp>
        <stp>.SPY250620P580</stp>
        <tr r="CI6" s="1"/>
        <tr r="CI6" s="1"/>
      </tp>
      <tp>
        <v>0.41</v>
        <stp/>
        <stp>DELTA</stp>
        <stp>.SPY250620C580</stp>
        <tr r="CH6" s="1"/>
        <tr r="CH6" s="1"/>
      </tp>
      <tp>
        <v>-0.56000000000000005</v>
        <stp/>
        <stp>DELTA</stp>
        <stp>.SPY250620P582</stp>
        <tr r="CI4" s="1"/>
        <tr r="CI4" s="1"/>
      </tp>
      <tp>
        <v>0.38</v>
        <stp/>
        <stp>DELTA</stp>
        <stp>.SPY250620C582</stp>
        <tr r="CH4" s="1"/>
        <tr r="CH4" s="1"/>
      </tp>
      <tp>
        <v>-0.46</v>
        <stp/>
        <stp>DELTA</stp>
        <stp>.SPY250620P571</stp>
        <tr r="CI15" s="1"/>
        <tr r="CI15" s="1"/>
      </tp>
      <tp>
        <v>0.55000000000000004</v>
        <stp/>
        <stp>DELTA</stp>
        <stp>.SPY250620C571</stp>
        <tr r="CH15" s="1"/>
        <tr r="CH15" s="1"/>
      </tp>
      <tp>
        <v>-0.46</v>
        <stp/>
        <stp>DELTA</stp>
        <stp>.SPY250620P570</stp>
        <tr r="CI16" s="1"/>
        <tr r="CI16" s="1"/>
      </tp>
      <tp>
        <v>0.56000000000000005</v>
        <stp/>
        <stp>DELTA</stp>
        <stp>.SPY250620C570</stp>
        <tr r="CH16" s="1"/>
        <tr r="CH16" s="1"/>
      </tp>
      <tp>
        <v>-0.48</v>
        <stp/>
        <stp>DELTA</stp>
        <stp>.SPY250620P573</stp>
        <tr r="CI13" s="1"/>
        <tr r="CI13" s="1"/>
      </tp>
      <tp>
        <v>0.52</v>
        <stp/>
        <stp>DELTA</stp>
        <stp>.SPY250620C573</stp>
        <tr r="CH13" s="1"/>
        <tr r="CH13" s="1"/>
      </tp>
      <tp>
        <v>-0.47</v>
        <stp/>
        <stp>DELTA</stp>
        <stp>.SPY250620P572</stp>
        <tr r="CI14" s="1"/>
        <tr r="CI14" s="1"/>
      </tp>
      <tp>
        <v>0.53</v>
        <stp/>
        <stp>DELTA</stp>
        <stp>.SPY250620C572</stp>
        <tr r="CH14" s="1"/>
        <tr r="CH14" s="1"/>
      </tp>
      <tp>
        <v>-0.5</v>
        <stp/>
        <stp>DELTA</stp>
        <stp>.SPY250620P575</stp>
        <tr r="CI11" s="1"/>
        <tr r="CI11" s="1"/>
      </tp>
      <tp>
        <v>0.49</v>
        <stp/>
        <stp>DELTA</stp>
        <stp>.SPY250620C575</stp>
        <tr r="CH11" s="1"/>
        <tr r="CH11" s="1"/>
      </tp>
      <tp>
        <v>-0.49</v>
        <stp/>
        <stp>DELTA</stp>
        <stp>.SPY250620P574</stp>
        <tr r="CI12" s="1"/>
        <tr r="CI12" s="1"/>
      </tp>
      <tp>
        <v>0.5</v>
        <stp/>
        <stp>DELTA</stp>
        <stp>.SPY250620C574</stp>
        <tr r="CH12" s="1"/>
        <tr r="CH12" s="1"/>
      </tp>
      <tp>
        <v>-0.52</v>
        <stp/>
        <stp>DELTA</stp>
        <stp>.SPY250620P577</stp>
        <tr r="CI9" s="1"/>
        <tr r="CI9" s="1"/>
      </tp>
      <tp>
        <v>0.46</v>
        <stp/>
        <stp>DELTA</stp>
        <stp>.SPY250620C577</stp>
        <tr r="CH9" s="1"/>
        <tr r="CH9" s="1"/>
      </tp>
      <tp>
        <v>-0.51</v>
        <stp/>
        <stp>DELTA</stp>
        <stp>.SPY250620P576</stp>
        <tr r="CI10" s="1"/>
        <tr r="CI10" s="1"/>
      </tp>
      <tp>
        <v>0.47</v>
        <stp/>
        <stp>DELTA</stp>
        <stp>.SPY250620C576</stp>
        <tr r="CH10" s="1"/>
        <tr r="CH10" s="1"/>
      </tp>
      <tp>
        <v>-0.54</v>
        <stp/>
        <stp>DELTA</stp>
        <stp>.SPY250620P579</stp>
        <tr r="CI7" s="1"/>
        <tr r="CI7" s="1"/>
      </tp>
      <tp>
        <v>0.43</v>
        <stp/>
        <stp>DELTA</stp>
        <stp>.SPY250620C579</stp>
        <tr r="CH7" s="1"/>
        <tr r="CH7" s="1"/>
      </tp>
      <tp>
        <v>-0.53</v>
        <stp/>
        <stp>DELTA</stp>
        <stp>.SPY250620P578</stp>
        <tr r="CI8" s="1"/>
        <tr r="CI8" s="1"/>
      </tp>
      <tp>
        <v>0.44</v>
        <stp/>
        <stp>DELTA</stp>
        <stp>.SPY250620C578</stp>
        <tr r="CH8" s="1"/>
        <tr r="CH8" s="1"/>
      </tp>
      <tp>
        <v>-0.38</v>
        <stp/>
        <stp>DELTA</stp>
        <stp>.SPY250620P561</stp>
        <tr r="CI25" s="1"/>
        <tr r="CI25" s="1"/>
      </tp>
      <tp>
        <v>0.69</v>
        <stp/>
        <stp>DELTA</stp>
        <stp>.SPY250620C561</stp>
        <tr r="CH25" s="1"/>
        <tr r="CH25" s="1"/>
      </tp>
      <tp>
        <v>-0.37</v>
        <stp/>
        <stp>DELTA</stp>
        <stp>.SPY250620P560</stp>
        <tr r="CI26" s="1"/>
        <tr r="CI26" s="1"/>
      </tp>
      <tp>
        <v>0.7</v>
        <stp/>
        <stp>DELTA</stp>
        <stp>.SPY250620C560</stp>
        <tr r="CH26" s="1"/>
        <tr r="CH26" s="1"/>
      </tp>
      <tp>
        <v>-0.4</v>
        <stp/>
        <stp>DELTA</stp>
        <stp>.SPY250620P563</stp>
        <tr r="CI23" s="1"/>
        <tr r="CI23" s="1"/>
      </tp>
      <tp>
        <v>0.66</v>
        <stp/>
        <stp>DELTA</stp>
        <stp>.SPY250620C563</stp>
        <tr r="CH23" s="1"/>
        <tr r="CH23" s="1"/>
      </tp>
      <tp>
        <v>-0.39</v>
        <stp/>
        <stp>DELTA</stp>
        <stp>.SPY250620P562</stp>
        <tr r="CI24" s="1"/>
        <tr r="CI24" s="1"/>
      </tp>
      <tp>
        <v>0.67</v>
        <stp/>
        <stp>DELTA</stp>
        <stp>.SPY250620C562</stp>
        <tr r="CH24" s="1"/>
        <tr r="CH24" s="1"/>
      </tp>
      <tp>
        <v>-0.41</v>
        <stp/>
        <stp>DELTA</stp>
        <stp>.SPY250620P565</stp>
        <tr r="CI21" s="1"/>
        <tr r="CI21" s="1"/>
      </tp>
      <tp>
        <v>0.63</v>
        <stp/>
        <stp>DELTA</stp>
        <stp>.SPY250620C565</stp>
        <tr r="CH21" s="1"/>
        <tr r="CH21" s="1"/>
      </tp>
      <tp>
        <v>-0.4</v>
        <stp/>
        <stp>DELTA</stp>
        <stp>.SPY250620P564</stp>
        <tr r="CI22" s="1"/>
        <tr r="CI22" s="1"/>
      </tp>
      <tp>
        <v>0.65</v>
        <stp/>
        <stp>DELTA</stp>
        <stp>.SPY250620C564</stp>
        <tr r="CH22" s="1"/>
        <tr r="CH22" s="1"/>
      </tp>
      <tp>
        <v>-0.43</v>
        <stp/>
        <stp>DELTA</stp>
        <stp>.SPY250620P567</stp>
        <tr r="CI19" s="1"/>
        <tr r="CI19" s="1"/>
      </tp>
      <tp>
        <v>0.6</v>
        <stp/>
        <stp>DELTA</stp>
        <stp>.SPY250620C567</stp>
        <tr r="CH19" s="1"/>
        <tr r="CH19" s="1"/>
      </tp>
      <tp>
        <v>-0.42</v>
        <stp/>
        <stp>DELTA</stp>
        <stp>.SPY250620P566</stp>
        <tr r="CI20" s="1"/>
        <tr r="CI20" s="1"/>
      </tp>
      <tp>
        <v>0.62</v>
        <stp/>
        <stp>DELTA</stp>
        <stp>.SPY250620C566</stp>
        <tr r="CH20" s="1"/>
        <tr r="CH20" s="1"/>
      </tp>
      <tp>
        <v>-0.45</v>
        <stp/>
        <stp>DELTA</stp>
        <stp>.SPY250620P569</stp>
        <tr r="CI17" s="1"/>
        <tr r="CI17" s="1"/>
      </tp>
      <tp>
        <v>0.57999999999999996</v>
        <stp/>
        <stp>DELTA</stp>
        <stp>.SPY250620C569</stp>
        <tr r="CH17" s="1"/>
        <tr r="CH17" s="1"/>
      </tp>
      <tp>
        <v>-0.44</v>
        <stp/>
        <stp>DELTA</stp>
        <stp>.SPY250620P568</stp>
        <tr r="CI18" s="1"/>
        <tr r="CI18" s="1"/>
      </tp>
      <tp>
        <v>0.59</v>
        <stp/>
        <stp>DELTA</stp>
        <stp>.SPY250620C568</stp>
        <tr r="CH18" s="1"/>
        <tr r="CH18" s="1"/>
      </tp>
      <tp>
        <v>-0.3</v>
        <stp/>
        <stp>DELTA</stp>
        <stp>.SPY250620P551</stp>
        <tr r="CI35" s="1"/>
        <tr r="CI35" s="1"/>
      </tp>
      <tp>
        <v>0.82</v>
        <stp/>
        <stp>DELTA</stp>
        <stp>.SPY250620C551</stp>
        <tr r="CH35" s="1"/>
        <tr r="CH35" s="1"/>
      </tp>
      <tp>
        <v>-0.3</v>
        <stp/>
        <stp>DELTA</stp>
        <stp>.SPY250620P550</stp>
        <tr r="CI36" s="1"/>
        <tr r="CI36" s="1"/>
      </tp>
      <tp>
        <v>0.84</v>
        <stp/>
        <stp>DELTA</stp>
        <stp>.SPY250620C550</stp>
        <tr r="CH36" s="1"/>
        <tr r="CH36" s="1"/>
      </tp>
      <tp>
        <v>-0.32</v>
        <stp/>
        <stp>DELTA</stp>
        <stp>.SPY250620P553</stp>
        <tr r="CI33" s="1"/>
        <tr r="CI33" s="1"/>
      </tp>
      <tp>
        <v>0.8</v>
        <stp/>
        <stp>DELTA</stp>
        <stp>.SPY250620C553</stp>
        <tr r="CH33" s="1"/>
        <tr r="CH33" s="1"/>
      </tp>
      <tp>
        <v>-0.31</v>
        <stp/>
        <stp>DELTA</stp>
        <stp>.SPY250620P552</stp>
        <tr r="CI34" s="1"/>
        <tr r="CI34" s="1"/>
      </tp>
      <tp>
        <v>0.81</v>
        <stp/>
        <stp>DELTA</stp>
        <stp>.SPY250620C552</stp>
        <tr r="CH34" s="1"/>
        <tr r="CH34" s="1"/>
      </tp>
      <tp>
        <v>-0.33</v>
        <stp/>
        <stp>DELTA</stp>
        <stp>.SPY250620P555</stp>
        <tr r="CI31" s="1"/>
        <tr r="CI31" s="1"/>
      </tp>
      <tp>
        <v>0.77</v>
        <stp/>
        <stp>DELTA</stp>
        <stp>.SPY250620C555</stp>
        <tr r="CH31" s="1"/>
        <tr r="CH31" s="1"/>
      </tp>
      <tp>
        <v>-0.32</v>
        <stp/>
        <stp>DELTA</stp>
        <stp>.SPY250620P554</stp>
        <tr r="CI32" s="1"/>
        <tr r="CI32" s="1"/>
      </tp>
      <tp>
        <v>0.78</v>
        <stp/>
        <stp>DELTA</stp>
        <stp>.SPY250620C554</stp>
        <tr r="CH32" s="1"/>
        <tr r="CH32" s="1"/>
      </tp>
      <tp>
        <v>-0.35</v>
        <stp/>
        <stp>DELTA</stp>
        <stp>.SPY250620P557</stp>
        <tr r="CI29" s="1"/>
        <tr r="CI29" s="1"/>
      </tp>
      <tp>
        <v>0.74</v>
        <stp/>
        <stp>DELTA</stp>
        <stp>.SPY250620C557</stp>
        <tr r="CH29" s="1"/>
        <tr r="CH29" s="1"/>
      </tp>
      <tp>
        <v>-0.34</v>
        <stp/>
        <stp>DELTA</stp>
        <stp>.SPY250620P556</stp>
        <tr r="CI30" s="1"/>
        <tr r="CI30" s="1"/>
      </tp>
      <tp>
        <v>0.76</v>
        <stp/>
        <stp>DELTA</stp>
        <stp>.SPY250620C556</stp>
        <tr r="CH30" s="1"/>
        <tr r="CH30" s="1"/>
      </tp>
      <tp>
        <v>-0.36</v>
        <stp/>
        <stp>DELTA</stp>
        <stp>.SPY250620P559</stp>
        <tr r="CI27" s="1"/>
        <tr r="CI27" s="1"/>
      </tp>
      <tp>
        <v>0.72</v>
        <stp/>
        <stp>DELTA</stp>
        <stp>.SPY250620C559</stp>
        <tr r="CH27" s="1"/>
        <tr r="CH27" s="1"/>
      </tp>
      <tp>
        <v>-0.35</v>
        <stp/>
        <stp>DELTA</stp>
        <stp>.SPY250620P558</stp>
        <tr r="CI28" s="1"/>
        <tr r="CI28" s="1"/>
      </tp>
      <tp>
        <v>0.73</v>
        <stp/>
        <stp>DELTA</stp>
        <stp>.SPY250620C558</stp>
        <tr r="CH28" s="1"/>
        <tr r="CH28" s="1"/>
      </tp>
      <tp>
        <v>-0.28999999999999998</v>
        <stp/>
        <stp>DELTA</stp>
        <stp>.SPY250620P549</stp>
        <tr r="CI37" s="1"/>
        <tr r="CI37" s="1"/>
      </tp>
      <tp>
        <v>0.84</v>
        <stp/>
        <stp>DELTA</stp>
        <stp>.SPY250620C549</stp>
        <tr r="CH37" s="1"/>
        <tr r="CH37" s="1"/>
      </tp>
      <tp>
        <v>-0.28000000000000003</v>
        <stp/>
        <stp>DELTA</stp>
        <stp>.SPY250620P548</stp>
        <tr r="CI38" s="1"/>
        <tr r="CI38" s="1"/>
      </tp>
      <tp>
        <v>0.86</v>
        <stp/>
        <stp>DELTA</stp>
        <stp>.SPY250620C548</stp>
        <tr r="CH38" s="1"/>
        <tr r="CH38" s="1"/>
      </tp>
      <tp t="s">
        <v>N/A</v>
        <stp/>
        <stp>VOLUME</stp>
        <stp>.NDXC20000</stp>
        <tr r="K160" s="2"/>
      </tp>
      <tp t="s">
        <v>N/A</v>
        <stp/>
        <stp>VOLUME</stp>
        <stp>.NDXC20025</stp>
        <tr r="K159" s="2"/>
      </tp>
      <tp t="s">
        <v>N/A</v>
        <stp/>
        <stp>VOLUME</stp>
        <stp>.NDXC20050</stp>
        <tr r="K158" s="2"/>
      </tp>
      <tp t="s">
        <v>N/A</v>
        <stp/>
        <stp>VOLUME</stp>
        <stp>.NDXC20075</stp>
        <tr r="K157" s="2"/>
      </tp>
      <tp t="s">
        <v>N/A</v>
        <stp/>
        <stp>VOLUME</stp>
        <stp>.NDXP20025</stp>
        <tr r="K159" s="2"/>
      </tp>
      <tp t="s">
        <v>N/A</v>
        <stp/>
        <stp>VOLUME</stp>
        <stp>.NDXP20000</stp>
        <tr r="K160" s="2"/>
      </tp>
      <tp t="s">
        <v>N/A</v>
        <stp/>
        <stp>VOLUME</stp>
        <stp>.NDXP20075</stp>
        <tr r="K157" s="2"/>
      </tp>
      <tp t="s">
        <v>N/A</v>
        <stp/>
        <stp>VOLUME</stp>
        <stp>.NDXP20050</stp>
        <tr r="K158" s="2"/>
      </tp>
      <tp>
        <v>496.17</v>
        <stp/>
        <stp>MARK</stp>
        <stp>QQQ</stp>
        <tr r="G136" s="1"/>
        <tr r="A44" s="1"/>
      </tp>
      <tp>
        <v>14.3</v>
        <stp/>
        <stp>LAST</stp>
        <stp>.QQQ250509P502</stp>
        <tr r="DB45" s="1"/>
        <tr r="DB45" s="1"/>
      </tp>
      <tp>
        <v>0.01</v>
        <stp/>
        <stp>LAST</stp>
        <stp>.QQQ250509C502</stp>
        <tr r="DA45" s="1"/>
        <tr r="DA45" s="1"/>
      </tp>
      <tp>
        <v>12.51</v>
        <stp/>
        <stp>LAST</stp>
        <stp>.QQQ250509P501</stp>
        <tr r="DB46" s="1"/>
        <tr r="DB46" s="1"/>
      </tp>
      <tp>
        <v>0.01</v>
        <stp/>
        <stp>LAST</stp>
        <stp>.QQQ250509C501</stp>
        <tr r="DA46" s="1"/>
        <tr r="DA46" s="1"/>
      </tp>
      <tp>
        <v>11.95</v>
        <stp/>
        <stp>LAST</stp>
        <stp>.QQQ250509P500</stp>
        <tr r="DB47" s="1"/>
        <tr r="DB47" s="1"/>
      </tp>
      <tp>
        <v>0.01</v>
        <stp/>
        <stp>LAST</stp>
        <stp>.QQQ250509C500</stp>
        <tr r="DA47" s="1"/>
        <tr r="DA47" s="1"/>
      </tp>
      <tp>
        <v>0.01</v>
        <stp/>
        <stp>LAST</stp>
        <stp>.QQQ250509P487</stp>
        <tr r="DB60" s="1"/>
        <tr r="DB60" s="1"/>
      </tp>
      <tp>
        <v>0.81</v>
        <stp/>
        <stp>LAST</stp>
        <stp>.QQQ250509C487</stp>
        <tr r="DA60" s="1"/>
        <tr r="DA60" s="1"/>
      </tp>
      <tp>
        <v>0.02</v>
        <stp/>
        <stp>LAST</stp>
        <stp>.QQQ250509P486</stp>
        <tr r="DB61" s="1"/>
        <tr r="DB61" s="1"/>
      </tp>
      <tp>
        <v>1.97</v>
        <stp/>
        <stp>LAST</stp>
        <stp>.QQQ250509C486</stp>
        <tr r="DA61" s="1"/>
        <tr r="DA61" s="1"/>
      </tp>
      <tp>
        <v>0.01</v>
        <stp/>
        <stp>LAST</stp>
        <stp>.QQQ250509P485</stp>
        <tr r="DB62" s="1"/>
        <tr r="DB62" s="1"/>
      </tp>
      <tp>
        <v>2.92</v>
        <stp/>
        <stp>LAST</stp>
        <stp>.QQQ250509C485</stp>
        <tr r="DA62" s="1"/>
        <tr r="DA62" s="1"/>
      </tp>
      <tp>
        <v>0.01</v>
        <stp/>
        <stp>LAST</stp>
        <stp>.QQQ250509P484</stp>
        <tr r="DB63" s="1"/>
        <tr r="DB63" s="1"/>
      </tp>
      <tp>
        <v>4.0999999999999996</v>
        <stp/>
        <stp>LAST</stp>
        <stp>.QQQ250509C484</stp>
        <tr r="DA63" s="1"/>
        <tr r="DA63" s="1"/>
      </tp>
      <tp>
        <v>0.01</v>
        <stp/>
        <stp>LAST</stp>
        <stp>.QQQ250509P483</stp>
        <tr r="DB64" s="1"/>
        <tr r="DB64" s="1"/>
      </tp>
      <tp>
        <v>5.15</v>
        <stp/>
        <stp>LAST</stp>
        <stp>.QQQ250509C483</stp>
        <tr r="DA64" s="1"/>
        <tr r="DA64" s="1"/>
      </tp>
      <tp>
        <v>0.02</v>
        <stp/>
        <stp>LAST</stp>
        <stp>.QQQ250509P482</stp>
        <tr r="DB65" s="1"/>
        <tr r="DB65" s="1"/>
      </tp>
      <tp>
        <v>5.92</v>
        <stp/>
        <stp>LAST</stp>
        <stp>.QQQ250509C482</stp>
        <tr r="DA65" s="1"/>
        <tr r="DA65" s="1"/>
      </tp>
      <tp>
        <v>0.01</v>
        <stp/>
        <stp>LAST</stp>
        <stp>.QQQ250509P481</stp>
        <tr r="DB66" s="1"/>
        <tr r="DB66" s="1"/>
      </tp>
      <tp>
        <v>7.29</v>
        <stp/>
        <stp>LAST</stp>
        <stp>.QQQ250509C481</stp>
        <tr r="DA66" s="1"/>
        <tr r="DA66" s="1"/>
      </tp>
      <tp>
        <v>0.01</v>
        <stp/>
        <stp>LAST</stp>
        <stp>.QQQ250509P480</stp>
        <tr r="DB67" s="1"/>
        <tr r="DB67" s="1"/>
      </tp>
      <tp>
        <v>8.01</v>
        <stp/>
        <stp>LAST</stp>
        <stp>.QQQ250509C480</stp>
        <tr r="DA67" s="1"/>
        <tr r="DA67" s="1"/>
      </tp>
      <tp>
        <v>1.08</v>
        <stp/>
        <stp>LAST</stp>
        <stp>.QQQ250509P489</stp>
        <tr r="DB58" s="1"/>
        <tr r="DB58" s="1"/>
      </tp>
      <tp>
        <v>0.01</v>
        <stp/>
        <stp>LAST</stp>
        <stp>.QQQ250509C489</stp>
        <tr r="DA58" s="1"/>
        <tr r="DA58" s="1"/>
      </tp>
      <tp>
        <v>0.2</v>
        <stp/>
        <stp>LAST</stp>
        <stp>.QQQ250509P488</stp>
        <tr r="DB59" s="1"/>
        <tr r="DB59" s="1"/>
      </tp>
      <tp>
        <v>0.15</v>
        <stp/>
        <stp>LAST</stp>
        <stp>.QQQ250509C488</stp>
        <tr r="DA59" s="1"/>
        <tr r="DA59" s="1"/>
      </tp>
      <tp>
        <v>9.1</v>
        <stp/>
        <stp>LAST</stp>
        <stp>.QQQ250509P497</stp>
        <tr r="DB50" s="1"/>
        <tr r="DB50" s="1"/>
      </tp>
      <tp>
        <v>0.01</v>
        <stp/>
        <stp>LAST</stp>
        <stp>.QQQ250509C497</stp>
        <tr r="DA50" s="1"/>
        <tr r="DA50" s="1"/>
      </tp>
      <tp>
        <v>7.7</v>
        <stp/>
        <stp>LAST</stp>
        <stp>.QQQ250509P496</stp>
        <tr r="DB51" s="1"/>
        <tr r="DB51" s="1"/>
      </tp>
      <tp>
        <v>0.01</v>
        <stp/>
        <stp>LAST</stp>
        <stp>.QQQ250509C496</stp>
        <tr r="DA51" s="1"/>
        <tr r="DA51" s="1"/>
      </tp>
      <tp>
        <v>6.77</v>
        <stp/>
        <stp>LAST</stp>
        <stp>.QQQ250509P495</stp>
        <tr r="DB52" s="1"/>
        <tr r="DB52" s="1"/>
      </tp>
      <tp>
        <v>0.01</v>
        <stp/>
        <stp>LAST</stp>
        <stp>.QQQ250509C495</stp>
        <tr r="DA52" s="1"/>
        <tr r="DA52" s="1"/>
      </tp>
      <tp>
        <v>5.7</v>
        <stp/>
        <stp>LAST</stp>
        <stp>.QQQ250509P494</stp>
        <tr r="DB53" s="1"/>
        <tr r="DB53" s="1"/>
      </tp>
      <tp>
        <v>0.01</v>
        <stp/>
        <stp>LAST</stp>
        <stp>.QQQ250509C494</stp>
        <tr r="DA53" s="1"/>
        <tr r="DA53" s="1"/>
      </tp>
      <tp>
        <v>4.87</v>
        <stp/>
        <stp>LAST</stp>
        <stp>.QQQ250509P493</stp>
        <tr r="DB54" s="1"/>
        <tr r="DB54" s="1"/>
      </tp>
      <tp>
        <v>0.01</v>
        <stp/>
        <stp>LAST</stp>
        <stp>.QQQ250509C493</stp>
        <tr r="DA54" s="1"/>
        <tr r="DA54" s="1"/>
      </tp>
      <tp>
        <v>4.07</v>
        <stp/>
        <stp>LAST</stp>
        <stp>.QQQ250509P492</stp>
        <tr r="DB55" s="1"/>
        <tr r="DB55" s="1"/>
      </tp>
      <tp>
        <v>0.01</v>
        <stp/>
        <stp>LAST</stp>
        <stp>.QQQ250509C492</stp>
        <tr r="DA55" s="1"/>
        <tr r="DA55" s="1"/>
      </tp>
      <tp>
        <v>3.05</v>
        <stp/>
        <stp>LAST</stp>
        <stp>.QQQ250509P491</stp>
        <tr r="DB56" s="1"/>
        <tr r="DB56" s="1"/>
      </tp>
      <tp>
        <v>0.01</v>
        <stp/>
        <stp>LAST</stp>
        <stp>.QQQ250509C491</stp>
        <tr r="DA56" s="1"/>
        <tr r="DA56" s="1"/>
      </tp>
      <tp>
        <v>2.11</v>
        <stp/>
        <stp>LAST</stp>
        <stp>.QQQ250509P490</stp>
        <tr r="DB57" s="1"/>
        <tr r="DB57" s="1"/>
      </tp>
      <tp>
        <v>0.01</v>
        <stp/>
        <stp>LAST</stp>
        <stp>.QQQ250509C490</stp>
        <tr r="DA57" s="1"/>
        <tr r="DA57" s="1"/>
      </tp>
      <tp>
        <v>10.71</v>
        <stp/>
        <stp>LAST</stp>
        <stp>.QQQ250509P499</stp>
        <tr r="DB48" s="1"/>
        <tr r="DB48" s="1"/>
      </tp>
      <tp>
        <v>0.01</v>
        <stp/>
        <stp>LAST</stp>
        <stp>.QQQ250509C499</stp>
        <tr r="DA48" s="1"/>
        <tr r="DA48" s="1"/>
      </tp>
      <tp>
        <v>10.1</v>
        <stp/>
        <stp>LAST</stp>
        <stp>.QQQ250509P498</stp>
        <tr r="DB49" s="1"/>
        <tr r="DB49" s="1"/>
      </tp>
      <tp>
        <v>0.01</v>
        <stp/>
        <stp>LAST</stp>
        <stp>.QQQ250509C498</stp>
        <tr r="DA49" s="1"/>
        <tr r="DA49" s="1"/>
      </tp>
      <tp>
        <v>0.01</v>
        <stp/>
        <stp>LAST</stp>
        <stp>.QQQ250509P469</stp>
        <tr r="DB78" s="1"/>
        <tr r="DB78" s="1"/>
      </tp>
      <tp>
        <v>19.16</v>
        <stp/>
        <stp>LAST</stp>
        <stp>.QQQ250509C469</stp>
        <tr r="DA78" s="1"/>
        <tr r="DA78" s="1"/>
      </tp>
      <tp>
        <v>0.01</v>
        <stp/>
        <stp>LAST</stp>
        <stp>.QQQ250509P468</stp>
        <tr r="DB79" s="1"/>
        <tr r="DB79" s="1"/>
      </tp>
      <tp>
        <v>20.149999999999999</v>
        <stp/>
        <stp>LAST</stp>
        <stp>.QQQ250509C468</stp>
        <tr r="DA79" s="1"/>
        <tr r="DA79" s="1"/>
      </tp>
      <tp>
        <v>0.01</v>
        <stp/>
        <stp>LAST</stp>
        <stp>.QQQ250509P477</stp>
        <tr r="DB70" s="1"/>
        <tr r="DB70" s="1"/>
      </tp>
      <tp>
        <v>10.91</v>
        <stp/>
        <stp>LAST</stp>
        <stp>.QQQ250509C477</stp>
        <tr r="DA70" s="1"/>
        <tr r="DA70" s="1"/>
      </tp>
      <tp>
        <v>0.01</v>
        <stp/>
        <stp>LAST</stp>
        <stp>.QQQ250509P476</stp>
        <tr r="DB71" s="1"/>
        <tr r="DB71" s="1"/>
      </tp>
      <tp>
        <v>12.03</v>
        <stp/>
        <stp>LAST</stp>
        <stp>.QQQ250509C476</stp>
        <tr r="DA71" s="1"/>
        <tr r="DA71" s="1"/>
      </tp>
      <tp>
        <v>0.01</v>
        <stp/>
        <stp>LAST</stp>
        <stp>.QQQ250509P475</stp>
        <tr r="DB72" s="1"/>
        <tr r="DB72" s="1"/>
      </tp>
      <tp>
        <v>12.77</v>
        <stp/>
        <stp>LAST</stp>
        <stp>.QQQ250509C475</stp>
        <tr r="DA72" s="1"/>
        <tr r="DA72" s="1"/>
      </tp>
      <tp>
        <v>0.01</v>
        <stp/>
        <stp>LAST</stp>
        <stp>.QQQ250509P474</stp>
        <tr r="DB73" s="1"/>
        <tr r="DB73" s="1"/>
      </tp>
      <tp>
        <v>14.1</v>
        <stp/>
        <stp>LAST</stp>
        <stp>.QQQ250509C474</stp>
        <tr r="DA73" s="1"/>
        <tr r="DA73" s="1"/>
      </tp>
      <tp>
        <v>0.01</v>
        <stp/>
        <stp>LAST</stp>
        <stp>.QQQ250509P473</stp>
        <tr r="DB74" s="1"/>
        <tr r="DB74" s="1"/>
      </tp>
      <tp>
        <v>15.07</v>
        <stp/>
        <stp>LAST</stp>
        <stp>.QQQ250509C473</stp>
        <tr r="DA74" s="1"/>
        <tr r="DA74" s="1"/>
      </tp>
      <tp>
        <v>0.01</v>
        <stp/>
        <stp>LAST</stp>
        <stp>.QQQ250509P472</stp>
        <tr r="DB75" s="1"/>
        <tr r="DB75" s="1"/>
      </tp>
      <tp>
        <v>16.43</v>
        <stp/>
        <stp>LAST</stp>
        <stp>.QQQ250509C472</stp>
        <tr r="DA75" s="1"/>
        <tr r="DA75" s="1"/>
      </tp>
      <tp>
        <v>0.01</v>
        <stp/>
        <stp>LAST</stp>
        <stp>.QQQ250509P471</stp>
        <tr r="DB76" s="1"/>
        <tr r="DB76" s="1"/>
      </tp>
      <tp>
        <v>17.32</v>
        <stp/>
        <stp>LAST</stp>
        <stp>.QQQ250509C471</stp>
        <tr r="DA76" s="1"/>
        <tr r="DA76" s="1"/>
      </tp>
      <tp>
        <v>0.01</v>
        <stp/>
        <stp>LAST</stp>
        <stp>.QQQ250509P470</stp>
        <tr r="DB77" s="1"/>
        <tr r="DB77" s="1"/>
      </tp>
      <tp>
        <v>18.18</v>
        <stp/>
        <stp>LAST</stp>
        <stp>.QQQ250509C470</stp>
        <tr r="DA77" s="1"/>
        <tr r="DA77" s="1"/>
      </tp>
      <tp>
        <v>0.01</v>
        <stp/>
        <stp>LAST</stp>
        <stp>.QQQ250509P479</stp>
        <tr r="DB68" s="1"/>
        <tr r="DB68" s="1"/>
      </tp>
      <tp>
        <v>9.1199999999999992</v>
        <stp/>
        <stp>LAST</stp>
        <stp>.QQQ250509C479</stp>
        <tr r="DA68" s="1"/>
        <tr r="DA68" s="1"/>
      </tp>
      <tp>
        <v>0.01</v>
        <stp/>
        <stp>LAST</stp>
        <stp>.QQQ250509P478</stp>
        <tr r="DB69" s="1"/>
        <tr r="DB69" s="1"/>
      </tp>
      <tp>
        <v>10.3</v>
        <stp/>
        <stp>LAST</stp>
        <stp>.QQQ250509C478</stp>
        <tr r="DA69" s="1"/>
        <tr r="DA69" s="1"/>
      </tp>
      <tp>
        <v>-0.31</v>
        <stp/>
        <stp>DELTA</stp>
        <stp>.QQQ250516P485</stp>
        <tr r="CG62" s="1"/>
        <tr r="CG62" s="1"/>
      </tp>
      <tp>
        <v>1</v>
        <stp/>
        <stp>DELTA</stp>
        <stp>.QQQ250516C485</stp>
        <tr r="CF62" s="1"/>
        <tr r="CF62" s="1"/>
      </tp>
      <tp>
        <v>-0.3</v>
        <stp/>
        <stp>DELTA</stp>
        <stp>.QQQ250516P484</stp>
        <tr r="CG63" s="1"/>
        <tr r="CG63" s="1"/>
      </tp>
      <tp>
        <v>1</v>
        <stp/>
        <stp>DELTA</stp>
        <stp>.QQQ250516C484</stp>
        <tr r="CF63" s="1"/>
        <tr r="CF63" s="1"/>
      </tp>
      <tp>
        <v>-0.52</v>
        <stp/>
        <stp>DELTA</stp>
        <stp>.QQQ250509P498</stp>
        <tr r="CE49" s="1"/>
        <tr r="CE49" s="1"/>
      </tp>
      <tp>
        <v>-0.34</v>
        <stp/>
        <stp>DELTA</stp>
        <stp>.QQQ250516P487</stp>
        <tr r="CG60" s="1"/>
        <tr r="CG60" s="1"/>
      </tp>
      <tp>
        <v>0.02</v>
        <stp/>
        <stp>DELTA</stp>
        <stp>.QQQ250509C498</stp>
        <tr r="CD49" s="1"/>
        <tr r="CD49" s="1"/>
      </tp>
      <tp>
        <v>1</v>
        <stp/>
        <stp>DELTA</stp>
        <stp>.QQQ250516C487</stp>
        <tr r="CF60" s="1"/>
        <tr r="CF60" s="1"/>
      </tp>
      <tp>
        <v>-0.54</v>
        <stp/>
        <stp>DELTA</stp>
        <stp>.QQQ250509P499</stp>
        <tr r="CE48" s="1"/>
        <tr r="CE48" s="1"/>
      </tp>
      <tp>
        <v>-0.33</v>
        <stp/>
        <stp>DELTA</stp>
        <stp>.QQQ250516P486</stp>
        <tr r="CG61" s="1"/>
        <tr r="CG61" s="1"/>
      </tp>
      <tp>
        <v>0.01</v>
        <stp/>
        <stp>DELTA</stp>
        <stp>.QQQ250509C499</stp>
        <tr r="CD48" s="1"/>
        <tr r="CD48" s="1"/>
      </tp>
      <tp>
        <v>1</v>
        <stp/>
        <stp>DELTA</stp>
        <stp>.QQQ250516C486</stp>
        <tr r="CF61" s="1"/>
        <tr r="CF61" s="1"/>
      </tp>
      <tp>
        <v>-0.25</v>
        <stp/>
        <stp>DELTA</stp>
        <stp>.QQQ250516P481</stp>
        <tr r="CG66" s="1"/>
        <tr r="CG66" s="1"/>
      </tp>
      <tp>
        <v>1</v>
        <stp/>
        <stp>DELTA</stp>
        <stp>.QQQ250516C481</stp>
        <tr r="CF66" s="1"/>
        <tr r="CF66" s="1"/>
      </tp>
      <tp>
        <v>-0.24</v>
        <stp/>
        <stp>DELTA</stp>
        <stp>.QQQ250516P480</stp>
        <tr r="CG67" s="1"/>
        <tr r="CG67" s="1"/>
      </tp>
      <tp>
        <v>1</v>
        <stp/>
        <stp>DELTA</stp>
        <stp>.QQQ250516C480</stp>
        <tr r="CF67" s="1"/>
        <tr r="CF67" s="1"/>
      </tp>
      <tp>
        <v>-0.28000000000000003</v>
        <stp/>
        <stp>DELTA</stp>
        <stp>.QQQ250516P483</stp>
        <tr r="CG64" s="1"/>
        <tr r="CG64" s="1"/>
      </tp>
      <tp>
        <v>1</v>
        <stp/>
        <stp>DELTA</stp>
        <stp>.QQQ250516C483</stp>
        <tr r="CF64" s="1"/>
        <tr r="CF64" s="1"/>
      </tp>
      <tp>
        <v>-0.27</v>
        <stp/>
        <stp>DELTA</stp>
        <stp>.QQQ250516P482</stp>
        <tr r="CG65" s="1"/>
        <tr r="CG65" s="1"/>
      </tp>
      <tp>
        <v>1</v>
        <stp/>
        <stp>DELTA</stp>
        <stp>.QQQ250516C482</stp>
        <tr r="CF65" s="1"/>
        <tr r="CF65" s="1"/>
      </tp>
      <tp>
        <v>-0.38</v>
        <stp/>
        <stp>DELTA</stp>
        <stp>.QQQ250509P492</stp>
        <tr r="CE55" s="1"/>
        <tr r="CE55" s="1"/>
      </tp>
      <tp>
        <v>1</v>
        <stp/>
        <stp>DELTA</stp>
        <stp>.QQQ250509C492</stp>
        <tr r="CD55" s="1"/>
        <tr r="CD55" s="1"/>
      </tp>
      <tp>
        <v>-0.42</v>
        <stp/>
        <stp>DELTA</stp>
        <stp>.QQQ250509P493</stp>
        <tr r="CE54" s="1"/>
        <tr r="CE54" s="1"/>
      </tp>
      <tp>
        <v>1</v>
        <stp/>
        <stp>DELTA</stp>
        <stp>.QQQ250509C493</stp>
        <tr r="CD54" s="1"/>
        <tr r="CD54" s="1"/>
      </tp>
      <tp>
        <v>-0.3</v>
        <stp/>
        <stp>DELTA</stp>
        <stp>.QQQ250509P490</stp>
        <tr r="CE57" s="1"/>
        <tr r="CE57" s="1"/>
      </tp>
      <tp>
        <v>1</v>
        <stp/>
        <stp>DELTA</stp>
        <stp>.QQQ250509C490</stp>
        <tr r="CD57" s="1"/>
        <tr r="CD57" s="1"/>
      </tp>
      <tp>
        <v>-0.34</v>
        <stp/>
        <stp>DELTA</stp>
        <stp>.QQQ250509P491</stp>
        <tr r="CE56" s="1"/>
        <tr r="CE56" s="1"/>
      </tp>
      <tp>
        <v>1</v>
        <stp/>
        <stp>DELTA</stp>
        <stp>.QQQ250509C491</stp>
        <tr r="CD56" s="1"/>
        <tr r="CD56" s="1"/>
      </tp>
      <tp>
        <v>-0.49</v>
        <stp/>
        <stp>DELTA</stp>
        <stp>.QQQ250509P496</stp>
        <tr r="CE51" s="1"/>
        <tr r="CE51" s="1"/>
      </tp>
      <tp>
        <v>-0.38</v>
        <stp/>
        <stp>DELTA</stp>
        <stp>.QQQ250516P489</stp>
        <tr r="CG58" s="1"/>
        <tr r="CG58" s="1"/>
      </tp>
      <tp>
        <v>1</v>
        <stp/>
        <stp>DELTA</stp>
        <stp>.QQQ250509C496</stp>
        <tr r="CD51" s="1"/>
        <tr r="CD51" s="1"/>
      </tp>
      <tp>
        <v>1</v>
        <stp/>
        <stp>DELTA</stp>
        <stp>.QQQ250516C489</stp>
        <tr r="CF58" s="1"/>
        <tr r="CF58" s="1"/>
      </tp>
      <tp>
        <v>-0.51</v>
        <stp/>
        <stp>DELTA</stp>
        <stp>.QQQ250509P497</stp>
        <tr r="CE50" s="1"/>
        <tr r="CE50" s="1"/>
      </tp>
      <tp>
        <v>-0.36</v>
        <stp/>
        <stp>DELTA</stp>
        <stp>.QQQ250516P488</stp>
        <tr r="CG59" s="1"/>
        <tr r="CG59" s="1"/>
      </tp>
      <tp>
        <v>0.03</v>
        <stp/>
        <stp>DELTA</stp>
        <stp>.QQQ250509C497</stp>
        <tr r="CD50" s="1"/>
        <tr r="CD50" s="1"/>
      </tp>
      <tp>
        <v>1</v>
        <stp/>
        <stp>DELTA</stp>
        <stp>.QQQ250516C488</stp>
        <tr r="CF59" s="1"/>
        <tr r="CF59" s="1"/>
      </tp>
      <tp>
        <v>-0.44</v>
        <stp/>
        <stp>DELTA</stp>
        <stp>.QQQ250509P494</stp>
        <tr r="CE53" s="1"/>
        <tr r="CE53" s="1"/>
      </tp>
      <tp>
        <v>1</v>
        <stp/>
        <stp>DELTA</stp>
        <stp>.QQQ250509C494</stp>
        <tr r="CD53" s="1"/>
        <tr r="CD53" s="1"/>
      </tp>
      <tp>
        <v>-0.47</v>
        <stp/>
        <stp>DELTA</stp>
        <stp>.QQQ250509P495</stp>
        <tr r="CE52" s="1"/>
        <tr r="CE52" s="1"/>
      </tp>
      <tp>
        <v>1</v>
        <stp/>
        <stp>DELTA</stp>
        <stp>.QQQ250509C495</stp>
        <tr r="CD52" s="1"/>
        <tr r="CD52" s="1"/>
      </tp>
      <tp>
        <v>-0.47</v>
        <stp/>
        <stp>DELTA</stp>
        <stp>.QQQ250516P495</stp>
        <tr r="CG52" s="1"/>
        <tr r="CG52" s="1"/>
      </tp>
      <tp>
        <v>0.57999999999999996</v>
        <stp/>
        <stp>DELTA</stp>
        <stp>.QQQ250516C495</stp>
        <tr r="CF52" s="1"/>
        <tr r="CF52" s="1"/>
      </tp>
      <tp>
        <v>-0.45</v>
        <stp/>
        <stp>DELTA</stp>
        <stp>.QQQ250516P494</stp>
        <tr r="CG53" s="1"/>
        <tr r="CG53" s="1"/>
      </tp>
      <tp>
        <v>0.65</v>
        <stp/>
        <stp>DELTA</stp>
        <stp>.QQQ250516C494</stp>
        <tr r="CF53" s="1"/>
        <tr r="CF53" s="1"/>
      </tp>
      <tp>
        <v>-0.08</v>
        <stp/>
        <stp>DELTA</stp>
        <stp>.QQQ250509P488</stp>
        <tr r="CE59" s="1"/>
        <tr r="CE59" s="1"/>
      </tp>
      <tp>
        <v>-0.5</v>
        <stp/>
        <stp>DELTA</stp>
        <stp>.QQQ250516P497</stp>
        <tr r="CG50" s="1"/>
        <tr r="CG50" s="1"/>
      </tp>
      <tp>
        <v>1</v>
        <stp/>
        <stp>DELTA</stp>
        <stp>.QQQ250509C488</stp>
        <tr r="CD59" s="1"/>
        <tr r="CD59" s="1"/>
      </tp>
      <tp>
        <v>0.47</v>
        <stp/>
        <stp>DELTA</stp>
        <stp>.QQQ250516C497</stp>
        <tr r="CF50" s="1"/>
        <tr r="CF50" s="1"/>
      </tp>
      <tp>
        <v>-0.21</v>
        <stp/>
        <stp>DELTA</stp>
        <stp>.QQQ250509P489</stp>
        <tr r="CE58" s="1"/>
        <tr r="CE58" s="1"/>
      </tp>
      <tp>
        <v>-0.48</v>
        <stp/>
        <stp>DELTA</stp>
        <stp>.QQQ250516P496</stp>
        <tr r="CG51" s="1"/>
        <tr r="CG51" s="1"/>
      </tp>
      <tp>
        <v>1</v>
        <stp/>
        <stp>DELTA</stp>
        <stp>.QQQ250509C489</stp>
        <tr r="CD58" s="1"/>
        <tr r="CD58" s="1"/>
      </tp>
      <tp>
        <v>0.53</v>
        <stp/>
        <stp>DELTA</stp>
        <stp>.QQQ250516C496</stp>
        <tr r="CF51" s="1"/>
        <tr r="CF51" s="1"/>
      </tp>
      <tp>
        <v>-0.41</v>
        <stp/>
        <stp>DELTA</stp>
        <stp>.QQQ250516P491</stp>
        <tr r="CG56" s="1"/>
        <tr r="CG56" s="1"/>
      </tp>
      <tp>
        <v>1</v>
        <stp/>
        <stp>DELTA</stp>
        <stp>.QQQ250516C491</stp>
        <tr r="CF56" s="1"/>
        <tr r="CF56" s="1"/>
      </tp>
      <tp>
        <v>-0.39</v>
        <stp/>
        <stp>DELTA</stp>
        <stp>.QQQ250516P490</stp>
        <tr r="CG57" s="1"/>
        <tr r="CG57" s="1"/>
      </tp>
      <tp>
        <v>1</v>
        <stp/>
        <stp>DELTA</stp>
        <stp>.QQQ250516C490</stp>
        <tr r="CF57" s="1"/>
        <tr r="CF57" s="1"/>
      </tp>
      <tp>
        <v>-0.44</v>
        <stp/>
        <stp>DELTA</stp>
        <stp>.QQQ250516P493</stp>
        <tr r="CG54" s="1"/>
        <tr r="CG54" s="1"/>
      </tp>
      <tp>
        <v>0.73</v>
        <stp/>
        <stp>DELTA</stp>
        <stp>.QQQ250516C493</stp>
        <tr r="CF54" s="1"/>
        <tr r="CF54" s="1"/>
      </tp>
      <tp>
        <v>-0.42</v>
        <stp/>
        <stp>DELTA</stp>
        <stp>.QQQ250516P492</stp>
        <tr r="CG55" s="1"/>
        <tr r="CG55" s="1"/>
      </tp>
      <tp>
        <v>0.85</v>
        <stp/>
        <stp>DELTA</stp>
        <stp>.QQQ250516C492</stp>
        <tr r="CF55" s="1"/>
        <tr r="CF55" s="1"/>
      </tp>
      <tp>
        <v>0</v>
        <stp/>
        <stp>DELTA</stp>
        <stp>.QQQ250509P482</stp>
        <tr r="CE65" s="1"/>
        <tr r="CE65" s="1"/>
      </tp>
      <tp>
        <v>1</v>
        <stp/>
        <stp>DELTA</stp>
        <stp>.QQQ250509C482</stp>
        <tr r="CD65" s="1"/>
        <tr r="CD65" s="1"/>
      </tp>
      <tp>
        <v>0</v>
        <stp/>
        <stp>DELTA</stp>
        <stp>.QQQ250509P483</stp>
        <tr r="CE64" s="1"/>
        <tr r="CE64" s="1"/>
      </tp>
      <tp>
        <v>1</v>
        <stp/>
        <stp>DELTA</stp>
        <stp>.QQQ250509C483</stp>
        <tr r="CD64" s="1"/>
        <tr r="CD64" s="1"/>
      </tp>
      <tp>
        <v>0</v>
        <stp/>
        <stp>DELTA</stp>
        <stp>.QQQ250509P480</stp>
        <tr r="CE67" s="1"/>
        <tr r="CE67" s="1"/>
      </tp>
      <tp>
        <v>1</v>
        <stp/>
        <stp>DELTA</stp>
        <stp>.QQQ250509C480</stp>
        <tr r="CD67" s="1"/>
        <tr r="CD67" s="1"/>
      </tp>
      <tp>
        <v>0</v>
        <stp/>
        <stp>DELTA</stp>
        <stp>.QQQ250509P481</stp>
        <tr r="CE66" s="1"/>
        <tr r="CE66" s="1"/>
      </tp>
      <tp>
        <v>1</v>
        <stp/>
        <stp>DELTA</stp>
        <stp>.QQQ250509C481</stp>
        <tr r="CD66" s="1"/>
        <tr r="CD66" s="1"/>
      </tp>
      <tp>
        <v>0</v>
        <stp/>
        <stp>DELTA</stp>
        <stp>.QQQ250509P486</stp>
        <tr r="CE61" s="1"/>
        <tr r="CE61" s="1"/>
      </tp>
      <tp>
        <v>-0.52</v>
        <stp/>
        <stp>DELTA</stp>
        <stp>.QQQ250516P499</stp>
        <tr r="CG48" s="1"/>
        <tr r="CG48" s="1"/>
      </tp>
      <tp>
        <v>1</v>
        <stp/>
        <stp>DELTA</stp>
        <stp>.QQQ250509C486</stp>
        <tr r="CD61" s="1"/>
        <tr r="CD61" s="1"/>
      </tp>
      <tp>
        <v>0.39</v>
        <stp/>
        <stp>DELTA</stp>
        <stp>.QQQ250516C499</stp>
        <tr r="CF48" s="1"/>
        <tr r="CF48" s="1"/>
      </tp>
      <tp>
        <v>-0.01</v>
        <stp/>
        <stp>DELTA</stp>
        <stp>.QQQ250509P487</stp>
        <tr r="CE60" s="1"/>
        <tr r="CE60" s="1"/>
      </tp>
      <tp>
        <v>-0.51</v>
        <stp/>
        <stp>DELTA</stp>
        <stp>.QQQ250516P498</stp>
        <tr r="CG49" s="1"/>
        <tr r="CG49" s="1"/>
      </tp>
      <tp>
        <v>1</v>
        <stp/>
        <stp>DELTA</stp>
        <stp>.QQQ250509C487</stp>
        <tr r="CD60" s="1"/>
        <tr r="CD60" s="1"/>
      </tp>
      <tp>
        <v>0.43</v>
        <stp/>
        <stp>DELTA</stp>
        <stp>.QQQ250516C498</stp>
        <tr r="CF49" s="1"/>
        <tr r="CF49" s="1"/>
      </tp>
      <tp>
        <v>0</v>
        <stp/>
        <stp>DELTA</stp>
        <stp>.QQQ250509P484</stp>
        <tr r="CE63" s="1"/>
        <tr r="CE63" s="1"/>
      </tp>
      <tp>
        <v>1</v>
        <stp/>
        <stp>DELTA</stp>
        <stp>.QQQ250509C484</stp>
        <tr r="CD63" s="1"/>
        <tr r="CD63" s="1"/>
      </tp>
      <tp>
        <v>0</v>
        <stp/>
        <stp>DELTA</stp>
        <stp>.QQQ250509P485</stp>
        <tr r="CE62" s="1"/>
        <tr r="CE62" s="1"/>
      </tp>
      <tp>
        <v>1</v>
        <stp/>
        <stp>DELTA</stp>
        <stp>.QQQ250509C485</stp>
        <tr r="CD62" s="1"/>
        <tr r="CD62" s="1"/>
      </tp>
      <tp>
        <v>0</v>
        <stp/>
        <stp>DELTA</stp>
        <stp>.QQQ250509P478</stp>
        <tr r="CE69" s="1"/>
        <tr r="CE69" s="1"/>
      </tp>
      <tp>
        <v>1</v>
        <stp/>
        <stp>DELTA</stp>
        <stp>.QQQ250509C478</stp>
        <tr r="CD69" s="1"/>
        <tr r="CD69" s="1"/>
      </tp>
      <tp>
        <v>0</v>
        <stp/>
        <stp>DELTA</stp>
        <stp>.QQQ250509P479</stp>
        <tr r="CE68" s="1"/>
        <tr r="CE68" s="1"/>
      </tp>
      <tp>
        <v>1</v>
        <stp/>
        <stp>DELTA</stp>
        <stp>.QQQ250509C479</stp>
        <tr r="CD68" s="1"/>
        <tr r="CD68" s="1"/>
      </tp>
      <tp>
        <v>0</v>
        <stp/>
        <stp>DELTA</stp>
        <stp>.QQQ250509P472</stp>
        <tr r="CE75" s="1"/>
        <tr r="CE75" s="1"/>
      </tp>
      <tp>
        <v>1</v>
        <stp/>
        <stp>DELTA</stp>
        <stp>.QQQ250509C472</stp>
        <tr r="CD75" s="1"/>
        <tr r="CD75" s="1"/>
      </tp>
      <tp>
        <v>0</v>
        <stp/>
        <stp>DELTA</stp>
        <stp>.QQQ250509P473</stp>
        <tr r="CE74" s="1"/>
        <tr r="CE74" s="1"/>
      </tp>
      <tp>
        <v>1</v>
        <stp/>
        <stp>DELTA</stp>
        <stp>.QQQ250509C473</stp>
        <tr r="CD74" s="1"/>
        <tr r="CD74" s="1"/>
      </tp>
      <tp>
        <v>0</v>
        <stp/>
        <stp>DELTA</stp>
        <stp>.QQQ250509P470</stp>
        <tr r="CE77" s="1"/>
        <tr r="CE77" s="1"/>
      </tp>
      <tp>
        <v>1</v>
        <stp/>
        <stp>DELTA</stp>
        <stp>.QQQ250509C470</stp>
        <tr r="CD77" s="1"/>
        <tr r="CD77" s="1"/>
      </tp>
      <tp>
        <v>0</v>
        <stp/>
        <stp>DELTA</stp>
        <stp>.QQQ250509P471</stp>
        <tr r="CE76" s="1"/>
        <tr r="CE76" s="1"/>
      </tp>
      <tp>
        <v>1</v>
        <stp/>
        <stp>DELTA</stp>
        <stp>.QQQ250509C471</stp>
        <tr r="CD76" s="1"/>
        <tr r="CD76" s="1"/>
      </tp>
      <tp>
        <v>0</v>
        <stp/>
        <stp>DELTA</stp>
        <stp>.QQQ250509P476</stp>
        <tr r="CE71" s="1"/>
        <tr r="CE71" s="1"/>
      </tp>
      <tp>
        <v>-0.11</v>
        <stp/>
        <stp>DELTA</stp>
        <stp>.QQQ250516P469</stp>
        <tr r="CG78" s="1"/>
        <tr r="CG78" s="1"/>
      </tp>
      <tp>
        <v>1</v>
        <stp/>
        <stp>DELTA</stp>
        <stp>.QQQ250509C476</stp>
        <tr r="CD71" s="1"/>
        <tr r="CD71" s="1"/>
      </tp>
      <tp>
        <v>1</v>
        <stp/>
        <stp>DELTA</stp>
        <stp>.QQQ250516C469</stp>
        <tr r="CF78" s="1"/>
        <tr r="CF78" s="1"/>
      </tp>
      <tp>
        <v>0</v>
        <stp/>
        <stp>DELTA</stp>
        <stp>.QQQ250509P477</stp>
        <tr r="CE70" s="1"/>
        <tr r="CE70" s="1"/>
      </tp>
      <tp>
        <v>-0.1</v>
        <stp/>
        <stp>DELTA</stp>
        <stp>.QQQ250516P468</stp>
        <tr r="CG79" s="1"/>
        <tr r="CG79" s="1"/>
      </tp>
      <tp>
        <v>1</v>
        <stp/>
        <stp>DELTA</stp>
        <stp>.QQQ250509C477</stp>
        <tr r="CD70" s="1"/>
        <tr r="CD70" s="1"/>
      </tp>
      <tp>
        <v>1</v>
        <stp/>
        <stp>DELTA</stp>
        <stp>.QQQ250516C468</stp>
        <tr r="CF79" s="1"/>
        <tr r="CF79" s="1"/>
      </tp>
      <tp>
        <v>0</v>
        <stp/>
        <stp>DELTA</stp>
        <stp>.QQQ250509P474</stp>
        <tr r="CE73" s="1"/>
        <tr r="CE73" s="1"/>
      </tp>
      <tp>
        <v>1</v>
        <stp/>
        <stp>DELTA</stp>
        <stp>.QQQ250509C474</stp>
        <tr r="CD73" s="1"/>
        <tr r="CD73" s="1"/>
      </tp>
      <tp>
        <v>0</v>
        <stp/>
        <stp>DELTA</stp>
        <stp>.QQQ250509P475</stp>
        <tr r="CE72" s="1"/>
        <tr r="CE72" s="1"/>
      </tp>
      <tp>
        <v>1</v>
        <stp/>
        <stp>DELTA</stp>
        <stp>.QQQ250509C475</stp>
        <tr r="CD72" s="1"/>
        <tr r="CD72" s="1"/>
      </tp>
      <tp>
        <v>-0.17</v>
        <stp/>
        <stp>DELTA</stp>
        <stp>.QQQ250516P475</stp>
        <tr r="CG72" s="1"/>
        <tr r="CG72" s="1"/>
      </tp>
      <tp>
        <v>1</v>
        <stp/>
        <stp>DELTA</stp>
        <stp>.QQQ250516C475</stp>
        <tr r="CF72" s="1"/>
        <tr r="CF72" s="1"/>
      </tp>
      <tp>
        <v>-0.16</v>
        <stp/>
        <stp>DELTA</stp>
        <stp>.QQQ250516P474</stp>
        <tr r="CG73" s="1"/>
        <tr r="CG73" s="1"/>
      </tp>
      <tp>
        <v>1</v>
        <stp/>
        <stp>DELTA</stp>
        <stp>.QQQ250516C474</stp>
        <tr r="CF73" s="1"/>
        <tr r="CF73" s="1"/>
      </tp>
      <tp>
        <v>0</v>
        <stp/>
        <stp>DELTA</stp>
        <stp>.QQQ250509P468</stp>
        <tr r="CE79" s="1"/>
        <tr r="CE79" s="1"/>
      </tp>
      <tp>
        <v>-0.2</v>
        <stp/>
        <stp>DELTA</stp>
        <stp>.QQQ250516P477</stp>
        <tr r="CG70" s="1"/>
        <tr r="CG70" s="1"/>
      </tp>
      <tp>
        <v>1</v>
        <stp/>
        <stp>DELTA</stp>
        <stp>.QQQ250509C468</stp>
        <tr r="CD79" s="1"/>
        <tr r="CD79" s="1"/>
      </tp>
      <tp>
        <v>1</v>
        <stp/>
        <stp>DELTA</stp>
        <stp>.QQQ250516C477</stp>
        <tr r="CF70" s="1"/>
        <tr r="CF70" s="1"/>
      </tp>
      <tp>
        <v>0</v>
        <stp/>
        <stp>DELTA</stp>
        <stp>.QQQ250509P469</stp>
        <tr r="CE78" s="1"/>
        <tr r="CE78" s="1"/>
      </tp>
      <tp>
        <v>-0.18</v>
        <stp/>
        <stp>DELTA</stp>
        <stp>.QQQ250516P476</stp>
        <tr r="CG71" s="1"/>
        <tr r="CG71" s="1"/>
      </tp>
      <tp>
        <v>1</v>
        <stp/>
        <stp>DELTA</stp>
        <stp>.QQQ250509C469</stp>
        <tr r="CD78" s="1"/>
        <tr r="CD78" s="1"/>
      </tp>
      <tp>
        <v>1</v>
        <stp/>
        <stp>DELTA</stp>
        <stp>.QQQ250516C476</stp>
        <tr r="CF71" s="1"/>
        <tr r="CF71" s="1"/>
      </tp>
      <tp>
        <v>-0.13</v>
        <stp/>
        <stp>DELTA</stp>
        <stp>.QQQ250516P471</stp>
        <tr r="CG76" s="1"/>
        <tr r="CG76" s="1"/>
      </tp>
      <tp>
        <v>1</v>
        <stp/>
        <stp>DELTA</stp>
        <stp>.QQQ250516C471</stp>
        <tr r="CF76" s="1"/>
        <tr r="CF76" s="1"/>
      </tp>
      <tp>
        <v>-0.12</v>
        <stp/>
        <stp>DELTA</stp>
        <stp>.QQQ250516P470</stp>
        <tr r="CG77" s="1"/>
        <tr r="CG77" s="1"/>
      </tp>
      <tp>
        <v>1</v>
        <stp/>
        <stp>DELTA</stp>
        <stp>.QQQ250516C470</stp>
        <tr r="CF77" s="1"/>
        <tr r="CF77" s="1"/>
      </tp>
      <tp>
        <v>-0.15</v>
        <stp/>
        <stp>DELTA</stp>
        <stp>.QQQ250516P473</stp>
        <tr r="CG74" s="1"/>
        <tr r="CG74" s="1"/>
      </tp>
      <tp>
        <v>1</v>
        <stp/>
        <stp>DELTA</stp>
        <stp>.QQQ250516C473</stp>
        <tr r="CF74" s="1"/>
        <tr r="CF74" s="1"/>
      </tp>
      <tp>
        <v>-0.14000000000000001</v>
        <stp/>
        <stp>DELTA</stp>
        <stp>.QQQ250516P472</stp>
        <tr r="CG75" s="1"/>
        <tr r="CG75" s="1"/>
      </tp>
      <tp>
        <v>1</v>
        <stp/>
        <stp>DELTA</stp>
        <stp>.QQQ250516C472</stp>
        <tr r="CF75" s="1"/>
        <tr r="CF75" s="1"/>
      </tp>
      <tp>
        <v>-0.22</v>
        <stp/>
        <stp>DELTA</stp>
        <stp>.QQQ250516P479</stp>
        <tr r="CG68" s="1"/>
        <tr r="CG68" s="1"/>
      </tp>
      <tp>
        <v>1</v>
        <stp/>
        <stp>DELTA</stp>
        <stp>.QQQ250516C479</stp>
        <tr r="CF68" s="1"/>
        <tr r="CF68" s="1"/>
      </tp>
      <tp>
        <v>-0.21</v>
        <stp/>
        <stp>DELTA</stp>
        <stp>.QQQ250516P478</stp>
        <tr r="CG69" s="1"/>
        <tr r="CG69" s="1"/>
      </tp>
      <tp>
        <v>1</v>
        <stp/>
        <stp>DELTA</stp>
        <stp>.QQQ250516C478</stp>
        <tr r="CF69" s="1"/>
        <tr r="CF69" s="1"/>
      </tp>
      <tp>
        <v>-0.55000000000000004</v>
        <stp/>
        <stp>DELTA</stp>
        <stp>.QQQ250516P501</stp>
        <tr r="CG46" s="1"/>
        <tr r="CG46" s="1"/>
      </tp>
      <tp>
        <v>0.31</v>
        <stp/>
        <stp>DELTA</stp>
        <stp>.QQQ250516C501</stp>
        <tr r="CF46" s="1"/>
        <tr r="CF46" s="1"/>
      </tp>
      <tp>
        <v>-0.53</v>
        <stp/>
        <stp>DELTA</stp>
        <stp>.QQQ250516P500</stp>
        <tr r="CG47" s="1"/>
        <tr r="CG47" s="1"/>
      </tp>
      <tp>
        <v>0.35</v>
        <stp/>
        <stp>DELTA</stp>
        <stp>.QQQ250516C500</stp>
        <tr r="CF47" s="1"/>
        <tr r="CF47" s="1"/>
      </tp>
      <tp>
        <v>-0.56000000000000005</v>
        <stp/>
        <stp>DELTA</stp>
        <stp>.QQQ250516P502</stp>
        <tr r="CG45" s="1"/>
        <tr r="CG45" s="1"/>
      </tp>
      <tp>
        <v>0.28000000000000003</v>
        <stp/>
        <stp>DELTA</stp>
        <stp>.QQQ250516C502</stp>
        <tr r="CF45" s="1"/>
        <tr r="CF45" s="1"/>
      </tp>
      <tp>
        <v>-0.56999999999999995</v>
        <stp/>
        <stp>DELTA</stp>
        <stp>.QQQ250509P502</stp>
        <tr r="CE45" s="1"/>
        <tr r="CE45" s="1"/>
      </tp>
      <tp>
        <v>0.01</v>
        <stp/>
        <stp>DELTA</stp>
        <stp>.QQQ250509C502</stp>
        <tr r="CD45" s="1"/>
        <tr r="CD45" s="1"/>
      </tp>
      <tp>
        <v>-0.55000000000000004</v>
        <stp/>
        <stp>DELTA</stp>
        <stp>.QQQ250509P500</stp>
        <tr r="CE47" s="1"/>
        <tr r="CE47" s="1"/>
      </tp>
      <tp>
        <v>0.01</v>
        <stp/>
        <stp>DELTA</stp>
        <stp>.QQQ250509C500</stp>
        <tr r="CD47" s="1"/>
        <tr r="CD47" s="1"/>
      </tp>
      <tp>
        <v>-0.56000000000000005</v>
        <stp/>
        <stp>DELTA</stp>
        <stp>.QQQ250509P501</stp>
        <tr r="CE46" s="1"/>
        <tr r="CE46" s="1"/>
      </tp>
      <tp>
        <v>0.01</v>
        <stp/>
        <stp>DELTA</stp>
        <stp>.QQQ250509C501</stp>
        <tr r="CD46" s="1"/>
        <tr r="CD46" s="1"/>
      </tp>
      <tp t="s">
        <v>N/A</v>
        <stp/>
        <stp>VOLUME</stp>
        <stp>.NDXC19900</stp>
        <tr r="K164" s="2"/>
      </tp>
      <tp t="s">
        <v>N/A</v>
        <stp/>
        <stp>VOLUME</stp>
        <stp>.NDXC19925</stp>
        <tr r="K163" s="2"/>
      </tp>
      <tp t="s">
        <v>N/A</v>
        <stp/>
        <stp>VOLUME</stp>
        <stp>.NDXC19950</stp>
        <tr r="K162" s="2"/>
      </tp>
      <tp t="s">
        <v>N/A</v>
        <stp/>
        <stp>VOLUME</stp>
        <stp>.NDXC19975</stp>
        <tr r="K161" s="2"/>
      </tp>
      <tp t="s">
        <v>N/A</v>
        <stp/>
        <stp>VOLUME</stp>
        <stp>.NDXP19925</stp>
        <tr r="K163" s="2"/>
      </tp>
      <tp t="s">
        <v>N/A</v>
        <stp/>
        <stp>VOLUME</stp>
        <stp>.NDXP19900</stp>
        <tr r="K164" s="2"/>
      </tp>
      <tp t="s">
        <v>N/A</v>
        <stp/>
        <stp>VOLUME</stp>
        <stp>.NDXP19975</stp>
        <tr r="K161" s="2"/>
      </tp>
      <tp t="s">
        <v>N/A</v>
        <stp/>
        <stp>VOLUME</stp>
        <stp>.NDXP19950</stp>
        <tr r="K162" s="2"/>
      </tp>
      <tp t="s">
        <v>N/A</v>
        <stp/>
        <stp>DELTA</stp>
        <stp>.QQQ250620P502</stp>
        <tr r="CI45" s="1"/>
      </tp>
      <tp t="s">
        <v>N/A</v>
        <stp/>
        <stp>DELTA</stp>
        <stp>.QQQ250620C502</stp>
        <tr r="CH45" s="1"/>
      </tp>
      <tp t="s">
        <v>N/A</v>
        <stp/>
        <stp>DELTA</stp>
        <stp>.QQQ250620P501</stp>
        <tr r="CI46" s="1"/>
      </tp>
      <tp t="s">
        <v>N/A</v>
        <stp/>
        <stp>DELTA</stp>
        <stp>.QQQ250620C501</stp>
        <tr r="CH46" s="1"/>
      </tp>
      <tp>
        <v>-0.5</v>
        <stp/>
        <stp>DELTA</stp>
        <stp>.QQQ250620P500</stp>
        <tr r="CI47" s="1"/>
        <tr r="CI47" s="1"/>
      </tp>
      <tp>
        <v>0.49</v>
        <stp/>
        <stp>DELTA</stp>
        <stp>.QQQ250620C500</stp>
        <tr r="CH47" s="1"/>
        <tr r="CH47" s="1"/>
      </tp>
      <tp t="s">
        <v>N/A</v>
        <stp/>
        <stp>VOLUME</stp>
        <stp>.NDXC19800</stp>
        <tr r="K168" s="2"/>
      </tp>
      <tp t="s">
        <v>N/A</v>
        <stp/>
        <stp>VOLUME</stp>
        <stp>.NDXC19825</stp>
        <tr r="K167" s="2"/>
      </tp>
      <tp t="s">
        <v>N/A</v>
        <stp/>
        <stp>VOLUME</stp>
        <stp>.NDXC19850</stp>
        <tr r="K166" s="2"/>
      </tp>
      <tp t="s">
        <v>N/A</v>
        <stp/>
        <stp>VOLUME</stp>
        <stp>.NDXC19875</stp>
        <tr r="K165" s="2"/>
      </tp>
      <tp t="s">
        <v>N/A</v>
        <stp/>
        <stp>VOLUME</stp>
        <stp>.SPXWC5840</stp>
        <tr r="F89" s="2"/>
        <tr r="C89" s="2"/>
        <tr r="G89" s="2"/>
        <tr r="E89" s="2"/>
        <tr r="D89" s="2"/>
        <tr r="B89" s="2"/>
      </tp>
      <tp t="s">
        <v>N/A</v>
        <stp/>
        <stp>VOLUME</stp>
        <stp>.SPXWP5840</stp>
        <tr r="F89" s="2"/>
        <tr r="C89" s="2"/>
        <tr r="G89" s="2"/>
        <tr r="E89" s="2"/>
        <tr r="D89" s="2"/>
        <tr r="B89" s="2"/>
      </tp>
      <tp t="s">
        <v>N/A</v>
        <stp/>
        <stp>VOLUME</stp>
        <stp>.SPXWC5850</stp>
        <tr r="D88" s="2"/>
        <tr r="B88" s="2"/>
        <tr r="C88" s="2"/>
        <tr r="E88" s="2"/>
        <tr r="F88" s="2"/>
        <tr r="G88" s="2"/>
      </tp>
      <tp t="s">
        <v>N/A</v>
        <stp/>
        <stp>VOLUME</stp>
        <stp>.SPXWP5850</stp>
        <tr r="D88" s="2"/>
        <tr r="B88" s="2"/>
        <tr r="C88" s="2"/>
        <tr r="E88" s="2"/>
        <tr r="F88" s="2"/>
        <tr r="G88" s="2"/>
      </tp>
      <tp t="s">
        <v>N/A</v>
        <stp/>
        <stp>VOLUME</stp>
        <stp>.NDXP19825</stp>
        <tr r="K167" s="2"/>
      </tp>
      <tp t="s">
        <v>N/A</v>
        <stp/>
        <stp>VOLUME</stp>
        <stp>.SPXWC5860</stp>
        <tr r="C87" s="2"/>
        <tr r="B87" s="2"/>
        <tr r="F87" s="2"/>
        <tr r="D87" s="2"/>
        <tr r="E87" s="2"/>
        <tr r="G87" s="2"/>
      </tp>
      <tp t="s">
        <v>N/A</v>
        <stp/>
        <stp>VOLUME</stp>
        <stp>.SPXWP5860</stp>
        <tr r="C87" s="2"/>
        <tr r="B87" s="2"/>
        <tr r="F87" s="2"/>
        <tr r="D87" s="2"/>
        <tr r="E87" s="2"/>
        <tr r="G87" s="2"/>
      </tp>
      <tp t="s">
        <v>N/A</v>
        <stp/>
        <stp>VOLUME</stp>
        <stp>.SPXWC5870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.SPXWP5870</stp>
        <tr r="G86" s="2"/>
        <tr r="F86" s="2"/>
        <tr r="E86" s="2"/>
        <tr r="D86" s="2"/>
        <tr r="C86" s="2"/>
        <tr r="B86" s="2"/>
      </tp>
      <tp t="s">
        <v>N/A</v>
        <stp/>
        <stp>VOLUME</stp>
        <stp>.NDXP19800</stp>
        <tr r="K168" s="2"/>
      </tp>
      <tp t="s">
        <v>N/A</v>
        <stp/>
        <stp>VOLUME</stp>
        <stp>.SPXWC5800</stp>
        <tr r="D93" s="2"/>
        <tr r="E93" s="2"/>
        <tr r="C93" s="2"/>
        <tr r="G93" s="2"/>
        <tr r="B93" s="2"/>
        <tr r="F93" s="2"/>
      </tp>
      <tp t="s">
        <v>N/A</v>
        <stp/>
        <stp>VOLUME</stp>
        <stp>.SPXWP5800</stp>
        <tr r="D93" s="2"/>
        <tr r="E93" s="2"/>
        <tr r="C93" s="2"/>
        <tr r="G93" s="2"/>
        <tr r="B93" s="2"/>
        <tr r="F93" s="2"/>
      </tp>
      <tp t="s">
        <v>N/A</v>
        <stp/>
        <stp>VOLUME</stp>
        <stp>.NDXP19875</stp>
        <tr r="K165" s="2"/>
      </tp>
      <tp t="s">
        <v>N/A</v>
        <stp/>
        <stp>VOLUME</stp>
        <stp>.SPXWC5810</stp>
        <tr r="D92" s="2"/>
        <tr r="B92" s="2"/>
        <tr r="F92" s="2"/>
        <tr r="G92" s="2"/>
        <tr r="C92" s="2"/>
        <tr r="E92" s="2"/>
      </tp>
      <tp t="s">
        <v>N/A</v>
        <stp/>
        <stp>VOLUME</stp>
        <stp>.SPXWP5810</stp>
        <tr r="D92" s="2"/>
        <tr r="B92" s="2"/>
        <tr r="F92" s="2"/>
        <tr r="G92" s="2"/>
        <tr r="C92" s="2"/>
        <tr r="E92" s="2"/>
      </tp>
      <tp t="s">
        <v>N/A</v>
        <stp/>
        <stp>VOLUME</stp>
        <stp>.SPXWC5820</stp>
        <tr r="E91" s="2"/>
        <tr r="C91" s="2"/>
        <tr r="G91" s="2"/>
        <tr r="D91" s="2"/>
        <tr r="F91" s="2"/>
        <tr r="B91" s="2"/>
      </tp>
      <tp t="s">
        <v>N/A</v>
        <stp/>
        <stp>VOLUME</stp>
        <stp>.SPXWP5820</stp>
        <tr r="E91" s="2"/>
        <tr r="C91" s="2"/>
        <tr r="G91" s="2"/>
        <tr r="D91" s="2"/>
        <tr r="F91" s="2"/>
        <tr r="B91" s="2"/>
      </tp>
      <tp t="s">
        <v>N/A</v>
        <stp/>
        <stp>VOLUME</stp>
        <stp>.NDXP19850</stp>
        <tr r="K166" s="2"/>
      </tp>
      <tp t="s">
        <v>N/A</v>
        <stp/>
        <stp>VOLUME</stp>
        <stp>.SPXWC5830</stp>
        <tr r="E90" s="2"/>
        <tr r="G90" s="2"/>
        <tr r="B90" s="2"/>
        <tr r="D90" s="2"/>
        <tr r="F90" s="2"/>
        <tr r="C90" s="2"/>
      </tp>
      <tp t="s">
        <v>N/A</v>
        <stp/>
        <stp>VOLUME</stp>
        <stp>.SPXWP5830</stp>
        <tr r="E90" s="2"/>
        <tr r="G90" s="2"/>
        <tr r="B90" s="2"/>
        <tr r="D90" s="2"/>
        <tr r="F90" s="2"/>
        <tr r="C90" s="2"/>
      </tp>
      <tp t="s">
        <v>N/A</v>
        <stp/>
        <stp>DELTA</stp>
        <stp>.QQQ250620P493</stp>
        <tr r="CI54" s="1"/>
      </tp>
      <tp t="s">
        <v>N/A</v>
        <stp/>
        <stp>DELTA</stp>
        <stp>.QQQ250620C493</stp>
        <tr r="CH54" s="1"/>
      </tp>
      <tp t="s">
        <v>N/A</v>
        <stp/>
        <stp>DELTA</stp>
        <stp>.QQQ250620P492</stp>
        <tr r="CI55" s="1"/>
      </tp>
      <tp t="s">
        <v>N/A</v>
        <stp/>
        <stp>DELTA</stp>
        <stp>.QQQ250620C492</stp>
        <tr r="CH55" s="1"/>
      </tp>
      <tp t="s">
        <v>N/A</v>
        <stp/>
        <stp>DELTA</stp>
        <stp>.QQQ250620P491</stp>
        <tr r="CI56" s="1"/>
      </tp>
      <tp t="s">
        <v>N/A</v>
        <stp/>
        <stp>DELTA</stp>
        <stp>.QQQ250620C491</stp>
        <tr r="CH56" s="1"/>
      </tp>
      <tp>
        <v>-0.41</v>
        <stp/>
        <stp>DELTA</stp>
        <stp>.QQQ250620P490</stp>
        <tr r="CI57" s="1"/>
        <tr r="CI57" s="1"/>
      </tp>
      <tp>
        <v>0.63</v>
        <stp/>
        <stp>DELTA</stp>
        <stp>.QQQ250620C490</stp>
        <tr r="CH57" s="1"/>
        <tr r="CH57" s="1"/>
      </tp>
      <tp t="s">
        <v>N/A</v>
        <stp/>
        <stp>DELTA</stp>
        <stp>.QQQ250620P497</stp>
        <tr r="CI50" s="1"/>
      </tp>
      <tp t="s">
        <v>N/A</v>
        <stp/>
        <stp>DELTA</stp>
        <stp>.QQQ250620C497</stp>
        <tr r="CH50" s="1"/>
      </tp>
      <tp t="s">
        <v>N/A</v>
        <stp/>
        <stp>DELTA</stp>
        <stp>.QQQ250620P496</stp>
        <tr r="CI51" s="1"/>
      </tp>
      <tp t="s">
        <v>N/A</v>
        <stp/>
        <stp>DELTA</stp>
        <stp>.QQQ250620C496</stp>
        <tr r="CH51" s="1"/>
      </tp>
      <tp>
        <v>-0.46</v>
        <stp/>
        <stp>DELTA</stp>
        <stp>.QQQ250620P495</stp>
        <tr r="CI52" s="1"/>
        <tr r="CI52" s="1"/>
      </tp>
      <tp>
        <v>0.56000000000000005</v>
        <stp/>
        <stp>DELTA</stp>
        <stp>.QQQ250620C495</stp>
        <tr r="CH52" s="1"/>
        <tr r="CH52" s="1"/>
      </tp>
      <tp t="s">
        <v>N/A</v>
        <stp/>
        <stp>DELTA</stp>
        <stp>.QQQ250620P494</stp>
        <tr r="CI53" s="1"/>
      </tp>
      <tp t="s">
        <v>N/A</v>
        <stp/>
        <stp>DELTA</stp>
        <stp>.QQQ250620C494</stp>
        <tr r="CH53" s="1"/>
      </tp>
      <tp t="s">
        <v>N/A</v>
        <stp/>
        <stp>DELTA</stp>
        <stp>.QQQ250620P499</stp>
        <tr r="CI48" s="1"/>
      </tp>
      <tp t="s">
        <v>N/A</v>
        <stp/>
        <stp>DELTA</stp>
        <stp>.QQQ250620C499</stp>
        <tr r="CH48" s="1"/>
      </tp>
      <tp t="s">
        <v>N/A</v>
        <stp/>
        <stp>DELTA</stp>
        <stp>.QQQ250620P498</stp>
        <tr r="CI49" s="1"/>
      </tp>
      <tp t="s">
        <v>N/A</v>
        <stp/>
        <stp>DELTA</stp>
        <stp>.QQQ250620C498</stp>
        <tr r="CH49" s="1"/>
      </tp>
      <tp t="s">
        <v>N/A</v>
        <stp/>
        <stp>DELTA</stp>
        <stp>.QQQ250620P483</stp>
        <tr r="CI64" s="1"/>
      </tp>
      <tp t="s">
        <v>N/A</v>
        <stp/>
        <stp>DELTA</stp>
        <stp>.QQQ250620C483</stp>
        <tr r="CH64" s="1"/>
      </tp>
      <tp t="s">
        <v>N/A</v>
        <stp/>
        <stp>DELTA</stp>
        <stp>.QQQ250620P482</stp>
        <tr r="CI65" s="1"/>
      </tp>
      <tp t="s">
        <v>N/A</v>
        <stp/>
        <stp>DELTA</stp>
        <stp>.QQQ250620C482</stp>
        <tr r="CH65" s="1"/>
      </tp>
      <tp t="s">
        <v>N/A</v>
        <stp/>
        <stp>DELTA</stp>
        <stp>.QQQ250620P481</stp>
        <tr r="CI66" s="1"/>
      </tp>
      <tp t="s">
        <v>N/A</v>
        <stp/>
        <stp>DELTA</stp>
        <stp>.QQQ250620C481</stp>
        <tr r="CH66" s="1"/>
      </tp>
      <tp>
        <v>-0.34</v>
        <stp/>
        <stp>DELTA</stp>
        <stp>.QQQ250620P480</stp>
        <tr r="CI67" s="1"/>
        <tr r="CI67" s="1"/>
      </tp>
      <tp>
        <v>0.77</v>
        <stp/>
        <stp>DELTA</stp>
        <stp>.QQQ250620C480</stp>
        <tr r="CH67" s="1"/>
        <tr r="CH67" s="1"/>
      </tp>
      <tp t="s">
        <v>N/A</v>
        <stp/>
        <stp>DELTA</stp>
        <stp>.QQQ250620P487</stp>
        <tr r="CI60" s="1"/>
      </tp>
      <tp t="s">
        <v>N/A</v>
        <stp/>
        <stp>DELTA</stp>
        <stp>.QQQ250620C487</stp>
        <tr r="CH60" s="1"/>
      </tp>
      <tp t="s">
        <v>N/A</v>
        <stp/>
        <stp>DELTA</stp>
        <stp>.QQQ250620P486</stp>
        <tr r="CI61" s="1"/>
      </tp>
      <tp t="s">
        <v>N/A</v>
        <stp/>
        <stp>DELTA</stp>
        <stp>.QQQ250620C486</stp>
        <tr r="CH61" s="1"/>
      </tp>
      <tp>
        <v>-0.37</v>
        <stp/>
        <stp>DELTA</stp>
        <stp>.QQQ250620P485</stp>
        <tr r="CI62" s="1"/>
        <tr r="CI62" s="1"/>
      </tp>
      <tp>
        <v>0.7</v>
        <stp/>
        <stp>DELTA</stp>
        <stp>.QQQ250620C485</stp>
        <tr r="CH62" s="1"/>
        <tr r="CH62" s="1"/>
      </tp>
      <tp t="s">
        <v>N/A</v>
        <stp/>
        <stp>DELTA</stp>
        <stp>.QQQ250620P484</stp>
        <tr r="CI63" s="1"/>
      </tp>
      <tp t="s">
        <v>N/A</v>
        <stp/>
        <stp>DELTA</stp>
        <stp>.QQQ250620C484</stp>
        <tr r="CH63" s="1"/>
      </tp>
      <tp t="s">
        <v>N/A</v>
        <stp/>
        <stp>DELTA</stp>
        <stp>.QQQ250620P489</stp>
        <tr r="CI58" s="1"/>
      </tp>
      <tp t="s">
        <v>N/A</v>
        <stp/>
        <stp>DELTA</stp>
        <stp>.QQQ250620C489</stp>
        <tr r="CH58" s="1"/>
      </tp>
      <tp t="s">
        <v>N/A</v>
        <stp/>
        <stp>DELTA</stp>
        <stp>.QQQ250620P488</stp>
        <tr r="CI59" s="1"/>
      </tp>
      <tp t="s">
        <v>N/A</v>
        <stp/>
        <stp>DELTA</stp>
        <stp>.QQQ250620C488</stp>
        <tr r="CH59" s="1"/>
      </tp>
      <tp t="s">
        <v>N/A</v>
        <stp/>
        <stp>DELTA</stp>
        <stp>.QQQ250620P473</stp>
        <tr r="CI74" s="1"/>
      </tp>
      <tp t="s">
        <v>N/A</v>
        <stp/>
        <stp>DELTA</stp>
        <stp>.QQQ250620C473</stp>
        <tr r="CH74" s="1"/>
      </tp>
      <tp t="s">
        <v>N/A</v>
        <stp/>
        <stp>DELTA</stp>
        <stp>.QQQ250620P472</stp>
        <tr r="CI75" s="1"/>
      </tp>
      <tp t="s">
        <v>N/A</v>
        <stp/>
        <stp>DELTA</stp>
        <stp>.QQQ250620C472</stp>
        <tr r="CH75" s="1"/>
      </tp>
      <tp t="s">
        <v>N/A</v>
        <stp/>
        <stp>DELTA</stp>
        <stp>.QQQ250620P471</stp>
        <tr r="CI76" s="1"/>
      </tp>
      <tp t="s">
        <v>N/A</v>
        <stp/>
        <stp>DELTA</stp>
        <stp>.QQQ250620C471</stp>
        <tr r="CH76" s="1"/>
      </tp>
      <tp>
        <v>-0.27</v>
        <stp/>
        <stp>DELTA</stp>
        <stp>.QQQ250620P470</stp>
        <tr r="CI77" s="1"/>
        <tr r="CI77" s="1"/>
      </tp>
      <tp>
        <v>0.92</v>
        <stp/>
        <stp>DELTA</stp>
        <stp>.QQQ250620C470</stp>
        <tr r="CH77" s="1"/>
        <tr r="CH77" s="1"/>
      </tp>
      <tp t="s">
        <v>N/A</v>
        <stp/>
        <stp>DELTA</stp>
        <stp>.QQQ250620P477</stp>
        <tr r="CI70" s="1"/>
      </tp>
      <tp t="s">
        <v>N/A</v>
        <stp/>
        <stp>DELTA</stp>
        <stp>.QQQ250620C477</stp>
        <tr r="CH70" s="1"/>
      </tp>
      <tp t="s">
        <v>N/A</v>
        <stp/>
        <stp>DELTA</stp>
        <stp>.QQQ250620P476</stp>
        <tr r="CI71" s="1"/>
      </tp>
      <tp t="s">
        <v>N/A</v>
        <stp/>
        <stp>DELTA</stp>
        <stp>.QQQ250620C476</stp>
        <tr r="CH71" s="1"/>
      </tp>
      <tp>
        <v>-0.3</v>
        <stp/>
        <stp>DELTA</stp>
        <stp>.QQQ250620P475</stp>
        <tr r="CI72" s="1"/>
        <tr r="CI72" s="1"/>
      </tp>
      <tp>
        <v>0.84</v>
        <stp/>
        <stp>DELTA</stp>
        <stp>.QQQ250620C475</stp>
        <tr r="CH72" s="1"/>
        <tr r="CH72" s="1"/>
      </tp>
      <tp t="s">
        <v>N/A</v>
        <stp/>
        <stp>DELTA</stp>
        <stp>.QQQ250620P474</stp>
        <tr r="CI73" s="1"/>
      </tp>
      <tp t="s">
        <v>N/A</v>
        <stp/>
        <stp>DELTA</stp>
        <stp>.QQQ250620C474</stp>
        <tr r="CH73" s="1"/>
      </tp>
      <tp t="s">
        <v>N/A</v>
        <stp/>
        <stp>DELTA</stp>
        <stp>.QQQ250620P479</stp>
        <tr r="CI68" s="1"/>
      </tp>
      <tp t="s">
        <v>N/A</v>
        <stp/>
        <stp>DELTA</stp>
        <stp>.QQQ250620C479</stp>
        <tr r="CH68" s="1"/>
      </tp>
      <tp t="s">
        <v>N/A</v>
        <stp/>
        <stp>DELTA</stp>
        <stp>.QQQ250620P478</stp>
        <tr r="CI69" s="1"/>
      </tp>
      <tp t="s">
        <v>N/A</v>
        <stp/>
        <stp>DELTA</stp>
        <stp>.QQQ250620C478</stp>
        <tr r="CH69" s="1"/>
      </tp>
      <tp t="s">
        <v>N/A</v>
        <stp/>
        <stp>DELTA</stp>
        <stp>.QQQ250620P469</stp>
        <tr r="CI78" s="1"/>
      </tp>
      <tp t="s">
        <v>N/A</v>
        <stp/>
        <stp>DELTA</stp>
        <stp>.QQQ250620C469</stp>
        <tr r="CH78" s="1"/>
      </tp>
      <tp t="s">
        <v>N/A</v>
        <stp/>
        <stp>DELTA</stp>
        <stp>.QQQ250620P468</stp>
        <tr r="CI79" s="1"/>
      </tp>
      <tp t="s">
        <v>N/A</v>
        <stp/>
        <stp>DELTA</stp>
        <stp>.QQQ250620C468</stp>
        <tr r="CH79" s="1"/>
      </tp>
      <tp>
        <v>449.3</v>
        <stp/>
        <stp>BID</stp>
        <stp>.NDXP250509C19575</stp>
        <tr r="DE176" s="1"/>
        <tr r="DE176" s="1"/>
      </tp>
      <tp>
        <v>0</v>
        <stp/>
        <stp>BID</stp>
        <stp>.NDXP250509C20550</stp>
        <tr r="DE137" s="1"/>
        <tr r="DE137" s="1"/>
      </tp>
      <tp>
        <v>481.2</v>
        <stp/>
        <stp>BID</stp>
        <stp>.NDXP250509C19550</stp>
        <tr r="DE177" s="1"/>
        <tr r="DE177" s="1"/>
      </tp>
      <tp>
        <v>0</v>
        <stp/>
        <stp>BID</stp>
        <stp>.NDXP250509C20525</stp>
        <tr r="DE138" s="1"/>
        <tr r="DE138" s="1"/>
      </tp>
      <tp>
        <v>499.3</v>
        <stp/>
        <stp>BID</stp>
        <stp>.NDXP250509C19525</stp>
        <tr r="DE178" s="1"/>
        <tr r="DE178" s="1"/>
      </tp>
      <tp>
        <v>0</v>
        <stp/>
        <stp>BID</stp>
        <stp>.NDXP250509C20500</stp>
        <tr r="DE139" s="1"/>
        <tr r="DE139" s="1"/>
      </tp>
      <tp>
        <v>530.70000000000005</v>
        <stp/>
        <stp>BID</stp>
        <stp>.NDXP250509C19500</stp>
        <tr r="DE179" s="1"/>
        <tr r="DE179" s="1"/>
      </tp>
      <tp>
        <v>454</v>
        <stp/>
        <stp>BID</stp>
        <stp>.NDXP250509P20550</stp>
        <tr r="DF137" s="1"/>
        <tr r="DF137" s="1"/>
      </tp>
      <tp>
        <v>0</v>
        <stp/>
        <stp>BID</stp>
        <stp>.NDXP250509P19550</stp>
        <tr r="DF177" s="1"/>
        <tr r="DF177" s="1"/>
      </tp>
      <tp>
        <v>0</v>
        <stp/>
        <stp>BID</stp>
        <stp>.NDXP250509P19575</stp>
        <tr r="DF176" s="1"/>
        <tr r="DF176" s="1"/>
      </tp>
      <tp>
        <v>412.3</v>
        <stp/>
        <stp>BID</stp>
        <stp>.NDXP250509P20500</stp>
        <tr r="DF139" s="1"/>
        <tr r="DF139" s="1"/>
      </tp>
      <tp>
        <v>0</v>
        <stp/>
        <stp>BID</stp>
        <stp>.NDXP250509P19500</stp>
        <tr r="DF179" s="1"/>
        <tr r="DF179" s="1"/>
      </tp>
      <tp>
        <v>428</v>
        <stp/>
        <stp>BID</stp>
        <stp>.NDXP250509P20525</stp>
        <tr r="DF138" s="1"/>
        <tr r="DF138" s="1"/>
      </tp>
      <tp>
        <v>0</v>
        <stp/>
        <stp>BID</stp>
        <stp>.NDXP250509P19525</stp>
        <tr r="DF178" s="1"/>
        <tr r="DF178" s="1"/>
      </tp>
      <tp>
        <v>0</v>
        <stp/>
        <stp>BID</stp>
        <stp>.NDXP250509C20475</stp>
        <tr r="DE140" s="1"/>
        <tr r="DE140" s="1"/>
      </tp>
      <tp>
        <v>555.70000000000005</v>
        <stp/>
        <stp>BID</stp>
        <stp>.NDXP250509C19475</stp>
        <tr r="DE180" s="1"/>
        <tr r="DE180" s="1"/>
      </tp>
      <tp>
        <v>0</v>
        <stp/>
        <stp>BID</stp>
        <stp>.NDXP250509C20450</stp>
        <tr r="DE141" s="1"/>
        <tr r="DE141" s="1"/>
      </tp>
      <tp>
        <v>580.70000000000005</v>
        <stp/>
        <stp>BID</stp>
        <stp>.NDXP250509C19450</stp>
        <tr r="DE181" s="1"/>
        <tr r="DE181" s="1"/>
      </tp>
      <tp>
        <v>0</v>
        <stp/>
        <stp>BID</stp>
        <stp>.NDXP250509C20425</stp>
        <tr r="DE142" s="1"/>
        <tr r="DE142" s="1"/>
      </tp>
      <tp>
        <v>605.70000000000005</v>
        <stp/>
        <stp>BID</stp>
        <stp>.NDXP250509C19425</stp>
        <tr r="DE182" s="1"/>
        <tr r="DE182" s="1"/>
      </tp>
      <tp>
        <v>0</v>
        <stp/>
        <stp>BID</stp>
        <stp>.NDXP250509C20400</stp>
        <tr r="DE143" s="1"/>
        <tr r="DE143" s="1"/>
      </tp>
      <tp>
        <v>624.29999999999995</v>
        <stp/>
        <stp>BID</stp>
        <stp>.NDXP250509C19400</stp>
        <tr r="DE183" s="1"/>
        <tr r="DE183" s="1"/>
      </tp>
      <tp>
        <v>368</v>
        <stp/>
        <stp>BID</stp>
        <stp>.NDXP250509P20450</stp>
        <tr r="DF141" s="1"/>
        <tr r="DF141" s="1"/>
      </tp>
      <tp>
        <v>0</v>
        <stp/>
        <stp>BID</stp>
        <stp>.NDXP250509P19450</stp>
        <tr r="DF181" s="1"/>
        <tr r="DF181" s="1"/>
      </tp>
      <tp>
        <v>394</v>
        <stp/>
        <stp>BID</stp>
        <stp>.NDXP250509P20475</stp>
        <tr r="DF140" s="1"/>
        <tr r="DF140" s="1"/>
      </tp>
      <tp>
        <v>0</v>
        <stp/>
        <stp>BID</stp>
        <stp>.NDXP250509P19475</stp>
        <tr r="DF180" s="1"/>
        <tr r="DF180" s="1"/>
      </tp>
      <tp>
        <v>318</v>
        <stp/>
        <stp>BID</stp>
        <stp>.NDXP250509P20400</stp>
        <tr r="DF143" s="1"/>
        <tr r="DF143" s="1"/>
      </tp>
      <tp>
        <v>0</v>
        <stp/>
        <stp>BID</stp>
        <stp>.NDXP250509P19400</stp>
        <tr r="DF183" s="1"/>
        <tr r="DF183" s="1"/>
      </tp>
      <tp>
        <v>344</v>
        <stp/>
        <stp>BID</stp>
        <stp>.NDXP250509P20425</stp>
        <tr r="DF142" s="1"/>
        <tr r="DF142" s="1"/>
      </tp>
      <tp>
        <v>0</v>
        <stp/>
        <stp>BID</stp>
        <stp>.NDXP250509P19425</stp>
        <tr r="DF182" s="1"/>
        <tr r="DF182" s="1"/>
      </tp>
      <tp>
        <v>189.9</v>
        <stp/>
        <stp>ASK</stp>
        <stp>.NDXP250509C19875</stp>
        <tr r="DC164" s="1"/>
        <tr r="DC164" s="1"/>
      </tp>
      <tp>
        <v>259.8</v>
        <stp/>
        <stp>BID</stp>
        <stp>.NDXP250509C19775</stp>
        <tr r="DE168" s="1"/>
        <tr r="DE168" s="1"/>
      </tp>
      <tp>
        <v>214.9</v>
        <stp/>
        <stp>ASK</stp>
        <stp>.NDXP250509C19850</stp>
        <tr r="DC165" s="1"/>
        <tr r="DC165" s="1"/>
      </tp>
      <tp>
        <v>284.8</v>
        <stp/>
        <stp>BID</stp>
        <stp>.NDXP250509C19750</stp>
        <tr r="DE169" s="1"/>
        <tr r="DE169" s="1"/>
      </tp>
      <tp>
        <v>258</v>
        <stp/>
        <stp>ASK</stp>
        <stp>.NDXP250509C19825</stp>
        <tr r="DC166" s="1"/>
        <tr r="DC166" s="1"/>
      </tp>
      <tp>
        <v>309.8</v>
        <stp/>
        <stp>BID</stp>
        <stp>.NDXP250509C19725</stp>
        <tr r="DE170" s="1"/>
        <tr r="DE170" s="1"/>
      </tp>
      <tp>
        <v>282</v>
        <stp/>
        <stp>ASK</stp>
        <stp>.NDXP250509C19800</stp>
        <tr r="DC167" s="1"/>
        <tr r="DC167" s="1"/>
      </tp>
      <tp>
        <v>334.8</v>
        <stp/>
        <stp>BID</stp>
        <stp>.NDXP250509C19700</stp>
        <tr r="DE171" s="1"/>
        <tr r="DE171" s="1"/>
      </tp>
      <tp>
        <v>19.8</v>
        <stp/>
        <stp>ASK</stp>
        <stp>.NDXP250509P19850</stp>
        <tr r="DD165" s="1"/>
        <tr r="DD165" s="1"/>
      </tp>
      <tp>
        <v>0</v>
        <stp/>
        <stp>BID</stp>
        <stp>.NDXP250509P19750</stp>
        <tr r="DF169" s="1"/>
        <tr r="DF169" s="1"/>
      </tp>
      <tp>
        <v>19.8</v>
        <stp/>
        <stp>ASK</stp>
        <stp>.NDXP250509P19875</stp>
        <tr r="DD164" s="1"/>
        <tr r="DD164" s="1"/>
      </tp>
      <tp>
        <v>0</v>
        <stp/>
        <stp>BID</stp>
        <stp>.NDXP250509P19775</stp>
        <tr r="DF168" s="1"/>
        <tr r="DF168" s="1"/>
      </tp>
      <tp>
        <v>0.05</v>
        <stp/>
        <stp>ASK</stp>
        <stp>.NDXP250509P19800</stp>
        <tr r="DD167" s="1"/>
        <tr r="DD167" s="1"/>
      </tp>
      <tp>
        <v>0</v>
        <stp/>
        <stp>BID</stp>
        <stp>.NDXP250509P19700</stp>
        <tr r="DF171" s="1"/>
        <tr r="DF171" s="1"/>
      </tp>
      <tp>
        <v>19.8</v>
        <stp/>
        <stp>ASK</stp>
        <stp>.NDXP250509P19825</stp>
        <tr r="DD166" s="1"/>
        <tr r="DD166" s="1"/>
      </tp>
      <tp>
        <v>0</v>
        <stp/>
        <stp>BID</stp>
        <stp>.NDXP250509P19725</stp>
        <tr r="DF170" s="1"/>
        <tr r="DF170" s="1"/>
      </tp>
      <tp t="s">
        <v>N/A</v>
        <stp/>
        <stp>VOLUME</stp>
        <stp>.NDXPP19975</stp>
        <tr r="C161" s="2"/>
        <tr r="B161" s="2"/>
        <tr r="D161" s="2"/>
        <tr r="F161" s="2"/>
        <tr r="E161" s="2"/>
        <tr r="G161" s="2"/>
      </tp>
      <tp t="s">
        <v>N/A</v>
        <stp/>
        <stp>VOLUME</stp>
        <stp>.NDXPP19950</stp>
        <tr r="C162" s="2"/>
        <tr r="G162" s="2"/>
        <tr r="D162" s="2"/>
        <tr r="F162" s="2"/>
        <tr r="B162" s="2"/>
        <tr r="E162" s="2"/>
      </tp>
      <tp t="s">
        <v>N/A</v>
        <stp/>
        <stp>VOLUME</stp>
        <stp>.NDXPP19925</stp>
        <tr r="C163" s="2"/>
        <tr r="E163" s="2"/>
        <tr r="B163" s="2"/>
        <tr r="G163" s="2"/>
        <tr r="D163" s="2"/>
        <tr r="F163" s="2"/>
      </tp>
      <tp t="s">
        <v>N/A</v>
        <stp/>
        <stp>VOLUME</stp>
        <stp>.NDXPP19900</stp>
        <tr r="B164" s="2"/>
        <tr r="E164" s="2"/>
        <tr r="G164" s="2"/>
        <tr r="F164" s="2"/>
        <tr r="D164" s="2"/>
        <tr r="C164" s="2"/>
      </tp>
      <tp t="s">
        <v>N/A</v>
        <stp/>
        <stp>VOLUME</stp>
        <stp>.NDXPC19950</stp>
        <tr r="C162" s="2"/>
        <tr r="G162" s="2"/>
        <tr r="D162" s="2"/>
        <tr r="F162" s="2"/>
        <tr r="B162" s="2"/>
        <tr r="E162" s="2"/>
      </tp>
      <tp t="s">
        <v>N/A</v>
        <stp/>
        <stp>VOLUME</stp>
        <stp>.NDXPC19975</stp>
        <tr r="C161" s="2"/>
        <tr r="B161" s="2"/>
        <tr r="D161" s="2"/>
        <tr r="F161" s="2"/>
        <tr r="E161" s="2"/>
        <tr r="G161" s="2"/>
      </tp>
      <tp t="s">
        <v>N/A</v>
        <stp/>
        <stp>VOLUME</stp>
        <stp>.NDXPC19900</stp>
        <tr r="B164" s="2"/>
        <tr r="E164" s="2"/>
        <tr r="G164" s="2"/>
        <tr r="F164" s="2"/>
        <tr r="D164" s="2"/>
        <tr r="C164" s="2"/>
      </tp>
      <tp t="s">
        <v>N/A</v>
        <stp/>
        <stp>VOLUME</stp>
        <stp>.NDXPC19925</stp>
        <tr r="C163" s="2"/>
        <tr r="E163" s="2"/>
        <tr r="B163" s="2"/>
        <tr r="G163" s="2"/>
        <tr r="D163" s="2"/>
        <tr r="F163" s="2"/>
      </tp>
      <tp>
        <v>90</v>
        <stp/>
        <stp>ASK</stp>
        <stp>.NDXP250509C19975</stp>
        <tr r="DC160" s="1"/>
        <tr r="DC160" s="1"/>
      </tp>
      <tp>
        <v>359.8</v>
        <stp/>
        <stp>BID</stp>
        <stp>.NDXP250509C19675</stp>
        <tr r="DE172" s="1"/>
        <tr r="DE172" s="1"/>
      </tp>
      <tp>
        <v>116.6</v>
        <stp/>
        <stp>ASK</stp>
        <stp>.NDXP250509C19950</stp>
        <tr r="DC161" s="1"/>
        <tr r="DC161" s="1"/>
      </tp>
      <tp>
        <v>384.8</v>
        <stp/>
        <stp>BID</stp>
        <stp>.NDXP250509C19650</stp>
        <tr r="DE173" s="1"/>
        <tr r="DE173" s="1"/>
      </tp>
      <tp>
        <v>142</v>
        <stp/>
        <stp>ASK</stp>
        <stp>.NDXP250509C19925</stp>
        <tr r="DC162" s="1"/>
        <tr r="DC162" s="1"/>
      </tp>
      <tp>
        <v>410.8</v>
        <stp/>
        <stp>BID</stp>
        <stp>.NDXP250509C19625</stp>
        <tr r="DE174" s="1"/>
        <tr r="DE174" s="1"/>
      </tp>
      <tp>
        <v>164.9</v>
        <stp/>
        <stp>ASK</stp>
        <stp>.NDXP250509C19900</stp>
        <tr r="DC163" s="1"/>
        <tr r="DC163" s="1"/>
      </tp>
      <tp>
        <v>431.2</v>
        <stp/>
        <stp>BID</stp>
        <stp>.NDXP250509C19600</stp>
        <tr r="DE175" s="1"/>
        <tr r="DE175" s="1"/>
      </tp>
      <tp>
        <v>2</v>
        <stp/>
        <stp>ASK</stp>
        <stp>.NDXP250509P19950</stp>
        <tr r="DD161" s="1"/>
        <tr r="DD161" s="1"/>
      </tp>
      <tp>
        <v>0</v>
        <stp/>
        <stp>BID</stp>
        <stp>.NDXP250509P19650</stp>
        <tr r="DF173" s="1"/>
        <tr r="DF173" s="1"/>
      </tp>
      <tp>
        <v>19.8</v>
        <stp/>
        <stp>ASK</stp>
        <stp>.NDXP250509P19975</stp>
        <tr r="DD160" s="1"/>
        <tr r="DD160" s="1"/>
      </tp>
      <tp>
        <v>0</v>
        <stp/>
        <stp>BID</stp>
        <stp>.NDXP250509P19675</stp>
        <tr r="DF172" s="1"/>
        <tr r="DF172" s="1"/>
      </tp>
      <tp>
        <v>0.05</v>
        <stp/>
        <stp>ASK</stp>
        <stp>.NDXP250509P19900</stp>
        <tr r="DD163" s="1"/>
        <tr r="DD163" s="1"/>
      </tp>
      <tp>
        <v>0</v>
        <stp/>
        <stp>BID</stp>
        <stp>.NDXP250509P19600</stp>
        <tr r="DF175" s="1"/>
        <tr r="DF175" s="1"/>
      </tp>
      <tp>
        <v>0.05</v>
        <stp/>
        <stp>ASK</stp>
        <stp>.NDXP250509P19925</stp>
        <tr r="DD162" s="1"/>
        <tr r="DD162" s="1"/>
      </tp>
      <tp>
        <v>0</v>
        <stp/>
        <stp>BID</stp>
        <stp>.NDXP250509P19625</stp>
        <tr r="DF174" s="1"/>
        <tr r="DF174" s="1"/>
      </tp>
      <tp t="s">
        <v>N/A</v>
        <stp/>
        <stp>VOLUME</stp>
        <stp>.NDXPP19875</stp>
        <tr r="F165" s="2"/>
        <tr r="D165" s="2"/>
        <tr r="E165" s="2"/>
        <tr r="C165" s="2"/>
        <tr r="B165" s="2"/>
        <tr r="G165" s="2"/>
      </tp>
      <tp t="s">
        <v>N/A</v>
        <stp/>
        <stp>VOLUME</stp>
        <stp>.NDXPP19850</stp>
        <tr r="E166" s="2"/>
        <tr r="B166" s="2"/>
        <tr r="C166" s="2"/>
        <tr r="D166" s="2"/>
        <tr r="G166" s="2"/>
        <tr r="F166" s="2"/>
      </tp>
      <tp t="s">
        <v>N/A</v>
        <stp/>
        <stp>VOLUME</stp>
        <stp>.NDXPP19825</stp>
        <tr r="D167" s="2"/>
        <tr r="E167" s="2"/>
        <tr r="F167" s="2"/>
        <tr r="B167" s="2"/>
        <tr r="G167" s="2"/>
        <tr r="C167" s="2"/>
      </tp>
      <tp t="s">
        <v>N/A</v>
        <stp/>
        <stp>VOLUME</stp>
        <stp>.NDXPP19800</stp>
        <tr r="F168" s="2"/>
        <tr r="G168" s="2"/>
        <tr r="B168" s="2"/>
        <tr r="C168" s="2"/>
        <tr r="D168" s="2"/>
        <tr r="E168" s="2"/>
      </tp>
      <tp>
        <v>154.09</v>
        <stp/>
        <stp>LAST</stp>
        <stp>.SPXW250509P5820</stp>
        <tr r="DB90" s="1"/>
        <tr r="DB90" s="1"/>
      </tp>
      <tp t="s">
        <v>N/A</v>
        <stp/>
        <stp>VOLUME</stp>
        <stp>.NDXPC19850</stp>
        <tr r="E166" s="2"/>
        <tr r="B166" s="2"/>
        <tr r="C166" s="2"/>
        <tr r="D166" s="2"/>
        <tr r="G166" s="2"/>
        <tr r="F166" s="2"/>
      </tp>
      <tp>
        <v>0.03</v>
        <stp/>
        <stp>LAST</stp>
        <stp>.SPXW250509C5820</stp>
        <tr r="DA90" s="1"/>
        <tr r="DA90" s="1"/>
      </tp>
      <tp>
        <v>168.23</v>
        <stp/>
        <stp>LAST</stp>
        <stp>.SPXW250509P5830</stp>
        <tr r="DB89" s="1"/>
        <tr r="DB89" s="1"/>
      </tp>
      <tp>
        <v>0.05</v>
        <stp/>
        <stp>LAST</stp>
        <stp>.SPXW250509C5830</stp>
        <tr r="DA89" s="1"/>
        <tr r="DA89" s="1"/>
      </tp>
      <tp>
        <v>131.08000000000001</v>
        <stp/>
        <stp>LAST</stp>
        <stp>.SPXW250509P5800</stp>
        <tr r="DB92" s="1"/>
        <tr r="DB92" s="1"/>
      </tp>
      <tp>
        <v>0.03</v>
        <stp/>
        <stp>LAST</stp>
        <stp>.SPXW250509C5800</stp>
        <tr r="DA92" s="1"/>
        <tr r="DA92" s="1"/>
      </tp>
      <tp t="s">
        <v>N/A</v>
        <stp/>
        <stp>VOLUME</stp>
        <stp>.NDXPC19875</stp>
        <tr r="F165" s="2"/>
        <tr r="D165" s="2"/>
        <tr r="E165" s="2"/>
        <tr r="C165" s="2"/>
        <tr r="B165" s="2"/>
        <tr r="G165" s="2"/>
      </tp>
      <tp>
        <v>148.02000000000001</v>
        <stp/>
        <stp>LAST</stp>
        <stp>.SPXW250509P5810</stp>
        <tr r="DB91" s="1"/>
        <tr r="DB91" s="1"/>
      </tp>
      <tp>
        <v>0.05</v>
        <stp/>
        <stp>LAST</stp>
        <stp>.SPXW250509C5810</stp>
        <tr r="DA91" s="1"/>
        <tr r="DA91" s="1"/>
      </tp>
      <tp>
        <v>153.43</v>
        <stp/>
        <stp>LAST</stp>
        <stp>.SPXW250509P5860</stp>
        <tr r="DB86" s="1"/>
        <tr r="DB86" s="1"/>
      </tp>
      <tp>
        <v>0.03</v>
        <stp/>
        <stp>LAST</stp>
        <stp>.SPXW250509C5860</stp>
        <tr r="DA86" s="1"/>
        <tr r="DA86" s="1"/>
      </tp>
      <tp>
        <v>215.75</v>
        <stp/>
        <stp>LAST</stp>
        <stp>.SPXW250509P5870</stp>
        <tr r="DB85" s="1"/>
        <tr r="DB85" s="1"/>
      </tp>
      <tp t="s">
        <v>N/A</v>
        <stp/>
        <stp>VOLUME</stp>
        <stp>.NDXPC19800</stp>
        <tr r="F168" s="2"/>
        <tr r="G168" s="2"/>
        <tr r="B168" s="2"/>
        <tr r="C168" s="2"/>
        <tr r="D168" s="2"/>
        <tr r="E168" s="2"/>
      </tp>
      <tp>
        <v>0.03</v>
        <stp/>
        <stp>LAST</stp>
        <stp>.SPXW250509C5870</stp>
        <tr r="DA85" s="1"/>
        <tr r="DA85" s="1"/>
      </tp>
      <tp>
        <v>169.55</v>
        <stp/>
        <stp>LAST</stp>
        <stp>.SPXW250509P5840</stp>
        <tr r="DB88" s="1"/>
        <tr r="DB88" s="1"/>
      </tp>
      <tp>
        <v>0.05</v>
        <stp/>
        <stp>LAST</stp>
        <stp>.SPXW250509C5840</stp>
        <tr r="DA88" s="1"/>
        <tr r="DA88" s="1"/>
      </tp>
      <tp>
        <v>185.92</v>
        <stp/>
        <stp>LAST</stp>
        <stp>.SPXW250509P5850</stp>
        <tr r="DB87" s="1"/>
        <tr r="DB87" s="1"/>
      </tp>
      <tp>
        <v>0.05</v>
        <stp/>
        <stp>LAST</stp>
        <stp>.SPXW250509C5850</stp>
        <tr r="DA87" s="1"/>
        <tr r="DA87" s="1"/>
      </tp>
      <tp t="s">
        <v>N/A</v>
        <stp/>
        <stp>VOLUME</stp>
        <stp>.NDXPC19825</stp>
        <tr r="D167" s="2"/>
        <tr r="E167" s="2"/>
        <tr r="F167" s="2"/>
        <tr r="B167" s="2"/>
        <tr r="G167" s="2"/>
        <tr r="C167" s="2"/>
      </tp>
      <tp>
        <v>0</v>
        <stp/>
        <stp>BID</stp>
        <stp>.NDXP250509C20175</stp>
        <tr r="DE152" s="1"/>
        <tr r="DE152" s="1"/>
      </tp>
      <tp>
        <v>0</v>
        <stp/>
        <stp>BID</stp>
        <stp>.NDXP250509C20150</stp>
        <tr r="DE153" s="1"/>
        <tr r="DE153" s="1"/>
      </tp>
      <tp>
        <v>0</v>
        <stp/>
        <stp>BID</stp>
        <stp>.NDXP250509C20125</stp>
        <tr r="DE154" s="1"/>
        <tr r="DE154" s="1"/>
      </tp>
      <tp>
        <v>0.2</v>
        <stp/>
        <stp>BID</stp>
        <stp>.NDXP250509C20100</stp>
        <tr r="DE155" s="1"/>
        <tr r="DE155" s="1"/>
      </tp>
      <tp>
        <v>84.6</v>
        <stp/>
        <stp>BID</stp>
        <stp>.NDXP250509P20150</stp>
        <tr r="DF153" s="1"/>
        <tr r="DF153" s="1"/>
      </tp>
      <tp>
        <v>110.1</v>
        <stp/>
        <stp>BID</stp>
        <stp>.NDXP250509P20175</stp>
        <tr r="DF152" s="1"/>
        <tr r="DF152" s="1"/>
      </tp>
      <tp>
        <v>34.9</v>
        <stp/>
        <stp>BID</stp>
        <stp>.NDXP250509P20100</stp>
        <tr r="DF155" s="1"/>
        <tr r="DF155" s="1"/>
      </tp>
      <tp>
        <v>59.9</v>
        <stp/>
        <stp>BID</stp>
        <stp>.NDXP250509P20125</stp>
        <tr r="DF154" s="1"/>
        <tr r="DF154" s="1"/>
      </tp>
      <tp>
        <v>300</v>
        <stp/>
        <stp>OPEN_INT</stp>
        <stp>.SPX250516C5720</stp>
        <tr r="AU100" s="1"/>
        <tr r="AU100" s="1"/>
      </tp>
      <tp>
        <v>3841</v>
        <stp/>
        <stp>OPEN_INT</stp>
        <stp>.SPX250620C5440</stp>
        <tr r="AW128" s="1"/>
        <tr r="AW128" s="1"/>
      </tp>
      <tp>
        <v>573</v>
        <stp/>
        <stp>OPEN_INT</stp>
        <stp>.SPX250516P5720</stp>
        <tr r="AV100" s="1"/>
        <tr r="AV100" s="1"/>
      </tp>
      <tp>
        <v>4109</v>
        <stp/>
        <stp>OPEN_INT</stp>
        <stp>.SPX250620P5440</stp>
        <tr r="AX128" s="1"/>
        <tr r="AX128" s="1"/>
      </tp>
      <tp>
        <v>942</v>
        <stp/>
        <stp>OPEN_INT</stp>
        <stp>.SPX250516C5730</stp>
        <tr r="AU99" s="1"/>
        <tr r="AU99" s="1"/>
      </tp>
      <tp>
        <v>16320</v>
        <stp/>
        <stp>OPEN_INT</stp>
        <stp>.SPX250620C5450</stp>
        <tr r="AW127" s="1"/>
        <tr r="AW127" s="1"/>
      </tp>
      <tp>
        <v>315</v>
        <stp/>
        <stp>OPEN_INT</stp>
        <stp>.SPX250516P5730</stp>
        <tr r="AV99" s="1"/>
        <tr r="AV99" s="1"/>
      </tp>
      <tp>
        <v>26499</v>
        <stp/>
        <stp>OPEN_INT</stp>
        <stp>.SPX250620P5450</stp>
        <tr r="AX127" s="1"/>
        <tr r="AX127" s="1"/>
      </tp>
      <tp>
        <v>14723</v>
        <stp/>
        <stp>OPEN_INT</stp>
        <stp>.SPX250516C5700</stp>
        <tr r="AU102" s="1"/>
        <tr r="AU102" s="1"/>
      </tp>
      <tp>
        <v>5138</v>
        <stp/>
        <stp>OPEN_INT</stp>
        <stp>.SPX250620C5460</stp>
        <tr r="AW126" s="1"/>
        <tr r="AW126" s="1"/>
      </tp>
      <tp>
        <v>19567</v>
        <stp/>
        <stp>OPEN_INT</stp>
        <stp>.SPX250516P5700</stp>
        <tr r="AV102" s="1"/>
        <tr r="AV102" s="1"/>
      </tp>
      <tp>
        <v>5051</v>
        <stp/>
        <stp>OPEN_INT</stp>
        <stp>.SPX250620P5460</stp>
        <tr r="AX126" s="1"/>
        <tr r="AX126" s="1"/>
      </tp>
      <tp>
        <v>2212</v>
        <stp/>
        <stp>OPEN_INT</stp>
        <stp>.SPX250516C5710</stp>
        <tr r="AU101" s="1"/>
        <tr r="AU101" s="1"/>
      </tp>
      <tp>
        <v>5934</v>
        <stp/>
        <stp>OPEN_INT</stp>
        <stp>.SPX250620C5470</stp>
        <tr r="AW125" s="1"/>
        <tr r="AW125" s="1"/>
      </tp>
      <tp>
        <v>2047</v>
        <stp/>
        <stp>OPEN_INT</stp>
        <stp>.SPX250516P5710</stp>
        <tr r="AV101" s="1"/>
        <tr r="AV101" s="1"/>
      </tp>
      <tp>
        <v>5726</v>
        <stp/>
        <stp>OPEN_INT</stp>
        <stp>.SPX250620P5470</stp>
        <tr r="AX125" s="1"/>
        <tr r="AX125" s="1"/>
      </tp>
      <tp>
        <v>1338</v>
        <stp/>
        <stp>OPEN_INT</stp>
        <stp>.SPX250516C5760</stp>
        <tr r="AU96" s="1"/>
        <tr r="AU96" s="1"/>
      </tp>
      <tp>
        <v>1624</v>
        <stp/>
        <stp>OPEN_INT</stp>
        <stp>.SPX250516P5760</stp>
        <tr r="AV96" s="1"/>
        <tr r="AV96" s="1"/>
      </tp>
      <tp>
        <v>396</v>
        <stp/>
        <stp>OPEN_INT</stp>
        <stp>.SPX250516C5770</stp>
        <tr r="AU95" s="1"/>
        <tr r="AU95" s="1"/>
      </tp>
      <tp>
        <v>581</v>
        <stp/>
        <stp>OPEN_INT</stp>
        <stp>.SPX250516P5770</stp>
        <tr r="AV95" s="1"/>
        <tr r="AV95" s="1"/>
      </tp>
      <tp>
        <v>674</v>
        <stp/>
        <stp>OPEN_INT</stp>
        <stp>.SPX250516C5740</stp>
        <tr r="AU98" s="1"/>
        <tr r="AU98" s="1"/>
      </tp>
      <tp>
        <v>2404</v>
        <stp/>
        <stp>OPEN_INT</stp>
        <stp>.SPX250620C5420</stp>
        <tr r="AW130" s="1"/>
        <tr r="AW130" s="1"/>
      </tp>
      <tp>
        <v>338</v>
        <stp/>
        <stp>OPEN_INT</stp>
        <stp>.SPX250516P5740</stp>
        <tr r="AV98" s="1"/>
        <tr r="AV98" s="1"/>
      </tp>
      <tp>
        <v>2748</v>
        <stp/>
        <stp>OPEN_INT</stp>
        <stp>.SPX250620P5420</stp>
        <tr r="AX130" s="1"/>
        <tr r="AX130" s="1"/>
      </tp>
      <tp>
        <v>11423</v>
        <stp/>
        <stp>OPEN_INT</stp>
        <stp>.SPX250516C5750</stp>
        <tr r="AU97" s="1"/>
        <tr r="AU97" s="1"/>
      </tp>
      <tp>
        <v>6766</v>
        <stp/>
        <stp>OPEN_INT</stp>
        <stp>.SPX250620C5430</stp>
        <tr r="AW129" s="1"/>
        <tr r="AW129" s="1"/>
      </tp>
      <tp>
        <v>8734</v>
        <stp/>
        <stp>OPEN_INT</stp>
        <stp>.SPX250516P5750</stp>
        <tr r="AV97" s="1"/>
        <tr r="AV97" s="1"/>
      </tp>
      <tp>
        <v>5059</v>
        <stp/>
        <stp>OPEN_INT</stp>
        <stp>.SPX250620P5430</stp>
        <tr r="AX129" s="1"/>
        <tr r="AX129" s="1"/>
      </tp>
      <tp>
        <v>1186</v>
        <stp/>
        <stp>OPEN_INT</stp>
        <stp>.SPX250516C5780</stp>
        <tr r="AU94" s="1"/>
        <tr r="AU94" s="1"/>
      </tp>
      <tp>
        <v>1612</v>
        <stp/>
        <stp>OPEN_INT</stp>
        <stp>.SPX250516P5780</stp>
        <tr r="AV94" s="1"/>
        <tr r="AV94" s="1"/>
      </tp>
      <tp>
        <v>1922</v>
        <stp/>
        <stp>OPEN_INT</stp>
        <stp>.SPX250516C5790</stp>
        <tr r="AU93" s="1"/>
        <tr r="AU93" s="1"/>
      </tp>
      <tp>
        <v>1474</v>
        <stp/>
        <stp>OPEN_INT</stp>
        <stp>.SPX250516P5790</stp>
        <tr r="AV93" s="1"/>
        <tr r="AV93" s="1"/>
      </tp>
      <tp>
        <v>6363</v>
        <stp/>
        <stp>OPEN_INT</stp>
        <stp>.SPX250620C5480</stp>
        <tr r="AW124" s="1"/>
        <tr r="AW124" s="1"/>
      </tp>
      <tp>
        <v>6626</v>
        <stp/>
        <stp>OPEN_INT</stp>
        <stp>.SPX250620P5480</stp>
        <tr r="AX124" s="1"/>
        <tr r="AX124" s="1"/>
      </tp>
      <tp>
        <v>2414</v>
        <stp/>
        <stp>OPEN_INT</stp>
        <stp>.SPX250620C5490</stp>
        <tr r="AW123" s="1"/>
        <tr r="AW123" s="1"/>
      </tp>
      <tp>
        <v>2531</v>
        <stp/>
        <stp>OPEN_INT</stp>
        <stp>.SPX250620P5490</stp>
        <tr r="AX123" s="1"/>
        <tr r="AX123" s="1"/>
      </tp>
      <tp t="s">
        <v>16.99%</v>
        <stp/>
        <stp>IMPL_VOL</stp>
        <stp>.SPX250620P5600</stp>
        <tr r="EQ112" s="1"/>
      </tp>
      <tp t="s">
        <v>17.16%</v>
        <stp/>
        <stp>IMPL_VOL</stp>
        <stp>.SPX250516P5560</stp>
        <tr r="EO116" s="1"/>
      </tp>
      <tp t="s">
        <v>25.65%</v>
        <stp/>
        <stp>IMPL_VOL</stp>
        <stp>.SPX250620C5600</stp>
        <tr r="EP112" s="1"/>
      </tp>
      <tp t="s">
        <v>49.58%</v>
        <stp/>
        <stp>IMPL_VOL</stp>
        <stp>.SPX250516C5560</stp>
        <tr r="EN116" s="1"/>
      </tp>
      <tp t="s">
        <v>16.79%</v>
        <stp/>
        <stp>IMPL_VOL</stp>
        <stp>.SPX250620P5610</stp>
        <tr r="EQ111" s="1"/>
      </tp>
      <tp t="s">
        <v>16.73%</v>
        <stp/>
        <stp>IMPL_VOL</stp>
        <stp>.SPX250516P5570</stp>
        <tr r="EO115" s="1"/>
      </tp>
      <tp t="s">
        <v>25.40%</v>
        <stp/>
        <stp>IMPL_VOL</stp>
        <stp>.SPX250620C5610</stp>
        <tr r="EP111" s="1"/>
      </tp>
      <tp t="s">
        <v>48.42%</v>
        <stp/>
        <stp>IMPL_VOL</stp>
        <stp>.SPX250516C5570</stp>
        <tr r="EN115" s="1"/>
      </tp>
      <tp t="s">
        <v>16.59%</v>
        <stp/>
        <stp>IMPL_VOL</stp>
        <stp>.SPX250620P5620</stp>
        <tr r="EQ110" s="1"/>
      </tp>
      <tp t="s">
        <v>18.00%</v>
        <stp/>
        <stp>IMPL_VOL</stp>
        <stp>.SPX250516P5540</stp>
        <tr r="EO118" s="1"/>
      </tp>
      <tp t="s">
        <v>25.15%</v>
        <stp/>
        <stp>IMPL_VOL</stp>
        <stp>.SPX250620C5620</stp>
        <tr r="EP110" s="1"/>
      </tp>
      <tp t="s">
        <v>51.95%</v>
        <stp/>
        <stp>IMPL_VOL</stp>
        <stp>.SPX250516C5540</stp>
        <tr r="EN118" s="1"/>
      </tp>
      <tp t="s">
        <v>16.39%</v>
        <stp/>
        <stp>IMPL_VOL</stp>
        <stp>.SPX250620P5630</stp>
        <tr r="EQ109" s="1"/>
      </tp>
      <tp t="s">
        <v>17.57%</v>
        <stp/>
        <stp>IMPL_VOL</stp>
        <stp>.SPX250516P5550</stp>
        <tr r="EO117" s="1"/>
      </tp>
      <tp t="s">
        <v>24.90%</v>
        <stp/>
        <stp>IMPL_VOL</stp>
        <stp>.SPX250620C5630</stp>
        <tr r="EP109" s="1"/>
      </tp>
      <tp t="s">
        <v>50.58%</v>
        <stp/>
        <stp>IMPL_VOL</stp>
        <stp>.SPX250516C5550</stp>
        <tr r="EN117" s="1"/>
      </tp>
      <tp t="s">
        <v>16.18%</v>
        <stp/>
        <stp>IMPL_VOL</stp>
        <stp>.SPX250620P5640</stp>
        <tr r="EQ108" s="1"/>
      </tp>
      <tp t="s">
        <v>18.79%</v>
        <stp/>
        <stp>IMPL_VOL</stp>
        <stp>.SPX250516P5520</stp>
        <tr r="EO120" s="1"/>
      </tp>
      <tp t="s">
        <v>24.65%</v>
        <stp/>
        <stp>IMPL_VOL</stp>
        <stp>.SPX250620C5640</stp>
        <tr r="EP108" s="1"/>
      </tp>
      <tp t="s">
        <v>53.99%</v>
        <stp/>
        <stp>IMPL_VOL</stp>
        <stp>.SPX250516C5520</stp>
        <tr r="EN120" s="1"/>
      </tp>
      <tp t="s">
        <v>15.97%</v>
        <stp/>
        <stp>IMPL_VOL</stp>
        <stp>.SPX250620P5650</stp>
        <tr r="EQ107" s="1"/>
      </tp>
      <tp t="s">
        <v>18.39%</v>
        <stp/>
        <stp>IMPL_VOL</stp>
        <stp>.SPX250516P5530</stp>
        <tr r="EO119" s="1"/>
      </tp>
      <tp t="s">
        <v>24.41%</v>
        <stp/>
        <stp>IMPL_VOL</stp>
        <stp>.SPX250620C5650</stp>
        <tr r="EP107" s="1"/>
      </tp>
      <tp t="s">
        <v>53.51%</v>
        <stp/>
        <stp>IMPL_VOL</stp>
        <stp>.SPX250516C5530</stp>
        <tr r="EN119" s="1"/>
      </tp>
      <tp t="s">
        <v>15.75%</v>
        <stp/>
        <stp>IMPL_VOL</stp>
        <stp>.SPX250620P5660</stp>
        <tr r="EQ106" s="1"/>
      </tp>
      <tp t="s">
        <v>19.66%</v>
        <stp/>
        <stp>IMPL_VOL</stp>
        <stp>.SPX250516P5500</stp>
        <tr r="EO122" s="1"/>
      </tp>
      <tp t="s">
        <v>24.16%</v>
        <stp/>
        <stp>IMPL_VOL</stp>
        <stp>.SPX250620C5660</stp>
        <tr r="EP106" s="1"/>
      </tp>
      <tp t="s">
        <v>56.64%</v>
        <stp/>
        <stp>IMPL_VOL</stp>
        <stp>.SPX250516C5500</stp>
        <tr r="EN122" s="1"/>
      </tp>
      <tp t="s">
        <v>15.53%</v>
        <stp/>
        <stp>IMPL_VOL</stp>
        <stp>.SPX250620P5670</stp>
        <tr r="EQ105" s="1"/>
      </tp>
      <tp t="s">
        <v>19.21%</v>
        <stp/>
        <stp>IMPL_VOL</stp>
        <stp>.SPX250516P5510</stp>
        <tr r="EO121" s="1"/>
      </tp>
      <tp t="s">
        <v>23.93%</v>
        <stp/>
        <stp>IMPL_VOL</stp>
        <stp>.SPX250620C5670</stp>
        <tr r="EP105" s="1"/>
      </tp>
      <tp t="s">
        <v>55.25%</v>
        <stp/>
        <stp>IMPL_VOL</stp>
        <stp>.SPX250516C5510</stp>
        <tr r="EN121" s="1"/>
      </tp>
      <tp t="s">
        <v>15.31%</v>
        <stp/>
        <stp>IMPL_VOL</stp>
        <stp>.SPX250620P5680</stp>
        <tr r="EQ104" s="1"/>
      </tp>
      <tp t="s">
        <v>23.69%</v>
        <stp/>
        <stp>IMPL_VOL</stp>
        <stp>.SPX250620C5680</stp>
        <tr r="EP104" s="1"/>
      </tp>
      <tp t="s">
        <v>15.08%</v>
        <stp/>
        <stp>IMPL_VOL</stp>
        <stp>.SPX250620P5690</stp>
        <tr r="EQ103" s="1"/>
      </tp>
      <tp t="s">
        <v>23.44%</v>
        <stp/>
        <stp>IMPL_VOL</stp>
        <stp>.SPX250620C5690</stp>
        <tr r="EP103" s="1"/>
      </tp>
      <tp t="s">
        <v>16.27%</v>
        <stp/>
        <stp>IMPL_VOL</stp>
        <stp>.SPX250516P5580</stp>
        <tr r="EO114" s="1"/>
      </tp>
      <tp t="s">
        <v>47.83%</v>
        <stp/>
        <stp>IMPL_VOL</stp>
        <stp>.SPX250516C5580</stp>
        <tr r="EN114" s="1"/>
      </tp>
      <tp t="s">
        <v>15.83%</v>
        <stp/>
        <stp>IMPL_VOL</stp>
        <stp>.SPX250516P5590</stp>
        <tr r="EO113" s="1"/>
      </tp>
      <tp t="s">
        <v>46.21%</v>
        <stp/>
        <stp>IMPL_VOL</stp>
        <stp>.SPX250516C5590</stp>
        <tr r="EN113" s="1"/>
      </tp>
      <tp>
        <v>0.1</v>
        <stp/>
        <stp>BID</stp>
        <stp>.NDXP250509C20075</stp>
        <tr r="DE156" s="1"/>
        <tr r="DE156" s="1"/>
      </tp>
      <tp>
        <v>8</v>
        <stp/>
        <stp>BID</stp>
        <stp>.NDXP250509C20050</stp>
        <tr r="DE157" s="1"/>
        <tr r="DE157" s="1"/>
      </tp>
      <tp>
        <v>25</v>
        <stp/>
        <stp>BID</stp>
        <stp>.NDXP250509C20025</stp>
        <tr r="DE158" s="1"/>
        <tr r="DE158" s="1"/>
      </tp>
      <tp>
        <v>48</v>
        <stp/>
        <stp>BID</stp>
        <stp>.NDXP250509C20000</stp>
        <tr r="DE159" s="1"/>
        <tr r="DE159" s="1"/>
      </tp>
      <tp>
        <v>0.5</v>
        <stp/>
        <stp>BID</stp>
        <stp>.NDXP250509P20050</stp>
        <tr r="DF157" s="1"/>
        <tr r="DF157" s="1"/>
      </tp>
      <tp>
        <v>10.6</v>
        <stp/>
        <stp>BID</stp>
        <stp>.NDXP250509P20075</stp>
        <tr r="DF156" s="1"/>
        <tr r="DF156" s="1"/>
      </tp>
      <tp>
        <v>0</v>
        <stp/>
        <stp>BID</stp>
        <stp>.NDXP250509P20000</stp>
        <tr r="DF159" s="1"/>
        <tr r="DF159" s="1"/>
      </tp>
      <tp>
        <v>0</v>
        <stp/>
        <stp>BID</stp>
        <stp>.NDXP250509P20025</stp>
        <tr r="DF158" s="1"/>
        <tr r="DF158" s="1"/>
      </tp>
      <tp>
        <v>1265</v>
        <stp/>
        <stp>OPEN_INT</stp>
        <stp>.SPX250516C5620</stp>
        <tr r="AU110" s="1"/>
        <tr r="AU110" s="1"/>
      </tp>
      <tp>
        <v>3278</v>
        <stp/>
        <stp>OPEN_INT</stp>
        <stp>.SPX250620C5540</stp>
        <tr r="AW118" s="1"/>
        <tr r="AW118" s="1"/>
      </tp>
      <tp>
        <v>976</v>
        <stp/>
        <stp>OPEN_INT</stp>
        <stp>.SPX250516P5620</stp>
        <tr r="AV110" s="1"/>
        <tr r="AV110" s="1"/>
      </tp>
      <tp>
        <v>3324</v>
        <stp/>
        <stp>OPEN_INT</stp>
        <stp>.SPX250620P5540</stp>
        <tr r="AX118" s="1"/>
        <tr r="AX118" s="1"/>
      </tp>
      <tp>
        <v>785</v>
        <stp/>
        <stp>OPEN_INT</stp>
        <stp>.SPX250516C5630</stp>
        <tr r="AU109" s="1"/>
        <tr r="AU109" s="1"/>
      </tp>
      <tp>
        <v>21109</v>
        <stp/>
        <stp>OPEN_INT</stp>
        <stp>.SPX250620C5550</stp>
        <tr r="AW117" s="1"/>
        <tr r="AW117" s="1"/>
      </tp>
      <tp>
        <v>1336</v>
        <stp/>
        <stp>OPEN_INT</stp>
        <stp>.SPX250516P5630</stp>
        <tr r="AV109" s="1"/>
        <tr r="AV109" s="1"/>
      </tp>
      <tp>
        <v>25399</v>
        <stp/>
        <stp>OPEN_INT</stp>
        <stp>.SPX250620P5550</stp>
        <tr r="AX117" s="1"/>
        <tr r="AX117" s="1"/>
      </tp>
      <tp>
        <v>24338</v>
        <stp/>
        <stp>OPEN_INT</stp>
        <stp>.SPX250516C5600</stp>
        <tr r="AU112" s="1"/>
        <tr r="AU112" s="1"/>
      </tp>
      <tp>
        <v>3030</v>
        <stp/>
        <stp>OPEN_INT</stp>
        <stp>.SPX250620C5560</stp>
        <tr r="AW116" s="1"/>
        <tr r="AW116" s="1"/>
      </tp>
      <tp>
        <v>19927</v>
        <stp/>
        <stp>OPEN_INT</stp>
        <stp>.SPX250516P5600</stp>
        <tr r="AV112" s="1"/>
        <tr r="AV112" s="1"/>
      </tp>
      <tp>
        <v>3428</v>
        <stp/>
        <stp>OPEN_INT</stp>
        <stp>.SPX250620P5560</stp>
        <tr r="AX116" s="1"/>
        <tr r="AX116" s="1"/>
      </tp>
      <tp>
        <v>468</v>
        <stp/>
        <stp>OPEN_INT</stp>
        <stp>.SPX250516C5610</stp>
        <tr r="AU111" s="1"/>
        <tr r="AU111" s="1"/>
      </tp>
      <tp>
        <v>3647</v>
        <stp/>
        <stp>OPEN_INT</stp>
        <stp>.SPX250620C5570</stp>
        <tr r="AW115" s="1"/>
        <tr r="AW115" s="1"/>
      </tp>
      <tp>
        <v>556</v>
        <stp/>
        <stp>OPEN_INT</stp>
        <stp>.SPX250516P5610</stp>
        <tr r="AV111" s="1"/>
        <tr r="AV111" s="1"/>
      </tp>
      <tp>
        <v>3811</v>
        <stp/>
        <stp>OPEN_INT</stp>
        <stp>.SPX250620P5570</stp>
        <tr r="AX115" s="1"/>
        <tr r="AX115" s="1"/>
      </tp>
      <tp>
        <v>1555</v>
        <stp/>
        <stp>OPEN_INT</stp>
        <stp>.SPX250516C5660</stp>
        <tr r="AU106" s="1"/>
        <tr r="AU106" s="1"/>
      </tp>
      <tp>
        <v>32775</v>
        <stp/>
        <stp>OPEN_INT</stp>
        <stp>.SPX250620C5500</stp>
        <tr r="AW122" s="1"/>
        <tr r="AW122" s="1"/>
      </tp>
      <tp>
        <v>1481</v>
        <stp/>
        <stp>OPEN_INT</stp>
        <stp>.SPX250516P5660</stp>
        <tr r="AV106" s="1"/>
        <tr r="AV106" s="1"/>
      </tp>
      <tp>
        <v>41827</v>
        <stp/>
        <stp>OPEN_INT</stp>
        <stp>.SPX250620P5500</stp>
        <tr r="AX122" s="1"/>
        <tr r="AX122" s="1"/>
      </tp>
      <tp>
        <v>752</v>
        <stp/>
        <stp>OPEN_INT</stp>
        <stp>.SPX250516C5670</stp>
        <tr r="AU105" s="1"/>
        <tr r="AU105" s="1"/>
      </tp>
      <tp>
        <v>4804</v>
        <stp/>
        <stp>OPEN_INT</stp>
        <stp>.SPX250620C5510</stp>
        <tr r="AW121" s="1"/>
        <tr r="AW121" s="1"/>
      </tp>
      <tp>
        <v>1925</v>
        <stp/>
        <stp>OPEN_INT</stp>
        <stp>.SPX250516P5670</stp>
        <tr r="AV105" s="1"/>
        <tr r="AV105" s="1"/>
      </tp>
      <tp>
        <v>4779</v>
        <stp/>
        <stp>OPEN_INT</stp>
        <stp>.SPX250620P5510</stp>
        <tr r="AX121" s="1"/>
        <tr r="AX121" s="1"/>
      </tp>
      <tp>
        <v>1410</v>
        <stp/>
        <stp>OPEN_INT</stp>
        <stp>.SPX250516C5640</stp>
        <tr r="AU108" s="1"/>
        <tr r="AU108" s="1"/>
      </tp>
      <tp>
        <v>2264</v>
        <stp/>
        <stp>OPEN_INT</stp>
        <stp>.SPX250620C5520</stp>
        <tr r="AW120" s="1"/>
        <tr r="AW120" s="1"/>
      </tp>
      <tp>
        <v>855</v>
        <stp/>
        <stp>OPEN_INT</stp>
        <stp>.SPX250516P5640</stp>
        <tr r="AV108" s="1"/>
        <tr r="AV108" s="1"/>
      </tp>
      <tp>
        <v>2867</v>
        <stp/>
        <stp>OPEN_INT</stp>
        <stp>.SPX250620P5520</stp>
        <tr r="AX120" s="1"/>
        <tr r="AX120" s="1"/>
      </tp>
      <tp>
        <v>17030</v>
        <stp/>
        <stp>OPEN_INT</stp>
        <stp>.SPX250516C5650</stp>
        <tr r="AU107" s="1"/>
        <tr r="AU107" s="1"/>
      </tp>
      <tp>
        <v>5711</v>
        <stp/>
        <stp>OPEN_INT</stp>
        <stp>.SPX250620C5530</stp>
        <tr r="AW119" s="1"/>
        <tr r="AW119" s="1"/>
      </tp>
      <tp>
        <v>17316</v>
        <stp/>
        <stp>OPEN_INT</stp>
        <stp>.SPX250516P5650</stp>
        <tr r="AV107" s="1"/>
        <tr r="AV107" s="1"/>
      </tp>
      <tp>
        <v>2961</v>
        <stp/>
        <stp>OPEN_INT</stp>
        <stp>.SPX250620P5530</stp>
        <tr r="AX119" s="1"/>
        <tr r="AX119" s="1"/>
      </tp>
      <tp>
        <v>499</v>
        <stp/>
        <stp>OPEN_INT</stp>
        <stp>.SPX250516C5680</stp>
        <tr r="AU104" s="1"/>
        <tr r="AU104" s="1"/>
      </tp>
      <tp>
        <v>835</v>
        <stp/>
        <stp>OPEN_INT</stp>
        <stp>.SPX250516P5680</stp>
        <tr r="AV104" s="1"/>
        <tr r="AV104" s="1"/>
      </tp>
      <tp>
        <v>1560</v>
        <stp/>
        <stp>OPEN_INT</stp>
        <stp>.SPX250516C5690</stp>
        <tr r="AU103" s="1"/>
        <tr r="AU103" s="1"/>
      </tp>
      <tp>
        <v>1881</v>
        <stp/>
        <stp>OPEN_INT</stp>
        <stp>.SPX250516P5690</stp>
        <tr r="AV103" s="1"/>
        <tr r="AV103" s="1"/>
      </tp>
      <tp>
        <v>4274</v>
        <stp/>
        <stp>OPEN_INT</stp>
        <stp>.SPX250620C5580</stp>
        <tr r="AW114" s="1"/>
        <tr r="AW114" s="1"/>
      </tp>
      <tp>
        <v>3075</v>
        <stp/>
        <stp>OPEN_INT</stp>
        <stp>.SPX250620P5580</stp>
        <tr r="AX114" s="1"/>
        <tr r="AX114" s="1"/>
      </tp>
      <tp>
        <v>3173</v>
        <stp/>
        <stp>OPEN_INT</stp>
        <stp>.SPX250620C5590</stp>
        <tr r="AW113" s="1"/>
        <tr r="AW113" s="1"/>
      </tp>
      <tp>
        <v>2975</v>
        <stp/>
        <stp>OPEN_INT</stp>
        <stp>.SPX250620P5590</stp>
        <tr r="AX113" s="1"/>
        <tr r="AX113" s="1"/>
      </tp>
      <tp t="s">
        <v>14.83%</v>
        <stp/>
        <stp>IMPL_VOL</stp>
        <stp>.SPX250620P5700</stp>
        <tr r="EQ102" s="1"/>
      </tp>
      <tp t="s">
        <v>21.29%</v>
        <stp/>
        <stp>IMPL_VOL</stp>
        <stp>.SPX250516P5460</stp>
        <tr r="EO126" s="1"/>
      </tp>
      <tp t="s">
        <v>23.20%</v>
        <stp/>
        <stp>IMPL_VOL</stp>
        <stp>.SPX250620C5700</stp>
        <tr r="EP102" s="1"/>
      </tp>
      <tp t="s">
        <v>61.46%</v>
        <stp/>
        <stp>IMPL_VOL</stp>
        <stp>.SPX250516C5460</stp>
        <tr r="EN126" s="1"/>
      </tp>
      <tp t="s">
        <v>14.59%</v>
        <stp/>
        <stp>IMPL_VOL</stp>
        <stp>.SPX250620P5710</stp>
        <tr r="EQ101" s="1"/>
      </tp>
      <tp t="s">
        <v>20.83%</v>
        <stp/>
        <stp>IMPL_VOL</stp>
        <stp>.SPX250516P5470</stp>
        <tr r="EO125" s="1"/>
      </tp>
      <tp t="s">
        <v>22.97%</v>
        <stp/>
        <stp>IMPL_VOL</stp>
        <stp>.SPX250620C5710</stp>
        <tr r="EP101" s="1"/>
      </tp>
      <tp t="s">
        <v>60.18%</v>
        <stp/>
        <stp>IMPL_VOL</stp>
        <stp>.SPX250516C5470</stp>
        <tr r="EN125" s="1"/>
      </tp>
      <tp t="s">
        <v>14.34%</v>
        <stp/>
        <stp>IMPL_VOL</stp>
        <stp>.SPX250620P5720</stp>
        <tr r="EQ100" s="1"/>
      </tp>
      <tp t="s">
        <v>22.16%</v>
        <stp/>
        <stp>IMPL_VOL</stp>
        <stp>.SPX250516P5440</stp>
        <tr r="EO128" s="1"/>
      </tp>
      <tp t="s">
        <v>22.71%</v>
        <stp/>
        <stp>IMPL_VOL</stp>
        <stp>.SPX250620C5720</stp>
        <tr r="EP100" s="1"/>
      </tp>
      <tp t="s">
        <v>64.05%</v>
        <stp/>
        <stp>IMPL_VOL</stp>
        <stp>.SPX250516C5440</stp>
        <tr r="EN128" s="1"/>
      </tp>
      <tp t="s">
        <v>14.09%</v>
        <stp/>
        <stp>IMPL_VOL</stp>
        <stp>.SPX250620P5730</stp>
        <tr r="EQ99" s="1"/>
      </tp>
      <tp t="s">
        <v>21.68%</v>
        <stp/>
        <stp>IMPL_VOL</stp>
        <stp>.SPX250516P5450</stp>
        <tr r="EO127" s="1"/>
      </tp>
      <tp t="s">
        <v>22.48%</v>
        <stp/>
        <stp>IMPL_VOL</stp>
        <stp>.SPX250620C5730</stp>
        <tr r="EP99" s="1"/>
      </tp>
      <tp t="s">
        <v>63.02%</v>
        <stp/>
        <stp>IMPL_VOL</stp>
        <stp>.SPX250516C5450</stp>
        <tr r="EN127" s="1"/>
      </tp>
      <tp t="s">
        <v>13.82%</v>
        <stp/>
        <stp>IMPL_VOL</stp>
        <stp>.SPX250620P5740</stp>
        <tr r="EQ98" s="1"/>
      </tp>
      <tp t="s">
        <v>23.03%</v>
        <stp/>
        <stp>IMPL_VOL</stp>
        <stp>.SPX250516P5420</stp>
        <tr r="EO130" s="1"/>
      </tp>
      <tp t="s">
        <v>22.23%</v>
        <stp/>
        <stp>IMPL_VOL</stp>
        <stp>.SPX250620C5740</stp>
        <tr r="EP98" s="1"/>
      </tp>
      <tp t="s">
        <v>66.61%</v>
        <stp/>
        <stp>IMPL_VOL</stp>
        <stp>.SPX250516C5420</stp>
        <tr r="EN130" s="1"/>
      </tp>
      <tp t="s">
        <v>13.54%</v>
        <stp/>
        <stp>IMPL_VOL</stp>
        <stp>.SPX250620P5750</stp>
        <tr r="EQ97" s="1"/>
      </tp>
      <tp t="s">
        <v>22.57%</v>
        <stp/>
        <stp>IMPL_VOL</stp>
        <stp>.SPX250516P5430</stp>
        <tr r="EO129" s="1"/>
      </tp>
      <tp t="s">
        <v>22.01%</v>
        <stp/>
        <stp>IMPL_VOL</stp>
        <stp>.SPX250620C5750</stp>
        <tr r="EP97" s="1"/>
      </tp>
      <tp t="s">
        <v>65.35%</v>
        <stp/>
        <stp>IMPL_VOL</stp>
        <stp>.SPX250516C5430</stp>
        <tr r="EN129" s="1"/>
      </tp>
      <tp t="s">
        <v>13.25%</v>
        <stp/>
        <stp>IMPL_VOL</stp>
        <stp>.SPX250620P5760</stp>
        <tr r="EQ96" s="1"/>
      </tp>
      <tp t="s">
        <v>21.77%</v>
        <stp/>
        <stp>IMPL_VOL</stp>
        <stp>.SPX250620C5760</stp>
        <tr r="EP96" s="1"/>
      </tp>
      <tp t="s">
        <v>12.96%</v>
        <stp/>
        <stp>IMPL_VOL</stp>
        <stp>.SPX250620P5770</stp>
        <tr r="EQ95" s="1"/>
      </tp>
      <tp t="s">
        <v>21.55%</v>
        <stp/>
        <stp>IMPL_VOL</stp>
        <stp>.SPX250620C5770</stp>
        <tr r="EP95" s="1"/>
      </tp>
      <tp t="s">
        <v>12.65%</v>
        <stp/>
        <stp>IMPL_VOL</stp>
        <stp>.SPX250620P5780</stp>
        <tr r="EQ94" s="1"/>
      </tp>
      <tp t="s">
        <v>21.31%</v>
        <stp/>
        <stp>IMPL_VOL</stp>
        <stp>.SPX250620C5780</stp>
        <tr r="EP94" s="1"/>
      </tp>
      <tp t="s">
        <v>12.33%</v>
        <stp/>
        <stp>IMPL_VOL</stp>
        <stp>.SPX250620P5790</stp>
        <tr r="EQ93" s="1"/>
      </tp>
      <tp t="s">
        <v>21.09%</v>
        <stp/>
        <stp>IMPL_VOL</stp>
        <stp>.SPX250620C5790</stp>
        <tr r="EP93" s="1"/>
      </tp>
      <tp t="s">
        <v>20.44%</v>
        <stp/>
        <stp>IMPL_VOL</stp>
        <stp>.SPX250516P5480</stp>
        <tr r="EO124" s="1"/>
      </tp>
      <tp t="s">
        <v>58.90%</v>
        <stp/>
        <stp>IMPL_VOL</stp>
        <stp>.SPX250516C5480</stp>
        <tr r="EN124" s="1"/>
      </tp>
      <tp t="s">
        <v>20.06%</v>
        <stp/>
        <stp>IMPL_VOL</stp>
        <stp>.SPX250516P5490</stp>
        <tr r="EO123" s="1"/>
      </tp>
      <tp t="s">
        <v>57.63%</v>
        <stp/>
        <stp>IMPL_VOL</stp>
        <stp>.SPX250516C5490</stp>
        <tr r="EN123" s="1"/>
      </tp>
      <tp>
        <v>0</v>
        <stp/>
        <stp>BID</stp>
        <stp>.NDXP250509C20375</stp>
        <tr r="DE144" s="1"/>
        <tr r="DE144" s="1"/>
      </tp>
      <tp>
        <v>649.29999999999995</v>
        <stp/>
        <stp>BID</stp>
        <stp>.NDXP250509C19375</stp>
        <tr r="DE184" s="1"/>
        <tr r="DE184" s="1"/>
      </tp>
      <tp>
        <v>0</v>
        <stp/>
        <stp>BID</stp>
        <stp>.NDXP250509C20350</stp>
        <tr r="DE145" s="1"/>
        <tr r="DE145" s="1"/>
      </tp>
      <tp>
        <v>674.3</v>
        <stp/>
        <stp>BID</stp>
        <stp>.NDXP250509C19350</stp>
        <tr r="DE185" s="1"/>
        <tr r="DE185" s="1"/>
      </tp>
      <tp>
        <v>0</v>
        <stp/>
        <stp>BID</stp>
        <stp>.NDXP250509C20325</stp>
        <tr r="DE146" s="1"/>
        <tr r="DE146" s="1"/>
      </tp>
      <tp>
        <v>699.3</v>
        <stp/>
        <stp>BID</stp>
        <stp>.NDXP250509C19325</stp>
        <tr r="DE186" s="1"/>
        <tr r="DE186" s="1"/>
      </tp>
      <tp>
        <v>0</v>
        <stp/>
        <stp>BID</stp>
        <stp>.NDXP250509C20300</stp>
        <tr r="DE147" s="1"/>
        <tr r="DE147" s="1"/>
      </tp>
      <tp>
        <v>724.3</v>
        <stp/>
        <stp>BID</stp>
        <stp>.NDXP250509C19300</stp>
        <tr r="DE187" s="1"/>
        <tr r="DE187" s="1"/>
      </tp>
      <tp>
        <v>268</v>
        <stp/>
        <stp>BID</stp>
        <stp>.NDXP250509P20350</stp>
        <tr r="DF145" s="1"/>
        <tr r="DF145" s="1"/>
      </tp>
      <tp>
        <v>0</v>
        <stp/>
        <stp>BID</stp>
        <stp>.NDXP250509P19350</stp>
        <tr r="DF185" s="1"/>
        <tr r="DF185" s="1"/>
      </tp>
      <tp>
        <v>294</v>
        <stp/>
        <stp>BID</stp>
        <stp>.NDXP250509P20375</stp>
        <tr r="DF144" s="1"/>
        <tr r="DF144" s="1"/>
      </tp>
      <tp>
        <v>0</v>
        <stp/>
        <stp>BID</stp>
        <stp>.NDXP250509P19375</stp>
        <tr r="DF184" s="1"/>
        <tr r="DF184" s="1"/>
      </tp>
      <tp>
        <v>218</v>
        <stp/>
        <stp>BID</stp>
        <stp>.NDXP250509P20300</stp>
        <tr r="DF147" s="1"/>
        <tr r="DF147" s="1"/>
      </tp>
      <tp>
        <v>0</v>
        <stp/>
        <stp>BID</stp>
        <stp>.NDXP250509P19300</stp>
        <tr r="DF187" s="1"/>
        <tr r="DF187" s="1"/>
      </tp>
      <tp>
        <v>244</v>
        <stp/>
        <stp>BID</stp>
        <stp>.NDXP250509P20325</stp>
        <tr r="DF146" s="1"/>
        <tr r="DF146" s="1"/>
      </tp>
      <tp>
        <v>0</v>
        <stp/>
        <stp>BID</stp>
        <stp>.NDXP250509P19325</stp>
        <tr r="DF186" s="1"/>
        <tr r="DF186" s="1"/>
      </tp>
      <tp>
        <v>529</v>
        <stp/>
        <stp>OPEN_INT</stp>
        <stp>.SPX250516C5520</stp>
        <tr r="AU120" s="1"/>
        <tr r="AU120" s="1"/>
      </tp>
      <tp>
        <v>4543</v>
        <stp/>
        <stp>OPEN_INT</stp>
        <stp>.SPX250620C5640</stp>
        <tr r="AW108" s="1"/>
        <tr r="AW108" s="1"/>
      </tp>
      <tp>
        <v>871</v>
        <stp/>
        <stp>OPEN_INT</stp>
        <stp>.SPX250516P5520</stp>
        <tr r="AV120" s="1"/>
        <tr r="AV120" s="1"/>
      </tp>
      <tp>
        <v>4719</v>
        <stp/>
        <stp>OPEN_INT</stp>
        <stp>.SPX250620P5640</stp>
        <tr r="AX108" s="1"/>
        <tr r="AX108" s="1"/>
      </tp>
      <tp>
        <v>608</v>
        <stp/>
        <stp>OPEN_INT</stp>
        <stp>.SPX250516C5530</stp>
        <tr r="AU119" s="1"/>
        <tr r="AU119" s="1"/>
      </tp>
      <tp>
        <v>70215</v>
        <stp/>
        <stp>OPEN_INT</stp>
        <stp>.SPX250620C5650</stp>
        <tr r="AW107" s="1"/>
        <tr r="AW107" s="1"/>
      </tp>
      <tp>
        <v>2916</v>
        <stp/>
        <stp>OPEN_INT</stp>
        <stp>.SPX250516P5530</stp>
        <tr r="AV119" s="1"/>
        <tr r="AV119" s="1"/>
      </tp>
      <tp>
        <v>68390</v>
        <stp/>
        <stp>OPEN_INT</stp>
        <stp>.SPX250620P5650</stp>
        <tr r="AX107" s="1"/>
        <tr r="AX107" s="1"/>
      </tp>
      <tp>
        <v>13952</v>
        <stp/>
        <stp>OPEN_INT</stp>
        <stp>.SPX250516C5500</stp>
        <tr r="AU122" s="1"/>
        <tr r="AU122" s="1"/>
      </tp>
      <tp>
        <v>4748</v>
        <stp/>
        <stp>OPEN_INT</stp>
        <stp>.SPX250620C5660</stp>
        <tr r="AW106" s="1"/>
        <tr r="AW106" s="1"/>
      </tp>
      <tp>
        <v>23397</v>
        <stp/>
        <stp>OPEN_INT</stp>
        <stp>.SPX250516P5500</stp>
        <tr r="AV122" s="1"/>
        <tr r="AV122" s="1"/>
      </tp>
      <tp>
        <v>4717</v>
        <stp/>
        <stp>OPEN_INT</stp>
        <stp>.SPX250620P5660</stp>
        <tr r="AX106" s="1"/>
        <tr r="AX106" s="1"/>
      </tp>
      <tp>
        <v>390</v>
        <stp/>
        <stp>OPEN_INT</stp>
        <stp>.SPX250516C5510</stp>
        <tr r="AU121" s="1"/>
        <tr r="AU121" s="1"/>
      </tp>
      <tp>
        <v>7750</v>
        <stp/>
        <stp>OPEN_INT</stp>
        <stp>.SPX250620C5670</stp>
        <tr r="AW105" s="1"/>
        <tr r="AW105" s="1"/>
      </tp>
      <tp>
        <v>314</v>
        <stp/>
        <stp>OPEN_INT</stp>
        <stp>.SPX250516P5510</stp>
        <tr r="AV121" s="1"/>
        <tr r="AV121" s="1"/>
      </tp>
      <tp>
        <v>7575</v>
        <stp/>
        <stp>OPEN_INT</stp>
        <stp>.SPX250620P5670</stp>
        <tr r="AX105" s="1"/>
        <tr r="AX105" s="1"/>
      </tp>
      <tp>
        <v>272</v>
        <stp/>
        <stp>OPEN_INT</stp>
        <stp>.SPX250516C5560</stp>
        <tr r="AU116" s="1"/>
        <tr r="AU116" s="1"/>
      </tp>
      <tp>
        <v>30628</v>
        <stp/>
        <stp>OPEN_INT</stp>
        <stp>.SPX250620C5600</stp>
        <tr r="AW112" s="1"/>
        <tr r="AW112" s="1"/>
      </tp>
      <tp>
        <v>467</v>
        <stp/>
        <stp>OPEN_INT</stp>
        <stp>.SPX250516P5560</stp>
        <tr r="AV116" s="1"/>
        <tr r="AV116" s="1"/>
      </tp>
      <tp>
        <v>38036</v>
        <stp/>
        <stp>OPEN_INT</stp>
        <stp>.SPX250620P5600</stp>
        <tr r="AX112" s="1"/>
        <tr r="AX112" s="1"/>
      </tp>
      <tp>
        <v>249</v>
        <stp/>
        <stp>OPEN_INT</stp>
        <stp>.SPX250516C5570</stp>
        <tr r="AU115" s="1"/>
        <tr r="AU115" s="1"/>
      </tp>
      <tp>
        <v>1503</v>
        <stp/>
        <stp>OPEN_INT</stp>
        <stp>.SPX250620C5610</stp>
        <tr r="AW111" s="1"/>
        <tr r="AW111" s="1"/>
      </tp>
      <tp>
        <v>1667</v>
        <stp/>
        <stp>OPEN_INT</stp>
        <stp>.SPX250516P5570</stp>
        <tr r="AV115" s="1"/>
        <tr r="AV115" s="1"/>
      </tp>
      <tp>
        <v>1764</v>
        <stp/>
        <stp>OPEN_INT</stp>
        <stp>.SPX250620P5610</stp>
        <tr r="AX111" s="1"/>
        <tr r="AX111" s="1"/>
      </tp>
      <tp>
        <v>1578</v>
        <stp/>
        <stp>OPEN_INT</stp>
        <stp>.SPX250516C5540</stp>
        <tr r="AU118" s="1"/>
        <tr r="AU118" s="1"/>
      </tp>
      <tp>
        <v>3750</v>
        <stp/>
        <stp>OPEN_INT</stp>
        <stp>.SPX250620C5620</stp>
        <tr r="AW110" s="1"/>
        <tr r="AW110" s="1"/>
      </tp>
      <tp>
        <v>2877</v>
        <stp/>
        <stp>OPEN_INT</stp>
        <stp>.SPX250516P5540</stp>
        <tr r="AV118" s="1"/>
        <tr r="AV118" s="1"/>
      </tp>
      <tp>
        <v>4262</v>
        <stp/>
        <stp>OPEN_INT</stp>
        <stp>.SPX250620P5620</stp>
        <tr r="AX110" s="1"/>
        <tr r="AX110" s="1"/>
      </tp>
      <tp>
        <v>11376</v>
        <stp/>
        <stp>OPEN_INT</stp>
        <stp>.SPX250516C5550</stp>
        <tr r="AU117" s="1"/>
        <tr r="AU117" s="1"/>
      </tp>
      <tp>
        <v>5483</v>
        <stp/>
        <stp>OPEN_INT</stp>
        <stp>.SPX250620C5630</stp>
        <tr r="AW109" s="1"/>
        <tr r="AW109" s="1"/>
      </tp>
      <tp>
        <v>13763</v>
        <stp/>
        <stp>OPEN_INT</stp>
        <stp>.SPX250516P5550</stp>
        <tr r="AV117" s="1"/>
        <tr r="AV117" s="1"/>
      </tp>
      <tp>
        <v>5610</v>
        <stp/>
        <stp>OPEN_INT</stp>
        <stp>.SPX250620P5630</stp>
        <tr r="AX109" s="1"/>
        <tr r="AX109" s="1"/>
      </tp>
      <tp>
        <v>536</v>
        <stp/>
        <stp>OPEN_INT</stp>
        <stp>.SPX250516C5580</stp>
        <tr r="AU114" s="1"/>
        <tr r="AU114" s="1"/>
      </tp>
      <tp>
        <v>934</v>
        <stp/>
        <stp>OPEN_INT</stp>
        <stp>.SPX250516P5580</stp>
        <tr r="AV114" s="1"/>
        <tr r="AV114" s="1"/>
      </tp>
      <tp>
        <v>432</v>
        <stp/>
        <stp>OPEN_INT</stp>
        <stp>.SPX250516C5590</stp>
        <tr r="AU113" s="1"/>
        <tr r="AU113" s="1"/>
      </tp>
      <tp>
        <v>1452</v>
        <stp/>
        <stp>OPEN_INT</stp>
        <stp>.SPX250516P5590</stp>
        <tr r="AV113" s="1"/>
        <tr r="AV113" s="1"/>
      </tp>
      <tp>
        <v>4093</v>
        <stp/>
        <stp>OPEN_INT</stp>
        <stp>.SPX250620C5680</stp>
        <tr r="AW104" s="1"/>
        <tr r="AW104" s="1"/>
      </tp>
      <tp>
        <v>4298</v>
        <stp/>
        <stp>OPEN_INT</stp>
        <stp>.SPX250620P5680</stp>
        <tr r="AX104" s="1"/>
        <tr r="AX104" s="1"/>
      </tp>
      <tp>
        <v>6880</v>
        <stp/>
        <stp>OPEN_INT</stp>
        <stp>.SPX250620C5690</stp>
        <tr r="AW103" s="1"/>
        <tr r="AW103" s="1"/>
      </tp>
      <tp>
        <v>7022</v>
        <stp/>
        <stp>OPEN_INT</stp>
        <stp>.SPX250620P5690</stp>
        <tr r="AX103" s="1"/>
        <tr r="AX103" s="1"/>
      </tp>
      <tp t="s">
        <v>--</v>
        <stp/>
        <stp>IMPL_VOL</stp>
        <stp>.SPX250516P5760</stp>
        <tr r="EO96" s="1"/>
      </tp>
      <tp t="s">
        <v>31.46%</v>
        <stp/>
        <stp>IMPL_VOL</stp>
        <stp>.SPX250516C5760</stp>
        <tr r="EN96" s="1"/>
      </tp>
      <tp t="s">
        <v>--</v>
        <stp/>
        <stp>IMPL_VOL</stp>
        <stp>.SPX250516P5770</stp>
        <tr r="EO95" s="1"/>
      </tp>
      <tp t="s">
        <v>30.75%</v>
        <stp/>
        <stp>IMPL_VOL</stp>
        <stp>.SPX250516C5770</stp>
        <tr r="EN95" s="1"/>
      </tp>
      <tp t="s">
        <v>20.10%</v>
        <stp/>
        <stp>IMPL_VOL</stp>
        <stp>.SPX250620P5420</stp>
        <tr r="EQ130" s="1"/>
      </tp>
      <tp t="s">
        <v>--</v>
        <stp/>
        <stp>IMPL_VOL</stp>
        <stp>.SPX250516P5740</stp>
        <tr r="EO98" s="1"/>
      </tp>
      <tp t="s">
        <v>30.31%</v>
        <stp/>
        <stp>IMPL_VOL</stp>
        <stp>.SPX250620C5420</stp>
        <tr r="EP130" s="1"/>
      </tp>
      <tp t="s">
        <v>32.70%</v>
        <stp/>
        <stp>IMPL_VOL</stp>
        <stp>.SPX250516C5740</stp>
        <tr r="EN98" s="1"/>
      </tp>
      <tp t="s">
        <v>19.95%</v>
        <stp/>
        <stp>IMPL_VOL</stp>
        <stp>.SPX250620P5430</stp>
        <tr r="EQ129" s="1"/>
      </tp>
      <tp t="s">
        <v>--</v>
        <stp/>
        <stp>IMPL_VOL</stp>
        <stp>.SPX250516P5750</stp>
        <tr r="EO97" s="1"/>
      </tp>
      <tp t="s">
        <v>30.05%</v>
        <stp/>
        <stp>IMPL_VOL</stp>
        <stp>.SPX250620C5430</stp>
        <tr r="EP129" s="1"/>
      </tp>
      <tp t="s">
        <v>32.06%</v>
        <stp/>
        <stp>IMPL_VOL</stp>
        <stp>.SPX250516C5750</stp>
        <tr r="EN97" s="1"/>
      </tp>
      <tp t="s">
        <v>19.79%</v>
        <stp/>
        <stp>IMPL_VOL</stp>
        <stp>.SPX250620P5440</stp>
        <tr r="EQ128" s="1"/>
      </tp>
      <tp t="s">
        <v>--</v>
        <stp/>
        <stp>IMPL_VOL</stp>
        <stp>.SPX250516P5720</stp>
        <tr r="EO100" s="1"/>
      </tp>
      <tp t="s">
        <v>29.78%</v>
        <stp/>
        <stp>IMPL_VOL</stp>
        <stp>.SPX250620C5440</stp>
        <tr r="EP128" s="1"/>
      </tp>
      <tp t="s">
        <v>34.27%</v>
        <stp/>
        <stp>IMPL_VOL</stp>
        <stp>.SPX250516C5720</stp>
        <tr r="EN100" s="1"/>
      </tp>
      <tp t="s">
        <v>19.63%</v>
        <stp/>
        <stp>IMPL_VOL</stp>
        <stp>.SPX250620P5450</stp>
        <tr r="EQ127" s="1"/>
      </tp>
      <tp t="s">
        <v>--</v>
        <stp/>
        <stp>IMPL_VOL</stp>
        <stp>.SPX250516P5730</stp>
        <tr r="EO99" s="1"/>
      </tp>
      <tp t="s">
        <v>29.53%</v>
        <stp/>
        <stp>IMPL_VOL</stp>
        <stp>.SPX250620C5450</stp>
        <tr r="EP127" s="1"/>
      </tp>
      <tp t="s">
        <v>33.42%</v>
        <stp/>
        <stp>IMPL_VOL</stp>
        <stp>.SPX250516C5730</stp>
        <tr r="EN99" s="1"/>
      </tp>
      <tp t="s">
        <v>19.48%</v>
        <stp/>
        <stp>IMPL_VOL</stp>
        <stp>.SPX250620P5460</stp>
        <tr r="EQ126" s="1"/>
      </tp>
      <tp t="s">
        <v>6.22%</v>
        <stp/>
        <stp>IMPL_VOL</stp>
        <stp>.SPX250516P5700</stp>
        <tr r="EO102" s="1"/>
      </tp>
      <tp t="s">
        <v>29.25%</v>
        <stp/>
        <stp>IMPL_VOL</stp>
        <stp>.SPX250620C5460</stp>
        <tr r="EP126" s="1"/>
      </tp>
      <tp t="s">
        <v>35.80%</v>
        <stp/>
        <stp>IMPL_VOL</stp>
        <stp>.SPX250516C5700</stp>
        <tr r="EN102" s="1"/>
      </tp>
      <tp t="s">
        <v>19.32%</v>
        <stp/>
        <stp>IMPL_VOL</stp>
        <stp>.SPX250620P5470</stp>
        <tr r="EQ125" s="1"/>
      </tp>
      <tp t="s">
        <v>--</v>
        <stp/>
        <stp>IMPL_VOL</stp>
        <stp>.SPX250516P5710</stp>
        <tr r="EO101" s="1"/>
      </tp>
      <tp t="s">
        <v>28.98%</v>
        <stp/>
        <stp>IMPL_VOL</stp>
        <stp>.SPX250620C5470</stp>
        <tr r="EP125" s="1"/>
      </tp>
      <tp t="s">
        <v>35.04%</v>
        <stp/>
        <stp>IMPL_VOL</stp>
        <stp>.SPX250516C5710</stp>
        <tr r="EN101" s="1"/>
      </tp>
      <tp t="s">
        <v>19.15%</v>
        <stp/>
        <stp>IMPL_VOL</stp>
        <stp>.SPX250620P5480</stp>
        <tr r="EQ124" s="1"/>
      </tp>
      <tp t="s">
        <v>28.72%</v>
        <stp/>
        <stp>IMPL_VOL</stp>
        <stp>.SPX250620C5480</stp>
        <tr r="EP124" s="1"/>
      </tp>
      <tp t="s">
        <v>18.98%</v>
        <stp/>
        <stp>IMPL_VOL</stp>
        <stp>.SPX250620P5490</stp>
        <tr r="EQ123" s="1"/>
      </tp>
      <tp t="s">
        <v>28.46%</v>
        <stp/>
        <stp>IMPL_VOL</stp>
        <stp>.SPX250620C5490</stp>
        <tr r="EP123" s="1"/>
      </tp>
      <tp t="s">
        <v>--</v>
        <stp/>
        <stp>IMPL_VOL</stp>
        <stp>.SPX250516P5780</stp>
        <tr r="EO94" s="1"/>
      </tp>
      <tp t="s">
        <v>30.18%</v>
        <stp/>
        <stp>IMPL_VOL</stp>
        <stp>.SPX250516C5780</stp>
        <tr r="EN94" s="1"/>
      </tp>
      <tp t="s">
        <v>--</v>
        <stp/>
        <stp>IMPL_VOL</stp>
        <stp>.SPX250516P5790</stp>
        <tr r="EO93" s="1"/>
      </tp>
      <tp t="s">
        <v>29.65%</v>
        <stp/>
        <stp>IMPL_VOL</stp>
        <stp>.SPX250516C5790</stp>
        <tr r="EN93" s="1"/>
      </tp>
      <tp>
        <v>0</v>
        <stp/>
        <stp>BID</stp>
        <stp>.NDXP250509C20275</stp>
        <tr r="DE148" s="1"/>
        <tr r="DE148" s="1"/>
      </tp>
      <tp>
        <v>749.3</v>
        <stp/>
        <stp>BID</stp>
        <stp>.NDXP250509C19275</stp>
        <tr r="DE188" s="1"/>
        <tr r="DE188" s="1"/>
      </tp>
      <tp>
        <v>0</v>
        <stp/>
        <stp>BID</stp>
        <stp>.NDXP250509C20250</stp>
        <tr r="DE149" s="1"/>
        <tr r="DE149" s="1"/>
      </tp>
      <tp>
        <v>774.3</v>
        <stp/>
        <stp>BID</stp>
        <stp>.NDXP250509C19250</stp>
        <tr r="DE189" s="1"/>
        <tr r="DE189" s="1"/>
      </tp>
      <tp>
        <v>0</v>
        <stp/>
        <stp>BID</stp>
        <stp>.NDXP250509C20225</stp>
        <tr r="DE150" s="1"/>
        <tr r="DE150" s="1"/>
      </tp>
      <tp>
        <v>0</v>
        <stp/>
        <stp>BID</stp>
        <stp>.NDXP250509C20200</stp>
        <tr r="DE151" s="1"/>
        <tr r="DE151" s="1"/>
      </tp>
      <tp>
        <v>184.1</v>
        <stp/>
        <stp>BID</stp>
        <stp>.NDXP250509P20250</stp>
        <tr r="DF149" s="1"/>
        <tr r="DF149" s="1"/>
      </tp>
      <tp>
        <v>0</v>
        <stp/>
        <stp>BID</stp>
        <stp>.NDXP250509P19250</stp>
        <tr r="DF189" s="1"/>
        <tr r="DF189" s="1"/>
      </tp>
      <tp>
        <v>210.1</v>
        <stp/>
        <stp>BID</stp>
        <stp>.NDXP250509P20275</stp>
        <tr r="DF148" s="1"/>
        <tr r="DF148" s="1"/>
      </tp>
      <tp>
        <v>0</v>
        <stp/>
        <stp>BID</stp>
        <stp>.NDXP250509P19275</stp>
        <tr r="DF188" s="1"/>
        <tr r="DF188" s="1"/>
      </tp>
      <tp>
        <v>134.1</v>
        <stp/>
        <stp>BID</stp>
        <stp>.NDXP250509P20200</stp>
        <tr r="DF151" s="1"/>
        <tr r="DF151" s="1"/>
      </tp>
      <tp>
        <v>159.1</v>
        <stp/>
        <stp>BID</stp>
        <stp>.NDXP250509P20225</stp>
        <tr r="DF150" s="1"/>
        <tr r="DF150" s="1"/>
      </tp>
      <tp>
        <v>288</v>
        <stp/>
        <stp>OPEN_INT</stp>
        <stp>.SPX250516C5420</stp>
        <tr r="AU130" s="1"/>
        <tr r="AU130" s="1"/>
      </tp>
      <tp>
        <v>2414</v>
        <stp/>
        <stp>OPEN_INT</stp>
        <stp>.SPX250620C5740</stp>
        <tr r="AW98" s="1"/>
        <tr r="AW98" s="1"/>
      </tp>
      <tp>
        <v>456</v>
        <stp/>
        <stp>OPEN_INT</stp>
        <stp>.SPX250516P5420</stp>
        <tr r="AV130" s="1"/>
        <tr r="AV130" s="1"/>
      </tp>
      <tp>
        <v>3388</v>
        <stp/>
        <stp>OPEN_INT</stp>
        <stp>.SPX250620P5740</stp>
        <tr r="AX98" s="1"/>
        <tr r="AX98" s="1"/>
      </tp>
      <tp>
        <v>543</v>
        <stp/>
        <stp>OPEN_INT</stp>
        <stp>.SPX250516C5430</stp>
        <tr r="AU129" s="1"/>
        <tr r="AU129" s="1"/>
      </tp>
      <tp>
        <v>25877</v>
        <stp/>
        <stp>OPEN_INT</stp>
        <stp>.SPX250620C5750</stp>
        <tr r="AW97" s="1"/>
        <tr r="AW97" s="1"/>
      </tp>
      <tp>
        <v>855</v>
        <stp/>
        <stp>OPEN_INT</stp>
        <stp>.SPX250516P5430</stp>
        <tr r="AV129" s="1"/>
        <tr r="AV129" s="1"/>
      </tp>
      <tp>
        <v>28696</v>
        <stp/>
        <stp>OPEN_INT</stp>
        <stp>.SPX250620P5750</stp>
        <tr r="AX97" s="1"/>
        <tr r="AX97" s="1"/>
      </tp>
      <tp>
        <v>3513</v>
        <stp/>
        <stp>OPEN_INT</stp>
        <stp>.SPX250620C5760</stp>
        <tr r="AW96" s="1"/>
        <tr r="AW96" s="1"/>
      </tp>
      <tp>
        <v>3477</v>
        <stp/>
        <stp>OPEN_INT</stp>
        <stp>.SPX250620P5760</stp>
        <tr r="AX96" s="1"/>
        <tr r="AX96" s="1"/>
      </tp>
      <tp>
        <v>2085</v>
        <stp/>
        <stp>OPEN_INT</stp>
        <stp>.SPX250620C5770</stp>
        <tr r="AW95" s="1"/>
        <tr r="AW95" s="1"/>
      </tp>
      <tp>
        <v>2183</v>
        <stp/>
        <stp>OPEN_INT</stp>
        <stp>.SPX250620P5770</stp>
        <tr r="AX95" s="1"/>
        <tr r="AX95" s="1"/>
      </tp>
      <tp>
        <v>480</v>
        <stp/>
        <stp>OPEN_INT</stp>
        <stp>.SPX250516C5460</stp>
        <tr r="AU126" s="1"/>
        <tr r="AU126" s="1"/>
      </tp>
      <tp>
        <v>79805</v>
        <stp/>
        <stp>OPEN_INT</stp>
        <stp>.SPX250620C5700</stp>
        <tr r="AW102" s="1"/>
        <tr r="AW102" s="1"/>
      </tp>
      <tp>
        <v>1316</v>
        <stp/>
        <stp>OPEN_INT</stp>
        <stp>.SPX250516P5460</stp>
        <tr r="AV126" s="1"/>
        <tr r="AV126" s="1"/>
      </tp>
      <tp>
        <v>74701</v>
        <stp/>
        <stp>OPEN_INT</stp>
        <stp>.SPX250620P5700</stp>
        <tr r="AX102" s="1"/>
        <tr r="AX102" s="1"/>
      </tp>
      <tp>
        <v>483</v>
        <stp/>
        <stp>OPEN_INT</stp>
        <stp>.SPX250516C5470</stp>
        <tr r="AU125" s="1"/>
        <tr r="AU125" s="1"/>
      </tp>
      <tp>
        <v>5873</v>
        <stp/>
        <stp>OPEN_INT</stp>
        <stp>.SPX250620C5710</stp>
        <tr r="AW101" s="1"/>
        <tr r="AW101" s="1"/>
      </tp>
      <tp>
        <v>2052</v>
        <stp/>
        <stp>OPEN_INT</stp>
        <stp>.SPX250516P5470</stp>
        <tr r="AV125" s="1"/>
        <tr r="AV125" s="1"/>
      </tp>
      <tp>
        <v>5738</v>
        <stp/>
        <stp>OPEN_INT</stp>
        <stp>.SPX250620P5710</stp>
        <tr r="AX101" s="1"/>
        <tr r="AX101" s="1"/>
      </tp>
      <tp>
        <v>952</v>
        <stp/>
        <stp>OPEN_INT</stp>
        <stp>.SPX250516C5440</stp>
        <tr r="AU128" s="1"/>
        <tr r="AU128" s="1"/>
      </tp>
      <tp>
        <v>6078</v>
        <stp/>
        <stp>OPEN_INT</stp>
        <stp>.SPX250620C5720</stp>
        <tr r="AW100" s="1"/>
        <tr r="AW100" s="1"/>
      </tp>
      <tp>
        <v>3320</v>
        <stp/>
        <stp>OPEN_INT</stp>
        <stp>.SPX250516P5440</stp>
        <tr r="AV128" s="1"/>
        <tr r="AV128" s="1"/>
      </tp>
      <tp>
        <v>6175</v>
        <stp/>
        <stp>OPEN_INT</stp>
        <stp>.SPX250620P5720</stp>
        <tr r="AX100" s="1"/>
        <tr r="AX100" s="1"/>
      </tp>
      <tp>
        <v>9266</v>
        <stp/>
        <stp>OPEN_INT</stp>
        <stp>.SPX250516C5450</stp>
        <tr r="AU127" s="1"/>
        <tr r="AU127" s="1"/>
      </tp>
      <tp>
        <v>4457</v>
        <stp/>
        <stp>OPEN_INT</stp>
        <stp>.SPX250620C5730</stp>
        <tr r="AW99" s="1"/>
        <tr r="AW99" s="1"/>
      </tp>
      <tp>
        <v>15025</v>
        <stp/>
        <stp>OPEN_INT</stp>
        <stp>.SPX250516P5450</stp>
        <tr r="AV127" s="1"/>
        <tr r="AV127" s="1"/>
      </tp>
      <tp>
        <v>4187</v>
        <stp/>
        <stp>OPEN_INT</stp>
        <stp>.SPX250620P5730</stp>
        <tr r="AX99" s="1"/>
        <tr r="AX99" s="1"/>
      </tp>
      <tp>
        <v>362</v>
        <stp/>
        <stp>OPEN_INT</stp>
        <stp>.SPX250516C5480</stp>
        <tr r="AU124" s="1"/>
        <tr r="AU124" s="1"/>
      </tp>
      <tp>
        <v>864</v>
        <stp/>
        <stp>OPEN_INT</stp>
        <stp>.SPX250516P5480</stp>
        <tr r="AV124" s="1"/>
        <tr r="AV124" s="1"/>
      </tp>
      <tp>
        <v>617</v>
        <stp/>
        <stp>OPEN_INT</stp>
        <stp>.SPX250516C5490</stp>
        <tr r="AU123" s="1"/>
        <tr r="AU123" s="1"/>
      </tp>
      <tp>
        <v>580</v>
        <stp/>
        <stp>OPEN_INT</stp>
        <stp>.SPX250516P5490</stp>
        <tr r="AV123" s="1"/>
        <tr r="AV123" s="1"/>
      </tp>
      <tp>
        <v>1850</v>
        <stp/>
        <stp>OPEN_INT</stp>
        <stp>.SPX250620C5780</stp>
        <tr r="AW94" s="1"/>
        <tr r="AW94" s="1"/>
      </tp>
      <tp>
        <v>1812</v>
        <stp/>
        <stp>OPEN_INT</stp>
        <stp>.SPX250620P5780</stp>
        <tr r="AX94" s="1"/>
        <tr r="AX94" s="1"/>
      </tp>
      <tp>
        <v>920</v>
        <stp/>
        <stp>OPEN_INT</stp>
        <stp>.SPX250620C5790</stp>
        <tr r="AW93" s="1"/>
        <tr r="AW93" s="1"/>
      </tp>
      <tp>
        <v>865</v>
        <stp/>
        <stp>OPEN_INT</stp>
        <stp>.SPX250620P5790</stp>
        <tr r="AX93" s="1"/>
        <tr r="AX93" s="1"/>
      </tp>
      <tp t="s">
        <v>18.81%</v>
        <stp/>
        <stp>IMPL_VOL</stp>
        <stp>.SPX250620P5500</stp>
        <tr r="EQ122" s="1"/>
      </tp>
      <tp t="s">
        <v>11.58%</v>
        <stp/>
        <stp>IMPL_VOL</stp>
        <stp>.SPX250516P5660</stp>
        <tr r="EO106" s="1"/>
      </tp>
      <tp t="s">
        <v>28.21%</v>
        <stp/>
        <stp>IMPL_VOL</stp>
        <stp>.SPX250620C5500</stp>
        <tr r="EP122" s="1"/>
      </tp>
      <tp t="s">
        <v>39.24%</v>
        <stp/>
        <stp>IMPL_VOL</stp>
        <stp>.SPX250516C5660</stp>
        <tr r="EN106" s="1"/>
      </tp>
      <tp t="s">
        <v>18.64%</v>
        <stp/>
        <stp>IMPL_VOL</stp>
        <stp>.SPX250620P5510</stp>
        <tr r="EQ121" s="1"/>
      </tp>
      <tp t="s">
        <v>10.67%</v>
        <stp/>
        <stp>IMPL_VOL</stp>
        <stp>.SPX250516P5670</stp>
        <tr r="EO105" s="1"/>
      </tp>
      <tp t="s">
        <v>27.93%</v>
        <stp/>
        <stp>IMPL_VOL</stp>
        <stp>.SPX250620C5510</stp>
        <tr r="EP121" s="1"/>
      </tp>
      <tp t="s">
        <v>38.36%</v>
        <stp/>
        <stp>IMPL_VOL</stp>
        <stp>.SPX250516C5670</stp>
        <tr r="EN105" s="1"/>
      </tp>
      <tp t="s">
        <v>18.47%</v>
        <stp/>
        <stp>IMPL_VOL</stp>
        <stp>.SPX250620P5520</stp>
        <tr r="EQ120" s="1"/>
      </tp>
      <tp t="s">
        <v>13.07%</v>
        <stp/>
        <stp>IMPL_VOL</stp>
        <stp>.SPX250516P5640</stp>
        <tr r="EO108" s="1"/>
      </tp>
      <tp t="s">
        <v>27.67%</v>
        <stp/>
        <stp>IMPL_VOL</stp>
        <stp>.SPX250620C5520</stp>
        <tr r="EP120" s="1"/>
      </tp>
      <tp t="s">
        <v>41.00%</v>
        <stp/>
        <stp>IMPL_VOL</stp>
        <stp>.SPX250516C5640</stp>
        <tr r="EN108" s="1"/>
      </tp>
      <tp t="s">
        <v>18.29%</v>
        <stp/>
        <stp>IMPL_VOL</stp>
        <stp>.SPX250620P5530</stp>
        <tr r="EQ119" s="1"/>
      </tp>
      <tp t="s">
        <v>12.36%</v>
        <stp/>
        <stp>IMPL_VOL</stp>
        <stp>.SPX250516P5650</stp>
        <tr r="EO107" s="1"/>
      </tp>
      <tp t="s">
        <v>27.42%</v>
        <stp/>
        <stp>IMPL_VOL</stp>
        <stp>.SPX250620C5530</stp>
        <tr r="EP119" s="1"/>
      </tp>
      <tp t="s">
        <v>40.00%</v>
        <stp/>
        <stp>IMPL_VOL</stp>
        <stp>.SPX250516C5650</stp>
        <tr r="EN107" s="1"/>
      </tp>
      <tp t="s">
        <v>18.11%</v>
        <stp/>
        <stp>IMPL_VOL</stp>
        <stp>.SPX250620P5540</stp>
        <tr r="EQ118" s="1"/>
      </tp>
      <tp t="s">
        <v>14.28%</v>
        <stp/>
        <stp>IMPL_VOL</stp>
        <stp>.SPX250516P5620</stp>
        <tr r="EO110" s="1"/>
      </tp>
      <tp t="s">
        <v>27.16%</v>
        <stp/>
        <stp>IMPL_VOL</stp>
        <stp>.SPX250620C5540</stp>
        <tr r="EP118" s="1"/>
      </tp>
      <tp t="s">
        <v>43.05%</v>
        <stp/>
        <stp>IMPL_VOL</stp>
        <stp>.SPX250516C5620</stp>
        <tr r="EN110" s="1"/>
      </tp>
      <tp t="s">
        <v>17.93%</v>
        <stp/>
        <stp>IMPL_VOL</stp>
        <stp>.SPX250620P5550</stp>
        <tr r="EQ117" s="1"/>
      </tp>
      <tp t="s">
        <v>13.69%</v>
        <stp/>
        <stp>IMPL_VOL</stp>
        <stp>.SPX250516P5630</stp>
        <tr r="EO109" s="1"/>
      </tp>
      <tp t="s">
        <v>26.93%</v>
        <stp/>
        <stp>IMPL_VOL</stp>
        <stp>.SPX250620C5550</stp>
        <tr r="EP117" s="1"/>
      </tp>
      <tp t="s">
        <v>42.03%</v>
        <stp/>
        <stp>IMPL_VOL</stp>
        <stp>.SPX250516C5630</stp>
        <tr r="EN109" s="1"/>
      </tp>
      <tp t="s">
        <v>17.75%</v>
        <stp/>
        <stp>IMPL_VOL</stp>
        <stp>.SPX250620P5560</stp>
        <tr r="EQ116" s="1"/>
      </tp>
      <tp t="s">
        <v>15.36%</v>
        <stp/>
        <stp>IMPL_VOL</stp>
        <stp>.SPX250516P5600</stp>
        <tr r="EO112" s="1"/>
      </tp>
      <tp t="s">
        <v>26.66%</v>
        <stp/>
        <stp>IMPL_VOL</stp>
        <stp>.SPX250620C5560</stp>
        <tr r="EP116" s="1"/>
      </tp>
      <tp t="s">
        <v>45.01%</v>
        <stp/>
        <stp>IMPL_VOL</stp>
        <stp>.SPX250516C5600</stp>
        <tr r="EN112" s="1"/>
      </tp>
      <tp t="s">
        <v>17.56%</v>
        <stp/>
        <stp>IMPL_VOL</stp>
        <stp>.SPX250620P5570</stp>
        <tr r="EQ115" s="1"/>
      </tp>
      <tp t="s">
        <v>14.84%</v>
        <stp/>
        <stp>IMPL_VOL</stp>
        <stp>.SPX250516P5610</stp>
        <tr r="EO111" s="1"/>
      </tp>
      <tp t="s">
        <v>26.40%</v>
        <stp/>
        <stp>IMPL_VOL</stp>
        <stp>.SPX250620C5570</stp>
        <tr r="EP115" s="1"/>
      </tp>
      <tp t="s">
        <v>44.06%</v>
        <stp/>
        <stp>IMPL_VOL</stp>
        <stp>.SPX250516C5610</stp>
        <tr r="EN111" s="1"/>
      </tp>
      <tp t="s">
        <v>17.37%</v>
        <stp/>
        <stp>IMPL_VOL</stp>
        <stp>.SPX250620P5580</stp>
        <tr r="EQ114" s="1"/>
      </tp>
      <tp t="s">
        <v>26.14%</v>
        <stp/>
        <stp>IMPL_VOL</stp>
        <stp>.SPX250620C5580</stp>
        <tr r="EP114" s="1"/>
      </tp>
      <tp t="s">
        <v>17.18%</v>
        <stp/>
        <stp>IMPL_VOL</stp>
        <stp>.SPX250620P5590</stp>
        <tr r="EQ113" s="1"/>
      </tp>
      <tp t="s">
        <v>25.90%</v>
        <stp/>
        <stp>IMPL_VOL</stp>
        <stp>.SPX250620C5590</stp>
        <tr r="EP113" s="1"/>
      </tp>
      <tp t="s">
        <v>9.60%</v>
        <stp/>
        <stp>IMPL_VOL</stp>
        <stp>.SPX250516P5680</stp>
        <tr r="EO104" s="1"/>
      </tp>
      <tp t="s">
        <v>37.51%</v>
        <stp/>
        <stp>IMPL_VOL</stp>
        <stp>.SPX250516C5680</stp>
        <tr r="EN104" s="1"/>
      </tp>
      <tp t="s">
        <v>8.23%</v>
        <stp/>
        <stp>IMPL_VOL</stp>
        <stp>.SPX250516P5690</stp>
        <tr r="EO103" s="1"/>
      </tp>
      <tp t="s">
        <v>36.65%</v>
        <stp/>
        <stp>IMPL_VOL</stp>
        <stp>.SPX250516C5690</stp>
        <tr r="EN103" s="1"/>
      </tp>
      <tp>
        <v>822</v>
        <stp/>
        <stp>ASK</stp>
        <stp>.NDXP250509C19275</stp>
        <tr r="DC188" s="1"/>
        <tr r="DC188" s="1"/>
      </tp>
      <tp>
        <v>0.5</v>
        <stp/>
        <stp>ASK</stp>
        <stp>.NDXP250509C20275</stp>
        <tr r="DC148" s="1"/>
        <tr r="DC148" s="1"/>
      </tp>
      <tp>
        <v>848</v>
        <stp/>
        <stp>ASK</stp>
        <stp>.NDXP250509C19250</stp>
        <tr r="DC189" s="1"/>
        <tr r="DC189" s="1"/>
      </tp>
      <tp>
        <v>0.6</v>
        <stp/>
        <stp>ASK</stp>
        <stp>.NDXP250509C20250</stp>
        <tr r="DC149" s="1"/>
        <tr r="DC149" s="1"/>
      </tp>
      <tp>
        <v>7.2</v>
        <stp/>
        <stp>ASK</stp>
        <stp>.NDXP250509C20225</stp>
        <tr r="DC150" s="1"/>
        <tr r="DC150" s="1"/>
      </tp>
      <tp>
        <v>0.05</v>
        <stp/>
        <stp>ASK</stp>
        <stp>.NDXP250509C20200</stp>
        <tr r="DC151" s="1"/>
        <tr r="DC151" s="1"/>
      </tp>
      <tp>
        <v>0.05</v>
        <stp/>
        <stp>ASK</stp>
        <stp>.NDXP250509P19250</stp>
        <tr r="DD189" s="1"/>
        <tr r="DD189" s="1"/>
      </tp>
      <tp>
        <v>201.4</v>
        <stp/>
        <stp>ASK</stp>
        <stp>.NDXP250509P20250</stp>
        <tr r="DD149" s="1"/>
        <tr r="DD149" s="1"/>
      </tp>
      <tp>
        <v>0.05</v>
        <stp/>
        <stp>ASK</stp>
        <stp>.NDXP250509P19275</stp>
        <tr r="DD188" s="1"/>
        <tr r="DD188" s="1"/>
      </tp>
      <tp>
        <v>226.4</v>
        <stp/>
        <stp>ASK</stp>
        <stp>.NDXP250509P20275</stp>
        <tr r="DD148" s="1"/>
        <tr r="DD148" s="1"/>
      </tp>
      <tp>
        <v>151.4</v>
        <stp/>
        <stp>ASK</stp>
        <stp>.NDXP250509P20200</stp>
        <tr r="DD151" s="1"/>
        <tr r="DD151" s="1"/>
      </tp>
      <tp>
        <v>176.4</v>
        <stp/>
        <stp>ASK</stp>
        <stp>.NDXP250509P20225</stp>
        <tr r="DD150" s="1"/>
        <tr r="DD150" s="1"/>
      </tp>
      <tp t="s">
        <v>N/A</v>
        <stp/>
        <stp>VOLUME</stp>
        <stp>.NDXPP19375</stp>
        <tr r="C185" s="2"/>
        <tr r="B185" s="2"/>
        <tr r="F185" s="2"/>
        <tr r="D185" s="2"/>
        <tr r="G185" s="2"/>
        <tr r="E185" s="2"/>
      </tp>
      <tp t="s">
        <v>N/A</v>
        <stp/>
        <stp>VOLUME</stp>
        <stp>.NDXPP20375</stp>
        <tr r="G145" s="2"/>
        <tr r="B145" s="2"/>
        <tr r="F145" s="2"/>
        <tr r="C145" s="2"/>
        <tr r="D145" s="2"/>
        <tr r="E145" s="2"/>
      </tp>
      <tp t="s">
        <v>N/A</v>
        <stp/>
        <stp>VOLUME</stp>
        <stp>.NDXPP19350</stp>
        <tr r="F186" s="2"/>
        <tr r="G186" s="2"/>
        <tr r="B186" s="2"/>
        <tr r="C186" s="2"/>
        <tr r="E186" s="2"/>
        <tr r="D186" s="2"/>
      </tp>
      <tp t="s">
        <v>N/A</v>
        <stp/>
        <stp>VOLUME</stp>
        <stp>.NDXPP20350</stp>
        <tr r="F146" s="2"/>
        <tr r="B146" s="2"/>
        <tr r="D146" s="2"/>
        <tr r="E146" s="2"/>
        <tr r="C146" s="2"/>
        <tr r="G146" s="2"/>
      </tp>
      <tp t="s">
        <v>N/A</v>
        <stp/>
        <stp>VOLUME</stp>
        <stp>.NDXPP19325</stp>
        <tr r="B187" s="2"/>
        <tr r="E187" s="2"/>
        <tr r="G187" s="2"/>
        <tr r="C187" s="2"/>
        <tr r="D187" s="2"/>
        <tr r="F187" s="2"/>
      </tp>
      <tp t="s">
        <v>N/A</v>
        <stp/>
        <stp>VOLUME</stp>
        <stp>.NDXPP20325</stp>
        <tr r="C147" s="2"/>
        <tr r="B147" s="2"/>
        <tr r="D147" s="2"/>
        <tr r="F147" s="2"/>
        <tr r="E147" s="2"/>
        <tr r="G147" s="2"/>
      </tp>
      <tp t="s">
        <v>N/A</v>
        <stp/>
        <stp>VOLUME</stp>
        <stp>.NDXPP19300</stp>
        <tr r="C188" s="2"/>
        <tr r="D188" s="2"/>
        <tr r="G188" s="2"/>
        <tr r="F188" s="2"/>
        <tr r="E188" s="2"/>
        <tr r="B188" s="2"/>
      </tp>
      <tp t="s">
        <v>N/A</v>
        <stp/>
        <stp>VOLUME</stp>
        <stp>.NDXPP20300</stp>
        <tr r="E148" s="2"/>
        <tr r="D148" s="2"/>
        <tr r="B148" s="2"/>
        <tr r="C148" s="2"/>
        <tr r="F148" s="2"/>
        <tr r="G148" s="2"/>
      </tp>
      <tp t="s">
        <v>N/A</v>
        <stp/>
        <stp>VOLUME</stp>
        <stp>.NDXPC19350</stp>
        <tr r="F186" s="2"/>
        <tr r="G186" s="2"/>
        <tr r="B186" s="2"/>
        <tr r="C186" s="2"/>
        <tr r="E186" s="2"/>
        <tr r="D186" s="2"/>
      </tp>
      <tp t="s">
        <v>N/A</v>
        <stp/>
        <stp>VOLUME</stp>
        <stp>.NDXPC20350</stp>
        <tr r="F146" s="2"/>
        <tr r="B146" s="2"/>
        <tr r="D146" s="2"/>
        <tr r="E146" s="2"/>
        <tr r="C146" s="2"/>
        <tr r="G146" s="2"/>
      </tp>
      <tp t="s">
        <v>N/A</v>
        <stp/>
        <stp>VOLUME</stp>
        <stp>.NDXPC19375</stp>
        <tr r="C185" s="2"/>
        <tr r="B185" s="2"/>
        <tr r="F185" s="2"/>
        <tr r="D185" s="2"/>
        <tr r="G185" s="2"/>
        <tr r="E185" s="2"/>
      </tp>
      <tp t="s">
        <v>N/A</v>
        <stp/>
        <stp>VOLUME</stp>
        <stp>.NDXPC20375</stp>
        <tr r="G145" s="2"/>
        <tr r="B145" s="2"/>
        <tr r="F145" s="2"/>
        <tr r="C145" s="2"/>
        <tr r="D145" s="2"/>
        <tr r="E145" s="2"/>
      </tp>
      <tp t="s">
        <v>N/A</v>
        <stp/>
        <stp>VOLUME</stp>
        <stp>.NDXPC19300</stp>
        <tr r="C188" s="2"/>
        <tr r="D188" s="2"/>
        <tr r="G188" s="2"/>
        <tr r="F188" s="2"/>
        <tr r="E188" s="2"/>
        <tr r="B188" s="2"/>
      </tp>
      <tp t="s">
        <v>N/A</v>
        <stp/>
        <stp>VOLUME</stp>
        <stp>.NDXPC20300</stp>
        <tr r="E148" s="2"/>
        <tr r="D148" s="2"/>
        <tr r="B148" s="2"/>
        <tr r="C148" s="2"/>
        <tr r="F148" s="2"/>
        <tr r="G148" s="2"/>
      </tp>
      <tp>
        <v>20061.449000000001</v>
        <stp/>
        <stp>MARK</stp>
        <stp>NDX</stp>
        <tr r="E134" s="1"/>
      </tp>
      <tp t="s">
        <v>N/A</v>
        <stp/>
        <stp>VOLUME</stp>
        <stp>.NDXPC19325</stp>
        <tr r="B187" s="2"/>
        <tr r="E187" s="2"/>
        <tr r="G187" s="2"/>
        <tr r="C187" s="2"/>
        <tr r="D187" s="2"/>
        <tr r="F187" s="2"/>
      </tp>
      <tp t="s">
        <v>N/A</v>
        <stp/>
        <stp>VOLUME</stp>
        <stp>.NDXPC20325</stp>
        <tr r="C147" s="2"/>
        <tr r="B147" s="2"/>
        <tr r="D147" s="2"/>
        <tr r="F147" s="2"/>
        <tr r="E147" s="2"/>
        <tr r="G147" s="2"/>
      </tp>
      <tp>
        <v>198</v>
        <stp/>
        <stp>OPEN_INT</stp>
        <stp>.SPX250620C5840</stp>
        <tr r="AW88" s="1"/>
        <tr r="AW88" s="1"/>
      </tp>
      <tp>
        <v>811</v>
        <stp/>
        <stp>OPEN_INT</stp>
        <stp>.SPX250620P5840</stp>
        <tr r="AX88" s="1"/>
        <tr r="AX88" s="1"/>
      </tp>
      <tp>
        <v>22039</v>
        <stp/>
        <stp>OPEN_INT</stp>
        <stp>.SPX250620C5850</stp>
        <tr r="AW87" s="1"/>
        <tr r="AW87" s="1"/>
      </tp>
      <tp>
        <v>15164</v>
        <stp/>
        <stp>OPEN_INT</stp>
        <stp>.SPX250620P5850</stp>
        <tr r="AX87" s="1"/>
        <tr r="AX87" s="1"/>
      </tp>
      <tp>
        <v>394</v>
        <stp/>
        <stp>OPEN_INT</stp>
        <stp>.SPX250620C5860</stp>
        <tr r="AW86" s="1"/>
        <tr r="AW86" s="1"/>
      </tp>
      <tp>
        <v>358</v>
        <stp/>
        <stp>OPEN_INT</stp>
        <stp>.SPX250620P5860</stp>
        <tr r="AX86" s="1"/>
        <tr r="AX86" s="1"/>
      </tp>
      <tp>
        <v>355</v>
        <stp/>
        <stp>OPEN_INT</stp>
        <stp>.SPX250620C5870</stp>
        <tr r="AW85" s="1"/>
        <tr r="AW85" s="1"/>
      </tp>
      <tp>
        <v>1663</v>
        <stp/>
        <stp>OPEN_INT</stp>
        <stp>.SPX250620P5870</stp>
        <tr r="AX85" s="1"/>
        <tr r="AX85" s="1"/>
      </tp>
      <tp>
        <v>43352</v>
        <stp/>
        <stp>OPEN_INT</stp>
        <stp>.SPX250620C5800</stp>
        <tr r="AW92" s="1"/>
        <tr r="AW92" s="1"/>
      </tp>
      <tp>
        <v>36763</v>
        <stp/>
        <stp>OPEN_INT</stp>
        <stp>.SPX250620P5800</stp>
        <tr r="AX92" s="1"/>
        <tr r="AX92" s="1"/>
      </tp>
      <tp>
        <v>5972</v>
        <stp/>
        <stp>OPEN_INT</stp>
        <stp>.SPX250620C5810</stp>
        <tr r="AW91" s="1"/>
        <tr r="AW91" s="1"/>
      </tp>
      <tp>
        <v>4091</v>
        <stp/>
        <stp>OPEN_INT</stp>
        <stp>.SPX250620P5810</stp>
        <tr r="AX91" s="1"/>
        <tr r="AX91" s="1"/>
      </tp>
      <tp>
        <v>3473</v>
        <stp/>
        <stp>OPEN_INT</stp>
        <stp>.SPX250620C5820</stp>
        <tr r="AW90" s="1"/>
        <tr r="AW90" s="1"/>
      </tp>
      <tp>
        <v>3307</v>
        <stp/>
        <stp>OPEN_INT</stp>
        <stp>.SPX250620P5820</stp>
        <tr r="AX90" s="1"/>
        <tr r="AX90" s="1"/>
      </tp>
      <tp>
        <v>2609</v>
        <stp/>
        <stp>OPEN_INT</stp>
        <stp>.SPX250620C5830</stp>
        <tr r="AW89" s="1"/>
        <tr r="AW89" s="1"/>
      </tp>
      <tp>
        <v>2497</v>
        <stp/>
        <stp>OPEN_INT</stp>
        <stp>.SPX250620P5830</stp>
        <tr r="AX89" s="1"/>
        <tr r="AX89" s="1"/>
      </tp>
      <tp>
        <v>722</v>
        <stp/>
        <stp>ASK</stp>
        <stp>.NDXP250509C19375</stp>
        <tr r="DC184" s="1"/>
        <tr r="DC184" s="1"/>
      </tp>
      <tp>
        <v>1.5</v>
        <stp/>
        <stp>ASK</stp>
        <stp>.NDXP250509C20375</stp>
        <tr r="DC144" s="1"/>
        <tr r="DC144" s="1"/>
      </tp>
      <tp>
        <v>748</v>
        <stp/>
        <stp>ASK</stp>
        <stp>.NDXP250509C19350</stp>
        <tr r="DC185" s="1"/>
        <tr r="DC185" s="1"/>
      </tp>
      <tp>
        <v>0.95</v>
        <stp/>
        <stp>ASK</stp>
        <stp>.NDXP250509C20350</stp>
        <tr r="DC145" s="1"/>
        <tr r="DC145" s="1"/>
      </tp>
      <tp>
        <v>772</v>
        <stp/>
        <stp>ASK</stp>
        <stp>.NDXP250509C19325</stp>
        <tr r="DC186" s="1"/>
        <tr r="DC186" s="1"/>
      </tp>
      <tp>
        <v>17.5</v>
        <stp/>
        <stp>ASK</stp>
        <stp>.NDXP250509C20325</stp>
        <tr r="DC146" s="1"/>
        <tr r="DC146" s="1"/>
      </tp>
      <tp>
        <v>798</v>
        <stp/>
        <stp>ASK</stp>
        <stp>.NDXP250509C19300</stp>
        <tr r="DC187" s="1"/>
        <tr r="DC187" s="1"/>
      </tp>
      <tp>
        <v>0.05</v>
        <stp/>
        <stp>ASK</stp>
        <stp>.NDXP250509C20300</stp>
        <tr r="DC147" s="1"/>
        <tr r="DC147" s="1"/>
      </tp>
      <tp>
        <v>0.25</v>
        <stp/>
        <stp>ASK</stp>
        <stp>.NDXP250509P19350</stp>
        <tr r="DD185" s="1"/>
        <tr r="DD185" s="1"/>
      </tp>
      <tp>
        <v>312.7</v>
        <stp/>
        <stp>ASK</stp>
        <stp>.NDXP250509P20350</stp>
        <tr r="DD145" s="1"/>
        <tr r="DD145" s="1"/>
      </tp>
      <tp>
        <v>19.8</v>
        <stp/>
        <stp>ASK</stp>
        <stp>.NDXP250509P19375</stp>
        <tr r="DD184" s="1"/>
        <tr r="DD184" s="1"/>
      </tp>
      <tp>
        <v>337.7</v>
        <stp/>
        <stp>ASK</stp>
        <stp>.NDXP250509P20375</stp>
        <tr r="DD144" s="1"/>
        <tr r="DD144" s="1"/>
      </tp>
      <tp>
        <v>0.05</v>
        <stp/>
        <stp>ASK</stp>
        <stp>.NDXP250509P19300</stp>
        <tr r="DD187" s="1"/>
        <tr r="DD187" s="1"/>
      </tp>
      <tp>
        <v>263.3</v>
        <stp/>
        <stp>ASK</stp>
        <stp>.NDXP250509P20300</stp>
        <tr r="DD147" s="1"/>
        <tr r="DD147" s="1"/>
      </tp>
      <tp>
        <v>19.8</v>
        <stp/>
        <stp>ASK</stp>
        <stp>.NDXP250509P19325</stp>
        <tr r="DD186" s="1"/>
        <tr r="DD186" s="1"/>
      </tp>
      <tp>
        <v>288.2</v>
        <stp/>
        <stp>ASK</stp>
        <stp>.NDXP250509P20325</stp>
        <tr r="DD146" s="1"/>
        <tr r="DD146" s="1"/>
      </tp>
      <tp t="s">
        <v>N/A</v>
        <stp/>
        <stp>VOLUME</stp>
        <stp>.NDXPP19275</stp>
        <tr r="G189" s="2"/>
        <tr r="B189" s="2"/>
        <tr r="D189" s="2"/>
        <tr r="C189" s="2"/>
        <tr r="E189" s="2"/>
        <tr r="F189" s="2"/>
      </tp>
      <tp t="s">
        <v>N/A</v>
        <stp/>
        <stp>VOLUME</stp>
        <stp>.NDXPP20275</stp>
        <tr r="F149" s="2"/>
        <tr r="G149" s="2"/>
        <tr r="B149" s="2"/>
        <tr r="C149" s="2"/>
        <tr r="E149" s="2"/>
        <tr r="D149" s="2"/>
      </tp>
      <tp t="s">
        <v>N/A</v>
        <stp/>
        <stp>VOLUME</stp>
        <stp>.NDXPP19250</stp>
        <tr r="F190" s="2"/>
        <tr r="E190" s="2"/>
        <tr r="B190" s="2"/>
        <tr r="G190" s="2"/>
        <tr r="D190" s="2"/>
        <tr r="C190" s="2"/>
      </tp>
      <tp t="s">
        <v>N/A</v>
        <stp/>
        <stp>VOLUME</stp>
        <stp>.NDXPP20250</stp>
        <tr r="D150" s="2"/>
        <tr r="F150" s="2"/>
        <tr r="C150" s="2"/>
        <tr r="G150" s="2"/>
        <tr r="E150" s="2"/>
        <tr r="B150" s="2"/>
      </tp>
      <tp t="s">
        <v>N/A</v>
        <stp/>
        <stp>VOLUME</stp>
        <stp>.NDXPP20225</stp>
        <tr r="D151" s="2"/>
        <tr r="E151" s="2"/>
        <tr r="G151" s="2"/>
        <tr r="C151" s="2"/>
        <tr r="F151" s="2"/>
        <tr r="B151" s="2"/>
      </tp>
      <tp t="s">
        <v>N/A</v>
        <stp/>
        <stp>VOLUME</stp>
        <stp>.NDXPP20200</stp>
        <tr r="G152" s="2"/>
        <tr r="D152" s="2"/>
        <tr r="F152" s="2"/>
        <tr r="B152" s="2"/>
        <tr r="C152" s="2"/>
        <tr r="E152" s="2"/>
      </tp>
      <tp t="s">
        <v>N/A</v>
        <stp/>
        <stp>VOLUME</stp>
        <stp>.NDXPC19250</stp>
        <tr r="F190" s="2"/>
        <tr r="E190" s="2"/>
        <tr r="B190" s="2"/>
        <tr r="G190" s="2"/>
        <tr r="D190" s="2"/>
        <tr r="C190" s="2"/>
      </tp>
      <tp t="s">
        <v>N/A</v>
        <stp/>
        <stp>VOLUME</stp>
        <stp>.NDXPC20250</stp>
        <tr r="D150" s="2"/>
        <tr r="F150" s="2"/>
        <tr r="C150" s="2"/>
        <tr r="G150" s="2"/>
        <tr r="E150" s="2"/>
        <tr r="B150" s="2"/>
      </tp>
      <tp t="s">
        <v>N/A</v>
        <stp/>
        <stp>VOLUME</stp>
        <stp>.NDXPC19275</stp>
        <tr r="G189" s="2"/>
        <tr r="B189" s="2"/>
        <tr r="D189" s="2"/>
        <tr r="C189" s="2"/>
        <tr r="E189" s="2"/>
        <tr r="F189" s="2"/>
      </tp>
      <tp t="s">
        <v>N/A</v>
        <stp/>
        <stp>VOLUME</stp>
        <stp>.NDXPC20275</stp>
        <tr r="F149" s="2"/>
        <tr r="G149" s="2"/>
        <tr r="B149" s="2"/>
        <tr r="C149" s="2"/>
        <tr r="E149" s="2"/>
        <tr r="D149" s="2"/>
      </tp>
      <tp t="s">
        <v>N/A</v>
        <stp/>
        <stp>VOLUME</stp>
        <stp>.NDXPC20200</stp>
        <tr r="G152" s="2"/>
        <tr r="D152" s="2"/>
        <tr r="F152" s="2"/>
        <tr r="B152" s="2"/>
        <tr r="C152" s="2"/>
        <tr r="E152" s="2"/>
      </tp>
      <tp t="s">
        <v>N/A</v>
        <stp/>
        <stp>VOLUME</stp>
        <stp>.NDXPC20225</stp>
        <tr r="D151" s="2"/>
        <tr r="E151" s="2"/>
        <tr r="G151" s="2"/>
        <tr r="C151" s="2"/>
        <tr r="F151" s="2"/>
        <tr r="B151" s="2"/>
      </tp>
      <tp t="s">
        <v>--</v>
        <stp/>
        <stp>IMPL_VOL</stp>
        <stp>.SPX250516P5860</stp>
        <tr r="EO86" s="1"/>
      </tp>
      <tp t="s">
        <v>26.43%</v>
        <stp/>
        <stp>IMPL_VOL</stp>
        <stp>.SPX250516C5860</stp>
        <tr r="EN86" s="1"/>
      </tp>
      <tp t="s">
        <v>--</v>
        <stp/>
        <stp>IMPL_VOL</stp>
        <stp>.SPX250516P5870</stp>
        <tr r="EO85" s="1"/>
      </tp>
      <tp t="s">
        <v>26.06%</v>
        <stp/>
        <stp>IMPL_VOL</stp>
        <stp>.SPX250516C5870</stp>
        <tr r="EN85" s="1"/>
      </tp>
      <tp t="s">
        <v>--</v>
        <stp/>
        <stp>IMPL_VOL</stp>
        <stp>.SPX250516P5840</stp>
        <tr r="EO88" s="1"/>
      </tp>
      <tp t="s">
        <v>27.17%</v>
        <stp/>
        <stp>IMPL_VOL</stp>
        <stp>.SPX250516C5840</stp>
        <tr r="EN88" s="1"/>
      </tp>
      <tp t="s">
        <v>--</v>
        <stp/>
        <stp>IMPL_VOL</stp>
        <stp>.SPX250516P5850</stp>
        <tr r="EO87" s="1"/>
      </tp>
      <tp t="s">
        <v>26.75%</v>
        <stp/>
        <stp>IMPL_VOL</stp>
        <stp>.SPX250516C5850</stp>
        <tr r="EN87" s="1"/>
      </tp>
      <tp t="s">
        <v>--</v>
        <stp/>
        <stp>IMPL_VOL</stp>
        <stp>.SPX250516P5820</stp>
        <tr r="EO90" s="1"/>
      </tp>
      <tp t="s">
        <v>28.09%</v>
        <stp/>
        <stp>IMPL_VOL</stp>
        <stp>.SPX250516C5820</stp>
        <tr r="EN90" s="1"/>
      </tp>
      <tp t="s">
        <v>--</v>
        <stp/>
        <stp>IMPL_VOL</stp>
        <stp>.SPX250516P5830</stp>
        <tr r="EO89" s="1"/>
      </tp>
      <tp t="s">
        <v>27.64%</v>
        <stp/>
        <stp>IMPL_VOL</stp>
        <stp>.SPX250516C5830</stp>
        <tr r="EN89" s="1"/>
      </tp>
      <tp t="s">
        <v>--</v>
        <stp/>
        <stp>IMPL_VOL</stp>
        <stp>.SPX250516P5800</stp>
        <tr r="EO92" s="1"/>
      </tp>
      <tp t="s">
        <v>29.03%</v>
        <stp/>
        <stp>IMPL_VOL</stp>
        <stp>.SPX250516C5800</stp>
        <tr r="EN92" s="1"/>
      </tp>
      <tp t="s">
        <v>--</v>
        <stp/>
        <stp>IMPL_VOL</stp>
        <stp>.SPX250516P5810</stp>
        <tr r="EO91" s="1"/>
      </tp>
      <tp t="s">
        <v>28.56%</v>
        <stp/>
        <stp>IMPL_VOL</stp>
        <stp>.SPX250516C5810</stp>
        <tr r="EN91" s="1"/>
      </tp>
      <tp>
        <v>0.7</v>
        <stp/>
        <stp>ASK</stp>
        <stp>.NDXP250509C20075</stp>
        <tr r="DC156" s="1"/>
        <tr r="DC156" s="1"/>
      </tp>
      <tp>
        <v>19.8</v>
        <stp/>
        <stp>ASK</stp>
        <stp>.NDXP250509C20050</stp>
        <tr r="DC157" s="1"/>
        <tr r="DC157" s="1"/>
      </tp>
      <tp>
        <v>40.1</v>
        <stp/>
        <stp>ASK</stp>
        <stp>.NDXP250509C20025</stp>
        <tr r="DC158" s="1"/>
        <tr r="DC158" s="1"/>
      </tp>
      <tp>
        <v>66</v>
        <stp/>
        <stp>ASK</stp>
        <stp>.NDXP250509C20000</stp>
        <tr r="DC159" s="1"/>
        <tr r="DC159" s="1"/>
      </tp>
      <tp>
        <v>0.55000000000000004</v>
        <stp/>
        <stp>ASK</stp>
        <stp>.NDXP250509P20050</stp>
        <tr r="DD157" s="1"/>
        <tr r="DD157" s="1"/>
      </tp>
      <tp>
        <v>17</v>
        <stp/>
        <stp>ASK</stp>
        <stp>.NDXP250509P20075</stp>
        <tr r="DD156" s="1"/>
        <tr r="DD156" s="1"/>
      </tp>
      <tp>
        <v>0.15</v>
        <stp/>
        <stp>ASK</stp>
        <stp>.NDXP250509P20000</stp>
        <tr r="DD159" s="1"/>
        <tr r="DD159" s="1"/>
      </tp>
      <tp>
        <v>1.1000000000000001</v>
        <stp/>
        <stp>ASK</stp>
        <stp>.NDXP250509P20025</stp>
        <tr r="DD158" s="1"/>
        <tr r="DD158" s="1"/>
      </tp>
      <tp t="s">
        <v>N/A</v>
        <stp/>
        <stp>VOLUME</stp>
        <stp>.NDXPP20175</stp>
        <tr r="D153" s="2"/>
        <tr r="C153" s="2"/>
        <tr r="E153" s="2"/>
        <tr r="B153" s="2"/>
        <tr r="F153" s="2"/>
        <tr r="G153" s="2"/>
      </tp>
      <tp t="s">
        <v>N/A</v>
        <stp/>
        <stp>VOLUME</stp>
        <stp>.NDXPP20150</stp>
        <tr r="G154" s="2"/>
        <tr r="D154" s="2"/>
        <tr r="C154" s="2"/>
        <tr r="E154" s="2"/>
        <tr r="B154" s="2"/>
        <tr r="F154" s="2"/>
      </tp>
      <tp t="s">
        <v>N/A</v>
        <stp/>
        <stp>VOLUME</stp>
        <stp>.NDXPP20125</stp>
        <tr r="G155" s="2"/>
        <tr r="D155" s="2"/>
        <tr r="E155" s="2"/>
        <tr r="C155" s="2"/>
        <tr r="B155" s="2"/>
        <tr r="F155" s="2"/>
      </tp>
      <tp t="s">
        <v>N/A</v>
        <stp/>
        <stp>VOLUME</stp>
        <stp>.NDXPP20100</stp>
        <tr r="F156" s="2"/>
        <tr r="D156" s="2"/>
        <tr r="G156" s="2"/>
        <tr r="B156" s="2"/>
        <tr r="E156" s="2"/>
        <tr r="C156" s="2"/>
      </tp>
      <tp t="s">
        <v>N/A</v>
        <stp/>
        <stp>VOLUME</stp>
        <stp>.NDXPC20150</stp>
        <tr r="G154" s="2"/>
        <tr r="D154" s="2"/>
        <tr r="C154" s="2"/>
        <tr r="E154" s="2"/>
        <tr r="B154" s="2"/>
        <tr r="F154" s="2"/>
      </tp>
      <tp t="s">
        <v>N/A</v>
        <stp/>
        <stp>VOLUME</stp>
        <stp>.NDXPC20175</stp>
        <tr r="D153" s="2"/>
        <tr r="C153" s="2"/>
        <tr r="E153" s="2"/>
        <tr r="B153" s="2"/>
        <tr r="F153" s="2"/>
        <tr r="G153" s="2"/>
      </tp>
      <tp t="s">
        <v>N/A</v>
        <stp/>
        <stp>VOLUME</stp>
        <stp>.NDXPC20100</stp>
        <tr r="F156" s="2"/>
        <tr r="D156" s="2"/>
        <tr r="G156" s="2"/>
        <tr r="B156" s="2"/>
        <tr r="E156" s="2"/>
        <tr r="C156" s="2"/>
      </tp>
      <tp t="s">
        <v>N/A</v>
        <stp/>
        <stp>VOLUME</stp>
        <stp>.NDXPC20125</stp>
        <tr r="G155" s="2"/>
        <tr r="D155" s="2"/>
        <tr r="E155" s="2"/>
        <tr r="C155" s="2"/>
        <tr r="B155" s="2"/>
        <tr r="F155" s="2"/>
      </tp>
      <tp t="s">
        <v>12.04%</v>
        <stp/>
        <stp>IMPL_VOL</stp>
        <stp>.SPX250620P5800</stp>
        <tr r="EQ92" s="1"/>
      </tp>
      <tp t="s">
        <v>20.87%</v>
        <stp/>
        <stp>IMPL_VOL</stp>
        <stp>.SPX250620C5800</stp>
        <tr r="EP92" s="1"/>
      </tp>
      <tp t="s">
        <v>11.68%</v>
        <stp/>
        <stp>IMPL_VOL</stp>
        <stp>.SPX250620P5810</stp>
        <tr r="EQ91" s="1"/>
      </tp>
      <tp t="s">
        <v>20.65%</v>
        <stp/>
        <stp>IMPL_VOL</stp>
        <stp>.SPX250620C5810</stp>
        <tr r="EP91" s="1"/>
      </tp>
      <tp t="s">
        <v>11.30%</v>
        <stp/>
        <stp>IMPL_VOL</stp>
        <stp>.SPX250620P5820</stp>
        <tr r="EQ90" s="1"/>
      </tp>
      <tp t="s">
        <v>20.43%</v>
        <stp/>
        <stp>IMPL_VOL</stp>
        <stp>.SPX250620C5820</stp>
        <tr r="EP90" s="1"/>
      </tp>
      <tp t="s">
        <v>10.89%</v>
        <stp/>
        <stp>IMPL_VOL</stp>
        <stp>.SPX250620P5830</stp>
        <tr r="EQ89" s="1"/>
      </tp>
      <tp t="s">
        <v>20.21%</v>
        <stp/>
        <stp>IMPL_VOL</stp>
        <stp>.SPX250620C5830</stp>
        <tr r="EP89" s="1"/>
      </tp>
      <tp t="s">
        <v>10.45%</v>
        <stp/>
        <stp>IMPL_VOL</stp>
        <stp>.SPX250620P5840</stp>
        <tr r="EQ88" s="1"/>
      </tp>
      <tp t="s">
        <v>19.99%</v>
        <stp/>
        <stp>IMPL_VOL</stp>
        <stp>.SPX250620C5840</stp>
        <tr r="EP88" s="1"/>
      </tp>
      <tp t="s">
        <v>9.96%</v>
        <stp/>
        <stp>IMPL_VOL</stp>
        <stp>.SPX250620P5850</stp>
        <tr r="EQ87" s="1"/>
      </tp>
      <tp t="s">
        <v>19.79%</v>
        <stp/>
        <stp>IMPL_VOL</stp>
        <stp>.SPX250620C5850</stp>
        <tr r="EP87" s="1"/>
      </tp>
      <tp t="s">
        <v>9.40%</v>
        <stp/>
        <stp>IMPL_VOL</stp>
        <stp>.SPX250620P5860</stp>
        <tr r="EQ86" s="1"/>
      </tp>
      <tp t="s">
        <v>19.58%</v>
        <stp/>
        <stp>IMPL_VOL</stp>
        <stp>.SPX250620C5860</stp>
        <tr r="EP86" s="1"/>
      </tp>
      <tp t="s">
        <v>8.73%</v>
        <stp/>
        <stp>IMPL_VOL</stp>
        <stp>.SPX250620P5870</stp>
        <tr r="EQ85" s="1"/>
      </tp>
      <tp t="s">
        <v>19.38%</v>
        <stp/>
        <stp>IMPL_VOL</stp>
        <stp>.SPX250620C5870</stp>
        <tr r="EP85" s="1"/>
      </tp>
      <tp>
        <v>19.8</v>
        <stp/>
        <stp>ASK</stp>
        <stp>.NDXP250509C20175</stp>
        <tr r="DC152" s="1"/>
        <tr r="DC152" s="1"/>
      </tp>
      <tp>
        <v>0.05</v>
        <stp/>
        <stp>ASK</stp>
        <stp>.NDXP250509C20150</stp>
        <tr r="DC153" s="1"/>
        <tr r="DC153" s="1"/>
      </tp>
      <tp>
        <v>0.05</v>
        <stp/>
        <stp>ASK</stp>
        <stp>.NDXP250509C20125</stp>
        <tr r="DC154" s="1"/>
        <tr r="DC154" s="1"/>
      </tp>
      <tp>
        <v>0.65</v>
        <stp/>
        <stp>ASK</stp>
        <stp>.NDXP250509C20100</stp>
        <tr r="DC155" s="1"/>
        <tr r="DC155" s="1"/>
      </tp>
      <tp>
        <v>104</v>
        <stp/>
        <stp>ASK</stp>
        <stp>.NDXP250509P20150</stp>
        <tr r="DD153" s="1"/>
        <tr r="DD153" s="1"/>
      </tp>
      <tp>
        <v>127.8</v>
        <stp/>
        <stp>ASK</stp>
        <stp>.NDXP250509P20175</stp>
        <tr r="DD152" s="1"/>
        <tr r="DD152" s="1"/>
      </tp>
      <tp>
        <v>35</v>
        <stp/>
        <stp>ASK</stp>
        <stp>.NDXP250509P20100</stp>
        <tr r="DD155" s="1"/>
        <tr r="DD155" s="1"/>
      </tp>
      <tp>
        <v>60</v>
        <stp/>
        <stp>ASK</stp>
        <stp>.NDXP250509P20125</stp>
        <tr r="DD154" s="1"/>
        <tr r="DD154" s="1"/>
      </tp>
      <tp t="s">
        <v>N/A</v>
        <stp/>
        <stp>VOLUME</stp>
        <stp>.NDXPP20075</stp>
        <tr r="F157" s="2"/>
        <tr r="D157" s="2"/>
        <tr r="G157" s="2"/>
        <tr r="E157" s="2"/>
        <tr r="C157" s="2"/>
        <tr r="B157" s="2"/>
      </tp>
      <tp t="s">
        <v>N/A</v>
        <stp/>
        <stp>VOLUME</stp>
        <stp>.NDXPP20050</stp>
        <tr r="B158" s="2"/>
        <tr r="F158" s="2"/>
        <tr r="D158" s="2"/>
        <tr r="G158" s="2"/>
        <tr r="C158" s="2"/>
        <tr r="E158" s="2"/>
      </tp>
      <tp t="s">
        <v>N/A</v>
        <stp/>
        <stp>VOLUME</stp>
        <stp>.NDXPP20025</stp>
        <tr r="F159" s="2"/>
        <tr r="G159" s="2"/>
        <tr r="C159" s="2"/>
        <tr r="B159" s="2"/>
        <tr r="D159" s="2"/>
        <tr r="E159" s="2"/>
      </tp>
      <tp t="s">
        <v>N/A</v>
        <stp/>
        <stp>VOLUME</stp>
        <stp>.NDXPP20000</stp>
        <tr r="F160" s="2"/>
        <tr r="B160" s="2"/>
        <tr r="C160" s="2"/>
        <tr r="G160" s="2"/>
        <tr r="E160" s="2"/>
        <tr r="D160" s="2"/>
      </tp>
      <tp t="s">
        <v>N/A</v>
        <stp/>
        <stp>VOLUME</stp>
        <stp>.NDXPC20050</stp>
        <tr r="B158" s="2"/>
        <tr r="F158" s="2"/>
        <tr r="D158" s="2"/>
        <tr r="G158" s="2"/>
        <tr r="C158" s="2"/>
        <tr r="E158" s="2"/>
      </tp>
      <tp t="s">
        <v>N/A</v>
        <stp/>
        <stp>VOLUME</stp>
        <stp>.NDXPC20075</stp>
        <tr r="F157" s="2"/>
        <tr r="D157" s="2"/>
        <tr r="G157" s="2"/>
        <tr r="E157" s="2"/>
        <tr r="C157" s="2"/>
        <tr r="B157" s="2"/>
      </tp>
      <tp t="s">
        <v>N/A</v>
        <stp/>
        <stp>VOLUME</stp>
        <stp>.NDXPC20000</stp>
        <tr r="F160" s="2"/>
        <tr r="B160" s="2"/>
        <tr r="C160" s="2"/>
        <tr r="G160" s="2"/>
        <tr r="E160" s="2"/>
        <tr r="D160" s="2"/>
      </tp>
      <tp t="s">
        <v>N/A</v>
        <stp/>
        <stp>VOLUME</stp>
        <stp>.NDXPC20025</stp>
        <tr r="F159" s="2"/>
        <tr r="G159" s="2"/>
        <tr r="C159" s="2"/>
        <tr r="B159" s="2"/>
        <tr r="D159" s="2"/>
        <tr r="E159" s="2"/>
      </tp>
      <tp>
        <v>1353</v>
        <stp/>
        <stp>OPEN_INT</stp>
        <stp>.SPX250516C5820</stp>
        <tr r="AU90" s="1"/>
        <tr r="AU90" s="1"/>
      </tp>
      <tp>
        <v>910</v>
        <stp/>
        <stp>OPEN_INT</stp>
        <stp>.SPX250516P5820</stp>
        <tr r="AV90" s="1"/>
        <tr r="AV90" s="1"/>
      </tp>
      <tp>
        <v>865</v>
        <stp/>
        <stp>OPEN_INT</stp>
        <stp>.SPX250516C5830</stp>
        <tr r="AU89" s="1"/>
        <tr r="AU89" s="1"/>
      </tp>
      <tp>
        <v>864</v>
        <stp/>
        <stp>OPEN_INT</stp>
        <stp>.SPX250516P5830</stp>
        <tr r="AV89" s="1"/>
        <tr r="AV89" s="1"/>
      </tp>
      <tp>
        <v>20149</v>
        <stp/>
        <stp>OPEN_INT</stp>
        <stp>.SPX250516C5800</stp>
        <tr r="AU92" s="1"/>
        <tr r="AU92" s="1"/>
      </tp>
      <tp>
        <v>22383</v>
        <stp/>
        <stp>OPEN_INT</stp>
        <stp>.SPX250516P5800</stp>
        <tr r="AV92" s="1"/>
        <tr r="AV92" s="1"/>
      </tp>
      <tp>
        <v>1001</v>
        <stp/>
        <stp>OPEN_INT</stp>
        <stp>.SPX250516C5810</stp>
        <tr r="AU91" s="1"/>
        <tr r="AU91" s="1"/>
      </tp>
      <tp>
        <v>425</v>
        <stp/>
        <stp>OPEN_INT</stp>
        <stp>.SPX250516P5810</stp>
        <tr r="AV91" s="1"/>
        <tr r="AV91" s="1"/>
      </tp>
      <tp>
        <v>268</v>
        <stp/>
        <stp>OPEN_INT</stp>
        <stp>.SPX250516C5860</stp>
        <tr r="AU86" s="1"/>
        <tr r="AU86" s="1"/>
      </tp>
      <tp>
        <v>598</v>
        <stp/>
        <stp>OPEN_INT</stp>
        <stp>.SPX250516P5860</stp>
        <tr r="AV86" s="1"/>
        <tr r="AV86" s="1"/>
      </tp>
      <tp>
        <v>464</v>
        <stp/>
        <stp>OPEN_INT</stp>
        <stp>.SPX250516C5870</stp>
        <tr r="AU85" s="1"/>
        <tr r="AU85" s="1"/>
      </tp>
      <tp>
        <v>613</v>
        <stp/>
        <stp>OPEN_INT</stp>
        <stp>.SPX250516P5870</stp>
        <tr r="AV85" s="1"/>
        <tr r="AV85" s="1"/>
      </tp>
      <tp>
        <v>348</v>
        <stp/>
        <stp>OPEN_INT</stp>
        <stp>.SPX250516C5840</stp>
        <tr r="AU88" s="1"/>
        <tr r="AU88" s="1"/>
      </tp>
      <tp>
        <v>255</v>
        <stp/>
        <stp>OPEN_INT</stp>
        <stp>.SPX250516P5840</stp>
        <tr r="AV88" s="1"/>
        <tr r="AV88" s="1"/>
      </tp>
      <tp>
        <v>13948</v>
        <stp/>
        <stp>OPEN_INT</stp>
        <stp>.SPX250516C5850</stp>
        <tr r="AU87" s="1"/>
        <tr r="AU87" s="1"/>
      </tp>
      <tp>
        <v>3774</v>
        <stp/>
        <stp>OPEN_INT</stp>
        <stp>.SPX250516P5850</stp>
        <tr r="AV87" s="1"/>
        <tr r="AV87" s="1"/>
      </tp>
      <tp>
        <v>408</v>
        <stp/>
        <stp>ASK</stp>
        <stp>.NDXP250509C19675</stp>
        <tr r="DC172" s="1"/>
        <tr r="DC172" s="1"/>
      </tp>
      <tp>
        <v>72</v>
        <stp/>
        <stp>BID</stp>
        <stp>.NDXP250509C19975</stp>
        <tr r="DE160" s="1"/>
        <tr r="DE160" s="1"/>
      </tp>
      <tp>
        <v>432</v>
        <stp/>
        <stp>ASK</stp>
        <stp>.NDXP250509C19650</stp>
        <tr r="DC173" s="1"/>
        <tr r="DC173" s="1"/>
      </tp>
      <tp>
        <v>98</v>
        <stp/>
        <stp>BID</stp>
        <stp>.NDXP250509C19950</stp>
        <tr r="DE161" s="1"/>
        <tr r="DE161" s="1"/>
      </tp>
      <tp>
        <v>460.8</v>
        <stp/>
        <stp>ASK</stp>
        <stp>.NDXP250509C19625</stp>
        <tr r="DC174" s="1"/>
        <tr r="DC174" s="1"/>
      </tp>
      <tp>
        <v>123.7</v>
        <stp/>
        <stp>BID</stp>
        <stp>.NDXP250509C19925</stp>
        <tr r="DE162" s="1"/>
        <tr r="DE162" s="1"/>
      </tp>
      <tp>
        <v>498</v>
        <stp/>
        <stp>ASK</stp>
        <stp>.NDXP250509C19600</stp>
        <tr r="DC175" s="1"/>
        <tr r="DC175" s="1"/>
      </tp>
      <tp>
        <v>148</v>
        <stp/>
        <stp>BID</stp>
        <stp>.NDXP250509C19900</stp>
        <tr r="DE163" s="1"/>
        <tr r="DE163" s="1"/>
      </tp>
      <tp>
        <v>19.8</v>
        <stp/>
        <stp>ASK</stp>
        <stp>.NDXP250509P19650</stp>
        <tr r="DD173" s="1"/>
        <tr r="DD173" s="1"/>
      </tp>
      <tp>
        <v>0.05</v>
        <stp/>
        <stp>BID</stp>
        <stp>.NDXP250509P19950</stp>
        <tr r="DF161" s="1"/>
        <tr r="DF161" s="1"/>
      </tp>
      <tp>
        <v>19.8</v>
        <stp/>
        <stp>ASK</stp>
        <stp>.NDXP250509P19675</stp>
        <tr r="DD172" s="1"/>
        <tr r="DD172" s="1"/>
      </tp>
      <tp>
        <v>0.05</v>
        <stp/>
        <stp>BID</stp>
        <stp>.NDXP250509P19975</stp>
        <tr r="DF160" s="1"/>
        <tr r="DF160" s="1"/>
      </tp>
      <tp>
        <v>0.4</v>
        <stp/>
        <stp>ASK</stp>
        <stp>.NDXP250509P19600</stp>
        <tr r="DD175" s="1"/>
        <tr r="DD175" s="1"/>
      </tp>
      <tp>
        <v>0</v>
        <stp/>
        <stp>BID</stp>
        <stp>.NDXP250509P19900</stp>
        <tr r="DF163" s="1"/>
        <tr r="DF163" s="1"/>
      </tp>
      <tp>
        <v>19.8</v>
        <stp/>
        <stp>ASK</stp>
        <stp>.NDXP250509P19625</stp>
        <tr r="DD174" s="1"/>
        <tr r="DD174" s="1"/>
      </tp>
      <tp>
        <v>0</v>
        <stp/>
        <stp>BID</stp>
        <stp>.NDXP250509P19925</stp>
        <tr r="DF162" s="1"/>
        <tr r="DF162" s="1"/>
      </tp>
      <tp t="s">
        <v>N/A</v>
        <stp/>
        <stp>VOLUME</stp>
        <stp>.NDXPP19775</stp>
        <tr r="F169" s="2"/>
        <tr r="D169" s="2"/>
        <tr r="G169" s="2"/>
        <tr r="E169" s="2"/>
        <tr r="B169" s="2"/>
        <tr r="C169" s="2"/>
      </tp>
      <tp t="s">
        <v>N/A</v>
        <stp/>
        <stp>VOLUME</stp>
        <stp>.NDXPP19750</stp>
        <tr r="F170" s="2"/>
        <tr r="C170" s="2"/>
        <tr r="D170" s="2"/>
        <tr r="E170" s="2"/>
        <tr r="B170" s="2"/>
        <tr r="G170" s="2"/>
      </tp>
      <tp t="s">
        <v>N/A</v>
        <stp/>
        <stp>VOLUME</stp>
        <stp>.NDXPP19725</stp>
        <tr r="G171" s="2"/>
        <tr r="C171" s="2"/>
        <tr r="F171" s="2"/>
        <tr r="B171" s="2"/>
        <tr r="D171" s="2"/>
        <tr r="E171" s="2"/>
      </tp>
      <tp t="s">
        <v>N/A</v>
        <stp/>
        <stp>VOLUME</stp>
        <stp>.NDXPP19700</stp>
        <tr r="E172" s="2"/>
        <tr r="C172" s="2"/>
        <tr r="F172" s="2"/>
        <tr r="D172" s="2"/>
        <tr r="B172" s="2"/>
        <tr r="G172" s="2"/>
      </tp>
      <tp>
        <v>113.13</v>
        <stp/>
        <stp>LAST</stp>
        <stp>.SPXW250509P5780</stp>
        <tr r="DB94" s="1"/>
        <tr r="DB94" s="1"/>
      </tp>
      <tp>
        <v>0.03</v>
        <stp/>
        <stp>LAST</stp>
        <stp>.SPXW250509C5780</stp>
        <tr r="DA94" s="1"/>
        <tr r="DA94" s="1"/>
      </tp>
      <tp>
        <v>131.1</v>
        <stp/>
        <stp>LAST</stp>
        <stp>.SPXW250509P5790</stp>
        <tr r="DB93" s="1"/>
        <tr r="DB93" s="1"/>
      </tp>
      <tp>
        <v>0.03</v>
        <stp/>
        <stp>LAST</stp>
        <stp>.SPXW250509C5790</stp>
        <tr r="DA93" s="1"/>
        <tr r="DA93" s="1"/>
      </tp>
      <tp t="s">
        <v>N/A</v>
        <stp/>
        <stp>LAST</stp>
        <stp>.SPXW250509P5720</stp>
        <tr r="DB100" s="1"/>
      </tp>
      <tp t="s">
        <v>N/A</v>
        <stp/>
        <stp>VOLUME</stp>
        <stp>.NDXPC19750</stp>
        <tr r="F170" s="2"/>
        <tr r="C170" s="2"/>
        <tr r="D170" s="2"/>
        <tr r="E170" s="2"/>
        <tr r="B170" s="2"/>
        <tr r="G170" s="2"/>
      </tp>
      <tp t="s">
        <v>N/A</v>
        <stp/>
        <stp>LAST</stp>
        <stp>.SPXW250509C5720</stp>
        <tr r="DA100" s="1"/>
      </tp>
      <tp>
        <v>71</v>
        <stp/>
        <stp>LAST</stp>
        <stp>.SPXW250509P5730</stp>
        <tr r="DB99" s="1"/>
        <tr r="DB99" s="1"/>
      </tp>
      <tp>
        <v>0.05</v>
        <stp/>
        <stp>LAST</stp>
        <stp>.SPXW250509C5730</stp>
        <tr r="DA99" s="1"/>
        <tr r="DA99" s="1"/>
      </tp>
      <tp>
        <v>39.6</v>
        <stp/>
        <stp>LAST</stp>
        <stp>.SPXW250509P5700</stp>
        <tr r="DB102" s="1"/>
        <tr r="DB102" s="1"/>
      </tp>
      <tp>
        <v>0.03</v>
        <stp/>
        <stp>LAST</stp>
        <stp>.SPXW250509C5700</stp>
        <tr r="DA102" s="1"/>
        <tr r="DA102" s="1"/>
      </tp>
      <tp t="s">
        <v>N/A</v>
        <stp/>
        <stp>VOLUME</stp>
        <stp>.NDXPC19775</stp>
        <tr r="F169" s="2"/>
        <tr r="D169" s="2"/>
        <tr r="G169" s="2"/>
        <tr r="E169" s="2"/>
        <tr r="B169" s="2"/>
        <tr r="C169" s="2"/>
      </tp>
      <tp>
        <v>45.12</v>
        <stp/>
        <stp>LAST</stp>
        <stp>.SPXW250509P5710</stp>
        <tr r="DB101" s="1"/>
        <tr r="DB101" s="1"/>
      </tp>
      <tp>
        <v>0.03</v>
        <stp/>
        <stp>LAST</stp>
        <stp>.SPXW250509C5710</stp>
        <tr r="DA101" s="1"/>
        <tr r="DA101" s="1"/>
      </tp>
      <tp>
        <v>91.85</v>
        <stp/>
        <stp>LAST</stp>
        <stp>.SPXW250509P5760</stp>
        <tr r="DB96" s="1"/>
        <tr r="DB96" s="1"/>
      </tp>
      <tp>
        <v>0.04</v>
        <stp/>
        <stp>LAST</stp>
        <stp>.SPXW250509C5760</stp>
        <tr r="DA96" s="1"/>
        <tr r="DA96" s="1"/>
      </tp>
      <tp>
        <v>110.97</v>
        <stp/>
        <stp>LAST</stp>
        <stp>.SPXW250509P5770</stp>
        <tr r="DB95" s="1"/>
        <tr r="DB95" s="1"/>
      </tp>
      <tp t="s">
        <v>N/A</v>
        <stp/>
        <stp>VOLUME</stp>
        <stp>.NDXPC19700</stp>
        <tr r="E172" s="2"/>
        <tr r="C172" s="2"/>
        <tr r="F172" s="2"/>
        <tr r="D172" s="2"/>
        <tr r="B172" s="2"/>
        <tr r="G172" s="2"/>
      </tp>
      <tp>
        <v>0.03</v>
        <stp/>
        <stp>LAST</stp>
        <stp>.SPXW250509C5770</stp>
        <tr r="DA95" s="1"/>
        <tr r="DA95" s="1"/>
      </tp>
      <tp>
        <v>80.8</v>
        <stp/>
        <stp>LAST</stp>
        <stp>.SPXW250509P5740</stp>
        <tr r="DB98" s="1"/>
        <tr r="DB98" s="1"/>
      </tp>
      <tp>
        <v>0.03</v>
        <stp/>
        <stp>LAST</stp>
        <stp>.SPXW250509C5740</stp>
        <tr r="DA98" s="1"/>
        <tr r="DA98" s="1"/>
      </tp>
      <tp>
        <v>87.47</v>
        <stp/>
        <stp>LAST</stp>
        <stp>.SPXW250509P5750</stp>
        <tr r="DB97" s="1"/>
        <tr r="DB97" s="1"/>
      </tp>
      <tp>
        <v>0.05</v>
        <stp/>
        <stp>LAST</stp>
        <stp>.SPXW250509C5750</stp>
        <tr r="DA97" s="1"/>
        <tr r="DA97" s="1"/>
      </tp>
      <tp t="s">
        <v>N/A</v>
        <stp/>
        <stp>VOLUME</stp>
        <stp>.NDXPC19725</stp>
        <tr r="G171" s="2"/>
        <tr r="C171" s="2"/>
        <tr r="F171" s="2"/>
        <tr r="B171" s="2"/>
        <tr r="D171" s="2"/>
        <tr r="E171" s="2"/>
      </tp>
      <tp>
        <v>308</v>
        <stp/>
        <stp>ASK</stp>
        <stp>.NDXP250509C19775</stp>
        <tr r="DC168" s="1"/>
        <tr r="DC168" s="1"/>
      </tp>
      <tp>
        <v>172</v>
        <stp/>
        <stp>BID</stp>
        <stp>.NDXP250509C19875</stp>
        <tr r="DE164" s="1"/>
        <tr r="DE164" s="1"/>
      </tp>
      <tp>
        <v>332</v>
        <stp/>
        <stp>ASK</stp>
        <stp>.NDXP250509C19750</stp>
        <tr r="DC169" s="1"/>
        <tr r="DC169" s="1"/>
      </tp>
      <tp>
        <v>198.4</v>
        <stp/>
        <stp>BID</stp>
        <stp>.NDXP250509C19850</stp>
        <tr r="DE165" s="1"/>
        <tr r="DE165" s="1"/>
      </tp>
      <tp>
        <v>358</v>
        <stp/>
        <stp>ASK</stp>
        <stp>.NDXP250509C19725</stp>
        <tr r="DC170" s="1"/>
        <tr r="DC170" s="1"/>
      </tp>
      <tp>
        <v>216.3</v>
        <stp/>
        <stp>BID</stp>
        <stp>.NDXP250509C19825</stp>
        <tr r="DE166" s="1"/>
        <tr r="DE166" s="1"/>
      </tp>
      <tp>
        <v>382</v>
        <stp/>
        <stp>ASK</stp>
        <stp>.NDXP250509C19700</stp>
        <tr r="DC171" s="1"/>
        <tr r="DC171" s="1"/>
      </tp>
      <tp>
        <v>234.8</v>
        <stp/>
        <stp>BID</stp>
        <stp>.NDXP250509C19800</stp>
        <tr r="DE167" s="1"/>
        <tr r="DE167" s="1"/>
      </tp>
      <tp>
        <v>13</v>
        <stp/>
        <stp>ASK</stp>
        <stp>.NDXP250509P19750</stp>
        <tr r="DD169" s="1"/>
        <tr r="DD169" s="1"/>
      </tp>
      <tp>
        <v>0</v>
        <stp/>
        <stp>BID</stp>
        <stp>.NDXP250509P19850</stp>
        <tr r="DF165" s="1"/>
        <tr r="DF165" s="1"/>
      </tp>
      <tp>
        <v>19.8</v>
        <stp/>
        <stp>ASK</stp>
        <stp>.NDXP250509P19775</stp>
        <tr r="DD168" s="1"/>
        <tr r="DD168" s="1"/>
      </tp>
      <tp>
        <v>0</v>
        <stp/>
        <stp>BID</stp>
        <stp>.NDXP250509P19875</stp>
        <tr r="DF164" s="1"/>
        <tr r="DF164" s="1"/>
      </tp>
      <tp>
        <v>4.8</v>
        <stp/>
        <stp>ASK</stp>
        <stp>.NDXP250509P19700</stp>
        <tr r="DD171" s="1"/>
        <tr r="DD171" s="1"/>
      </tp>
      <tp>
        <v>0</v>
        <stp/>
        <stp>BID</stp>
        <stp>.NDXP250509P19800</stp>
        <tr r="DF167" s="1"/>
        <tr r="DF167" s="1"/>
      </tp>
      <tp>
        <v>19.8</v>
        <stp/>
        <stp>ASK</stp>
        <stp>.NDXP250509P19725</stp>
        <tr r="DD170" s="1"/>
        <tr r="DD170" s="1"/>
      </tp>
      <tp>
        <v>0</v>
        <stp/>
        <stp>BID</stp>
        <stp>.NDXP250509P19825</stp>
        <tr r="DF166" s="1"/>
        <tr r="DF166" s="1"/>
      </tp>
      <tp t="s">
        <v>N/A</v>
        <stp/>
        <stp>VOLUME</stp>
        <stp>.NDXPP19675</stp>
        <tr r="C173" s="2"/>
        <tr r="B173" s="2"/>
        <tr r="E173" s="2"/>
        <tr r="D173" s="2"/>
        <tr r="G173" s="2"/>
        <tr r="F173" s="2"/>
      </tp>
      <tp t="s">
        <v>N/A</v>
        <stp/>
        <stp>VOLUME</stp>
        <stp>.NDXPP19650</stp>
        <tr r="D174" s="2"/>
        <tr r="E174" s="2"/>
        <tr r="B174" s="2"/>
        <tr r="F174" s="2"/>
        <tr r="G174" s="2"/>
        <tr r="C174" s="2"/>
      </tp>
      <tp t="s">
        <v>N/A</v>
        <stp/>
        <stp>VOLUME</stp>
        <stp>.NDXPP19625</stp>
        <tr r="G175" s="2"/>
        <tr r="B175" s="2"/>
        <tr r="D175" s="2"/>
        <tr r="E175" s="2"/>
        <tr r="F175" s="2"/>
        <tr r="C175" s="2"/>
      </tp>
      <tp t="s">
        <v>N/A</v>
        <stp/>
        <stp>VOLUME</stp>
        <stp>.NDXPP19600</stp>
        <tr r="G176" s="2"/>
        <tr r="B176" s="2"/>
        <tr r="E176" s="2"/>
        <tr r="D176" s="2"/>
        <tr r="F176" s="2"/>
        <tr r="C176" s="2"/>
      </tp>
      <tp>
        <v>20.6</v>
        <stp/>
        <stp>LAST</stp>
        <stp>.SPXW250509P5680</stp>
        <tr r="DB104" s="1"/>
        <tr r="DB104" s="1"/>
      </tp>
      <tp>
        <v>0.03</v>
        <stp/>
        <stp>LAST</stp>
        <stp>.SPXW250509C5680</stp>
        <tr r="DA104" s="1"/>
        <tr r="DA104" s="1"/>
      </tp>
      <tp>
        <v>29.6</v>
        <stp/>
        <stp>LAST</stp>
        <stp>.SPXW250509P5690</stp>
        <tr r="DB103" s="1"/>
        <tr r="DB103" s="1"/>
      </tp>
      <tp>
        <v>0.03</v>
        <stp/>
        <stp>LAST</stp>
        <stp>.SPXW250509C5690</stp>
        <tr r="DA103" s="1"/>
        <tr r="DA103" s="1"/>
      </tp>
      <tp>
        <v>0.05</v>
        <stp/>
        <stp>LAST</stp>
        <stp>.SPXW250509P5620</stp>
        <tr r="DB110" s="1"/>
        <tr r="DB110" s="1"/>
      </tp>
      <tp t="s">
        <v>N/A</v>
        <stp/>
        <stp>VOLUME</stp>
        <stp>.NDXPC19650</stp>
        <tr r="D174" s="2"/>
        <tr r="E174" s="2"/>
        <tr r="B174" s="2"/>
        <tr r="F174" s="2"/>
        <tr r="G174" s="2"/>
        <tr r="C174" s="2"/>
      </tp>
      <tp>
        <v>39.299999999999997</v>
        <stp/>
        <stp>LAST</stp>
        <stp>.SPXW250509C5620</stp>
        <tr r="DA110" s="1"/>
        <tr r="DA110" s="1"/>
      </tp>
      <tp>
        <v>0.05</v>
        <stp/>
        <stp>LAST</stp>
        <stp>.SPXW250509P5630</stp>
        <tr r="DB109" s="1"/>
        <tr r="DB109" s="1"/>
      </tp>
      <tp>
        <v>29.8</v>
        <stp/>
        <stp>LAST</stp>
        <stp>.SPXW250509C5630</stp>
        <tr r="DA109" s="1"/>
        <tr r="DA109" s="1"/>
      </tp>
      <tp>
        <v>0.05</v>
        <stp/>
        <stp>LAST</stp>
        <stp>.SPXW250509P5600</stp>
        <tr r="DB112" s="1"/>
        <tr r="DB112" s="1"/>
      </tp>
      <tp>
        <v>58.14</v>
        <stp/>
        <stp>LAST</stp>
        <stp>.SPXW250509C5600</stp>
        <tr r="DA112" s="1"/>
        <tr r="DA112" s="1"/>
      </tp>
      <tp t="s">
        <v>N/A</v>
        <stp/>
        <stp>VOLUME</stp>
        <stp>.NDXPC19675</stp>
        <tr r="C173" s="2"/>
        <tr r="B173" s="2"/>
        <tr r="E173" s="2"/>
        <tr r="D173" s="2"/>
        <tr r="G173" s="2"/>
        <tr r="F173" s="2"/>
      </tp>
      <tp>
        <v>0.05</v>
        <stp/>
        <stp>LAST</stp>
        <stp>.SPXW250509P5610</stp>
        <tr r="DB111" s="1"/>
        <tr r="DB111" s="1"/>
      </tp>
      <tp>
        <v>56</v>
        <stp/>
        <stp>LAST</stp>
        <stp>.SPXW250509C5610</stp>
        <tr r="DA111" s="1"/>
        <tr r="DA111" s="1"/>
      </tp>
      <tp>
        <v>0.75</v>
        <stp/>
        <stp>LAST</stp>
        <stp>.SPXW250509P5660</stp>
        <tr r="DB106" s="1"/>
        <tr r="DB106" s="1"/>
      </tp>
      <tp>
        <v>0.5</v>
        <stp/>
        <stp>LAST</stp>
        <stp>.SPXW250509C5660</stp>
        <tr r="DA106" s="1"/>
        <tr r="DA106" s="1"/>
      </tp>
      <tp>
        <v>10.8</v>
        <stp/>
        <stp>LAST</stp>
        <stp>.SPXW250509P5670</stp>
        <tr r="DB105" s="1"/>
        <tr r="DB105" s="1"/>
      </tp>
      <tp t="s">
        <v>N/A</v>
        <stp/>
        <stp>VOLUME</stp>
        <stp>.NDXPC19600</stp>
        <tr r="G176" s="2"/>
        <tr r="B176" s="2"/>
        <tr r="E176" s="2"/>
        <tr r="D176" s="2"/>
        <tr r="F176" s="2"/>
        <tr r="C176" s="2"/>
      </tp>
      <tp>
        <v>0.05</v>
        <stp/>
        <stp>LAST</stp>
        <stp>.SPXW250509C5670</stp>
        <tr r="DA105" s="1"/>
        <tr r="DA105" s="1"/>
      </tp>
      <tp>
        <v>0.03</v>
        <stp/>
        <stp>LAST</stp>
        <stp>.SPXW250509P5640</stp>
        <tr r="DB108" s="1"/>
        <tr r="DB108" s="1"/>
      </tp>
      <tp>
        <v>20.7</v>
        <stp/>
        <stp>LAST</stp>
        <stp>.SPXW250509C5640</stp>
        <tr r="DA108" s="1"/>
        <tr r="DA108" s="1"/>
      </tp>
      <tp>
        <v>0.05</v>
        <stp/>
        <stp>LAST</stp>
        <stp>.SPXW250509P5650</stp>
        <tr r="DB107" s="1"/>
        <tr r="DB107" s="1"/>
      </tp>
      <tp>
        <v>9.5</v>
        <stp/>
        <stp>LAST</stp>
        <stp>.SPXW250509C5650</stp>
        <tr r="DA107" s="1"/>
        <tr r="DA107" s="1"/>
      </tp>
      <tp t="s">
        <v>N/A</v>
        <stp/>
        <stp>VOLUME</stp>
        <stp>.NDXPC19625</stp>
        <tr r="G175" s="2"/>
        <tr r="B175" s="2"/>
        <tr r="D175" s="2"/>
        <tr r="E175" s="2"/>
        <tr r="F175" s="2"/>
        <tr r="C175" s="2"/>
      </tp>
      <tp>
        <v>622</v>
        <stp/>
        <stp>ASK</stp>
        <stp>.NDXP250509C19475</stp>
        <tr r="DC180" s="1"/>
        <tr r="DC180" s="1"/>
      </tp>
      <tp>
        <v>19.8</v>
        <stp/>
        <stp>ASK</stp>
        <stp>.NDXP250509C20475</stp>
        <tr r="DC140" s="1"/>
        <tr r="DC140" s="1"/>
      </tp>
      <tp>
        <v>648</v>
        <stp/>
        <stp>ASK</stp>
        <stp>.NDXP250509C19450</stp>
        <tr r="DC181" s="1"/>
        <tr r="DC181" s="1"/>
      </tp>
      <tp>
        <v>6.8</v>
        <stp/>
        <stp>ASK</stp>
        <stp>.NDXP250509C20450</stp>
        <tr r="DC141" s="1"/>
        <tr r="DC141" s="1"/>
      </tp>
      <tp>
        <v>672</v>
        <stp/>
        <stp>ASK</stp>
        <stp>.NDXP250509C19425</stp>
        <tr r="DC182" s="1"/>
        <tr r="DC182" s="1"/>
      </tp>
      <tp>
        <v>19.8</v>
        <stp/>
        <stp>ASK</stp>
        <stp>.NDXP250509C20425</stp>
        <tr r="DC142" s="1"/>
        <tr r="DC142" s="1"/>
      </tp>
      <tp>
        <v>698</v>
        <stp/>
        <stp>ASK</stp>
        <stp>.NDXP250509C19400</stp>
        <tr r="DC183" s="1"/>
        <tr r="DC183" s="1"/>
      </tp>
      <tp>
        <v>0.05</v>
        <stp/>
        <stp>ASK</stp>
        <stp>.NDXP250509C20400</stp>
        <tr r="DC143" s="1"/>
        <tr r="DC143" s="1"/>
      </tp>
      <tp>
        <v>19.8</v>
        <stp/>
        <stp>ASK</stp>
        <stp>.NDXP250509P19450</stp>
        <tr r="DD181" s="1"/>
        <tr r="DD181" s="1"/>
      </tp>
      <tp>
        <v>412.7</v>
        <stp/>
        <stp>ASK</stp>
        <stp>.NDXP250509P20450</stp>
        <tr r="DD141" s="1"/>
        <tr r="DD141" s="1"/>
      </tp>
      <tp>
        <v>19.8</v>
        <stp/>
        <stp>ASK</stp>
        <stp>.NDXP250509P19475</stp>
        <tr r="DD180" s="1"/>
        <tr r="DD180" s="1"/>
      </tp>
      <tp>
        <v>437.7</v>
        <stp/>
        <stp>ASK</stp>
        <stp>.NDXP250509P20475</stp>
        <tr r="DD140" s="1"/>
        <tr r="DD140" s="1"/>
      </tp>
      <tp>
        <v>19.8</v>
        <stp/>
        <stp>ASK</stp>
        <stp>.NDXP250509P19400</stp>
        <tr r="DD183" s="1"/>
        <tr r="DD183" s="1"/>
      </tp>
      <tp>
        <v>362.7</v>
        <stp/>
        <stp>ASK</stp>
        <stp>.NDXP250509P20400</stp>
        <tr r="DD143" s="1"/>
        <tr r="DD143" s="1"/>
      </tp>
      <tp>
        <v>19.8</v>
        <stp/>
        <stp>ASK</stp>
        <stp>.NDXP250509P19425</stp>
        <tr r="DD182" s="1"/>
        <tr r="DD182" s="1"/>
      </tp>
      <tp>
        <v>387.7</v>
        <stp/>
        <stp>ASK</stp>
        <stp>.NDXP250509P20425</stp>
        <tr r="DD142" s="1"/>
        <tr r="DD142" s="1"/>
      </tp>
      <tp t="s">
        <v>N/A</v>
        <stp/>
        <stp>VOLUME</stp>
        <stp>.NDXPP19575</stp>
        <tr r="C177" s="2"/>
        <tr r="D177" s="2"/>
        <tr r="B177" s="2"/>
        <tr r="E177" s="2"/>
        <tr r="F177" s="2"/>
        <tr r="G177" s="2"/>
      </tp>
      <tp t="s">
        <v>N/A</v>
        <stp/>
        <stp>VOLUME</stp>
        <stp>.NDXPP19550</stp>
        <tr r="D178" s="2"/>
        <tr r="F178" s="2"/>
        <tr r="E178" s="2"/>
        <tr r="B178" s="2"/>
        <tr r="G178" s="2"/>
        <tr r="C178" s="2"/>
      </tp>
      <tp t="s">
        <v>N/A</v>
        <stp/>
        <stp>VOLUME</stp>
        <stp>.NDXPP20550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.NDXPP19525</stp>
        <tr r="F179" s="2"/>
        <tr r="G179" s="2"/>
        <tr r="C179" s="2"/>
        <tr r="B179" s="2"/>
        <tr r="D179" s="2"/>
        <tr r="E179" s="2"/>
      </tp>
      <tp t="s">
        <v>N/A</v>
        <stp/>
        <stp>VOLUME</stp>
        <stp>.NDXPP20525</stp>
        <tr r="G139" s="2"/>
        <tr r="F139" s="2"/>
        <tr r="E139" s="2"/>
        <tr r="D139" s="2"/>
        <tr r="C139" s="2"/>
        <tr r="B139" s="2"/>
      </tp>
      <tp t="s">
        <v>N/A</v>
        <stp/>
        <stp>VOLUME</stp>
        <stp>.NDXPP19500</stp>
        <tr r="G180" s="2"/>
        <tr r="D180" s="2"/>
        <tr r="E180" s="2"/>
        <tr r="B180" s="2"/>
        <tr r="F180" s="2"/>
        <tr r="C180" s="2"/>
      </tp>
      <tp t="s">
        <v>N/A</v>
        <stp/>
        <stp>VOLUME</stp>
        <stp>.NDXPP20500</stp>
        <tr r="G140" s="2"/>
        <tr r="F140" s="2"/>
        <tr r="E140" s="2"/>
        <tr r="D140" s="2"/>
        <tr r="C140" s="2"/>
        <tr r="B140" s="2"/>
      </tp>
      <tp>
        <v>0.05</v>
        <stp/>
        <stp>LAST</stp>
        <stp>.SPXW250509P5580</stp>
        <tr r="DB114" s="1"/>
        <tr r="DB114" s="1"/>
      </tp>
      <tp>
        <v>81.58</v>
        <stp/>
        <stp>LAST</stp>
        <stp>.SPXW250509C5580</stp>
        <tr r="DA114" s="1"/>
        <tr r="DA114" s="1"/>
      </tp>
      <tp>
        <v>0.03</v>
        <stp/>
        <stp>LAST</stp>
        <stp>.SPXW250509P5590</stp>
        <tr r="DB113" s="1"/>
        <tr r="DB113" s="1"/>
      </tp>
      <tp>
        <v>71.77</v>
        <stp/>
        <stp>LAST</stp>
        <stp>.SPXW250509C5590</stp>
        <tr r="DA113" s="1"/>
        <tr r="DA113" s="1"/>
      </tp>
      <tp>
        <v>0.03</v>
        <stp/>
        <stp>LAST</stp>
        <stp>.SPXW250509P5520</stp>
        <tr r="DB120" s="1"/>
        <tr r="DB120" s="1"/>
      </tp>
      <tp t="s">
        <v>N/A</v>
        <stp/>
        <stp>VOLUME</stp>
        <stp>.NDXPC19550</stp>
        <tr r="D178" s="2"/>
        <tr r="F178" s="2"/>
        <tr r="E178" s="2"/>
        <tr r="B178" s="2"/>
        <tr r="G178" s="2"/>
        <tr r="C178" s="2"/>
      </tp>
      <tp t="s">
        <v>N/A</v>
        <stp/>
        <stp>VOLUME</stp>
        <stp>.NDXPC20550</stp>
        <tr r="G138" s="2"/>
        <tr r="F138" s="2"/>
        <tr r="E138" s="2"/>
        <tr r="D138" s="2"/>
        <tr r="C138" s="2"/>
        <tr r="B138" s="2"/>
      </tp>
      <tp>
        <v>149.4</v>
        <stp/>
        <stp>LAST</stp>
        <stp>.SPXW250509C5520</stp>
        <tr r="DA120" s="1"/>
        <tr r="DA120" s="1"/>
      </tp>
      <tp>
        <v>0.05</v>
        <stp/>
        <stp>LAST</stp>
        <stp>.SPXW250509P5530</stp>
        <tr r="DB119" s="1"/>
        <tr r="DB119" s="1"/>
      </tp>
      <tp>
        <v>130.43</v>
        <stp/>
        <stp>LAST</stp>
        <stp>.SPXW250509C5530</stp>
        <tr r="DA119" s="1"/>
        <tr r="DA119" s="1"/>
      </tp>
      <tp>
        <v>0.03</v>
        <stp/>
        <stp>LAST</stp>
        <stp>.SPXW250509P5500</stp>
        <tr r="DB122" s="1"/>
        <tr r="DB122" s="1"/>
      </tp>
      <tp>
        <v>163.24</v>
        <stp/>
        <stp>LAST</stp>
        <stp>.SPXW250509C5500</stp>
        <tr r="DA122" s="1"/>
        <tr r="DA122" s="1"/>
      </tp>
      <tp t="s">
        <v>N/A</v>
        <stp/>
        <stp>VOLUME</stp>
        <stp>.NDXPC19575</stp>
        <tr r="C177" s="2"/>
        <tr r="D177" s="2"/>
        <tr r="B177" s="2"/>
        <tr r="E177" s="2"/>
        <tr r="F177" s="2"/>
        <tr r="G177" s="2"/>
      </tp>
      <tp>
        <v>0.02</v>
        <stp/>
        <stp>LAST</stp>
        <stp>.SPXW250509P5510</stp>
        <tr r="DB121" s="1"/>
        <tr r="DB121" s="1"/>
      </tp>
      <tp>
        <v>163.13</v>
        <stp/>
        <stp>LAST</stp>
        <stp>.SPXW250509C5510</stp>
        <tr r="DA121" s="1"/>
        <tr r="DA121" s="1"/>
      </tp>
      <tp>
        <v>0.05</v>
        <stp/>
        <stp>LAST</stp>
        <stp>.SPXW250509P5560</stp>
        <tr r="DB116" s="1"/>
        <tr r="DB116" s="1"/>
      </tp>
      <tp>
        <v>107.3</v>
        <stp/>
        <stp>LAST</stp>
        <stp>.SPXW250509C5560</stp>
        <tr r="DA116" s="1"/>
        <tr r="DA116" s="1"/>
      </tp>
      <tp>
        <v>0.03</v>
        <stp/>
        <stp>LAST</stp>
        <stp>.SPXW250509P5570</stp>
        <tr r="DB115" s="1"/>
        <tr r="DB115" s="1"/>
      </tp>
      <tp t="s">
        <v>N/A</v>
        <stp/>
        <stp>VOLUME</stp>
        <stp>.NDXPC19500</stp>
        <tr r="G180" s="2"/>
        <tr r="D180" s="2"/>
        <tr r="E180" s="2"/>
        <tr r="B180" s="2"/>
        <tr r="F180" s="2"/>
        <tr r="C180" s="2"/>
      </tp>
      <tp t="s">
        <v>N/A</v>
        <stp/>
        <stp>VOLUME</stp>
        <stp>.NDXPC20500</stp>
        <tr r="G140" s="2"/>
        <tr r="F140" s="2"/>
        <tr r="E140" s="2"/>
        <tr r="D140" s="2"/>
        <tr r="C140" s="2"/>
        <tr r="B140" s="2"/>
      </tp>
      <tp>
        <v>92.65</v>
        <stp/>
        <stp>LAST</stp>
        <stp>.SPXW250509C5570</stp>
        <tr r="DA115" s="1"/>
        <tr r="DA115" s="1"/>
      </tp>
      <tp>
        <v>0.03</v>
        <stp/>
        <stp>LAST</stp>
        <stp>.SPXW250509P5540</stp>
        <tr r="DB118" s="1"/>
        <tr r="DB118" s="1"/>
      </tp>
      <tp>
        <v>120.42</v>
        <stp/>
        <stp>LAST</stp>
        <stp>.SPXW250509C5540</stp>
        <tr r="DA118" s="1"/>
        <tr r="DA118" s="1"/>
      </tp>
      <tp>
        <v>0.05</v>
        <stp/>
        <stp>LAST</stp>
        <stp>.SPXW250509P5550</stp>
        <tr r="DB117" s="1"/>
        <tr r="DB117" s="1"/>
      </tp>
      <tp>
        <v>110.47</v>
        <stp/>
        <stp>LAST</stp>
        <stp>.SPXW250509C5550</stp>
        <tr r="DA117" s="1"/>
        <tr r="DA117" s="1"/>
      </tp>
      <tp t="s">
        <v>N/A</v>
        <stp/>
        <stp>VOLUME</stp>
        <stp>.NDXPC19525</stp>
        <tr r="F179" s="2"/>
        <tr r="G179" s="2"/>
        <tr r="C179" s="2"/>
        <tr r="B179" s="2"/>
        <tr r="D179" s="2"/>
        <tr r="E179" s="2"/>
      </tp>
      <tp t="s">
        <v>N/A</v>
        <stp/>
        <stp>VOLUME</stp>
        <stp>.NDXPC20525</stp>
        <tr r="G139" s="2"/>
        <tr r="F139" s="2"/>
        <tr r="E139" s="2"/>
        <tr r="D139" s="2"/>
        <tr r="C139" s="2"/>
        <tr r="B139" s="2"/>
      </tp>
      <tp>
        <v>522</v>
        <stp/>
        <stp>ASK</stp>
        <stp>.NDXP250509C19575</stp>
        <tr r="DC176" s="1"/>
        <tr r="DC176" s="1"/>
      </tp>
      <tp>
        <v>548</v>
        <stp/>
        <stp>ASK</stp>
        <stp>.NDXP250509C19550</stp>
        <tr r="DC177" s="1"/>
        <tr r="DC177" s="1"/>
      </tp>
      <tp>
        <v>19.8</v>
        <stp/>
        <stp>ASK</stp>
        <stp>.NDXP250509C20550</stp>
        <tr r="DC137" s="1"/>
        <tr r="DC137" s="1"/>
      </tp>
      <tp>
        <v>572</v>
        <stp/>
        <stp>ASK</stp>
        <stp>.NDXP250509C19525</stp>
        <tr r="DC178" s="1"/>
        <tr r="DC178" s="1"/>
      </tp>
      <tp>
        <v>19.8</v>
        <stp/>
        <stp>ASK</stp>
        <stp>.NDXP250509C20525</stp>
        <tr r="DC138" s="1"/>
        <tr r="DC138" s="1"/>
      </tp>
      <tp>
        <v>598</v>
        <stp/>
        <stp>ASK</stp>
        <stp>.NDXP250509C19500</stp>
        <tr r="DC179" s="1"/>
        <tr r="DC179" s="1"/>
      </tp>
      <tp>
        <v>0.05</v>
        <stp/>
        <stp>ASK</stp>
        <stp>.NDXP250509C20500</stp>
        <tr r="DC139" s="1"/>
        <tr r="DC139" s="1"/>
      </tp>
      <tp>
        <v>9.6999999999999993</v>
        <stp/>
        <stp>ASK</stp>
        <stp>.NDXP250509P19550</stp>
        <tr r="DD177" s="1"/>
        <tr r="DD177" s="1"/>
      </tp>
      <tp>
        <v>519.4</v>
        <stp/>
        <stp>ASK</stp>
        <stp>.NDXP250509P20550</stp>
        <tr r="DD137" s="1"/>
        <tr r="DD137" s="1"/>
      </tp>
      <tp>
        <v>19.8</v>
        <stp/>
        <stp>ASK</stp>
        <stp>.NDXP250509P19575</stp>
        <tr r="DD176" s="1"/>
        <tr r="DD176" s="1"/>
      </tp>
      <tp>
        <v>1.8</v>
        <stp/>
        <stp>ASK</stp>
        <stp>.NDXP250509P19500</stp>
        <tr r="DD179" s="1"/>
        <tr r="DD179" s="1"/>
      </tp>
      <tp>
        <v>462.3</v>
        <stp/>
        <stp>ASK</stp>
        <stp>.NDXP250509P20500</stp>
        <tr r="DD139" s="1"/>
        <tr r="DD139" s="1"/>
      </tp>
      <tp>
        <v>1.85</v>
        <stp/>
        <stp>ASK</stp>
        <stp>.NDXP250509P19525</stp>
        <tr r="DD178" s="1"/>
        <tr r="DD178" s="1"/>
      </tp>
      <tp>
        <v>501</v>
        <stp/>
        <stp>ASK</stp>
        <stp>.NDXP250509P20525</stp>
        <tr r="DD138" s="1"/>
        <tr r="DD138" s="1"/>
      </tp>
      <tp t="s">
        <v>N/A</v>
        <stp/>
        <stp>VOLUME</stp>
        <stp>.NDXPP19475</stp>
        <tr r="E181" s="2"/>
        <tr r="C181" s="2"/>
        <tr r="F181" s="2"/>
        <tr r="D181" s="2"/>
        <tr r="G181" s="2"/>
        <tr r="B181" s="2"/>
      </tp>
      <tp t="s">
        <v>N/A</v>
        <stp/>
        <stp>VOLUME</stp>
        <stp>.NDXPP20475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.NDXPP19450</stp>
        <tr r="B182" s="2"/>
        <tr r="F182" s="2"/>
        <tr r="C182" s="2"/>
        <tr r="G182" s="2"/>
        <tr r="E182" s="2"/>
        <tr r="D182" s="2"/>
      </tp>
      <tp t="s">
        <v>N/A</v>
        <stp/>
        <stp>VOLUME</stp>
        <stp>.NDXPP20450</stp>
        <tr r="G142" s="2"/>
        <tr r="F142" s="2"/>
        <tr r="E142" s="2"/>
        <tr r="D142" s="2"/>
        <tr r="B142" s="2"/>
        <tr r="C142" s="2"/>
      </tp>
      <tp t="s">
        <v>N/A</v>
        <stp/>
        <stp>VOLUME</stp>
        <stp>.NDXPP19425</stp>
        <tr r="B183" s="2"/>
        <tr r="D183" s="2"/>
        <tr r="E183" s="2"/>
        <tr r="F183" s="2"/>
        <tr r="C183" s="2"/>
        <tr r="G183" s="2"/>
      </tp>
      <tp t="s">
        <v>N/A</v>
        <stp/>
        <stp>VOLUME</stp>
        <stp>.NDXPP20425</stp>
        <tr r="G143" s="2"/>
        <tr r="F143" s="2"/>
        <tr r="E143" s="2"/>
        <tr r="C143" s="2"/>
        <tr r="D143" s="2"/>
        <tr r="B143" s="2"/>
      </tp>
      <tp t="s">
        <v>N/A</v>
        <stp/>
        <stp>VOLUME</stp>
        <stp>.NDXPP19400</stp>
        <tr r="B184" s="2"/>
        <tr r="G184" s="2"/>
        <tr r="C184" s="2"/>
        <tr r="D184" s="2"/>
        <tr r="E184" s="2"/>
        <tr r="F184" s="2"/>
      </tp>
      <tp t="s">
        <v>N/A</v>
        <stp/>
        <stp>VOLUME</stp>
        <stp>.NDXPP20400</stp>
        <tr r="G144" s="2"/>
        <tr r="F144" s="2"/>
        <tr r="C144" s="2"/>
        <tr r="D144" s="2"/>
        <tr r="B144" s="2"/>
        <tr r="E144" s="2"/>
      </tp>
      <tp>
        <v>0.03</v>
        <stp/>
        <stp>LAST</stp>
        <stp>.SPXW250509P5480</stp>
        <tr r="DB124" s="1"/>
        <tr r="DB124" s="1"/>
      </tp>
      <tp>
        <v>186</v>
        <stp/>
        <stp>LAST</stp>
        <stp>.SPXW250509C5480</stp>
        <tr r="DA124" s="1"/>
        <tr r="DA124" s="1"/>
      </tp>
      <tp>
        <v>0.03</v>
        <stp/>
        <stp>LAST</stp>
        <stp>.SPXW250509P5490</stp>
        <tr r="DB123" s="1"/>
        <tr r="DB123" s="1"/>
      </tp>
      <tp>
        <v>179.93</v>
        <stp/>
        <stp>LAST</stp>
        <stp>.SPXW250509C5490</stp>
        <tr r="DA123" s="1"/>
        <tr r="DA123" s="1"/>
      </tp>
      <tp>
        <v>0.03</v>
        <stp/>
        <stp>LAST</stp>
        <stp>.SPXW250509P5420</stp>
        <tr r="DB130" s="1"/>
        <tr r="DB130" s="1"/>
      </tp>
      <tp t="s">
        <v>N/A</v>
        <stp/>
        <stp>VOLUME</stp>
        <stp>.NDXPC19450</stp>
        <tr r="B182" s="2"/>
        <tr r="F182" s="2"/>
        <tr r="C182" s="2"/>
        <tr r="G182" s="2"/>
        <tr r="E182" s="2"/>
        <tr r="D182" s="2"/>
      </tp>
      <tp t="s">
        <v>N/A</v>
        <stp/>
        <stp>VOLUME</stp>
        <stp>.NDXPC20450</stp>
        <tr r="G142" s="2"/>
        <tr r="F142" s="2"/>
        <tr r="E142" s="2"/>
        <tr r="D142" s="2"/>
        <tr r="B142" s="2"/>
        <tr r="C142" s="2"/>
      </tp>
      <tp>
        <v>247.63</v>
        <stp/>
        <stp>LAST</stp>
        <stp>.SPXW250509C5420</stp>
        <tr r="DA130" s="1"/>
        <tr r="DA130" s="1"/>
      </tp>
      <tp>
        <v>0.03</v>
        <stp/>
        <stp>LAST</stp>
        <stp>.SPXW250509P5430</stp>
        <tr r="DB129" s="1"/>
        <tr r="DB129" s="1"/>
      </tp>
      <tp>
        <v>229.1</v>
        <stp/>
        <stp>LAST</stp>
        <stp>.SPXW250509C5430</stp>
        <tr r="DA129" s="1"/>
        <tr r="DA129" s="1"/>
      </tp>
      <tp t="s">
        <v>N/A</v>
        <stp/>
        <stp>VOLUME</stp>
        <stp>.NDXPC19475</stp>
        <tr r="E181" s="2"/>
        <tr r="C181" s="2"/>
        <tr r="F181" s="2"/>
        <tr r="D181" s="2"/>
        <tr r="G181" s="2"/>
        <tr r="B181" s="2"/>
      </tp>
      <tp t="s">
        <v>N/A</v>
        <stp/>
        <stp>VOLUME</stp>
        <stp>.NDXPC20475</stp>
        <tr r="G141" s="2"/>
        <tr r="F141" s="2"/>
        <tr r="E141" s="2"/>
        <tr r="D141" s="2"/>
        <tr r="C141" s="2"/>
        <tr r="B141" s="2"/>
      </tp>
      <tp>
        <v>0.03</v>
        <stp/>
        <stp>LAST</stp>
        <stp>.SPXW250509P5460</stp>
        <tr r="DB126" s="1"/>
        <tr r="DB126" s="1"/>
      </tp>
      <tp>
        <v>202.5</v>
        <stp/>
        <stp>LAST</stp>
        <stp>.SPXW250509C5460</stp>
        <tr r="DA126" s="1"/>
        <tr r="DA126" s="1"/>
      </tp>
      <tp>
        <v>0.03</v>
        <stp/>
        <stp>LAST</stp>
        <stp>.SPXW250509P5470</stp>
        <tr r="DB125" s="1"/>
        <tr r="DB125" s="1"/>
      </tp>
      <tp t="s">
        <v>N/A</v>
        <stp/>
        <stp>VOLUME</stp>
        <stp>.NDXPC19400</stp>
        <tr r="B184" s="2"/>
        <tr r="G184" s="2"/>
        <tr r="C184" s="2"/>
        <tr r="D184" s="2"/>
        <tr r="E184" s="2"/>
        <tr r="F184" s="2"/>
      </tp>
      <tp t="s">
        <v>N/A</v>
        <stp/>
        <stp>VOLUME</stp>
        <stp>.NDXPC20400</stp>
        <tr r="G144" s="2"/>
        <tr r="F144" s="2"/>
        <tr r="C144" s="2"/>
        <tr r="D144" s="2"/>
        <tr r="B144" s="2"/>
        <tr r="E144" s="2"/>
      </tp>
      <tp>
        <v>196.8</v>
        <stp/>
        <stp>LAST</stp>
        <stp>.SPXW250509C5470</stp>
        <tr r="DA125" s="1"/>
        <tr r="DA125" s="1"/>
      </tp>
      <tp>
        <v>0.05</v>
        <stp/>
        <stp>LAST</stp>
        <stp>.SPXW250509P5440</stp>
        <tr r="DB128" s="1"/>
        <tr r="DB128" s="1"/>
      </tp>
      <tp>
        <v>225.5</v>
        <stp/>
        <stp>LAST</stp>
        <stp>.SPXW250509C5440</stp>
        <tr r="DA128" s="1"/>
        <tr r="DA128" s="1"/>
      </tp>
      <tp>
        <v>0.03</v>
        <stp/>
        <stp>LAST</stp>
        <stp>.SPXW250509P5450</stp>
        <tr r="DB127" s="1"/>
        <tr r="DB127" s="1"/>
      </tp>
      <tp>
        <v>213.99</v>
        <stp/>
        <stp>LAST</stp>
        <stp>.SPXW250509C5450</stp>
        <tr r="DA127" s="1"/>
        <tr r="DA127" s="1"/>
      </tp>
      <tp t="s">
        <v>N/A</v>
        <stp/>
        <stp>VOLUME</stp>
        <stp>.NDXPC19425</stp>
        <tr r="B183" s="2"/>
        <tr r="D183" s="2"/>
        <tr r="E183" s="2"/>
        <tr r="F183" s="2"/>
        <tr r="C183" s="2"/>
        <tr r="G183" s="2"/>
      </tp>
      <tp t="s">
        <v>N/A</v>
        <stp/>
        <stp>VOLUME</stp>
        <stp>.NDXPC20425</stp>
        <tr r="G143" s="2"/>
        <tr r="F143" s="2"/>
        <tr r="E143" s="2"/>
        <tr r="C143" s="2"/>
        <tr r="D143" s="2"/>
        <tr r="B143" s="2"/>
      </tp>
      <tp>
        <v>81.8</v>
        <stp/>
        <stp>ASK</stp>
        <stp>.SPXW250509C5580</stp>
        <tr r="DC114" s="1"/>
        <tr r="DC114" s="1"/>
      </tp>
      <tp>
        <v>0.05</v>
        <stp/>
        <stp>ASK</stp>
        <stp>.SPXW250509P5580</stp>
        <tr r="DD114" s="1"/>
        <tr r="DD114" s="1"/>
      </tp>
      <tp>
        <v>71.8</v>
        <stp/>
        <stp>ASK</stp>
        <stp>.SPXW250509C5590</stp>
        <tr r="DC113" s="1"/>
        <tr r="DC113" s="1"/>
      </tp>
      <tp>
        <v>0.05</v>
        <stp/>
        <stp>ASK</stp>
        <stp>.SPXW250509P5590</stp>
        <tr r="DD113" s="1"/>
        <tr r="DD113" s="1"/>
      </tp>
      <tp>
        <v>102.1</v>
        <stp/>
        <stp>ASK</stp>
        <stp>.SPXW250509C5560</stp>
        <tr r="DC116" s="1"/>
        <tr r="DC116" s="1"/>
      </tp>
      <tp>
        <v>0.05</v>
        <stp/>
        <stp>ASK</stp>
        <stp>.SPXW250509P5560</stp>
        <tr r="DD116" s="1"/>
        <tr r="DD116" s="1"/>
      </tp>
      <tp>
        <v>91.8</v>
        <stp/>
        <stp>ASK</stp>
        <stp>.SPXW250509C5570</stp>
        <tr r="DC115" s="1"/>
        <tr r="DC115" s="1"/>
      </tp>
      <tp>
        <v>0.05</v>
        <stp/>
        <stp>ASK</stp>
        <stp>.SPXW250509P5570</stp>
        <tr r="DD115" s="1"/>
        <tr r="DD115" s="1"/>
      </tp>
      <tp>
        <v>122.6</v>
        <stp/>
        <stp>ASK</stp>
        <stp>.SPXW250509C5540</stp>
        <tr r="DC118" s="1"/>
        <tr r="DC118" s="1"/>
      </tp>
      <tp>
        <v>0.05</v>
        <stp/>
        <stp>ASK</stp>
        <stp>.SPXW250509P5540</stp>
        <tr r="DD118" s="1"/>
        <tr r="DD118" s="1"/>
      </tp>
      <tp>
        <v>112.1</v>
        <stp/>
        <stp>ASK</stp>
        <stp>.SPXW250509C5550</stp>
        <tr r="DC117" s="1"/>
        <tr r="DC117" s="1"/>
      </tp>
      <tp>
        <v>0.05</v>
        <stp/>
        <stp>ASK</stp>
        <stp>.SPXW250509P5550</stp>
        <tr r="DD117" s="1"/>
        <tr r="DD117" s="1"/>
      </tp>
      <tp>
        <v>142.5</v>
        <stp/>
        <stp>ASK</stp>
        <stp>.SPXW250509C5520</stp>
        <tr r="DC120" s="1"/>
        <tr r="DC120" s="1"/>
      </tp>
      <tp>
        <v>0.05</v>
        <stp/>
        <stp>ASK</stp>
        <stp>.SPXW250509P5520</stp>
        <tr r="DD120" s="1"/>
        <tr r="DD120" s="1"/>
      </tp>
      <tp>
        <v>132.5</v>
        <stp/>
        <stp>ASK</stp>
        <stp>.SPXW250509C5530</stp>
        <tr r="DC119" s="1"/>
        <tr r="DC119" s="1"/>
      </tp>
      <tp>
        <v>0.05</v>
        <stp/>
        <stp>ASK</stp>
        <stp>.SPXW250509P5530</stp>
        <tr r="DD119" s="1"/>
        <tr r="DD119" s="1"/>
      </tp>
      <tp>
        <v>165.5</v>
        <stp/>
        <stp>ASK</stp>
        <stp>.SPXW250509C5500</stp>
        <tr r="DC122" s="1"/>
        <tr r="DC122" s="1"/>
      </tp>
      <tp>
        <v>0.05</v>
        <stp/>
        <stp>ASK</stp>
        <stp>.SPXW250509P5500</stp>
        <tr r="DD122" s="1"/>
        <tr r="DD122" s="1"/>
      </tp>
      <tp>
        <v>152.6</v>
        <stp/>
        <stp>ASK</stp>
        <stp>.SPXW250509C5510</stp>
        <tr r="DC121" s="1"/>
        <tr r="DC121" s="1"/>
      </tp>
      <tp>
        <v>0.05</v>
        <stp/>
        <stp>ASK</stp>
        <stp>.SPXW250509P5510</stp>
        <tr r="DD121" s="1"/>
        <tr r="DD121" s="1"/>
      </tp>
      <tp>
        <v>185.5</v>
        <stp/>
        <stp>ASK</stp>
        <stp>.SPXW250509C5480</stp>
        <tr r="DC124" s="1"/>
        <tr r="DC124" s="1"/>
      </tp>
      <tp>
        <v>0.05</v>
        <stp/>
        <stp>ASK</stp>
        <stp>.SPXW250509P5480</stp>
        <tr r="DD124" s="1"/>
        <tr r="DD124" s="1"/>
      </tp>
      <tp>
        <v>175.5</v>
        <stp/>
        <stp>ASK</stp>
        <stp>.SPXW250509C5490</stp>
        <tr r="DC123" s="1"/>
        <tr r="DC123" s="1"/>
      </tp>
      <tp>
        <v>0.05</v>
        <stp/>
        <stp>ASK</stp>
        <stp>.SPXW250509P5490</stp>
        <tr r="DD123" s="1"/>
        <tr r="DD123" s="1"/>
      </tp>
      <tp>
        <v>205.6</v>
        <stp/>
        <stp>ASK</stp>
        <stp>.SPXW250509C5460</stp>
        <tr r="DC126" s="1"/>
        <tr r="DC126" s="1"/>
      </tp>
      <tp>
        <v>0.05</v>
        <stp/>
        <stp>ASK</stp>
        <stp>.SPXW250509P5460</stp>
        <tr r="DD126" s="1"/>
        <tr r="DD126" s="1"/>
      </tp>
      <tp>
        <v>195.5</v>
        <stp/>
        <stp>ASK</stp>
        <stp>.SPXW250509C5470</stp>
        <tr r="DC125" s="1"/>
        <tr r="DC125" s="1"/>
      </tp>
      <tp>
        <v>0.05</v>
        <stp/>
        <stp>ASK</stp>
        <stp>.SPXW250509P5470</stp>
        <tr r="DD125" s="1"/>
        <tr r="DD125" s="1"/>
      </tp>
      <tp>
        <v>229.9</v>
        <stp/>
        <stp>ASK</stp>
        <stp>.SPXW250509C5440</stp>
        <tr r="DC128" s="1"/>
        <tr r="DC128" s="1"/>
      </tp>
      <tp>
        <v>0.05</v>
        <stp/>
        <stp>ASK</stp>
        <stp>.SPXW250509P5440</stp>
        <tr r="DD128" s="1"/>
        <tr r="DD128" s="1"/>
      </tp>
      <tp>
        <v>215.5</v>
        <stp/>
        <stp>ASK</stp>
        <stp>.SPXW250509C5450</stp>
        <tr r="DC127" s="1"/>
        <tr r="DC127" s="1"/>
      </tp>
      <tp>
        <v>0.05</v>
        <stp/>
        <stp>ASK</stp>
        <stp>.SPXW250509P5450</stp>
        <tr r="DD127" s="1"/>
        <tr r="DD127" s="1"/>
      </tp>
      <tp>
        <v>249.9</v>
        <stp/>
        <stp>ASK</stp>
        <stp>.SPXW250509C5420</stp>
        <tr r="DC130" s="1"/>
        <tr r="DC130" s="1"/>
      </tp>
      <tp>
        <v>0.05</v>
        <stp/>
        <stp>ASK</stp>
        <stp>.SPXW250509P5420</stp>
        <tr r="DD130" s="1"/>
        <tr r="DD130" s="1"/>
      </tp>
      <tp>
        <v>239.9</v>
        <stp/>
        <stp>ASK</stp>
        <stp>.SPXW250509C5430</stp>
        <tr r="DC129" s="1"/>
        <tr r="DC129" s="1"/>
      </tp>
      <tp>
        <v>0.05</v>
        <stp/>
        <stp>ASK</stp>
        <stp>.SPXW250509P5430</stp>
        <tr r="DD129" s="1"/>
        <tr r="DD129" s="1"/>
      </tp>
      <tp>
        <v>0.05</v>
        <stp/>
        <stp>ASK</stp>
        <stp>.SPXW250509C5780</stp>
        <tr r="DC94" s="1"/>
        <tr r="DC94" s="1"/>
      </tp>
      <tp>
        <v>123.1</v>
        <stp/>
        <stp>ASK</stp>
        <stp>.SPXW250509P5780</stp>
        <tr r="DD94" s="1"/>
        <tr r="DD94" s="1"/>
      </tp>
      <tp>
        <v>0.05</v>
        <stp/>
        <stp>ASK</stp>
        <stp>.SPXW250509C5790</stp>
        <tr r="DC93" s="1"/>
        <tr r="DC93" s="1"/>
      </tp>
      <tp>
        <v>133.1</v>
        <stp/>
        <stp>ASK</stp>
        <stp>.SPXW250509P5790</stp>
        <tr r="DD93" s="1"/>
        <tr r="DD93" s="1"/>
      </tp>
      <tp>
        <v>0.05</v>
        <stp/>
        <stp>ASK</stp>
        <stp>.SPXW250509C5760</stp>
        <tr r="DC96" s="1"/>
        <tr r="DC96" s="1"/>
      </tp>
      <tp>
        <v>103.1</v>
        <stp/>
        <stp>ASK</stp>
        <stp>.SPXW250509P5760</stp>
        <tr r="DD96" s="1"/>
        <tr r="DD96" s="1"/>
      </tp>
      <tp>
        <v>-0.35</v>
        <stp/>
        <stp>DELTA</stp>
        <stp>.NDX250516P19825</stp>
        <tr r="CG166" s="1"/>
        <tr r="CG166" s="1"/>
      </tp>
      <tp>
        <v>0.05</v>
        <stp/>
        <stp>ASK</stp>
        <stp>.SPXW250509C5770</stp>
        <tr r="DC95" s="1"/>
        <tr r="DC95" s="1"/>
      </tp>
      <tp>
        <v>113.1</v>
        <stp/>
        <stp>ASK</stp>
        <stp>.SPXW250509P5770</stp>
        <tr r="DD95" s="1"/>
        <tr r="DD95" s="1"/>
      </tp>
      <tp>
        <v>0.05</v>
        <stp/>
        <stp>ASK</stp>
        <stp>.SPXW250509C5740</stp>
        <tr r="DC98" s="1"/>
        <tr r="DC98" s="1"/>
      </tp>
      <tp>
        <v>83.1</v>
        <stp/>
        <stp>ASK</stp>
        <stp>.SPXW250509P5740</stp>
        <tr r="DD98" s="1"/>
        <tr r="DD98" s="1"/>
      </tp>
      <tp>
        <v>-0.33</v>
        <stp/>
        <stp>DELTA</stp>
        <stp>.NDX250516P19800</stp>
        <tr r="CG167" s="1"/>
        <tr r="CG167" s="1"/>
      </tp>
      <tp>
        <v>0.05</v>
        <stp/>
        <stp>ASK</stp>
        <stp>.SPXW250509C5750</stp>
        <tr r="DC97" s="1"/>
        <tr r="DC97" s="1"/>
      </tp>
      <tp>
        <v>93.1</v>
        <stp/>
        <stp>ASK</stp>
        <stp>.SPXW250509P5750</stp>
        <tr r="DD97" s="1"/>
        <tr r="DD97" s="1"/>
      </tp>
      <tp t="s">
        <v>N/A</v>
        <stp/>
        <stp>ASK</stp>
        <stp>.SPXW250509C5720</stp>
        <tr r="DC100" s="1"/>
      </tp>
      <tp t="s">
        <v>N/A</v>
        <stp/>
        <stp>ASK</stp>
        <stp>.SPXW250509P5720</stp>
        <tr r="DD100" s="1"/>
      </tp>
      <tp>
        <v>0.05</v>
        <stp/>
        <stp>ASK</stp>
        <stp>.SPXW250509C5730</stp>
        <tr r="DC99" s="1"/>
        <tr r="DC99" s="1"/>
      </tp>
      <tp>
        <v>73.099999999999994</v>
        <stp/>
        <stp>ASK</stp>
        <stp>.SPXW250509P5730</stp>
        <tr r="DD99" s="1"/>
        <tr r="DD99" s="1"/>
      </tp>
      <tp>
        <v>-0.38</v>
        <stp/>
        <stp>DELTA</stp>
        <stp>.NDX250516P19875</stp>
        <tr r="CG164" s="1"/>
        <tr r="CG164" s="1"/>
      </tp>
      <tp>
        <v>0.05</v>
        <stp/>
        <stp>ASK</stp>
        <stp>.SPXW250509C5700</stp>
        <tr r="DC102" s="1"/>
        <tr r="DC102" s="1"/>
      </tp>
      <tp>
        <v>43.1</v>
        <stp/>
        <stp>ASK</stp>
        <stp>.SPXW250509P5700</stp>
        <tr r="DD102" s="1"/>
        <tr r="DD102" s="1"/>
      </tp>
      <tp>
        <v>0.05</v>
        <stp/>
        <stp>ASK</stp>
        <stp>.SPXW250509C5710</stp>
        <tr r="DC101" s="1"/>
        <tr r="DC101" s="1"/>
      </tp>
      <tp>
        <v>53.1</v>
        <stp/>
        <stp>ASK</stp>
        <stp>.SPXW250509P5710</stp>
        <tr r="DD101" s="1"/>
        <tr r="DD101" s="1"/>
      </tp>
      <tp>
        <v>-0.36</v>
        <stp/>
        <stp>DELTA</stp>
        <stp>.NDX250516P19850</stp>
        <tr r="CG165" s="1"/>
        <tr r="CG165" s="1"/>
      </tp>
      <tp>
        <v>0.67</v>
        <stp/>
        <stp>DELTA</stp>
        <stp>.NDX250516C19800</stp>
        <tr r="CF167" s="1"/>
        <tr r="CF167" s="1"/>
      </tp>
      <tp>
        <v>0.66</v>
        <stp/>
        <stp>DELTA</stp>
        <stp>.NDX250516C19825</stp>
        <tr r="CF166" s="1"/>
        <tr r="CF166" s="1"/>
      </tp>
      <tp>
        <v>0.65</v>
        <stp/>
        <stp>DELTA</stp>
        <stp>.NDX250516C19850</stp>
        <tr r="CF165" s="1"/>
        <tr r="CF165" s="1"/>
      </tp>
      <tp>
        <v>0.63</v>
        <stp/>
        <stp>DELTA</stp>
        <stp>.NDX250516C19875</stp>
        <tr r="CF164" s="1"/>
        <tr r="CF164" s="1"/>
      </tp>
      <tp>
        <v>0.05</v>
        <stp/>
        <stp>ASK</stp>
        <stp>.SPXW250509C5680</stp>
        <tr r="DC104" s="1"/>
        <tr r="DC104" s="1"/>
      </tp>
      <tp>
        <v>20.8</v>
        <stp/>
        <stp>ASK</stp>
        <stp>.SPXW250509P5680</stp>
        <tr r="DD104" s="1"/>
        <tr r="DD104" s="1"/>
      </tp>
      <tp>
        <v>0.05</v>
        <stp/>
        <stp>ASK</stp>
        <stp>.SPXW250509C5690</stp>
        <tr r="DC103" s="1"/>
        <tr r="DC103" s="1"/>
      </tp>
      <tp>
        <v>33.1</v>
        <stp/>
        <stp>ASK</stp>
        <stp>.SPXW250509P5690</stp>
        <tr r="DD103" s="1"/>
        <tr r="DD103" s="1"/>
      </tp>
      <tp>
        <v>0.5</v>
        <stp/>
        <stp>ASK</stp>
        <stp>.SPXW250509C5660</stp>
        <tr r="DC106" s="1"/>
        <tr r="DC106" s="1"/>
      </tp>
      <tp>
        <v>0.8</v>
        <stp/>
        <stp>ASK</stp>
        <stp>.SPXW250509P5660</stp>
        <tr r="DD106" s="1"/>
        <tr r="DD106" s="1"/>
      </tp>
      <tp>
        <v>-0.4</v>
        <stp/>
        <stp>DELTA</stp>
        <stp>.NDX250516P19925</stp>
        <tr r="CG162" s="1"/>
        <tr r="CG162" s="1"/>
      </tp>
      <tp>
        <v>0.05</v>
        <stp/>
        <stp>ASK</stp>
        <stp>.SPXW250509C5670</stp>
        <tr r="DC105" s="1"/>
        <tr r="DC105" s="1"/>
      </tp>
      <tp>
        <v>12</v>
        <stp/>
        <stp>ASK</stp>
        <stp>.SPXW250509P5670</stp>
        <tr r="DD105" s="1"/>
        <tr r="DD105" s="1"/>
      </tp>
      <tp>
        <v>21.8</v>
        <stp/>
        <stp>ASK</stp>
        <stp>.SPXW250509C5640</stp>
        <tr r="DC108" s="1"/>
        <tr r="DC108" s="1"/>
      </tp>
      <tp>
        <v>0.05</v>
        <stp/>
        <stp>ASK</stp>
        <stp>.SPXW250509P5640</stp>
        <tr r="DD108" s="1"/>
        <tr r="DD108" s="1"/>
      </tp>
      <tp>
        <v>-0.39</v>
        <stp/>
        <stp>DELTA</stp>
        <stp>.NDX250516P19900</stp>
        <tr r="CG163" s="1"/>
        <tr r="CG163" s="1"/>
      </tp>
      <tp>
        <v>10.9</v>
        <stp/>
        <stp>ASK</stp>
        <stp>.SPXW250509C5650</stp>
        <tr r="DC107" s="1"/>
        <tr r="DC107" s="1"/>
      </tp>
      <tp>
        <v>0.05</v>
        <stp/>
        <stp>ASK</stp>
        <stp>.SPXW250509P5650</stp>
        <tr r="DD107" s="1"/>
        <tr r="DD107" s="1"/>
      </tp>
      <tp>
        <v>41.8</v>
        <stp/>
        <stp>ASK</stp>
        <stp>.SPXW250509C5620</stp>
        <tr r="DC110" s="1"/>
        <tr r="DC110" s="1"/>
      </tp>
      <tp>
        <v>0.05</v>
        <stp/>
        <stp>ASK</stp>
        <stp>.SPXW250509P5620</stp>
        <tr r="DD110" s="1"/>
        <tr r="DD110" s="1"/>
      </tp>
      <tp>
        <v>31.8</v>
        <stp/>
        <stp>ASK</stp>
        <stp>.SPXW250509C5630</stp>
        <tr r="DC109" s="1"/>
        <tr r="DC109" s="1"/>
      </tp>
      <tp>
        <v>0.05</v>
        <stp/>
        <stp>ASK</stp>
        <stp>.SPXW250509P5630</stp>
        <tr r="DD109" s="1"/>
        <tr r="DD109" s="1"/>
      </tp>
      <tp>
        <v>-0.43</v>
        <stp/>
        <stp>DELTA</stp>
        <stp>.NDX250516P19975</stp>
        <tr r="CG160" s="1"/>
        <tr r="CG160" s="1"/>
      </tp>
      <tp>
        <v>61.8</v>
        <stp/>
        <stp>ASK</stp>
        <stp>.SPXW250509C5600</stp>
        <tr r="DC112" s="1"/>
        <tr r="DC112" s="1"/>
      </tp>
      <tp>
        <v>0.05</v>
        <stp/>
        <stp>ASK</stp>
        <stp>.SPXW250509P5600</stp>
        <tr r="DD112" s="1"/>
        <tr r="DD112" s="1"/>
      </tp>
      <tp>
        <v>52.1</v>
        <stp/>
        <stp>ASK</stp>
        <stp>.SPXW250509C5610</stp>
        <tr r="DC111" s="1"/>
        <tr r="DC111" s="1"/>
      </tp>
      <tp>
        <v>0.05</v>
        <stp/>
        <stp>ASK</stp>
        <stp>.SPXW250509P5610</stp>
        <tr r="DD111" s="1"/>
        <tr r="DD111" s="1"/>
      </tp>
      <tp>
        <v>-0.42</v>
        <stp/>
        <stp>DELTA</stp>
        <stp>.NDX250516P19950</stp>
        <tr r="CG161" s="1"/>
        <tr r="CG161" s="1"/>
      </tp>
      <tp>
        <v>0.62</v>
        <stp/>
        <stp>DELTA</stp>
        <stp>.NDX250516C19900</stp>
        <tr r="CF163" s="1"/>
        <tr r="CF163" s="1"/>
      </tp>
      <tp>
        <v>0.6</v>
        <stp/>
        <stp>DELTA</stp>
        <stp>.NDX250516C19925</stp>
        <tr r="CF162" s="1"/>
        <tr r="CF162" s="1"/>
      </tp>
      <tp>
        <v>0.57999999999999996</v>
        <stp/>
        <stp>DELTA</stp>
        <stp>.NDX250516C19950</stp>
        <tr r="CF161" s="1"/>
        <tr r="CF161" s="1"/>
      </tp>
      <tp>
        <v>0.56999999999999995</v>
        <stp/>
        <stp>DELTA</stp>
        <stp>.NDX250516C19975</stp>
        <tr r="CF160" s="1"/>
        <tr r="CF160" s="1"/>
      </tp>
      <tp>
        <v>-0.4</v>
        <stp/>
        <stp>DELTA</stp>
        <stp>.NDX250620P19825</stp>
        <tr r="CI166" s="1"/>
        <tr r="CI166" s="1"/>
      </tp>
      <tp>
        <v>-0.4</v>
        <stp/>
        <stp>DELTA</stp>
        <stp>.NDX250620P19800</stp>
        <tr r="CI167" s="1"/>
        <tr r="CI167" s="1"/>
      </tp>
      <tp>
        <v>-0.41</v>
        <stp/>
        <stp>DELTA</stp>
        <stp>.NDX250620P19875</stp>
        <tr r="CI164" s="1"/>
        <tr r="CI164" s="1"/>
      </tp>
      <tp>
        <v>-0.41</v>
        <stp/>
        <stp>DELTA</stp>
        <stp>.NDX250620P19850</stp>
        <tr r="CI165" s="1"/>
        <tr r="CI165" s="1"/>
      </tp>
      <tp>
        <v>0.61</v>
        <stp/>
        <stp>DELTA</stp>
        <stp>.NDX250620C19800</stp>
        <tr r="CH167" s="1"/>
        <tr r="CH167" s="1"/>
      </tp>
      <tp>
        <v>0.6</v>
        <stp/>
        <stp>DELTA</stp>
        <stp>.NDX250620C19825</stp>
        <tr r="CH166" s="1"/>
        <tr r="CH166" s="1"/>
      </tp>
      <tp>
        <v>0.59</v>
        <stp/>
        <stp>DELTA</stp>
        <stp>.NDX250620C19850</stp>
        <tr r="CH165" s="1"/>
        <tr r="CH165" s="1"/>
      </tp>
      <tp>
        <v>0.59</v>
        <stp/>
        <stp>DELTA</stp>
        <stp>.NDX250620C19875</stp>
        <tr r="CH164" s="1"/>
        <tr r="CH164" s="1"/>
      </tp>
      <tp>
        <v>-0.43</v>
        <stp/>
        <stp>DELTA</stp>
        <stp>.NDX250620P19925</stp>
        <tr r="CI162" s="1"/>
        <tr r="CI162" s="1"/>
      </tp>
      <tp>
        <v>-0.42</v>
        <stp/>
        <stp>DELTA</stp>
        <stp>.NDX250620P19900</stp>
        <tr r="CI163" s="1"/>
        <tr r="CI163" s="1"/>
      </tp>
      <tp>
        <v>-0.44</v>
        <stp/>
        <stp>DELTA</stp>
        <stp>.NDX250620P19975</stp>
        <tr r="CI160" s="1"/>
        <tr r="CI160" s="1"/>
      </tp>
      <tp>
        <v>-0.43</v>
        <stp/>
        <stp>DELTA</stp>
        <stp>.NDX250620P19950</stp>
        <tr r="CI161" s="1"/>
        <tr r="CI161" s="1"/>
      </tp>
      <tp>
        <v>0.57999999999999996</v>
        <stp/>
        <stp>DELTA</stp>
        <stp>.NDX250620C19900</stp>
        <tr r="CH163" s="1"/>
        <tr r="CH163" s="1"/>
      </tp>
      <tp>
        <v>0.57999999999999996</v>
        <stp/>
        <stp>DELTA</stp>
        <stp>.NDX250620C19925</stp>
        <tr r="CH162" s="1"/>
        <tr r="CH162" s="1"/>
      </tp>
      <tp>
        <v>0.56999999999999995</v>
        <stp/>
        <stp>DELTA</stp>
        <stp>.NDX250620C19950</stp>
        <tr r="CH161" s="1"/>
        <tr r="CH161" s="1"/>
      </tp>
      <tp>
        <v>0.56000000000000005</v>
        <stp/>
        <stp>DELTA</stp>
        <stp>.NDX250620C19975</stp>
        <tr r="CH160" s="1"/>
        <tr r="CH160" s="1"/>
      </tp>
      <tp>
        <v>0.25</v>
        <stp/>
        <stp>LAST</stp>
        <stp>.NDXP250509P19875</stp>
        <tr r="DB164" s="1"/>
        <tr r="DB164" s="1"/>
      </tp>
      <tp>
        <v>0.15</v>
        <stp/>
        <stp>LAST</stp>
        <stp>.NDXP250509P19850</stp>
        <tr r="DB165" s="1"/>
        <tr r="DB165" s="1"/>
      </tp>
      <tp>
        <v>0.25</v>
        <stp/>
        <stp>LAST</stp>
        <stp>.NDXP250509P19825</stp>
        <tr r="DB166" s="1"/>
        <tr r="DB166" s="1"/>
      </tp>
      <tp>
        <v>0.05</v>
        <stp/>
        <stp>LAST</stp>
        <stp>.NDXP250509P19800</stp>
        <tr r="DB167" s="1"/>
        <tr r="DB167" s="1"/>
      </tp>
      <tp>
        <v>177.8</v>
        <stp/>
        <stp>LAST</stp>
        <stp>.NDXP250509C19850</stp>
        <tr r="DA165" s="1"/>
        <tr r="DA165" s="1"/>
      </tp>
      <tp>
        <v>250.85</v>
        <stp/>
        <stp>LAST</stp>
        <stp>.NDXP250509C19875</stp>
        <tr r="DA164" s="1"/>
        <tr r="DA164" s="1"/>
      </tp>
      <tp>
        <v>235.15</v>
        <stp/>
        <stp>LAST</stp>
        <stp>.NDXP250509C19800</stp>
        <tr r="DA167" s="1"/>
        <tr r="DA167" s="1"/>
      </tp>
      <tp>
        <v>424.81</v>
        <stp/>
        <stp>LAST</stp>
        <stp>.NDXP250509C19825</stp>
        <tr r="DA166" s="1"/>
        <tr r="DA166" s="1"/>
      </tp>
      <tp>
        <v>0.05</v>
        <stp/>
        <stp>LAST</stp>
        <stp>.NDXP250509P19975</stp>
        <tr r="DB160" s="1"/>
        <tr r="DB160" s="1"/>
      </tp>
      <tp>
        <v>0.23</v>
        <stp/>
        <stp>LAST</stp>
        <stp>.NDXP250509P19950</stp>
        <tr r="DB161" s="1"/>
        <tr r="DB161" s="1"/>
      </tp>
      <tp>
        <v>0.05</v>
        <stp/>
        <stp>LAST</stp>
        <stp>.NDXP250509P19925</stp>
        <tr r="DB162" s="1"/>
        <tr r="DB162" s="1"/>
      </tp>
      <tp>
        <v>0.05</v>
        <stp/>
        <stp>LAST</stp>
        <stp>.NDXP250509P19900</stp>
        <tr r="DB163" s="1"/>
        <tr r="DB163" s="1"/>
      </tp>
      <tp>
        <v>141</v>
        <stp/>
        <stp>LAST</stp>
        <stp>.NDXP250509C19950</stp>
        <tr r="DA161" s="1"/>
        <tr r="DA161" s="1"/>
      </tp>
      <tp>
        <v>112.8</v>
        <stp/>
        <stp>LAST</stp>
        <stp>.NDXP250509C19975</stp>
        <tr r="DA160" s="1"/>
        <tr r="DA160" s="1"/>
      </tp>
      <tp>
        <v>185</v>
        <stp/>
        <stp>LAST</stp>
        <stp>.NDXP250509C19900</stp>
        <tr r="DA163" s="1"/>
        <tr r="DA163" s="1"/>
      </tp>
      <tp>
        <v>132.32</v>
        <stp/>
        <stp>LAST</stp>
        <stp>.NDXP250509C19925</stp>
        <tr r="DA162" s="1"/>
        <tr r="DA162" s="1"/>
      </tp>
      <tp>
        <v>-0.32</v>
        <stp/>
        <stp>DELTA</stp>
        <stp>.NDX250620P19425</stp>
        <tr r="CI182" s="1"/>
        <tr r="CI182" s="1"/>
      </tp>
      <tp>
        <v>-0.59</v>
        <stp/>
        <stp>DELTA</stp>
        <stp>.NDX250516P20225</stp>
        <tr r="CG150" s="1"/>
        <tr r="CG150" s="1"/>
      </tp>
      <tp>
        <v>-0.55000000000000004</v>
        <stp/>
        <stp>DELTA</stp>
        <stp>.NDX250620P20425</stp>
        <tr r="CI142" s="1"/>
        <tr r="CI142" s="1"/>
      </tp>
      <tp>
        <v>-0.31</v>
        <stp/>
        <stp>DELTA</stp>
        <stp>.NDX250620P19400</stp>
        <tr r="CI183" s="1"/>
        <tr r="CI183" s="1"/>
      </tp>
      <tp>
        <v>-0.56999999999999995</v>
        <stp/>
        <stp>DELTA</stp>
        <stp>.NDX250516P20200</stp>
        <tr r="CG151" s="1"/>
        <tr r="CG151" s="1"/>
      </tp>
      <tp>
        <v>-0.55000000000000004</v>
        <stp/>
        <stp>DELTA</stp>
        <stp>.NDX250620P20400</stp>
        <tr r="CI143" s="1"/>
        <tr r="CI143" s="1"/>
      </tp>
      <tp>
        <v>-0.33</v>
        <stp/>
        <stp>DELTA</stp>
        <stp>.NDX250620P19475</stp>
        <tr r="CI180" s="1"/>
        <tr r="CI180" s="1"/>
      </tp>
      <tp>
        <v>-0.62</v>
        <stp/>
        <stp>DELTA</stp>
        <stp>.NDX250516P20275</stp>
        <tr r="CG148" s="1"/>
        <tr r="CG148" s="1"/>
      </tp>
      <tp>
        <v>-0.12</v>
        <stp/>
        <stp>DELTA</stp>
        <stp>.NDX250516P19275</stp>
        <tr r="CG188" s="1"/>
        <tr r="CG188" s="1"/>
      </tp>
      <tp>
        <v>-0.56999999999999995</v>
        <stp/>
        <stp>DELTA</stp>
        <stp>.NDX250620P20475</stp>
        <tr r="CI140" s="1"/>
        <tr r="CI140" s="1"/>
      </tp>
      <tp>
        <v>-0.32</v>
        <stp/>
        <stp>DELTA</stp>
        <stp>.NDX250620P19450</stp>
        <tr r="CI181" s="1"/>
        <tr r="CI181" s="1"/>
      </tp>
      <tp>
        <v>-0.6</v>
        <stp/>
        <stp>DELTA</stp>
        <stp>.NDX250516P20250</stp>
        <tr r="CG149" s="1"/>
        <tr r="CG149" s="1"/>
      </tp>
      <tp>
        <v>-0.11</v>
        <stp/>
        <stp>DELTA</stp>
        <stp>.NDX250516P19250</stp>
        <tr r="CG189" s="1"/>
        <tr r="CG189" s="1"/>
      </tp>
      <tp>
        <v>-0.56000000000000005</v>
        <stp/>
        <stp>DELTA</stp>
        <stp>.NDX250620P20450</stp>
        <tr r="CI141" s="1"/>
        <tr r="CI141" s="1"/>
      </tp>
      <tp>
        <v>0.69</v>
        <stp/>
        <stp>DELTA</stp>
        <stp>.NDX250620C19400</stp>
        <tr r="CH183" s="1"/>
        <tr r="CH183" s="1"/>
      </tp>
      <tp>
        <v>0.42</v>
        <stp/>
        <stp>DELTA</stp>
        <stp>.NDX250516C20200</stp>
        <tr r="CF151" s="1"/>
        <tr r="CF151" s="1"/>
      </tp>
      <tp>
        <v>0.45</v>
        <stp/>
        <stp>DELTA</stp>
        <stp>.NDX250620C20400</stp>
        <tr r="CH143" s="1"/>
        <tr r="CH143" s="1"/>
      </tp>
      <tp>
        <v>0.69</v>
        <stp/>
        <stp>DELTA</stp>
        <stp>.NDX250620C19425</stp>
        <tr r="CH182" s="1"/>
        <tr r="CH182" s="1"/>
      </tp>
      <tp>
        <v>0.41</v>
        <stp/>
        <stp>DELTA</stp>
        <stp>.NDX250516C20225</stp>
        <tr r="CF150" s="1"/>
        <tr r="CF150" s="1"/>
      </tp>
      <tp>
        <v>0.44</v>
        <stp/>
        <stp>DELTA</stp>
        <stp>.NDX250620C20425</stp>
        <tr r="CH142" s="1"/>
        <tr r="CH142" s="1"/>
      </tp>
      <tp>
        <v>0.68</v>
        <stp/>
        <stp>DELTA</stp>
        <stp>.NDX250620C19450</stp>
        <tr r="CH181" s="1"/>
        <tr r="CH181" s="1"/>
      </tp>
      <tp>
        <v>0.39</v>
        <stp/>
        <stp>DELTA</stp>
        <stp>.NDX250516C20250</stp>
        <tr r="CF149" s="1"/>
        <tr r="CF149" s="1"/>
      </tp>
      <tp>
        <v>0.9</v>
        <stp/>
        <stp>DELTA</stp>
        <stp>.NDX250516C19250</stp>
        <tr r="CF189" s="1"/>
        <tr r="CF189" s="1"/>
      </tp>
      <tp>
        <v>0.44</v>
        <stp/>
        <stp>DELTA</stp>
        <stp>.NDX250620C20450</stp>
        <tr r="CH141" s="1"/>
        <tr r="CH141" s="1"/>
      </tp>
      <tp>
        <v>0.68</v>
        <stp/>
        <stp>DELTA</stp>
        <stp>.NDX250620C19475</stp>
        <tr r="CH180" s="1"/>
        <tr r="CH180" s="1"/>
      </tp>
      <tp>
        <v>0.37</v>
        <stp/>
        <stp>DELTA</stp>
        <stp>.NDX250516C20275</stp>
        <tr r="CF148" s="1"/>
        <tr r="CF148" s="1"/>
      </tp>
      <tp>
        <v>0.9</v>
        <stp/>
        <stp>DELTA</stp>
        <stp>.NDX250516C19275</stp>
        <tr r="CF188" s="1"/>
        <tr r="CF188" s="1"/>
      </tp>
      <tp>
        <v>0.43</v>
        <stp/>
        <stp>DELTA</stp>
        <stp>.NDX250620C20475</stp>
        <tr r="CH140" s="1"/>
        <tr r="CH140" s="1"/>
      </tp>
      <tp>
        <v>1.36</v>
        <stp/>
        <stp>LAST</stp>
        <stp>.NDXP250509P19675</stp>
        <tr r="DB172" s="1"/>
        <tr r="DB172" s="1"/>
      </tp>
      <tp>
        <v>0.25</v>
        <stp/>
        <stp>LAST</stp>
        <stp>.NDXP250509P19650</stp>
        <tr r="DB173" s="1"/>
        <tr r="DB173" s="1"/>
      </tp>
      <tp>
        <v>0.2</v>
        <stp/>
        <stp>LAST</stp>
        <stp>.NDXP250509P19625</stp>
        <tr r="DB174" s="1"/>
        <tr r="DB174" s="1"/>
      </tp>
      <tp>
        <v>0.25</v>
        <stp/>
        <stp>LAST</stp>
        <stp>.NDXP250509P19600</stp>
        <tr r="DB175" s="1"/>
        <tr r="DB175" s="1"/>
      </tp>
      <tp>
        <v>458.03</v>
        <stp/>
        <stp>LAST</stp>
        <stp>.NDXP250509C19650</stp>
        <tr r="DA173" s="1"/>
        <tr r="DA173" s="1"/>
      </tp>
      <tp>
        <v>432.86</v>
        <stp/>
        <stp>LAST</stp>
        <stp>.NDXP250509C19675</stp>
        <tr r="DA172" s="1"/>
        <tr r="DA172" s="1"/>
      </tp>
      <tp>
        <v>430.46</v>
        <stp/>
        <stp>LAST</stp>
        <stp>.NDXP250509C19600</stp>
        <tr r="DA175" s="1"/>
        <tr r="DA175" s="1"/>
      </tp>
      <tp>
        <v>506.3</v>
        <stp/>
        <stp>LAST</stp>
        <stp>.NDXP250509C19625</stp>
        <tr r="DA174" s="1"/>
        <tr r="DA174" s="1"/>
      </tp>
      <tp>
        <v>-0.34</v>
        <stp/>
        <stp>DELTA</stp>
        <stp>.NDX250620P19525</stp>
        <tr r="CI178" s="1"/>
        <tr r="CI178" s="1"/>
      </tp>
      <tp>
        <v>-0.65</v>
        <stp/>
        <stp>DELTA</stp>
        <stp>.NDX250516P20325</stp>
        <tr r="CG146" s="1"/>
        <tr r="CG146" s="1"/>
      </tp>
      <tp>
        <v>-0.13</v>
        <stp/>
        <stp>DELTA</stp>
        <stp>.NDX250516P19325</stp>
        <tr r="CG186" s="1"/>
        <tr r="CG186" s="1"/>
      </tp>
      <tp>
        <v>-0.57999999999999996</v>
        <stp/>
        <stp>DELTA</stp>
        <stp>.NDX250620P20525</stp>
        <tr r="CI138" s="1"/>
        <tr r="CI138" s="1"/>
      </tp>
      <tp>
        <v>-0.33</v>
        <stp/>
        <stp>DELTA</stp>
        <stp>.NDX250620P19500</stp>
        <tr r="CI179" s="1"/>
        <tr r="CI179" s="1"/>
      </tp>
      <tp>
        <v>-0.63</v>
        <stp/>
        <stp>DELTA</stp>
        <stp>.NDX250516P20300</stp>
        <tr r="CG147" s="1"/>
        <tr r="CG147" s="1"/>
      </tp>
      <tp>
        <v>-0.13</v>
        <stp/>
        <stp>DELTA</stp>
        <stp>.NDX250516P19300</stp>
        <tr r="CG187" s="1"/>
        <tr r="CG187" s="1"/>
      </tp>
      <tp>
        <v>-0.56999999999999995</v>
        <stp/>
        <stp>DELTA</stp>
        <stp>.NDX250620P20500</stp>
        <tr r="CI139" s="1"/>
        <tr r="CI139" s="1"/>
      </tp>
      <tp>
        <v>-0.35</v>
        <stp/>
        <stp>DELTA</stp>
        <stp>.NDX250620P19575</stp>
        <tr r="CI176" s="1"/>
        <tr r="CI176" s="1"/>
      </tp>
      <tp>
        <v>-0.67</v>
        <stp/>
        <stp>DELTA</stp>
        <stp>.NDX250516P20375</stp>
        <tr r="CG144" s="1"/>
        <tr r="CG144" s="1"/>
      </tp>
      <tp>
        <v>-0.15</v>
        <stp/>
        <stp>DELTA</stp>
        <stp>.NDX250516P19375</stp>
        <tr r="CG184" s="1"/>
        <tr r="CG184" s="1"/>
      </tp>
      <tp>
        <v>-0.34</v>
        <stp/>
        <stp>DELTA</stp>
        <stp>.NDX250620P19550</stp>
        <tr r="CI177" s="1"/>
        <tr r="CI177" s="1"/>
      </tp>
      <tp>
        <v>-0.66</v>
        <stp/>
        <stp>DELTA</stp>
        <stp>.NDX250516P20350</stp>
        <tr r="CG145" s="1"/>
        <tr r="CG145" s="1"/>
      </tp>
      <tp>
        <v>-0.14000000000000001</v>
        <stp/>
        <stp>DELTA</stp>
        <stp>.NDX250516P19350</stp>
        <tr r="CG185" s="1"/>
        <tr r="CG185" s="1"/>
      </tp>
      <tp>
        <v>-0.59</v>
        <stp/>
        <stp>DELTA</stp>
        <stp>.NDX250620P20550</stp>
        <tr r="CI137" s="1"/>
        <tr r="CI137" s="1"/>
      </tp>
      <tp>
        <v>0.67</v>
        <stp/>
        <stp>DELTA</stp>
        <stp>.NDX250620C19500</stp>
        <tr r="CH179" s="1"/>
        <tr r="CH179" s="1"/>
      </tp>
      <tp>
        <v>0.36</v>
        <stp/>
        <stp>DELTA</stp>
        <stp>.NDX250516C20300</stp>
        <tr r="CF147" s="1"/>
        <tr r="CF147" s="1"/>
      </tp>
      <tp>
        <v>0.9</v>
        <stp/>
        <stp>DELTA</stp>
        <stp>.NDX250516C19300</stp>
        <tr r="CF187" s="1"/>
        <tr r="CF187" s="1"/>
      </tp>
      <tp>
        <v>0.42</v>
        <stp/>
        <stp>DELTA</stp>
        <stp>.NDX250620C20500</stp>
        <tr r="CH139" s="1"/>
        <tr r="CH139" s="1"/>
      </tp>
      <tp>
        <v>0.67</v>
        <stp/>
        <stp>DELTA</stp>
        <stp>.NDX250620C19525</stp>
        <tr r="CH178" s="1"/>
        <tr r="CH178" s="1"/>
      </tp>
      <tp>
        <v>0.34</v>
        <stp/>
        <stp>DELTA</stp>
        <stp>.NDX250516C20325</stp>
        <tr r="CF146" s="1"/>
        <tr r="CF146" s="1"/>
      </tp>
      <tp>
        <v>0.89</v>
        <stp/>
        <stp>DELTA</stp>
        <stp>.NDX250516C19325</stp>
        <tr r="CF186" s="1"/>
        <tr r="CF186" s="1"/>
      </tp>
      <tp>
        <v>0.41</v>
        <stp/>
        <stp>DELTA</stp>
        <stp>.NDX250620C20525</stp>
        <tr r="CH138" s="1"/>
        <tr r="CH138" s="1"/>
      </tp>
      <tp>
        <v>0.66</v>
        <stp/>
        <stp>DELTA</stp>
        <stp>.NDX250620C19550</stp>
        <tr r="CH177" s="1"/>
        <tr r="CH177" s="1"/>
      </tp>
      <tp>
        <v>0.33</v>
        <stp/>
        <stp>DELTA</stp>
        <stp>.NDX250516C20350</stp>
        <tr r="CF145" s="1"/>
        <tr r="CF145" s="1"/>
      </tp>
      <tp>
        <v>0.88</v>
        <stp/>
        <stp>DELTA</stp>
        <stp>.NDX250516C19350</stp>
        <tr r="CF185" s="1"/>
        <tr r="CF185" s="1"/>
      </tp>
      <tp>
        <v>0.41</v>
        <stp/>
        <stp>DELTA</stp>
        <stp>.NDX250620C20550</stp>
        <tr r="CH137" s="1"/>
        <tr r="CH137" s="1"/>
      </tp>
      <tp>
        <v>0.66</v>
        <stp/>
        <stp>DELTA</stp>
        <stp>.NDX250620C19575</stp>
        <tr r="CH176" s="1"/>
        <tr r="CH176" s="1"/>
      </tp>
      <tp>
        <v>0.31</v>
        <stp/>
        <stp>DELTA</stp>
        <stp>.NDX250516C20375</stp>
        <tr r="CF144" s="1"/>
        <tr r="CF144" s="1"/>
      </tp>
      <tp>
        <v>0.87</v>
        <stp/>
        <stp>DELTA</stp>
        <stp>.NDX250516C19375</stp>
        <tr r="CF184" s="1"/>
        <tr r="CF184" s="1"/>
      </tp>
      <tp>
        <v>1.2</v>
        <stp/>
        <stp>LAST</stp>
        <stp>.NDXP250509P19775</stp>
        <tr r="DB168" s="1"/>
        <tr r="DB168" s="1"/>
      </tp>
      <tp>
        <v>0.92</v>
        <stp/>
        <stp>LAST</stp>
        <stp>.NDXP250509P19750</stp>
        <tr r="DB169" s="1"/>
        <tr r="DB169" s="1"/>
      </tp>
      <tp>
        <v>0.26</v>
        <stp/>
        <stp>LAST</stp>
        <stp>.NDXP250509P19725</stp>
        <tr r="DB170" s="1"/>
        <tr r="DB170" s="1"/>
      </tp>
      <tp>
        <v>0.05</v>
        <stp/>
        <stp>LAST</stp>
        <stp>.NDXP250509P19700</stp>
        <tr r="DB171" s="1"/>
        <tr r="DB171" s="1"/>
      </tp>
      <tp>
        <v>437.4</v>
        <stp/>
        <stp>LAST</stp>
        <stp>.NDXP250509C19750</stp>
        <tr r="DA169" s="1"/>
        <tr r="DA169" s="1"/>
      </tp>
      <tp>
        <v>341.1</v>
        <stp/>
        <stp>LAST</stp>
        <stp>.NDXP250509C19775</stp>
        <tr r="DA168" s="1"/>
        <tr r="DA168" s="1"/>
      </tp>
      <tp>
        <v>461.25</v>
        <stp/>
        <stp>LAST</stp>
        <stp>.NDXP250509C19700</stp>
        <tr r="DA171" s="1"/>
        <tr r="DA171" s="1"/>
      </tp>
      <tp>
        <v>97.33</v>
        <stp/>
        <stp>LAST</stp>
        <stp>.NDXP250509C19725</stp>
        <tr r="DA170" s="1"/>
        <tr r="DA170" s="1"/>
      </tp>
      <tp>
        <v>-0.36</v>
        <stp/>
        <stp>DELTA</stp>
        <stp>.NDX250620P19625</stp>
        <tr r="CI174" s="1"/>
        <tr r="CI174" s="1"/>
      </tp>
      <tp>
        <v>-0.46</v>
        <stp/>
        <stp>DELTA</stp>
        <stp>.NDX250516P20025</stp>
        <tr r="CG158" s="1"/>
        <tr r="CG158" s="1"/>
      </tp>
      <tp>
        <v>-0.35</v>
        <stp/>
        <stp>DELTA</stp>
        <stp>.NDX250620P19600</stp>
        <tr r="CI175" s="1"/>
        <tr r="CI175" s="1"/>
      </tp>
      <tp>
        <v>-0.45</v>
        <stp/>
        <stp>DELTA</stp>
        <stp>.NDX250516P20000</stp>
        <tr r="CG159" s="1"/>
        <tr r="CG159" s="1"/>
      </tp>
      <tp>
        <v>-0.37</v>
        <stp/>
        <stp>DELTA</stp>
        <stp>.NDX250620P19675</stp>
        <tr r="CI172" s="1"/>
        <tr r="CI172" s="1"/>
      </tp>
      <tp>
        <v>-0.49</v>
        <stp/>
        <stp>DELTA</stp>
        <stp>.NDX250516P20075</stp>
        <tr r="CG156" s="1"/>
        <tr r="CG156" s="1"/>
      </tp>
      <tp>
        <v>-0.36</v>
        <stp/>
        <stp>DELTA</stp>
        <stp>.NDX250620P19650</stp>
        <tr r="CI173" s="1"/>
        <tr r="CI173" s="1"/>
      </tp>
      <tp>
        <v>-0.48</v>
        <stp/>
        <stp>DELTA</stp>
        <stp>.NDX250516P20050</stp>
        <tr r="CG157" s="1"/>
        <tr r="CG157" s="1"/>
      </tp>
      <tp>
        <v>0.65</v>
        <stp/>
        <stp>DELTA</stp>
        <stp>.NDX250620C19600</stp>
        <tr r="CH175" s="1"/>
        <tr r="CH175" s="1"/>
      </tp>
      <tp>
        <v>0.55000000000000004</v>
        <stp/>
        <stp>DELTA</stp>
        <stp>.NDX250516C20000</stp>
        <tr r="CF159" s="1"/>
        <tr r="CF159" s="1"/>
      </tp>
      <tp>
        <v>0.65</v>
        <stp/>
        <stp>DELTA</stp>
        <stp>.NDX250620C19625</stp>
        <tr r="CH174" s="1"/>
        <tr r="CH174" s="1"/>
      </tp>
      <tp>
        <v>0.54</v>
        <stp/>
        <stp>DELTA</stp>
        <stp>.NDX250516C20025</stp>
        <tr r="CF158" s="1"/>
        <tr r="CF158" s="1"/>
      </tp>
      <tp>
        <v>0.64</v>
        <stp/>
        <stp>DELTA</stp>
        <stp>.NDX250620C19650</stp>
        <tr r="CH173" s="1"/>
        <tr r="CH173" s="1"/>
      </tp>
      <tp>
        <v>0.52</v>
        <stp/>
        <stp>DELTA</stp>
        <stp>.NDX250516C20050</stp>
        <tr r="CF157" s="1"/>
        <tr r="CF157" s="1"/>
      </tp>
      <tp>
        <v>0.63</v>
        <stp/>
        <stp>DELTA</stp>
        <stp>.NDX250620C19675</stp>
        <tr r="CH172" s="1"/>
        <tr r="CH172" s="1"/>
      </tp>
      <tp>
        <v>0.5</v>
        <stp/>
        <stp>DELTA</stp>
        <stp>.NDX250516C20075</stp>
        <tr r="CF156" s="1"/>
        <tr r="CF156" s="1"/>
      </tp>
      <tp>
        <v>1</v>
        <stp/>
        <stp>LAST</stp>
        <stp>.NDXP250509P19475</stp>
        <tr r="DB180" s="1"/>
        <tr r="DB180" s="1"/>
      </tp>
      <tp>
        <v>0</v>
        <stp/>
        <stp>LAST</stp>
        <stp>.NDXP250509P20475</stp>
        <tr r="DB140" s="1"/>
        <tr r="DB140" s="1"/>
      </tp>
      <tp>
        <v>0.21</v>
        <stp/>
        <stp>LAST</stp>
        <stp>.NDXP250509P19450</stp>
        <tr r="DB181" s="1"/>
        <tr r="DB181" s="1"/>
      </tp>
      <tp>
        <v>244.75</v>
        <stp/>
        <stp>LAST</stp>
        <stp>.NDXP250509P20450</stp>
        <tr r="DB141" s="1"/>
        <tr r="DB141" s="1"/>
      </tp>
      <tp>
        <v>1</v>
        <stp/>
        <stp>LAST</stp>
        <stp>.NDXP250509P19425</stp>
        <tr r="DB182" s="1"/>
        <tr r="DB182" s="1"/>
      </tp>
      <tp>
        <v>375.2</v>
        <stp/>
        <stp>LAST</stp>
        <stp>.NDXP250509P20425</stp>
        <tr r="DB142" s="1"/>
        <tr r="DB142" s="1"/>
      </tp>
      <tp>
        <v>0.25</v>
        <stp/>
        <stp>LAST</stp>
        <stp>.NDXP250509P19400</stp>
        <tr r="DB183" s="1"/>
        <tr r="DB183" s="1"/>
      </tp>
      <tp>
        <v>244.3</v>
        <stp/>
        <stp>LAST</stp>
        <stp>.NDXP250509P20400</stp>
        <tr r="DB143" s="1"/>
        <tr r="DB143" s="1"/>
      </tp>
      <tp>
        <v>802.02</v>
        <stp/>
        <stp>LAST</stp>
        <stp>.NDXP250509C19450</stp>
        <tr r="DA181" s="1"/>
        <tr r="DA181" s="1"/>
      </tp>
      <tp>
        <v>0.1</v>
        <stp/>
        <stp>LAST</stp>
        <stp>.NDXP250509C20450</stp>
        <tr r="DA141" s="1"/>
        <tr r="DA141" s="1"/>
      </tp>
      <tp>
        <v>647.70000000000005</v>
        <stp/>
        <stp>LAST</stp>
        <stp>.NDXP250509C19475</stp>
        <tr r="DA180" s="1"/>
        <tr r="DA180" s="1"/>
      </tp>
      <tp>
        <v>0.65</v>
        <stp/>
        <stp>LAST</stp>
        <stp>.NDXP250509C20475</stp>
        <tr r="DA140" s="1"/>
        <tr r="DA140" s="1"/>
      </tp>
      <tp>
        <v>850.67</v>
        <stp/>
        <stp>LAST</stp>
        <stp>.NDXP250509C19400</stp>
        <tr r="DA183" s="1"/>
        <tr r="DA183" s="1"/>
      </tp>
      <tp>
        <v>0.05</v>
        <stp/>
        <stp>LAST</stp>
        <stp>.NDXP250509C20400</stp>
        <tr r="DA143" s="1"/>
        <tr r="DA143" s="1"/>
      </tp>
      <tp>
        <v>315.8</v>
        <stp/>
        <stp>LAST</stp>
        <stp>.NDXP250509C19425</stp>
        <tr r="DA182" s="1"/>
        <tr r="DA182" s="1"/>
      </tp>
      <tp>
        <v>0.05</v>
        <stp/>
        <stp>LAST</stp>
        <stp>.NDXP250509C20425</stp>
        <tr r="DA142" s="1"/>
        <tr r="DA142" s="1"/>
      </tp>
      <tp>
        <v>-0.38</v>
        <stp/>
        <stp>DELTA</stp>
        <stp>.NDX250620P19725</stp>
        <tr r="CI170" s="1"/>
        <tr r="CI170" s="1"/>
      </tp>
      <tp>
        <v>-0.53</v>
        <stp/>
        <stp>DELTA</stp>
        <stp>.NDX250516P20125</stp>
        <tr r="CG154" s="1"/>
        <tr r="CG154" s="1"/>
      </tp>
      <tp>
        <v>-0.38</v>
        <stp/>
        <stp>DELTA</stp>
        <stp>.NDX250620P19700</stp>
        <tr r="CI171" s="1"/>
        <tr r="CI171" s="1"/>
      </tp>
      <tp>
        <v>-0.51</v>
        <stp/>
        <stp>DELTA</stp>
        <stp>.NDX250516P20100</stp>
        <tr r="CG155" s="1"/>
        <tr r="CG155" s="1"/>
      </tp>
      <tp>
        <v>-0.39</v>
        <stp/>
        <stp>DELTA</stp>
        <stp>.NDX250620P19775</stp>
        <tr r="CI168" s="1"/>
        <tr r="CI168" s="1"/>
      </tp>
      <tp>
        <v>-0.56000000000000005</v>
        <stp/>
        <stp>DELTA</stp>
        <stp>.NDX250516P20175</stp>
        <tr r="CG152" s="1"/>
        <tr r="CG152" s="1"/>
      </tp>
      <tp>
        <v>-0.39</v>
        <stp/>
        <stp>DELTA</stp>
        <stp>.NDX250620P19750</stp>
        <tr r="CI169" s="1"/>
        <tr r="CI169" s="1"/>
      </tp>
      <tp>
        <v>-0.54</v>
        <stp/>
        <stp>DELTA</stp>
        <stp>.NDX250516P20150</stp>
        <tr r="CG153" s="1"/>
        <tr r="CG153" s="1"/>
      </tp>
      <tp>
        <v>0.63</v>
        <stp/>
        <stp>DELTA</stp>
        <stp>.NDX250620C19700</stp>
        <tr r="CH171" s="1"/>
        <tr r="CH171" s="1"/>
      </tp>
      <tp>
        <v>0.49</v>
        <stp/>
        <stp>DELTA</stp>
        <stp>.NDX250516C20100</stp>
        <tr r="CF155" s="1"/>
        <tr r="CF155" s="1"/>
      </tp>
      <tp>
        <v>0.62</v>
        <stp/>
        <stp>DELTA</stp>
        <stp>.NDX250620C19725</stp>
        <tr r="CH170" s="1"/>
        <tr r="CH170" s="1"/>
      </tp>
      <tp>
        <v>0.47</v>
        <stp/>
        <stp>DELTA</stp>
        <stp>.NDX250516C20125</stp>
        <tr r="CF154" s="1"/>
        <tr r="CF154" s="1"/>
      </tp>
      <tp>
        <v>0.62</v>
        <stp/>
        <stp>DELTA</stp>
        <stp>.NDX250620C19750</stp>
        <tr r="CH169" s="1"/>
        <tr r="CH169" s="1"/>
      </tp>
      <tp>
        <v>0.46</v>
        <stp/>
        <stp>DELTA</stp>
        <stp>.NDX250516C20150</stp>
        <tr r="CF153" s="1"/>
        <tr r="CF153" s="1"/>
      </tp>
      <tp>
        <v>0.61</v>
        <stp/>
        <stp>DELTA</stp>
        <stp>.NDX250620C19775</stp>
        <tr r="CH168" s="1"/>
        <tr r="CH168" s="1"/>
      </tp>
      <tp>
        <v>0.44</v>
        <stp/>
        <stp>DELTA</stp>
        <stp>.NDX250516C20175</stp>
        <tr r="CF152" s="1"/>
        <tr r="CF152" s="1"/>
      </tp>
      <tp>
        <v>0.21</v>
        <stp/>
        <stp>LAST</stp>
        <stp>.NDXP250509P19575</stp>
        <tr r="DB176" s="1"/>
        <tr r="DB176" s="1"/>
      </tp>
      <tp>
        <v>0.05</v>
        <stp/>
        <stp>LAST</stp>
        <stp>.NDXP250509P19550</stp>
        <tr r="DB177" s="1"/>
        <tr r="DB177" s="1"/>
      </tp>
      <tp>
        <v>344.11</v>
        <stp/>
        <stp>LAST</stp>
        <stp>.NDXP250509P20550</stp>
        <tr r="DB137" s="1"/>
        <tr r="DB137" s="1"/>
      </tp>
      <tp>
        <v>2.81</v>
        <stp/>
        <stp>LAST</stp>
        <stp>.NDXP250509P19525</stp>
        <tr r="DB178" s="1"/>
        <tr r="DB178" s="1"/>
      </tp>
      <tp>
        <v>0</v>
        <stp/>
        <stp>LAST</stp>
        <stp>.NDXP250509P20525</stp>
        <tr r="DB138" s="1"/>
        <tr r="DB138" s="1"/>
      </tp>
      <tp>
        <v>0.05</v>
        <stp/>
        <stp>LAST</stp>
        <stp>.NDXP250509P19500</stp>
        <tr r="DB179" s="1"/>
        <tr r="DB179" s="1"/>
      </tp>
      <tp>
        <v>424.91</v>
        <stp/>
        <stp>LAST</stp>
        <stp>.NDXP250509P20500</stp>
        <tr r="DB139" s="1"/>
        <tr r="DB139" s="1"/>
      </tp>
      <tp>
        <v>527.6</v>
        <stp/>
        <stp>LAST</stp>
        <stp>.NDXP250509C19550</stp>
        <tr r="DA177" s="1"/>
        <tr r="DA177" s="1"/>
      </tp>
      <tp>
        <v>0.32</v>
        <stp/>
        <stp>LAST</stp>
        <stp>.NDXP250509C20550</stp>
        <tr r="DA137" s="1"/>
        <tr r="DA137" s="1"/>
      </tp>
      <tp>
        <v>495.9</v>
        <stp/>
        <stp>LAST</stp>
        <stp>.NDXP250509C19575</stp>
        <tr r="DA176" s="1"/>
        <tr r="DA176" s="1"/>
      </tp>
      <tp>
        <v>571.45000000000005</v>
        <stp/>
        <stp>LAST</stp>
        <stp>.NDXP250509C19500</stp>
        <tr r="DA179" s="1"/>
        <tr r="DA179" s="1"/>
      </tp>
      <tp>
        <v>0.05</v>
        <stp/>
        <stp>LAST</stp>
        <stp>.NDXP250509C20500</stp>
        <tr r="DA139" s="1"/>
        <tr r="DA139" s="1"/>
      </tp>
      <tp>
        <v>376.38</v>
        <stp/>
        <stp>LAST</stp>
        <stp>.NDXP250509C19525</stp>
        <tr r="DA178" s="1"/>
        <tr r="DA178" s="1"/>
      </tp>
      <tp>
        <v>0.46</v>
        <stp/>
        <stp>LAST</stp>
        <stp>.NDXP250509C20525</stp>
        <tr r="DA138" s="1"/>
        <tr r="DA138" s="1"/>
      </tp>
      <tp>
        <v>-0.25</v>
        <stp/>
        <stp>DELTA</stp>
        <stp>.NDX250516P19625</stp>
        <tr r="CG174" s="1"/>
        <tr r="CG174" s="1"/>
      </tp>
      <tp>
        <v>-0.45</v>
        <stp/>
        <stp>DELTA</stp>
        <stp>.NDX250620P20025</stp>
        <tr r="CI158" s="1"/>
        <tr r="CI158" s="1"/>
      </tp>
      <tp>
        <v>-0.24</v>
        <stp/>
        <stp>DELTA</stp>
        <stp>.NDX250516P19600</stp>
        <tr r="CG175" s="1"/>
        <tr r="CG175" s="1"/>
      </tp>
      <tp>
        <v>-0.44</v>
        <stp/>
        <stp>DELTA</stp>
        <stp>.NDX250620P20000</stp>
        <tr r="CI159" s="1"/>
        <tr r="CI159" s="1"/>
      </tp>
      <tp>
        <v>-0.27</v>
        <stp/>
        <stp>DELTA</stp>
        <stp>.NDX250516P19675</stp>
        <tr r="CG172" s="1"/>
        <tr r="CG172" s="1"/>
      </tp>
      <tp>
        <v>-0.46</v>
        <stp/>
        <stp>DELTA</stp>
        <stp>.NDX250620P20075</stp>
        <tr r="CI156" s="1"/>
        <tr r="CI156" s="1"/>
      </tp>
      <tp>
        <v>-0.26</v>
        <stp/>
        <stp>DELTA</stp>
        <stp>.NDX250516P19650</stp>
        <tr r="CG173" s="1"/>
        <tr r="CG173" s="1"/>
      </tp>
      <tp>
        <v>-0.46</v>
        <stp/>
        <stp>DELTA</stp>
        <stp>.NDX250620P20050</stp>
        <tr r="CI157" s="1"/>
        <tr r="CI157" s="1"/>
      </tp>
      <tp>
        <v>0.78</v>
        <stp/>
        <stp>DELTA</stp>
        <stp>.NDX250516C19600</stp>
        <tr r="CF175" s="1"/>
        <tr r="CF175" s="1"/>
      </tp>
      <tp>
        <v>0.56000000000000005</v>
        <stp/>
        <stp>DELTA</stp>
        <stp>.NDX250620C20000</stp>
        <tr r="CH159" s="1"/>
        <tr r="CH159" s="1"/>
      </tp>
      <tp>
        <v>0.77</v>
        <stp/>
        <stp>DELTA</stp>
        <stp>.NDX250516C19625</stp>
        <tr r="CF174" s="1"/>
        <tr r="CF174" s="1"/>
      </tp>
      <tp>
        <v>0.55000000000000004</v>
        <stp/>
        <stp>DELTA</stp>
        <stp>.NDX250620C20025</stp>
        <tr r="CH158" s="1"/>
        <tr r="CH158" s="1"/>
      </tp>
      <tp>
        <v>0.75</v>
        <stp/>
        <stp>DELTA</stp>
        <stp>.NDX250516C19650</stp>
        <tr r="CF173" s="1"/>
        <tr r="CF173" s="1"/>
      </tp>
      <tp>
        <v>0.54</v>
        <stp/>
        <stp>DELTA</stp>
        <stp>.NDX250620C20050</stp>
        <tr r="CH157" s="1"/>
        <tr r="CH157" s="1"/>
      </tp>
      <tp>
        <v>0.74</v>
        <stp/>
        <stp>DELTA</stp>
        <stp>.NDX250516C19675</stp>
        <tr r="CF172" s="1"/>
        <tr r="CF172" s="1"/>
      </tp>
      <tp>
        <v>0.54</v>
        <stp/>
        <stp>DELTA</stp>
        <stp>.NDX250620C20075</stp>
        <tr r="CH156" s="1"/>
        <tr r="CH156" s="1"/>
      </tp>
      <tp>
        <v>0.05</v>
        <stp/>
        <stp>LAST</stp>
        <stp>.NDXP250509P19275</stp>
        <tr r="DB188" s="1"/>
        <tr r="DB188" s="1"/>
      </tp>
      <tp>
        <v>254.54</v>
        <stp/>
        <stp>LAST</stp>
        <stp>.NDXP250509P20275</stp>
        <tr r="DB148" s="1"/>
        <tr r="DB148" s="1"/>
      </tp>
      <tp>
        <v>0.38</v>
        <stp/>
        <stp>LAST</stp>
        <stp>.NDXP250509P19250</stp>
        <tr r="DB189" s="1"/>
        <tr r="DB189" s="1"/>
      </tp>
      <tp>
        <v>174.19</v>
        <stp/>
        <stp>LAST</stp>
        <stp>.NDXP250509P20250</stp>
        <tr r="DB149" s="1"/>
        <tr r="DB149" s="1"/>
      </tp>
      <tp>
        <v>152.57</v>
        <stp/>
        <stp>LAST</stp>
        <stp>.NDXP250509P20225</stp>
        <tr r="DB150" s="1"/>
        <tr r="DB150" s="1"/>
      </tp>
      <tp>
        <v>116.43</v>
        <stp/>
        <stp>LAST</stp>
        <stp>.NDXP250509P20200</stp>
        <tr r="DB151" s="1"/>
        <tr r="DB151" s="1"/>
      </tp>
      <tp>
        <v>755.89</v>
        <stp/>
        <stp>LAST</stp>
        <stp>.NDXP250509C19250</stp>
        <tr r="DA189" s="1"/>
        <tr r="DA189" s="1"/>
      </tp>
      <tp>
        <v>0.05</v>
        <stp/>
        <stp>LAST</stp>
        <stp>.NDXP250509C20250</stp>
        <tr r="DA149" s="1"/>
        <tr r="DA149" s="1"/>
      </tp>
      <tp>
        <v>734.12</v>
        <stp/>
        <stp>LAST</stp>
        <stp>.NDXP250509C19275</stp>
        <tr r="DA188" s="1"/>
        <tr r="DA188" s="1"/>
      </tp>
      <tp>
        <v>0.55000000000000004</v>
        <stp/>
        <stp>LAST</stp>
        <stp>.NDXP250509C20275</stp>
        <tr r="DA148" s="1"/>
        <tr r="DA148" s="1"/>
      </tp>
      <tp>
        <v>0.05</v>
        <stp/>
        <stp>LAST</stp>
        <stp>.NDXP250509C20200</stp>
        <tr r="DA151" s="1"/>
        <tr r="DA151" s="1"/>
      </tp>
      <tp>
        <v>0.55000000000000004</v>
        <stp/>
        <stp>LAST</stp>
        <stp>.NDXP250509C20225</stp>
        <tr r="DA150" s="1"/>
        <tr r="DA150" s="1"/>
      </tp>
      <tp>
        <v>0.05</v>
        <stp/>
        <stp>ASK</stp>
        <stp>.SPXW250509C5860</stp>
        <tr r="DC86" s="1"/>
        <tr r="DC86" s="1"/>
      </tp>
      <tp>
        <v>207.1</v>
        <stp/>
        <stp>ASK</stp>
        <stp>.SPXW250509P5860</stp>
        <tr r="DD86" s="1"/>
        <tr r="DD86" s="1"/>
      </tp>
      <tp>
        <v>-0.3</v>
        <stp/>
        <stp>DELTA</stp>
        <stp>.NDX250516P19725</stp>
        <tr r="CG170" s="1"/>
        <tr r="CG170" s="1"/>
      </tp>
      <tp>
        <v>-0.48</v>
        <stp/>
        <stp>DELTA</stp>
        <stp>.NDX250620P20125</stp>
        <tr r="CI154" s="1"/>
        <tr r="CI154" s="1"/>
      </tp>
      <tp>
        <v>0.05</v>
        <stp/>
        <stp>ASK</stp>
        <stp>.SPXW250509C5870</stp>
        <tr r="DC85" s="1"/>
        <tr r="DC85" s="1"/>
      </tp>
      <tp>
        <v>217.1</v>
        <stp/>
        <stp>ASK</stp>
        <stp>.SPXW250509P5870</stp>
        <tr r="DD85" s="1"/>
        <tr r="DD85" s="1"/>
      </tp>
      <tp>
        <v>0.05</v>
        <stp/>
        <stp>ASK</stp>
        <stp>.SPXW250509C5840</stp>
        <tr r="DC88" s="1"/>
        <tr r="DC88" s="1"/>
      </tp>
      <tp>
        <v>187.1</v>
        <stp/>
        <stp>ASK</stp>
        <stp>.SPXW250509P5840</stp>
        <tr r="DD88" s="1"/>
        <tr r="DD88" s="1"/>
      </tp>
      <tp>
        <v>-0.28000000000000003</v>
        <stp/>
        <stp>DELTA</stp>
        <stp>.NDX250516P19700</stp>
        <tr r="CG171" s="1"/>
        <tr r="CG171" s="1"/>
      </tp>
      <tp>
        <v>-0.47</v>
        <stp/>
        <stp>DELTA</stp>
        <stp>.NDX250620P20100</stp>
        <tr r="CI155" s="1"/>
        <tr r="CI155" s="1"/>
      </tp>
      <tp>
        <v>0.05</v>
        <stp/>
        <stp>ASK</stp>
        <stp>.SPXW250509C5850</stp>
        <tr r="DC87" s="1"/>
        <tr r="DC87" s="1"/>
      </tp>
      <tp>
        <v>197.1</v>
        <stp/>
        <stp>ASK</stp>
        <stp>.SPXW250509P5850</stp>
        <tr r="DD87" s="1"/>
        <tr r="DD87" s="1"/>
      </tp>
      <tp>
        <v>0.05</v>
        <stp/>
        <stp>ASK</stp>
        <stp>.SPXW250509C5820</stp>
        <tr r="DC90" s="1"/>
        <tr r="DC90" s="1"/>
      </tp>
      <tp>
        <v>163.1</v>
        <stp/>
        <stp>ASK</stp>
        <stp>.SPXW250509P5820</stp>
        <tr r="DD90" s="1"/>
        <tr r="DD90" s="1"/>
      </tp>
      <tp>
        <v>0.05</v>
        <stp/>
        <stp>ASK</stp>
        <stp>.SPXW250509C5830</stp>
        <tr r="DC89" s="1"/>
        <tr r="DC89" s="1"/>
      </tp>
      <tp>
        <v>173.1</v>
        <stp/>
        <stp>ASK</stp>
        <stp>.SPXW250509P5830</stp>
        <tr r="DD89" s="1"/>
        <tr r="DD89" s="1"/>
      </tp>
      <tp>
        <v>-0.32</v>
        <stp/>
        <stp>DELTA</stp>
        <stp>.NDX250516P19775</stp>
        <tr r="CG168" s="1"/>
        <tr r="CG168" s="1"/>
      </tp>
      <tp>
        <v>-0.49</v>
        <stp/>
        <stp>DELTA</stp>
        <stp>.NDX250620P20175</stp>
        <tr r="CI152" s="1"/>
        <tr r="CI152" s="1"/>
      </tp>
      <tp>
        <v>0.05</v>
        <stp/>
        <stp>ASK</stp>
        <stp>.SPXW250509C5800</stp>
        <tr r="DC92" s="1"/>
        <tr r="DC92" s="1"/>
      </tp>
      <tp>
        <v>143.1</v>
        <stp/>
        <stp>ASK</stp>
        <stp>.SPXW250509P5800</stp>
        <tr r="DD92" s="1"/>
        <tr r="DD92" s="1"/>
      </tp>
      <tp>
        <v>0.05</v>
        <stp/>
        <stp>ASK</stp>
        <stp>.SPXW250509C5810</stp>
        <tr r="DC91" s="1"/>
        <tr r="DC91" s="1"/>
      </tp>
      <tp>
        <v>153.1</v>
        <stp/>
        <stp>ASK</stp>
        <stp>.SPXW250509P5810</stp>
        <tr r="DD91" s="1"/>
        <tr r="DD91" s="1"/>
      </tp>
      <tp>
        <v>-0.31</v>
        <stp/>
        <stp>DELTA</stp>
        <stp>.NDX250516P19750</stp>
        <tr r="CG169" s="1"/>
        <tr r="CG169" s="1"/>
      </tp>
      <tp>
        <v>-0.48</v>
        <stp/>
        <stp>DELTA</stp>
        <stp>.NDX250620P20150</stp>
        <tr r="CI153" s="1"/>
        <tr r="CI153" s="1"/>
      </tp>
      <tp>
        <v>0.73</v>
        <stp/>
        <stp>DELTA</stp>
        <stp>.NDX250516C19700</stp>
        <tr r="CF171" s="1"/>
        <tr r="CF171" s="1"/>
      </tp>
      <tp>
        <v>0.53</v>
        <stp/>
        <stp>DELTA</stp>
        <stp>.NDX250620C20100</stp>
        <tr r="CH155" s="1"/>
        <tr r="CH155" s="1"/>
      </tp>
      <tp>
        <v>0.72</v>
        <stp/>
        <stp>DELTA</stp>
        <stp>.NDX250516C19725</stp>
        <tr r="CF170" s="1"/>
        <tr r="CF170" s="1"/>
      </tp>
      <tp>
        <v>0.52</v>
        <stp/>
        <stp>DELTA</stp>
        <stp>.NDX250620C20125</stp>
        <tr r="CH154" s="1"/>
        <tr r="CH154" s="1"/>
      </tp>
      <tp>
        <v>0.7</v>
        <stp/>
        <stp>DELTA</stp>
        <stp>.NDX250516C19750</stp>
        <tr r="CF169" s="1"/>
        <tr r="CF169" s="1"/>
      </tp>
      <tp>
        <v>0.52</v>
        <stp/>
        <stp>DELTA</stp>
        <stp>.NDX250620C20150</stp>
        <tr r="CH153" s="1"/>
        <tr r="CH153" s="1"/>
      </tp>
      <tp>
        <v>0.69</v>
        <stp/>
        <stp>DELTA</stp>
        <stp>.NDX250516C19775</stp>
        <tr r="CF168" s="1"/>
        <tr r="CF168" s="1"/>
      </tp>
      <tp>
        <v>0.51</v>
        <stp/>
        <stp>DELTA</stp>
        <stp>.NDX250620C20175</stp>
        <tr r="CH152" s="1"/>
        <tr r="CH152" s="1"/>
      </tp>
      <tp>
        <v>0.37</v>
        <stp/>
        <stp>LAST</stp>
        <stp>.NDXP250509P19375</stp>
        <tr r="DB184" s="1"/>
        <tr r="DB184" s="1"/>
      </tp>
      <tp>
        <v>3224.25</v>
        <stp/>
        <stp>LAST</stp>
        <stp>.NDXP250509P20375</stp>
        <tr r="DB144" s="1"/>
        <tr r="DB144" s="1"/>
      </tp>
      <tp>
        <v>0.12</v>
        <stp/>
        <stp>LAST</stp>
        <stp>.NDXP250509P19350</stp>
        <tr r="DB185" s="1"/>
        <tr r="DB185" s="1"/>
      </tp>
      <tp>
        <v>191.2</v>
        <stp/>
        <stp>LAST</stp>
        <stp>.NDXP250509P20350</stp>
        <tr r="DB145" s="1"/>
        <tr r="DB145" s="1"/>
      </tp>
      <tp>
        <v>0.4</v>
        <stp/>
        <stp>LAST</stp>
        <stp>.NDXP250509P19325</stp>
        <tr r="DB186" s="1"/>
        <tr r="DB186" s="1"/>
      </tp>
      <tp>
        <v>0</v>
        <stp/>
        <stp>LAST</stp>
        <stp>.NDXP250509P20325</stp>
        <tr r="DB146" s="1"/>
        <tr r="DB146" s="1"/>
      </tp>
      <tp>
        <v>0.05</v>
        <stp/>
        <stp>LAST</stp>
        <stp>.NDXP250509P19300</stp>
        <tr r="DB187" s="1"/>
        <tr r="DB187" s="1"/>
      </tp>
      <tp>
        <v>212.79</v>
        <stp/>
        <stp>LAST</stp>
        <stp>.NDXP250509P20300</stp>
        <tr r="DB147" s="1"/>
        <tr r="DB147" s="1"/>
      </tp>
      <tp>
        <v>268.25</v>
        <stp/>
        <stp>LAST</stp>
        <stp>.NDXP250509C19350</stp>
        <tr r="DA185" s="1"/>
        <tr r="DA185" s="1"/>
      </tp>
      <tp>
        <v>0.05</v>
        <stp/>
        <stp>LAST</stp>
        <stp>.NDXP250509C20350</stp>
        <tr r="DA145" s="1"/>
        <tr r="DA145" s="1"/>
      </tp>
      <tp>
        <v>0</v>
        <stp/>
        <stp>LAST</stp>
        <stp>.NDXP250509C19375</stp>
        <tr r="DA184" s="1"/>
        <tr r="DA184" s="1"/>
      </tp>
      <tp>
        <v>0.15</v>
        <stp/>
        <stp>LAST</stp>
        <stp>.NDXP250509C20375</stp>
        <tr r="DA144" s="1"/>
        <tr r="DA144" s="1"/>
      </tp>
      <tp>
        <v>499.73</v>
        <stp/>
        <stp>LAST</stp>
        <stp>.NDXP250509C19300</stp>
        <tr r="DA187" s="1"/>
        <tr r="DA187" s="1"/>
      </tp>
      <tp>
        <v>0.14000000000000001</v>
        <stp/>
        <stp>LAST</stp>
        <stp>.NDXP250509C20300</stp>
        <tr r="DA147" s="1"/>
        <tr r="DA147" s="1"/>
      </tp>
      <tp>
        <v>334.7</v>
        <stp/>
        <stp>LAST</stp>
        <stp>.NDXP250509C19325</stp>
        <tr r="DA186" s="1"/>
        <tr r="DA186" s="1"/>
      </tp>
      <tp>
        <v>0.1</v>
        <stp/>
        <stp>LAST</stp>
        <stp>.NDXP250509C20325</stp>
        <tr r="DA146" s="1"/>
        <tr r="DA146" s="1"/>
      </tp>
      <tp>
        <v>-0.7</v>
        <stp/>
        <stp>DELTA</stp>
        <stp>.NDX250516P20425</stp>
        <tr r="CG142" s="1"/>
        <tr r="CG142" s="1"/>
      </tp>
      <tp>
        <v>-0.17</v>
        <stp/>
        <stp>DELTA</stp>
        <stp>.NDX250516P19425</stp>
        <tr r="CG182" s="1"/>
        <tr r="CG182" s="1"/>
      </tp>
      <tp>
        <v>-0.5</v>
        <stp/>
        <stp>DELTA</stp>
        <stp>.NDX250620P20225</stp>
        <tr r="CI150" s="1"/>
        <tr r="CI150" s="1"/>
      </tp>
      <tp>
        <v>-0.69</v>
        <stp/>
        <stp>DELTA</stp>
        <stp>.NDX250516P20400</stp>
        <tr r="CG143" s="1"/>
        <tr r="CG143" s="1"/>
      </tp>
      <tp>
        <v>-0.16</v>
        <stp/>
        <stp>DELTA</stp>
        <stp>.NDX250516P19400</stp>
        <tr r="CG183" s="1"/>
        <tr r="CG183" s="1"/>
      </tp>
      <tp>
        <v>-0.49</v>
        <stp/>
        <stp>DELTA</stp>
        <stp>.NDX250620P20200</stp>
        <tr r="CI151" s="1"/>
        <tr r="CI151" s="1"/>
      </tp>
      <tp>
        <v>-0.28999999999999998</v>
        <stp/>
        <stp>DELTA</stp>
        <stp>.NDX250620P19275</stp>
        <tr r="CI188" s="1"/>
        <tr r="CI188" s="1"/>
      </tp>
      <tp>
        <v>-0.73</v>
        <stp/>
        <stp>DELTA</stp>
        <stp>.NDX250516P20475</stp>
        <tr r="CG140" s="1"/>
        <tr r="CG140" s="1"/>
      </tp>
      <tp>
        <v>-0.18</v>
        <stp/>
        <stp>DELTA</stp>
        <stp>.NDX250516P19475</stp>
        <tr r="CG180" s="1"/>
        <tr r="CG180" s="1"/>
      </tp>
      <tp>
        <v>-0.51</v>
        <stp/>
        <stp>DELTA</stp>
        <stp>.NDX250620P20275</stp>
        <tr r="CI148" s="1"/>
        <tr r="CI148" s="1"/>
      </tp>
      <tp>
        <v>-0.28999999999999998</v>
        <stp/>
        <stp>DELTA</stp>
        <stp>.NDX250620P19250</stp>
        <tr r="CI189" s="1"/>
        <tr r="CI189" s="1"/>
      </tp>
      <tp>
        <v>-0.72</v>
        <stp/>
        <stp>DELTA</stp>
        <stp>.NDX250516P20450</stp>
        <tr r="CG141" s="1"/>
        <tr r="CG141" s="1"/>
      </tp>
      <tp>
        <v>-0.17</v>
        <stp/>
        <stp>DELTA</stp>
        <stp>.NDX250516P19450</stp>
        <tr r="CG181" s="1"/>
        <tr r="CG181" s="1"/>
      </tp>
      <tp>
        <v>-0.51</v>
        <stp/>
        <stp>DELTA</stp>
        <stp>.NDX250620P20250</stp>
        <tr r="CI149" s="1"/>
        <tr r="CI149" s="1"/>
      </tp>
      <tp>
        <v>0.3</v>
        <stp/>
        <stp>DELTA</stp>
        <stp>.NDX250516C20400</stp>
        <tr r="CF143" s="1"/>
        <tr r="CF143" s="1"/>
      </tp>
      <tp>
        <v>0.86</v>
        <stp/>
        <stp>DELTA</stp>
        <stp>.NDX250516C19400</stp>
        <tr r="CF183" s="1"/>
        <tr r="CF183" s="1"/>
      </tp>
      <tp>
        <v>0.5</v>
        <stp/>
        <stp>DELTA</stp>
        <stp>.NDX250620C20200</stp>
        <tr r="CH151" s="1"/>
        <tr r="CH151" s="1"/>
      </tp>
      <tp>
        <v>0.28000000000000003</v>
        <stp/>
        <stp>DELTA</stp>
        <stp>.NDX250516C20425</stp>
        <tr r="CF142" s="1"/>
        <tr r="CF142" s="1"/>
      </tp>
      <tp>
        <v>0.85</v>
        <stp/>
        <stp>DELTA</stp>
        <stp>.NDX250516C19425</stp>
        <tr r="CF182" s="1"/>
        <tr r="CF182" s="1"/>
      </tp>
      <tp>
        <v>0.5</v>
        <stp/>
        <stp>DELTA</stp>
        <stp>.NDX250620C20225</stp>
        <tr r="CH150" s="1"/>
        <tr r="CH150" s="1"/>
      </tp>
      <tp>
        <v>0.72</v>
        <stp/>
        <stp>DELTA</stp>
        <stp>.NDX250620C19250</stp>
        <tr r="CH189" s="1"/>
        <tr r="CH189" s="1"/>
      </tp>
      <tp>
        <v>0.27</v>
        <stp/>
        <stp>DELTA</stp>
        <stp>.NDX250516C20450</stp>
        <tr r="CF141" s="1"/>
        <tr r="CF141" s="1"/>
      </tp>
      <tp>
        <v>0.84</v>
        <stp/>
        <stp>DELTA</stp>
        <stp>.NDX250516C19450</stp>
        <tr r="CF181" s="1"/>
        <tr r="CF181" s="1"/>
      </tp>
      <tp>
        <v>0.49</v>
        <stp/>
        <stp>DELTA</stp>
        <stp>.NDX250620C20250</stp>
        <tr r="CH149" s="1"/>
        <tr r="CH149" s="1"/>
      </tp>
      <tp>
        <v>0.72</v>
        <stp/>
        <stp>DELTA</stp>
        <stp>.NDX250620C19275</stp>
        <tr r="CH188" s="1"/>
        <tr r="CH188" s="1"/>
      </tp>
      <tp>
        <v>0.25</v>
        <stp/>
        <stp>DELTA</stp>
        <stp>.NDX250516C20475</stp>
        <tr r="CF140" s="1"/>
        <tr r="CF140" s="1"/>
      </tp>
      <tp>
        <v>0.83</v>
        <stp/>
        <stp>DELTA</stp>
        <stp>.NDX250516C19475</stp>
        <tr r="CF180" s="1"/>
        <tr r="CF180" s="1"/>
      </tp>
      <tp>
        <v>0.48</v>
        <stp/>
        <stp>DELTA</stp>
        <stp>.NDX250620C20275</stp>
        <tr r="CH148" s="1"/>
        <tr r="CH148" s="1"/>
      </tp>
      <tp>
        <v>23.5</v>
        <stp/>
        <stp>LAST</stp>
        <stp>.NDXP250509P20075</stp>
        <tr r="DB156" s="1"/>
        <tr r="DB156" s="1"/>
      </tp>
      <tp>
        <v>0.99</v>
        <stp/>
        <stp>LAST</stp>
        <stp>.NDXP250509P20050</stp>
        <tr r="DB157" s="1"/>
        <tr r="DB157" s="1"/>
      </tp>
      <tp>
        <v>0.05</v>
        <stp/>
        <stp>LAST</stp>
        <stp>.NDXP250509P20025</stp>
        <tr r="DB158" s="1"/>
        <tr r="DB158" s="1"/>
      </tp>
      <tp>
        <v>0.1</v>
        <stp/>
        <stp>LAST</stp>
        <stp>.NDXP250509P20000</stp>
        <tr r="DB159" s="1"/>
        <tr r="DB159" s="1"/>
      </tp>
      <tp>
        <v>14</v>
        <stp/>
        <stp>LAST</stp>
        <stp>.NDXP250509C20050</stp>
        <tr r="DA157" s="1"/>
        <tr r="DA157" s="1"/>
      </tp>
      <tp>
        <v>0.59</v>
        <stp/>
        <stp>LAST</stp>
        <stp>.NDXP250509C20075</stp>
        <tr r="DA156" s="1"/>
        <tr r="DA156" s="1"/>
      </tp>
      <tp>
        <v>66</v>
        <stp/>
        <stp>LAST</stp>
        <stp>.NDXP250509C20000</stp>
        <tr r="DA159" s="1"/>
        <tr r="DA159" s="1"/>
      </tp>
      <tp>
        <v>36.630000000000003</v>
        <stp/>
        <stp>LAST</stp>
        <stp>.NDXP250509C20025</stp>
        <tr r="DA158" s="1"/>
        <tr r="DA158" s="1"/>
      </tp>
      <tp>
        <v>-0.3</v>
        <stp/>
        <stp>DELTA</stp>
        <stp>.NDX250620P19325</stp>
        <tr r="CI186" s="1"/>
        <tr r="CI186" s="1"/>
      </tp>
      <tp>
        <v>-0.76</v>
        <stp/>
        <stp>DELTA</stp>
        <stp>.NDX250516P20525</stp>
        <tr r="CG138" s="1"/>
        <tr r="CG138" s="1"/>
      </tp>
      <tp>
        <v>-0.2</v>
        <stp/>
        <stp>DELTA</stp>
        <stp>.NDX250516P19525</stp>
        <tr r="CG178" s="1"/>
        <tr r="CG178" s="1"/>
      </tp>
      <tp>
        <v>-0.53</v>
        <stp/>
        <stp>DELTA</stp>
        <stp>.NDX250620P20325</stp>
        <tr r="CI146" s="1"/>
        <tr r="CI146" s="1"/>
      </tp>
      <tp>
        <v>-0.28999999999999998</v>
        <stp/>
        <stp>DELTA</stp>
        <stp>.NDX250620P19300</stp>
        <tr r="CI187" s="1"/>
        <tr r="CI187" s="1"/>
      </tp>
      <tp>
        <v>-0.75</v>
        <stp/>
        <stp>DELTA</stp>
        <stp>.NDX250516P20500</stp>
        <tr r="CG139" s="1"/>
        <tr r="CG139" s="1"/>
      </tp>
      <tp>
        <v>-0.19</v>
        <stp/>
        <stp>DELTA</stp>
        <stp>.NDX250516P19500</stp>
        <tr r="CG179" s="1"/>
        <tr r="CG179" s="1"/>
      </tp>
      <tp>
        <v>-0.52</v>
        <stp/>
        <stp>DELTA</stp>
        <stp>.NDX250620P20300</stp>
        <tr r="CI147" s="1"/>
        <tr r="CI147" s="1"/>
      </tp>
      <tp>
        <v>-0.31</v>
        <stp/>
        <stp>DELTA</stp>
        <stp>.NDX250620P19375</stp>
        <tr r="CI184" s="1"/>
        <tr r="CI184" s="1"/>
      </tp>
      <tp>
        <v>-0.22</v>
        <stp/>
        <stp>DELTA</stp>
        <stp>.NDX250516P19575</stp>
        <tr r="CG176" s="1"/>
        <tr r="CG176" s="1"/>
      </tp>
      <tp>
        <v>-0.54</v>
        <stp/>
        <stp>DELTA</stp>
        <stp>.NDX250620P20375</stp>
        <tr r="CI144" s="1"/>
        <tr r="CI144" s="1"/>
      </tp>
      <tp>
        <v>-0.3</v>
        <stp/>
        <stp>DELTA</stp>
        <stp>.NDX250620P19350</stp>
        <tr r="CI185" s="1"/>
        <tr r="CI185" s="1"/>
      </tp>
      <tp>
        <v>-0.77</v>
        <stp/>
        <stp>DELTA</stp>
        <stp>.NDX250516P20550</stp>
        <tr r="CG137" s="1"/>
        <tr r="CG137" s="1"/>
      </tp>
      <tp>
        <v>-0.21</v>
        <stp/>
        <stp>DELTA</stp>
        <stp>.NDX250516P19550</stp>
        <tr r="CG177" s="1"/>
        <tr r="CG177" s="1"/>
      </tp>
      <tp>
        <v>-0.53</v>
        <stp/>
        <stp>DELTA</stp>
        <stp>.NDX250620P20350</stp>
        <tr r="CI145" s="1"/>
        <tr r="CI145" s="1"/>
      </tp>
      <tp>
        <v>0.71</v>
        <stp/>
        <stp>DELTA</stp>
        <stp>.NDX250620C19300</stp>
        <tr r="CH187" s="1"/>
        <tr r="CH187" s="1"/>
      </tp>
      <tp>
        <v>0.24</v>
        <stp/>
        <stp>DELTA</stp>
        <stp>.NDX250516C20500</stp>
        <tr r="CF139" s="1"/>
        <tr r="CF139" s="1"/>
      </tp>
      <tp>
        <v>0.82</v>
        <stp/>
        <stp>DELTA</stp>
        <stp>.NDX250516C19500</stp>
        <tr r="CF179" s="1"/>
        <tr r="CF179" s="1"/>
      </tp>
      <tp>
        <v>0.48</v>
        <stp/>
        <stp>DELTA</stp>
        <stp>.NDX250620C20300</stp>
        <tr r="CH147" s="1"/>
        <tr r="CH147" s="1"/>
      </tp>
      <tp>
        <v>0.71</v>
        <stp/>
        <stp>DELTA</stp>
        <stp>.NDX250620C19325</stp>
        <tr r="CH186" s="1"/>
        <tr r="CH186" s="1"/>
      </tp>
      <tp>
        <v>0.23</v>
        <stp/>
        <stp>DELTA</stp>
        <stp>.NDX250516C20525</stp>
        <tr r="CF138" s="1"/>
        <tr r="CF138" s="1"/>
      </tp>
      <tp>
        <v>0.81</v>
        <stp/>
        <stp>DELTA</stp>
        <stp>.NDX250516C19525</stp>
        <tr r="CF178" s="1"/>
        <tr r="CF178" s="1"/>
      </tp>
      <tp>
        <v>0.47</v>
        <stp/>
        <stp>DELTA</stp>
        <stp>.NDX250620C20325</stp>
        <tr r="CH146" s="1"/>
        <tr r="CH146" s="1"/>
      </tp>
      <tp>
        <v>0.7</v>
        <stp/>
        <stp>DELTA</stp>
        <stp>.NDX250620C19350</stp>
        <tr r="CH185" s="1"/>
        <tr r="CH185" s="1"/>
      </tp>
      <tp>
        <v>0.21</v>
        <stp/>
        <stp>DELTA</stp>
        <stp>.NDX250516C20550</stp>
        <tr r="CF137" s="1"/>
        <tr r="CF137" s="1"/>
      </tp>
      <tp>
        <v>0.8</v>
        <stp/>
        <stp>DELTA</stp>
        <stp>.NDX250516C19550</stp>
        <tr r="CF177" s="1"/>
        <tr r="CF177" s="1"/>
      </tp>
      <tp>
        <v>0.46</v>
        <stp/>
        <stp>DELTA</stp>
        <stp>.NDX250620C20350</stp>
        <tr r="CH145" s="1"/>
        <tr r="CH145" s="1"/>
      </tp>
      <tp>
        <v>0.7</v>
        <stp/>
        <stp>DELTA</stp>
        <stp>.NDX250620C19375</stp>
        <tr r="CH184" s="1"/>
        <tr r="CH184" s="1"/>
      </tp>
      <tp>
        <v>0.79</v>
        <stp/>
        <stp>DELTA</stp>
        <stp>.NDX250516C19575</stp>
        <tr r="CF176" s="1"/>
        <tr r="CF176" s="1"/>
      </tp>
      <tp>
        <v>0.46</v>
        <stp/>
        <stp>DELTA</stp>
        <stp>.NDX250620C20375</stp>
        <tr r="CH144" s="1"/>
        <tr r="CH144" s="1"/>
      </tp>
      <tp>
        <v>160.68</v>
        <stp/>
        <stp>LAST</stp>
        <stp>.NDXP250509P20175</stp>
        <tr r="DB152" s="1"/>
        <tr r="DB152" s="1"/>
      </tp>
      <tp>
        <v>66.11</v>
        <stp/>
        <stp>LAST</stp>
        <stp>.NDXP250509P20150</stp>
        <tr r="DB153" s="1"/>
        <tr r="DB153" s="1"/>
      </tp>
      <tp>
        <v>54</v>
        <stp/>
        <stp>LAST</stp>
        <stp>.NDXP250509P20125</stp>
        <tr r="DB154" s="1"/>
        <tr r="DB154" s="1"/>
      </tp>
      <tp>
        <v>35</v>
        <stp/>
        <stp>LAST</stp>
        <stp>.NDXP250509P20100</stp>
        <tr r="DB155" s="1"/>
        <tr r="DB155" s="1"/>
      </tp>
      <tp>
        <v>0.05</v>
        <stp/>
        <stp>LAST</stp>
        <stp>.NDXP250509C20150</stp>
        <tr r="DA153" s="1"/>
        <tr r="DA153" s="1"/>
      </tp>
      <tp>
        <v>0.61</v>
        <stp/>
        <stp>LAST</stp>
        <stp>.NDXP250509C20175</stp>
        <tr r="DA152" s="1"/>
        <tr r="DA152" s="1"/>
      </tp>
      <tp>
        <v>0.2</v>
        <stp/>
        <stp>LAST</stp>
        <stp>.NDXP250509C20100</stp>
        <tr r="DA155" s="1"/>
        <tr r="DA155" s="1"/>
      </tp>
      <tp>
        <v>0.05</v>
        <stp/>
        <stp>LAST</stp>
        <stp>.NDXP250509C20125</stp>
        <tr r="DA154" s="1"/>
        <tr r="DA154" s="1"/>
      </tp>
      <tp t="s">
        <v>N/A</v>
        <stp/>
        <stp>VOLUME</stp>
        <stp>.SPY250718P582</stp>
        <tr r="M5" s="2"/>
      </tp>
      <tp t="s">
        <v>N/A</v>
        <stp/>
        <stp>VOLUME</stp>
        <stp>.SPY250718C582</stp>
        <tr r="M5" s="2"/>
      </tp>
      <tp>
        <v>84</v>
        <stp/>
        <stp>VOLUME</stp>
        <stp>.SPY250718P580</stp>
        <tr r="M7" s="2"/>
        <tr r="M7" s="2"/>
      </tp>
      <tp>
        <v>3757</v>
        <stp/>
        <stp>VOLUME</stp>
        <stp>.SPY250718C580</stp>
        <tr r="M7" s="2"/>
        <tr r="M7" s="2"/>
      </tp>
      <tp t="s">
        <v>N/A</v>
        <stp/>
        <stp>VOLUME</stp>
        <stp>.SPY250718P581</stp>
        <tr r="M6" s="2"/>
      </tp>
      <tp t="s">
        <v>N/A</v>
        <stp/>
        <stp>VOLUME</stp>
        <stp>.SPY250718C581</stp>
        <tr r="M6" s="2"/>
      </tp>
      <tp t="s">
        <v>N/A</v>
        <stp/>
        <stp>VOLUME</stp>
        <stp>.SPY250731P582</stp>
        <tr r="N5" s="2"/>
      </tp>
      <tp t="s">
        <v>N/A</v>
        <stp/>
        <stp>VOLUME</stp>
        <stp>.SPY250731C582</stp>
        <tr r="N5" s="2"/>
      </tp>
      <tp t="s">
        <v>N/A</v>
        <stp/>
        <stp>VOLUME</stp>
        <stp>.SPY250731P581</stp>
        <tr r="N6" s="2"/>
      </tp>
      <tp>
        <v>11</v>
        <stp/>
        <stp>VOLUME</stp>
        <stp>.SPY250731C581</stp>
        <tr r="N6" s="2"/>
        <tr r="N6" s="2"/>
      </tp>
      <tp>
        <v>1</v>
        <stp/>
        <stp>VOLUME</stp>
        <stp>.SPY250731P580</stp>
        <tr r="N7" s="2"/>
        <tr r="N7" s="2"/>
      </tp>
      <tp>
        <v>163</v>
        <stp/>
        <stp>VOLUME</stp>
        <stp>.SPY250731C580</stp>
        <tr r="N7" s="2"/>
        <tr r="N7" s="2"/>
      </tp>
      <tp>
        <v>1034</v>
        <stp/>
        <stp>VOLUME</stp>
        <stp>.SPY250731P567</stp>
        <tr r="N20" s="2"/>
        <tr r="N20" s="2"/>
      </tp>
      <tp>
        <v>6</v>
        <stp/>
        <stp>VOLUME</stp>
        <stp>.SPY250731C567</stp>
        <tr r="N20" s="2"/>
        <tr r="N20" s="2"/>
      </tp>
      <tp>
        <v>19</v>
        <stp/>
        <stp>VOLUME</stp>
        <stp>.SPY250731P566</stp>
        <tr r="N21" s="2"/>
        <tr r="N21" s="2"/>
      </tp>
      <tp>
        <v>46</v>
        <stp/>
        <stp>VOLUME</stp>
        <stp>.SPY250731C566</stp>
        <tr r="N21" s="2"/>
        <tr r="N21" s="2"/>
      </tp>
      <tp>
        <v>281</v>
        <stp/>
        <stp>VOLUME</stp>
        <stp>.SPY250731P565</stp>
        <tr r="N22" s="2"/>
        <tr r="N22" s="2"/>
      </tp>
      <tp>
        <v>141</v>
        <stp/>
        <stp>VOLUME</stp>
        <stp>.SPY250731C565</stp>
        <tr r="N22" s="2"/>
        <tr r="N22" s="2"/>
      </tp>
      <tp>
        <v>122</v>
        <stp/>
        <stp>VOLUME</stp>
        <stp>.SPY250731P564</stp>
        <tr r="N23" s="2"/>
        <tr r="N23" s="2"/>
      </tp>
      <tp>
        <v>98</v>
        <stp/>
        <stp>VOLUME</stp>
        <stp>.SPY250731C564</stp>
        <tr r="N23" s="2"/>
        <tr r="N23" s="2"/>
      </tp>
      <tp>
        <v>113</v>
        <stp/>
        <stp>VOLUME</stp>
        <stp>.SPY250731P563</stp>
        <tr r="N24" s="2"/>
        <tr r="N24" s="2"/>
      </tp>
      <tp>
        <v>5</v>
        <stp/>
        <stp>VOLUME</stp>
        <stp>.SPY250731C563</stp>
        <tr r="N24" s="2"/>
        <tr r="N24" s="2"/>
      </tp>
      <tp>
        <v>10</v>
        <stp/>
        <stp>VOLUME</stp>
        <stp>.SPY250731P562</stp>
        <tr r="N25" s="2"/>
        <tr r="N25" s="2"/>
      </tp>
      <tp>
        <v>7</v>
        <stp/>
        <stp>VOLUME</stp>
        <stp>.SPY250731C562</stp>
        <tr r="N25" s="2"/>
        <tr r="N25" s="2"/>
      </tp>
      <tp t="s">
        <v>N/A</v>
        <stp/>
        <stp>VOLUME</stp>
        <stp>.SPY250718P548</stp>
        <tr r="M39" s="2"/>
      </tp>
      <tp>
        <v>2</v>
        <stp/>
        <stp>VOLUME</stp>
        <stp>.SPY250731P561</stp>
        <tr r="N26" s="2"/>
        <tr r="N26" s="2"/>
      </tp>
      <tp t="s">
        <v>N/A</v>
        <stp/>
        <stp>VOLUME</stp>
        <stp>.SPY250718C548</stp>
        <tr r="M39" s="2"/>
      </tp>
      <tp>
        <v>2</v>
        <stp/>
        <stp>VOLUME</stp>
        <stp>.SPY250731C561</stp>
        <tr r="N26" s="2"/>
        <tr r="N26" s="2"/>
      </tp>
      <tp t="s">
        <v>N/A</v>
        <stp/>
        <stp>VOLUME</stp>
        <stp>.SPY250718P549</stp>
        <tr r="M38" s="2"/>
      </tp>
      <tp>
        <v>504</v>
        <stp/>
        <stp>VOLUME</stp>
        <stp>.SPY250731P560</stp>
        <tr r="N27" s="2"/>
        <tr r="N27" s="2"/>
      </tp>
      <tp t="s">
        <v>N/A</v>
        <stp/>
        <stp>VOLUME</stp>
        <stp>.SPY250718C549</stp>
        <tr r="M38" s="2"/>
      </tp>
      <tp>
        <v>95</v>
        <stp/>
        <stp>VOLUME</stp>
        <stp>.SPY250731C560</stp>
        <tr r="N27" s="2"/>
        <tr r="N27" s="2"/>
      </tp>
      <tp t="s">
        <v>N/A</v>
        <stp/>
        <stp>VOLUME</stp>
        <stp>.SPY250731P569</stp>
        <tr r="N18" s="2"/>
      </tp>
      <tp>
        <v>5</v>
        <stp/>
        <stp>VOLUME</stp>
        <stp>.SPY250731C569</stp>
        <tr r="N18" s="2"/>
        <tr r="N18" s="2"/>
      </tp>
      <tp>
        <v>1</v>
        <stp/>
        <stp>VOLUME</stp>
        <stp>.SPY250731P568</stp>
        <tr r="N19" s="2"/>
        <tr r="N19" s="2"/>
      </tp>
      <tp>
        <v>1</v>
        <stp/>
        <stp>VOLUME</stp>
        <stp>.SPY250731C568</stp>
        <tr r="N19" s="2"/>
        <tr r="N19" s="2"/>
      </tp>
      <tp t="s">
        <v>N/A</v>
        <stp/>
        <stp>VOLUME</stp>
        <stp>.SPY250731P577</stp>
        <tr r="N10" s="2"/>
      </tp>
      <tp>
        <v>2</v>
        <stp/>
        <stp>VOLUME</stp>
        <stp>.SPY250731C577</stp>
        <tr r="N10" s="2"/>
        <tr r="N10" s="2"/>
      </tp>
      <tp t="s">
        <v>N/A</v>
        <stp/>
        <stp>VOLUME</stp>
        <stp>.SPY250731P576</stp>
        <tr r="N11" s="2"/>
      </tp>
      <tp t="s">
        <v>N/A</v>
        <stp/>
        <stp>VOLUME</stp>
        <stp>.SPY250731C576</stp>
        <tr r="N11" s="2"/>
      </tp>
      <tp>
        <v>7</v>
        <stp/>
        <stp>VOLUME</stp>
        <stp>.SPY250731P575</stp>
        <tr r="N12" s="2"/>
        <tr r="N12" s="2"/>
      </tp>
      <tp>
        <v>113</v>
        <stp/>
        <stp>VOLUME</stp>
        <stp>.SPY250731C575</stp>
        <tr r="N12" s="2"/>
        <tr r="N12" s="2"/>
      </tp>
      <tp t="s">
        <v>N/A</v>
        <stp/>
        <stp>VOLUME</stp>
        <stp>.SPY250731P574</stp>
        <tr r="N13" s="2"/>
      </tp>
      <tp>
        <v>6</v>
        <stp/>
        <stp>VOLUME</stp>
        <stp>.SPY250731C574</stp>
        <tr r="N13" s="2"/>
        <tr r="N13" s="2"/>
      </tp>
      <tp t="s">
        <v>N/A</v>
        <stp/>
        <stp>VOLUME</stp>
        <stp>.SPY250731P573</stp>
        <tr r="N14" s="2"/>
      </tp>
      <tp t="s">
        <v>N/A</v>
        <stp/>
        <stp>VOLUME</stp>
        <stp>.SPY250731C573</stp>
        <tr r="N14" s="2"/>
      </tp>
      <tp t="s">
        <v>N/A</v>
        <stp/>
        <stp>VOLUME</stp>
        <stp>.SPY250731P572</stp>
        <tr r="N15" s="2"/>
      </tp>
      <tp>
        <v>1</v>
        <stp/>
        <stp>VOLUME</stp>
        <stp>.SPY250731C572</stp>
        <tr r="N15" s="2"/>
        <tr r="N15" s="2"/>
      </tp>
      <tp t="s">
        <v>N/A</v>
        <stp/>
        <stp>VOLUME</stp>
        <stp>.SPY250718P558</stp>
        <tr r="M29" s="2"/>
      </tp>
      <tp>
        <v>1</v>
        <stp/>
        <stp>VOLUME</stp>
        <stp>.SPY250731P571</stp>
        <tr r="N16" s="2"/>
        <tr r="N16" s="2"/>
      </tp>
      <tp t="s">
        <v>N/A</v>
        <stp/>
        <stp>VOLUME</stp>
        <stp>.SPY250718C558</stp>
        <tr r="M29" s="2"/>
      </tp>
      <tp>
        <v>1</v>
        <stp/>
        <stp>VOLUME</stp>
        <stp>.SPY250731C571</stp>
        <tr r="N16" s="2"/>
        <tr r="N16" s="2"/>
      </tp>
      <tp t="s">
        <v>N/A</v>
        <stp/>
        <stp>VOLUME</stp>
        <stp>.SPY250718P559</stp>
        <tr r="M28" s="2"/>
      </tp>
      <tp>
        <v>44</v>
        <stp/>
        <stp>VOLUME</stp>
        <stp>.SPY250731P570</stp>
        <tr r="N17" s="2"/>
        <tr r="N17" s="2"/>
      </tp>
      <tp t="s">
        <v>N/A</v>
        <stp/>
        <stp>VOLUME</stp>
        <stp>.SPY250718C559</stp>
        <tr r="M28" s="2"/>
      </tp>
      <tp>
        <v>121</v>
        <stp/>
        <stp>VOLUME</stp>
        <stp>.SPY250731C570</stp>
        <tr r="N17" s="2"/>
        <tr r="N17" s="2"/>
      </tp>
      <tp t="s">
        <v>N/A</v>
        <stp/>
        <stp>VOLUME</stp>
        <stp>.SPY250718P556</stp>
        <tr r="M31" s="2"/>
      </tp>
      <tp t="s">
        <v>N/A</v>
        <stp/>
        <stp>VOLUME</stp>
        <stp>.SPY250718C556</stp>
        <tr r="M31" s="2"/>
      </tp>
      <tp t="s">
        <v>N/A</v>
        <stp/>
        <stp>VOLUME</stp>
        <stp>.SPY250718P557</stp>
        <tr r="M30" s="2"/>
      </tp>
      <tp t="s">
        <v>N/A</v>
        <stp/>
        <stp>VOLUME</stp>
        <stp>.SPY250718C557</stp>
        <tr r="M30" s="2"/>
      </tp>
      <tp t="s">
        <v>N/A</v>
        <stp/>
        <stp>VOLUME</stp>
        <stp>.SPY250718P554</stp>
        <tr r="M33" s="2"/>
      </tp>
      <tp t="s">
        <v>N/A</v>
        <stp/>
        <stp>VOLUME</stp>
        <stp>.SPY250718C554</stp>
        <tr r="M33" s="2"/>
      </tp>
      <tp>
        <v>505</v>
        <stp/>
        <stp>VOLUME</stp>
        <stp>.SPY250718P555</stp>
        <tr r="M32" s="2"/>
        <tr r="M32" s="2"/>
      </tp>
      <tp>
        <v>48</v>
        <stp/>
        <stp>VOLUME</stp>
        <stp>.SPY250718C555</stp>
        <tr r="M32" s="2"/>
        <tr r="M32" s="2"/>
      </tp>
      <tp t="s">
        <v>N/A</v>
        <stp/>
        <stp>VOLUME</stp>
        <stp>.SPY250718P552</stp>
        <tr r="M35" s="2"/>
      </tp>
      <tp t="s">
        <v>N/A</v>
        <stp/>
        <stp>VOLUME</stp>
        <stp>.SPY250718C552</stp>
        <tr r="M35" s="2"/>
      </tp>
      <tp t="s">
        <v>N/A</v>
        <stp/>
        <stp>VOLUME</stp>
        <stp>.SPY250718P553</stp>
        <tr r="M34" s="2"/>
      </tp>
      <tp t="s">
        <v>N/A</v>
        <stp/>
        <stp>VOLUME</stp>
        <stp>.SPY250718C553</stp>
        <tr r="M34" s="2"/>
      </tp>
      <tp>
        <v>2147</v>
        <stp/>
        <stp>VOLUME</stp>
        <stp>.SPY250718P550</stp>
        <tr r="M37" s="2"/>
        <tr r="M37" s="2"/>
      </tp>
      <tp t="s">
        <v>N/A</v>
        <stp/>
        <stp>VOLUME</stp>
        <stp>.SPY250731P579</stp>
        <tr r="N8" s="2"/>
      </tp>
      <tp>
        <v>87</v>
        <stp/>
        <stp>VOLUME</stp>
        <stp>.SPY250718C550</stp>
        <tr r="M37" s="2"/>
        <tr r="M37" s="2"/>
      </tp>
      <tp>
        <v>1</v>
        <stp/>
        <stp>VOLUME</stp>
        <stp>.SPY250731C579</stp>
        <tr r="N8" s="2"/>
        <tr r="N8" s="2"/>
      </tp>
      <tp t="s">
        <v>N/A</v>
        <stp/>
        <stp>VOLUME</stp>
        <stp>.SPY250718P551</stp>
        <tr r="M36" s="2"/>
      </tp>
      <tp>
        <v>3</v>
        <stp/>
        <stp>VOLUME</stp>
        <stp>.SPY250731P578</stp>
        <tr r="N9" s="2"/>
        <tr r="N9" s="2"/>
      </tp>
      <tp t="s">
        <v>N/A</v>
        <stp/>
        <stp>VOLUME</stp>
        <stp>.SPY250718C551</stp>
        <tr r="M36" s="2"/>
      </tp>
      <tp>
        <v>1</v>
        <stp/>
        <stp>VOLUME</stp>
        <stp>.SPY250731C578</stp>
        <tr r="N9" s="2"/>
        <tr r="N9" s="2"/>
      </tp>
      <tp t="s">
        <v>N/A</v>
        <stp/>
        <stp>VOLUME</stp>
        <stp>.SPY250718P568</stp>
        <tr r="M19" s="2"/>
      </tp>
      <tp t="s">
        <v>N/A</v>
        <stp/>
        <stp>VOLUME</stp>
        <stp>.SPY250718C568</stp>
        <tr r="M19" s="2"/>
      </tp>
      <tp t="s">
        <v>N/A</v>
        <stp/>
        <stp>VOLUME</stp>
        <stp>.SPY250718P569</stp>
        <tr r="M18" s="2"/>
      </tp>
      <tp t="s">
        <v>N/A</v>
        <stp/>
        <stp>VOLUME</stp>
        <stp>.SPY250718C569</stp>
        <tr r="M18" s="2"/>
      </tp>
      <tp t="s">
        <v>N/A</v>
        <stp/>
        <stp>VOLUME</stp>
        <stp>.SPY250718P566</stp>
        <tr r="M21" s="2"/>
      </tp>
      <tp t="s">
        <v>N/A</v>
        <stp/>
        <stp>VOLUME</stp>
        <stp>.SPY250718C566</stp>
        <tr r="M21" s="2"/>
      </tp>
      <tp t="s">
        <v>N/A</v>
        <stp/>
        <stp>VOLUME</stp>
        <stp>.SPY250718P567</stp>
        <tr r="M20" s="2"/>
      </tp>
      <tp t="s">
        <v>N/A</v>
        <stp/>
        <stp>VOLUME</stp>
        <stp>.SPY250718C567</stp>
        <tr r="M20" s="2"/>
      </tp>
      <tp t="s">
        <v>N/A</v>
        <stp/>
        <stp>VOLUME</stp>
        <stp>.SPY250718P564</stp>
        <tr r="M23" s="2"/>
      </tp>
      <tp t="s">
        <v>N/A</v>
        <stp/>
        <stp>VOLUME</stp>
        <stp>.SPY250718C564</stp>
        <tr r="M23" s="2"/>
      </tp>
      <tp>
        <v>979</v>
        <stp/>
        <stp>VOLUME</stp>
        <stp>.SPY250718P565</stp>
        <tr r="M22" s="2"/>
        <tr r="M22" s="2"/>
      </tp>
      <tp>
        <v>946</v>
        <stp/>
        <stp>VOLUME</stp>
        <stp>.SPY250718C565</stp>
        <tr r="M22" s="2"/>
        <tr r="M22" s="2"/>
      </tp>
      <tp t="s">
        <v>N/A</v>
        <stp/>
        <stp>VOLUME</stp>
        <stp>.SPY250718P562</stp>
        <tr r="M25" s="2"/>
      </tp>
      <tp t="s">
        <v>N/A</v>
        <stp/>
        <stp>VOLUME</stp>
        <stp>.SPY250718C562</stp>
        <tr r="M25" s="2"/>
      </tp>
      <tp t="s">
        <v>N/A</v>
        <stp/>
        <stp>VOLUME</stp>
        <stp>.SPY250718P563</stp>
        <tr r="M24" s="2"/>
      </tp>
      <tp t="s">
        <v>N/A</v>
        <stp/>
        <stp>VOLUME</stp>
        <stp>.SPY250718C563</stp>
        <tr r="M24" s="2"/>
      </tp>
      <tp>
        <v>1225</v>
        <stp/>
        <stp>VOLUME</stp>
        <stp>.SPY250718P560</stp>
        <tr r="M27" s="2"/>
        <tr r="M27" s="2"/>
      </tp>
      <tp>
        <v>4</v>
        <stp/>
        <stp>VOLUME</stp>
        <stp>.SPY250731P549</stp>
        <tr r="N38" s="2"/>
        <tr r="N38" s="2"/>
      </tp>
      <tp>
        <v>210</v>
        <stp/>
        <stp>VOLUME</stp>
        <stp>.SPY250718C560</stp>
        <tr r="M27" s="2"/>
        <tr r="M27" s="2"/>
      </tp>
      <tp t="s">
        <v>N/A</v>
        <stp/>
        <stp>VOLUME</stp>
        <stp>.SPY250731C549</stp>
        <tr r="N38" s="2"/>
      </tp>
      <tp t="s">
        <v>N/A</v>
        <stp/>
        <stp>VOLUME</stp>
        <stp>.SPY250718P561</stp>
        <tr r="M26" s="2"/>
      </tp>
      <tp t="s">
        <v>N/A</v>
        <stp/>
        <stp>VOLUME</stp>
        <stp>.SPY250731P548</stp>
        <tr r="N39" s="2"/>
      </tp>
      <tp t="s">
        <v>N/A</v>
        <stp/>
        <stp>VOLUME</stp>
        <stp>.SPY250718C561</stp>
        <tr r="M26" s="2"/>
      </tp>
      <tp>
        <v>1</v>
        <stp/>
        <stp>VOLUME</stp>
        <stp>.SPY250731C548</stp>
        <tr r="N39" s="2"/>
        <tr r="N39" s="2"/>
      </tp>
      <tp>
        <v>61</v>
        <stp/>
        <stp>VOLUME</stp>
        <stp>.SPY250731P557</stp>
        <tr r="N30" s="2"/>
        <tr r="N30" s="2"/>
      </tp>
      <tp t="s">
        <v>N/A</v>
        <stp/>
        <stp>VOLUME</stp>
        <stp>.SPY250731C557</stp>
        <tr r="N30" s="2"/>
      </tp>
      <tp>
        <v>1</v>
        <stp/>
        <stp>VOLUME</stp>
        <stp>.SPY250731P556</stp>
        <tr r="N31" s="2"/>
        <tr r="N31" s="2"/>
      </tp>
      <tp>
        <v>12</v>
        <stp/>
        <stp>VOLUME</stp>
        <stp>.SPY250731C556</stp>
        <tr r="N31" s="2"/>
        <tr r="N31" s="2"/>
      </tp>
      <tp>
        <v>134</v>
        <stp/>
        <stp>VOLUME</stp>
        <stp>.SPY250731P555</stp>
        <tr r="N32" s="2"/>
        <tr r="N32" s="2"/>
      </tp>
      <tp>
        <v>10</v>
        <stp/>
        <stp>VOLUME</stp>
        <stp>.SPY250731C555</stp>
        <tr r="N32" s="2"/>
        <tr r="N32" s="2"/>
      </tp>
      <tp t="s">
        <v>N/A</v>
        <stp/>
        <stp>VOLUME</stp>
        <stp>.SPY250731P554</stp>
        <tr r="N33" s="2"/>
      </tp>
      <tp>
        <v>2</v>
        <stp/>
        <stp>VOLUME</stp>
        <stp>.SPY250731C554</stp>
        <tr r="N33" s="2"/>
        <tr r="N33" s="2"/>
      </tp>
      <tp t="s">
        <v>N/A</v>
        <stp/>
        <stp>VOLUME</stp>
        <stp>.SPY250731P553</stp>
        <tr r="N34" s="2"/>
      </tp>
      <tp>
        <v>2</v>
        <stp/>
        <stp>VOLUME</stp>
        <stp>.SPY250731C553</stp>
        <tr r="N34" s="2"/>
        <tr r="N34" s="2"/>
      </tp>
      <tp>
        <v>12</v>
        <stp/>
        <stp>VOLUME</stp>
        <stp>.SPY250731P552</stp>
        <tr r="N35" s="2"/>
        <tr r="N35" s="2"/>
      </tp>
      <tp>
        <v>11</v>
        <stp/>
        <stp>VOLUME</stp>
        <stp>.SPY250731C552</stp>
        <tr r="N35" s="2"/>
        <tr r="N35" s="2"/>
      </tp>
      <tp t="s">
        <v>N/A</v>
        <stp/>
        <stp>VOLUME</stp>
        <stp>.SPY250718P578</stp>
        <tr r="M9" s="2"/>
      </tp>
      <tp>
        <v>9</v>
        <stp/>
        <stp>VOLUME</stp>
        <stp>.SPY250731P551</stp>
        <tr r="N36" s="2"/>
        <tr r="N36" s="2"/>
      </tp>
      <tp t="s">
        <v>N/A</v>
        <stp/>
        <stp>VOLUME</stp>
        <stp>.SPY250718C578</stp>
        <tr r="M9" s="2"/>
      </tp>
      <tp t="s">
        <v>N/A</v>
        <stp/>
        <stp>VOLUME</stp>
        <stp>.SPY250731C551</stp>
        <tr r="N36" s="2"/>
      </tp>
      <tp t="s">
        <v>N/A</v>
        <stp/>
        <stp>VOLUME</stp>
        <stp>.SPY250718P579</stp>
        <tr r="M8" s="2"/>
      </tp>
      <tp>
        <v>359</v>
        <stp/>
        <stp>VOLUME</stp>
        <stp>.SPY250731P550</stp>
        <tr r="N37" s="2"/>
        <tr r="N37" s="2"/>
      </tp>
      <tp t="s">
        <v>N/A</v>
        <stp/>
        <stp>VOLUME</stp>
        <stp>.SPY250718C579</stp>
        <tr r="M8" s="2"/>
      </tp>
      <tp>
        <v>18</v>
        <stp/>
        <stp>VOLUME</stp>
        <stp>.SPY250731C550</stp>
        <tr r="N37" s="2"/>
        <tr r="N37" s="2"/>
      </tp>
      <tp t="s">
        <v>N/A</v>
        <stp/>
        <stp>VOLUME</stp>
        <stp>.SPY250718P576</stp>
        <tr r="M11" s="2"/>
      </tp>
      <tp t="s">
        <v>N/A</v>
        <stp/>
        <stp>VOLUME</stp>
        <stp>.SPY250718C576</stp>
        <tr r="M11" s="2"/>
      </tp>
      <tp t="s">
        <v>N/A</v>
        <stp/>
        <stp>VOLUME</stp>
        <stp>.SPY250718P577</stp>
        <tr r="M10" s="2"/>
      </tp>
      <tp t="s">
        <v>N/A</v>
        <stp/>
        <stp>VOLUME</stp>
        <stp>.SPY250718C577</stp>
        <tr r="M10" s="2"/>
      </tp>
      <tp t="s">
        <v>N/A</v>
        <stp/>
        <stp>VOLUME</stp>
        <stp>.SPY250718P574</stp>
        <tr r="M13" s="2"/>
      </tp>
      <tp t="s">
        <v>N/A</v>
        <stp/>
        <stp>VOLUME</stp>
        <stp>.SPY250718C574</stp>
        <tr r="M13" s="2"/>
      </tp>
      <tp>
        <v>114</v>
        <stp/>
        <stp>VOLUME</stp>
        <stp>.SPY250718P575</stp>
        <tr r="M12" s="2"/>
        <tr r="M12" s="2"/>
      </tp>
      <tp>
        <v>651</v>
        <stp/>
        <stp>VOLUME</stp>
        <stp>.SPY250718C575</stp>
        <tr r="M12" s="2"/>
        <tr r="M12" s="2"/>
      </tp>
      <tp t="s">
        <v>N/A</v>
        <stp/>
        <stp>VOLUME</stp>
        <stp>.SPY250718P572</stp>
        <tr r="M15" s="2"/>
      </tp>
      <tp t="s">
        <v>N/A</v>
        <stp/>
        <stp>VOLUME</stp>
        <stp>.SPY250718C572</stp>
        <tr r="M15" s="2"/>
      </tp>
      <tp t="s">
        <v>N/A</v>
        <stp/>
        <stp>VOLUME</stp>
        <stp>.SPY250718P573</stp>
        <tr r="M14" s="2"/>
      </tp>
      <tp t="s">
        <v>N/A</v>
        <stp/>
        <stp>VOLUME</stp>
        <stp>.SPY250718C573</stp>
        <tr r="M14" s="2"/>
      </tp>
      <tp>
        <v>2464</v>
        <stp/>
        <stp>VOLUME</stp>
        <stp>.SPY250718P570</stp>
        <tr r="M17" s="2"/>
        <tr r="M17" s="2"/>
      </tp>
      <tp>
        <v>285</v>
        <stp/>
        <stp>VOLUME</stp>
        <stp>.SPY250731P559</stp>
        <tr r="N28" s="2"/>
        <tr r="N28" s="2"/>
      </tp>
      <tp>
        <v>1796</v>
        <stp/>
        <stp>VOLUME</stp>
        <stp>.SPY250718C570</stp>
        <tr r="M17" s="2"/>
        <tr r="M17" s="2"/>
      </tp>
      <tp>
        <v>4</v>
        <stp/>
        <stp>VOLUME</stp>
        <stp>.SPY250731C559</stp>
        <tr r="N28" s="2"/>
        <tr r="N28" s="2"/>
      </tp>
      <tp t="s">
        <v>N/A</v>
        <stp/>
        <stp>VOLUME</stp>
        <stp>.SPY250718P571</stp>
        <tr r="M16" s="2"/>
      </tp>
      <tp>
        <v>148</v>
        <stp/>
        <stp>VOLUME</stp>
        <stp>.SPY250731P558</stp>
        <tr r="N29" s="2"/>
        <tr r="N29" s="2"/>
      </tp>
      <tp t="s">
        <v>N/A</v>
        <stp/>
        <stp>VOLUME</stp>
        <stp>.SPY250718C571</stp>
        <tr r="M16" s="2"/>
      </tp>
      <tp t="s">
        <v>N/A</v>
        <stp/>
        <stp>VOLUME</stp>
        <stp>.SPY250731C558</stp>
        <tr r="N29" s="2"/>
      </tp>
      <tp>
        <v>-0.01</v>
        <stp/>
        <stp>DELTA</stp>
        <stp>.SPXW250509P5620</stp>
        <tr r="CE110" s="1"/>
        <tr r="CE110" s="1"/>
      </tp>
      <tp>
        <v>1</v>
        <stp/>
        <stp>DELTA</stp>
        <stp>.SPXW250509C5620</stp>
        <tr r="CD110" s="1"/>
        <tr r="CD110" s="1"/>
      </tp>
      <tp>
        <v>-0.01</v>
        <stp/>
        <stp>DELTA</stp>
        <stp>.SPXW250509P5630</stp>
        <tr r="CE109" s="1"/>
        <tr r="CE109" s="1"/>
      </tp>
      <tp>
        <v>1</v>
        <stp/>
        <stp>DELTA</stp>
        <stp>.SPXW250509C5630</stp>
        <tr r="CD109" s="1"/>
        <tr r="CD109" s="1"/>
      </tp>
      <tp>
        <v>0</v>
        <stp/>
        <stp>DELTA</stp>
        <stp>.SPXW250509P5600</stp>
        <tr r="CE112" s="1"/>
        <tr r="CE112" s="1"/>
      </tp>
      <tp>
        <v>1</v>
        <stp/>
        <stp>DELTA</stp>
        <stp>.SPXW250509C5600</stp>
        <tr r="CD112" s="1"/>
        <tr r="CD112" s="1"/>
      </tp>
      <tp>
        <v>0</v>
        <stp/>
        <stp>DELTA</stp>
        <stp>.SPXW250509P5610</stp>
        <tr r="CE111" s="1"/>
        <tr r="CE111" s="1"/>
      </tp>
      <tp>
        <v>1</v>
        <stp/>
        <stp>DELTA</stp>
        <stp>.SPXW250509C5610</stp>
        <tr r="CD111" s="1"/>
        <tr r="CD111" s="1"/>
      </tp>
      <tp>
        <v>-0.52</v>
        <stp/>
        <stp>DELTA</stp>
        <stp>.SPXW250509P5660</stp>
        <tr r="CE106" s="1"/>
        <tr r="CE106" s="1"/>
      </tp>
      <tp>
        <v>0.48</v>
        <stp/>
        <stp>DELTA</stp>
        <stp>.SPXW250509C5660</stp>
        <tr r="CD106" s="1"/>
        <tr r="CD106" s="1"/>
      </tp>
      <tp>
        <v>-0.86</v>
        <stp/>
        <stp>DELTA</stp>
        <stp>.SPXW250509P5670</stp>
        <tr r="CE105" s="1"/>
        <tr r="CE105" s="1"/>
      </tp>
      <tp>
        <v>0.01</v>
        <stp/>
        <stp>DELTA</stp>
        <stp>.SPXW250509C5670</stp>
        <tr r="CD105" s="1"/>
        <tr r="CD105" s="1"/>
      </tp>
      <tp>
        <v>-0.01</v>
        <stp/>
        <stp>DELTA</stp>
        <stp>.SPXW250509P5640</stp>
        <tr r="CE108" s="1"/>
        <tr r="CE108" s="1"/>
      </tp>
      <tp>
        <v>0.91</v>
        <stp/>
        <stp>DELTA</stp>
        <stp>.SPXW250509C5640</stp>
        <tr r="CD108" s="1"/>
        <tr r="CD108" s="1"/>
      </tp>
      <tp>
        <v>-0.02</v>
        <stp/>
        <stp>DELTA</stp>
        <stp>.SPXW250509P5650</stp>
        <tr r="CE107" s="1"/>
        <tr r="CE107" s="1"/>
      </tp>
      <tp>
        <v>0.94</v>
        <stp/>
        <stp>DELTA</stp>
        <stp>.SPXW250509C5650</stp>
        <tr r="CD107" s="1"/>
        <tr r="CD107" s="1"/>
      </tp>
      <tp>
        <v>-1</v>
        <stp/>
        <stp>DELTA</stp>
        <stp>.SPXW250509P5680</stp>
        <tr r="CE104" s="1"/>
        <tr r="CE104" s="1"/>
      </tp>
      <tp>
        <v>0.01</v>
        <stp/>
        <stp>DELTA</stp>
        <stp>.SPXW250509C5680</stp>
        <tr r="CD104" s="1"/>
        <tr r="CD104" s="1"/>
      </tp>
      <tp>
        <v>-0.93</v>
        <stp/>
        <stp>DELTA</stp>
        <stp>.SPXW250509P5690</stp>
        <tr r="CE103" s="1"/>
        <tr r="CE103" s="1"/>
      </tp>
      <tp>
        <v>0.01</v>
        <stp/>
        <stp>DELTA</stp>
        <stp>.SPXW250509C5690</stp>
        <tr r="CD103" s="1"/>
        <tr r="CD103" s="1"/>
      </tp>
      <tp>
        <v>11</v>
        <stp/>
        <stp>VOLUME</stp>
        <stp>.SPY250606P580</stp>
        <tr r="J7" s="2"/>
        <tr r="J7" s="2"/>
      </tp>
      <tp>
        <v>818</v>
        <stp/>
        <stp>VOLUME</stp>
        <stp>.SPY250606C580</stp>
        <tr r="J7" s="2"/>
        <tr r="J7" s="2"/>
      </tp>
      <tp t="s">
        <v>N/A</v>
        <stp/>
        <stp>VOLUME</stp>
        <stp>.SPY250606P581</stp>
        <tr r="J6" s="2"/>
      </tp>
      <tp>
        <v>55</v>
        <stp/>
        <stp>VOLUME</stp>
        <stp>.SPY250606C581</stp>
        <tr r="J6" s="2"/>
        <tr r="J6" s="2"/>
      </tp>
      <tp>
        <v>1</v>
        <stp/>
        <stp>VOLUME</stp>
        <stp>.SPY250606P582</stp>
        <tr r="J5" s="2"/>
        <tr r="J5" s="2"/>
      </tp>
      <tp>
        <v>63</v>
        <stp/>
        <stp>VOLUME</stp>
        <stp>.SPY250606C582</stp>
        <tr r="J5" s="2"/>
        <tr r="J5" s="2"/>
      </tp>
      <tp>
        <v>1</v>
        <stp/>
        <stp>VOLUME</stp>
        <stp>.SPY250630P582</stp>
        <tr r="L5" s="2"/>
        <tr r="L5" s="2"/>
      </tp>
      <tp>
        <v>10</v>
        <stp/>
        <stp>VOLUME</stp>
        <stp>.SPY250630C582</stp>
        <tr r="L5" s="2"/>
        <tr r="L5" s="2"/>
      </tp>
      <tp>
        <v>12</v>
        <stp/>
        <stp>VOLUME</stp>
        <stp>.SPY250630P580</stp>
        <tr r="L7" s="2"/>
        <tr r="L7" s="2"/>
      </tp>
      <tp>
        <v>610</v>
        <stp/>
        <stp>VOLUME</stp>
        <stp>.SPY250630C580</stp>
        <tr r="L7" s="2"/>
        <tr r="L7" s="2"/>
      </tp>
      <tp t="s">
        <v>N/A</v>
        <stp/>
        <stp>VOLUME</stp>
        <stp>.SPY250630P581</stp>
        <tr r="L6" s="2"/>
      </tp>
      <tp>
        <v>92</v>
        <stp/>
        <stp>VOLUME</stp>
        <stp>.SPY250630C581</stp>
        <tr r="L6" s="2"/>
        <tr r="L6" s="2"/>
      </tp>
      <tp t="s">
        <v>N/A</v>
        <stp/>
        <stp>VOLUME</stp>
        <stp>.SPY250620P582</stp>
        <tr r="BF4" s="1"/>
      </tp>
      <tp>
        <v>273</v>
        <stp/>
        <stp>VOLUME</stp>
        <stp>.SPY250620C582</stp>
        <tr r="BE4" s="1"/>
        <tr r="BE4" s="1"/>
      </tp>
      <tp>
        <v>330</v>
        <stp/>
        <stp>VOLUME</stp>
        <stp>.SPY250620P580</stp>
        <tr r="BF6" s="1"/>
        <tr r="BF6" s="1"/>
      </tp>
      <tp>
        <v>2140</v>
        <stp/>
        <stp>VOLUME</stp>
        <stp>.SPY250620C580</stp>
        <tr r="BE6" s="1"/>
        <tr r="BE6" s="1"/>
      </tp>
      <tp t="s">
        <v>N/A</v>
        <stp/>
        <stp>VOLUME</stp>
        <stp>.SPY250620P581</stp>
        <tr r="BF5" s="1"/>
      </tp>
      <tp>
        <v>518</v>
        <stp/>
        <stp>VOLUME</stp>
        <stp>.SPY250620C581</stp>
        <tr r="BE5" s="1"/>
        <tr r="BE5" s="1"/>
      </tp>
      <tp>
        <v>441</v>
        <stp/>
        <stp>VOLUME</stp>
        <stp>.SPY250606P550</stp>
        <tr r="J37" s="2"/>
        <tr r="J37" s="2"/>
      </tp>
      <tp>
        <v>84</v>
        <stp/>
        <stp>VOLUME</stp>
        <stp>.SPY250620P576</stp>
        <tr r="BF10" s="1"/>
        <tr r="BF10" s="1"/>
      </tp>
      <tp>
        <v>27</v>
        <stp/>
        <stp>VOLUME</stp>
        <stp>.SPY250630P566</stp>
        <tr r="L21" s="2"/>
        <tr r="L21" s="2"/>
      </tp>
      <tp>
        <v>48</v>
        <stp/>
        <stp>VOLUME</stp>
        <stp>.SPY250606C550</stp>
        <tr r="J37" s="2"/>
        <tr r="J37" s="2"/>
      </tp>
      <tp>
        <v>444</v>
        <stp/>
        <stp>VOLUME</stp>
        <stp>.SPY250620C576</stp>
        <tr r="BE10" s="1"/>
        <tr r="BE10" s="1"/>
      </tp>
      <tp>
        <v>89</v>
        <stp/>
        <stp>VOLUME</stp>
        <stp>.SPY250630C566</stp>
        <tr r="L21" s="2"/>
        <tr r="L21" s="2"/>
      </tp>
      <tp>
        <v>26</v>
        <stp/>
        <stp>VOLUME</stp>
        <stp>.SPY250606P551</stp>
        <tr r="J36" s="2"/>
        <tr r="J36" s="2"/>
      </tp>
      <tp>
        <v>72</v>
        <stp/>
        <stp>VOLUME</stp>
        <stp>.SPY250620P577</stp>
        <tr r="BF9" s="1"/>
        <tr r="BF9" s="1"/>
      </tp>
      <tp>
        <v>109</v>
        <stp/>
        <stp>VOLUME</stp>
        <stp>.SPY250630P567</stp>
        <tr r="L20" s="2"/>
        <tr r="L20" s="2"/>
      </tp>
      <tp>
        <v>1</v>
        <stp/>
        <stp>VOLUME</stp>
        <stp>.SPY250606C551</stp>
        <tr r="J36" s="2"/>
        <tr r="J36" s="2"/>
      </tp>
      <tp>
        <v>272</v>
        <stp/>
        <stp>VOLUME</stp>
        <stp>.SPY250620C577</stp>
        <tr r="BE9" s="1"/>
        <tr r="BE9" s="1"/>
      </tp>
      <tp>
        <v>195</v>
        <stp/>
        <stp>VOLUME</stp>
        <stp>.SPY250630C567</stp>
        <tr r="L20" s="2"/>
        <tr r="L20" s="2"/>
      </tp>
      <tp>
        <v>10</v>
        <stp/>
        <stp>VOLUME</stp>
        <stp>.SPY250606P552</stp>
        <tr r="J35" s="2"/>
        <tr r="J35" s="2"/>
      </tp>
      <tp>
        <v>124</v>
        <stp/>
        <stp>VOLUME</stp>
        <stp>.SPY250620P574</stp>
        <tr r="BF12" s="1"/>
        <tr r="BF12" s="1"/>
      </tp>
      <tp>
        <v>178</v>
        <stp/>
        <stp>VOLUME</stp>
        <stp>.SPY250630P564</stp>
        <tr r="L23" s="2"/>
        <tr r="L23" s="2"/>
      </tp>
      <tp>
        <v>2</v>
        <stp/>
        <stp>VOLUME</stp>
        <stp>.SPY250606C552</stp>
        <tr r="J35" s="2"/>
        <tr r="J35" s="2"/>
      </tp>
      <tp>
        <v>193</v>
        <stp/>
        <stp>VOLUME</stp>
        <stp>.SPY250620C574</stp>
        <tr r="BE12" s="1"/>
        <tr r="BE12" s="1"/>
      </tp>
      <tp>
        <v>265</v>
        <stp/>
        <stp>VOLUME</stp>
        <stp>.SPY250630C564</stp>
        <tr r="L23" s="2"/>
        <tr r="L23" s="2"/>
      </tp>
      <tp>
        <v>78</v>
        <stp/>
        <stp>VOLUME</stp>
        <stp>.SPY250606P553</stp>
        <tr r="J34" s="2"/>
        <tr r="J34" s="2"/>
      </tp>
      <tp>
        <v>280</v>
        <stp/>
        <stp>VOLUME</stp>
        <stp>.SPY250620P575</stp>
        <tr r="BF11" s="1"/>
        <tr r="BF11" s="1"/>
      </tp>
      <tp>
        <v>397</v>
        <stp/>
        <stp>VOLUME</stp>
        <stp>.SPY250630P565</stp>
        <tr r="L22" s="2"/>
        <tr r="L22" s="2"/>
      </tp>
      <tp>
        <v>7</v>
        <stp/>
        <stp>VOLUME</stp>
        <stp>.SPY250606C553</stp>
        <tr r="J34" s="2"/>
        <tr r="J34" s="2"/>
      </tp>
      <tp>
        <v>3225</v>
        <stp/>
        <stp>VOLUME</stp>
        <stp>.SPY250620C575</stp>
        <tr r="BE11" s="1"/>
        <tr r="BE11" s="1"/>
      </tp>
      <tp>
        <v>325</v>
        <stp/>
        <stp>VOLUME</stp>
        <stp>.SPY250630C565</stp>
        <tr r="L22" s="2"/>
        <tr r="L22" s="2"/>
      </tp>
      <tp>
        <v>260</v>
        <stp/>
        <stp>VOLUME</stp>
        <stp>.SPY250606P554</stp>
        <tr r="J33" s="2"/>
        <tr r="J33" s="2"/>
      </tp>
      <tp>
        <v>8</v>
        <stp/>
        <stp>VOLUME</stp>
        <stp>.SPY250620P572</stp>
        <tr r="BF14" s="1"/>
        <tr r="BF14" s="1"/>
      </tp>
      <tp>
        <v>34</v>
        <stp/>
        <stp>VOLUME</stp>
        <stp>.SPY250630P562</stp>
        <tr r="L25" s="2"/>
        <tr r="L25" s="2"/>
      </tp>
      <tp>
        <v>42</v>
        <stp/>
        <stp>VOLUME</stp>
        <stp>.SPY250606C554</stp>
        <tr r="J33" s="2"/>
        <tr r="J33" s="2"/>
      </tp>
      <tp>
        <v>270</v>
        <stp/>
        <stp>VOLUME</stp>
        <stp>.SPY250620C572</stp>
        <tr r="BE14" s="1"/>
        <tr r="BE14" s="1"/>
      </tp>
      <tp>
        <v>6</v>
        <stp/>
        <stp>VOLUME</stp>
        <stp>.SPY250630C562</stp>
        <tr r="L25" s="2"/>
        <tr r="L25" s="2"/>
      </tp>
      <tp>
        <v>519</v>
        <stp/>
        <stp>VOLUME</stp>
        <stp>.SPY250606P555</stp>
        <tr r="J32" s="2"/>
        <tr r="J32" s="2"/>
      </tp>
      <tp>
        <v>62</v>
        <stp/>
        <stp>VOLUME</stp>
        <stp>.SPY250620P573</stp>
        <tr r="BF13" s="1"/>
        <tr r="BF13" s="1"/>
      </tp>
      <tp>
        <v>41</v>
        <stp/>
        <stp>VOLUME</stp>
        <stp>.SPY250630P563</stp>
        <tr r="L24" s="2"/>
        <tr r="L24" s="2"/>
      </tp>
      <tp>
        <v>77</v>
        <stp/>
        <stp>VOLUME</stp>
        <stp>.SPY250606C555</stp>
        <tr r="J32" s="2"/>
        <tr r="J32" s="2"/>
      </tp>
      <tp>
        <v>222</v>
        <stp/>
        <stp>VOLUME</stp>
        <stp>.SPY250620C573</stp>
        <tr r="BE13" s="1"/>
        <tr r="BE13" s="1"/>
      </tp>
      <tp>
        <v>123</v>
        <stp/>
        <stp>VOLUME</stp>
        <stp>.SPY250630C563</stp>
        <tr r="L24" s="2"/>
        <tr r="L24" s="2"/>
      </tp>
      <tp>
        <v>107</v>
        <stp/>
        <stp>VOLUME</stp>
        <stp>.SPY250606P556</stp>
        <tr r="J31" s="2"/>
        <tr r="J31" s="2"/>
      </tp>
      <tp>
        <v>2752</v>
        <stp/>
        <stp>VOLUME</stp>
        <stp>.SPY250620P570</stp>
        <tr r="BF16" s="1"/>
        <tr r="BF16" s="1"/>
      </tp>
      <tp>
        <v>695</v>
        <stp/>
        <stp>VOLUME</stp>
        <stp>.SPY250630P560</stp>
        <tr r="L27" s="2"/>
        <tr r="L27" s="2"/>
      </tp>
      <tp>
        <v>1</v>
        <stp/>
        <stp>VOLUME</stp>
        <stp>.SPY250606C556</stp>
        <tr r="J31" s="2"/>
        <tr r="J31" s="2"/>
      </tp>
      <tp>
        <v>2702</v>
        <stp/>
        <stp>VOLUME</stp>
        <stp>.SPY250620C570</stp>
        <tr r="BE16" s="1"/>
        <tr r="BE16" s="1"/>
      </tp>
      <tp>
        <v>37</v>
        <stp/>
        <stp>VOLUME</stp>
        <stp>.SPY250630C560</stp>
        <tr r="L27" s="2"/>
        <tr r="L27" s="2"/>
      </tp>
      <tp>
        <v>195</v>
        <stp/>
        <stp>VOLUME</stp>
        <stp>.SPY250606P557</stp>
        <tr r="J30" s="2"/>
        <tr r="J30" s="2"/>
      </tp>
      <tp>
        <v>90</v>
        <stp/>
        <stp>VOLUME</stp>
        <stp>.SPY250620P571</stp>
        <tr r="BF15" s="1"/>
        <tr r="BF15" s="1"/>
      </tp>
      <tp>
        <v>37</v>
        <stp/>
        <stp>VOLUME</stp>
        <stp>.SPY250630P561</stp>
        <tr r="L26" s="2"/>
        <tr r="L26" s="2"/>
      </tp>
      <tp>
        <v>2</v>
        <stp/>
        <stp>VOLUME</stp>
        <stp>.SPY250606C557</stp>
        <tr r="J30" s="2"/>
        <tr r="J30" s="2"/>
      </tp>
      <tp>
        <v>188</v>
        <stp/>
        <stp>VOLUME</stp>
        <stp>.SPY250620C571</stp>
        <tr r="BE15" s="1"/>
        <tr r="BE15" s="1"/>
      </tp>
      <tp>
        <v>2</v>
        <stp/>
        <stp>VOLUME</stp>
        <stp>.SPY250630C561</stp>
        <tr r="L26" s="2"/>
        <tr r="L26" s="2"/>
      </tp>
      <tp>
        <v>22</v>
        <stp/>
        <stp>VOLUME</stp>
        <stp>.SPY250606P558</stp>
        <tr r="J29" s="2"/>
        <tr r="J29" s="2"/>
      </tp>
      <tp>
        <v>33</v>
        <stp/>
        <stp>VOLUME</stp>
        <stp>.SPY250606C558</stp>
        <tr r="J29" s="2"/>
        <tr r="J29" s="2"/>
      </tp>
      <tp>
        <v>149</v>
        <stp/>
        <stp>VOLUME</stp>
        <stp>.SPY250606P559</stp>
        <tr r="J28" s="2"/>
        <tr r="J28" s="2"/>
      </tp>
      <tp>
        <v>31</v>
        <stp/>
        <stp>VOLUME</stp>
        <stp>.SPY250606C559</stp>
        <tr r="J28" s="2"/>
        <tr r="J28" s="2"/>
      </tp>
      <tp>
        <v>56</v>
        <stp/>
        <stp>VOLUME</stp>
        <stp>.SPY250620P578</stp>
        <tr r="BF8" s="1"/>
        <tr r="BF8" s="1"/>
      </tp>
      <tp>
        <v>60</v>
        <stp/>
        <stp>VOLUME</stp>
        <stp>.SPY250630P568</stp>
        <tr r="L19" s="2"/>
        <tr r="L19" s="2"/>
      </tp>
      <tp>
        <v>519</v>
        <stp/>
        <stp>VOLUME</stp>
        <stp>.SPY250620C578</stp>
        <tr r="BE8" s="1"/>
        <tr r="BE8" s="1"/>
      </tp>
      <tp>
        <v>53</v>
        <stp/>
        <stp>VOLUME</stp>
        <stp>.SPY250630C568</stp>
        <tr r="L19" s="2"/>
        <tr r="L19" s="2"/>
      </tp>
      <tp>
        <v>31</v>
        <stp/>
        <stp>VOLUME</stp>
        <stp>.SPY250620P579</stp>
        <tr r="BF7" s="1"/>
        <tr r="BF7" s="1"/>
      </tp>
      <tp>
        <v>34</v>
        <stp/>
        <stp>VOLUME</stp>
        <stp>.SPY250630P569</stp>
        <tr r="L18" s="2"/>
        <tr r="L18" s="2"/>
      </tp>
      <tp>
        <v>514</v>
        <stp/>
        <stp>VOLUME</stp>
        <stp>.SPY250620C579</stp>
        <tr r="BE7" s="1"/>
        <tr r="BE7" s="1"/>
      </tp>
      <tp>
        <v>26</v>
        <stp/>
        <stp>VOLUME</stp>
        <stp>.SPY250630C569</stp>
        <tr r="L18" s="2"/>
        <tr r="L18" s="2"/>
      </tp>
      <tp>
        <v>491</v>
        <stp/>
        <stp>VOLUME</stp>
        <stp>.SPY250620P566</stp>
        <tr r="BF20" s="1"/>
        <tr r="BF20" s="1"/>
      </tp>
      <tp t="s">
        <v>N/A</v>
        <stp/>
        <stp>VOLUME</stp>
        <stp>.SPY250630P576</stp>
        <tr r="L11" s="2"/>
      </tp>
      <tp>
        <v>312</v>
        <stp/>
        <stp>VOLUME</stp>
        <stp>.SPY250620C566</stp>
        <tr r="BE20" s="1"/>
        <tr r="BE20" s="1"/>
      </tp>
      <tp>
        <v>12</v>
        <stp/>
        <stp>VOLUME</stp>
        <stp>.SPY250630C576</stp>
        <tr r="L11" s="2"/>
        <tr r="L11" s="2"/>
      </tp>
      <tp>
        <v>491</v>
        <stp/>
        <stp>VOLUME</stp>
        <stp>.SPY250620P567</stp>
        <tr r="BF19" s="1"/>
        <tr r="BF19" s="1"/>
      </tp>
      <tp t="s">
        <v>N/A</v>
        <stp/>
        <stp>VOLUME</stp>
        <stp>.SPY250630P577</stp>
        <tr r="L10" s="2"/>
      </tp>
      <tp>
        <v>230</v>
        <stp/>
        <stp>VOLUME</stp>
        <stp>.SPY250620C567</stp>
        <tr r="BE19" s="1"/>
        <tr r="BE19" s="1"/>
      </tp>
      <tp>
        <v>9</v>
        <stp/>
        <stp>VOLUME</stp>
        <stp>.SPY250630C577</stp>
        <tr r="L10" s="2"/>
        <tr r="L10" s="2"/>
      </tp>
      <tp>
        <v>751</v>
        <stp/>
        <stp>VOLUME</stp>
        <stp>.SPY250620P564</stp>
        <tr r="BF22" s="1"/>
        <tr r="BF22" s="1"/>
      </tp>
      <tp>
        <v>3</v>
        <stp/>
        <stp>VOLUME</stp>
        <stp>.SPY250630P574</stp>
        <tr r="L13" s="2"/>
        <tr r="L13" s="2"/>
      </tp>
      <tp>
        <v>728</v>
        <stp/>
        <stp>VOLUME</stp>
        <stp>.SPY250620C564</stp>
        <tr r="BE22" s="1"/>
        <tr r="BE22" s="1"/>
      </tp>
      <tp>
        <v>21</v>
        <stp/>
        <stp>VOLUME</stp>
        <stp>.SPY250630C574</stp>
        <tr r="L13" s="2"/>
        <tr r="L13" s="2"/>
      </tp>
      <tp>
        <v>7136</v>
        <stp/>
        <stp>VOLUME</stp>
        <stp>.SPY250620P565</stp>
        <tr r="BF21" s="1"/>
        <tr r="BF21" s="1"/>
      </tp>
      <tp>
        <v>20</v>
        <stp/>
        <stp>VOLUME</stp>
        <stp>.SPY250630P575</stp>
        <tr r="L12" s="2"/>
        <tr r="L12" s="2"/>
      </tp>
      <tp>
        <v>2738</v>
        <stp/>
        <stp>VOLUME</stp>
        <stp>.SPY250620C565</stp>
        <tr r="BE21" s="1"/>
        <tr r="BE21" s="1"/>
      </tp>
      <tp>
        <v>383</v>
        <stp/>
        <stp>VOLUME</stp>
        <stp>.SPY250630C575</stp>
        <tr r="L12" s="2"/>
        <tr r="L12" s="2"/>
      </tp>
      <tp>
        <v>341</v>
        <stp/>
        <stp>VOLUME</stp>
        <stp>.SPY250620P562</stp>
        <tr r="BF24" s="1"/>
        <tr r="BF24" s="1"/>
      </tp>
      <tp>
        <v>27</v>
        <stp/>
        <stp>VOLUME</stp>
        <stp>.SPY250630P572</stp>
        <tr r="L15" s="2"/>
        <tr r="L15" s="2"/>
      </tp>
      <tp>
        <v>154</v>
        <stp/>
        <stp>VOLUME</stp>
        <stp>.SPY250620C562</stp>
        <tr r="BE24" s="1"/>
        <tr r="BE24" s="1"/>
      </tp>
      <tp>
        <v>9</v>
        <stp/>
        <stp>VOLUME</stp>
        <stp>.SPY250630C572</stp>
        <tr r="L15" s="2"/>
        <tr r="L15" s="2"/>
      </tp>
      <tp>
        <v>572</v>
        <stp/>
        <stp>VOLUME</stp>
        <stp>.SPY250620P563</stp>
        <tr r="BF23" s="1"/>
        <tr r="BF23" s="1"/>
      </tp>
      <tp t="s">
        <v>N/A</v>
        <stp/>
        <stp>VOLUME</stp>
        <stp>.SPY250630P573</stp>
        <tr r="L14" s="2"/>
      </tp>
      <tp>
        <v>237</v>
        <stp/>
        <stp>VOLUME</stp>
        <stp>.SPY250620C563</stp>
        <tr r="BE23" s="1"/>
        <tr r="BE23" s="1"/>
      </tp>
      <tp>
        <v>43</v>
        <stp/>
        <stp>VOLUME</stp>
        <stp>.SPY250630C573</stp>
        <tr r="L14" s="2"/>
        <tr r="L14" s="2"/>
      </tp>
      <tp>
        <v>7997</v>
        <stp/>
        <stp>VOLUME</stp>
        <stp>.SPY250620P560</stp>
        <tr r="BF26" s="1"/>
        <tr r="BF26" s="1"/>
      </tp>
      <tp>
        <v>316</v>
        <stp/>
        <stp>VOLUME</stp>
        <stp>.SPY250630P570</stp>
        <tr r="L17" s="2"/>
        <tr r="L17" s="2"/>
      </tp>
      <tp>
        <v>1339</v>
        <stp/>
        <stp>VOLUME</stp>
        <stp>.SPY250620C560</stp>
        <tr r="BE26" s="1"/>
        <tr r="BE26" s="1"/>
      </tp>
      <tp>
        <v>1037</v>
        <stp/>
        <stp>VOLUME</stp>
        <stp>.SPY250630C570</stp>
        <tr r="L17" s="2"/>
        <tr r="L17" s="2"/>
      </tp>
      <tp>
        <v>445</v>
        <stp/>
        <stp>VOLUME</stp>
        <stp>.SPY250620P561</stp>
        <tr r="BF25" s="1"/>
        <tr r="BF25" s="1"/>
      </tp>
      <tp>
        <v>4</v>
        <stp/>
        <stp>VOLUME</stp>
        <stp>.SPY250630P571</stp>
        <tr r="L16" s="2"/>
        <tr r="L16" s="2"/>
      </tp>
      <tp>
        <v>111</v>
        <stp/>
        <stp>VOLUME</stp>
        <stp>.SPY250620C561</stp>
        <tr r="BE25" s="1"/>
        <tr r="BE25" s="1"/>
      </tp>
      <tp>
        <v>17</v>
        <stp/>
        <stp>VOLUME</stp>
        <stp>.SPY250630C571</stp>
        <tr r="L16" s="2"/>
        <tr r="L16" s="2"/>
      </tp>
      <tp>
        <v>22</v>
        <stp/>
        <stp>VOLUME</stp>
        <stp>.SPY250606P548</stp>
        <tr r="J39" s="2"/>
        <tr r="J39" s="2"/>
      </tp>
      <tp>
        <v>7</v>
        <stp/>
        <stp>VOLUME</stp>
        <stp>.SPY250606C548</stp>
        <tr r="J39" s="2"/>
        <tr r="J39" s="2"/>
      </tp>
      <tp>
        <v>192</v>
        <stp/>
        <stp>VOLUME</stp>
        <stp>.SPY250606P549</stp>
        <tr r="J38" s="2"/>
        <tr r="J38" s="2"/>
      </tp>
      <tp>
        <v>3</v>
        <stp/>
        <stp>VOLUME</stp>
        <stp>.SPY250606C549</stp>
        <tr r="J38" s="2"/>
        <tr r="J38" s="2"/>
      </tp>
      <tp>
        <v>809</v>
        <stp/>
        <stp>VOLUME</stp>
        <stp>.SPY250620P568</stp>
        <tr r="BF18" s="1"/>
        <tr r="BF18" s="1"/>
      </tp>
      <tp>
        <v>2</v>
        <stp/>
        <stp>VOLUME</stp>
        <stp>.SPY250630P578</stp>
        <tr r="L9" s="2"/>
        <tr r="L9" s="2"/>
      </tp>
      <tp>
        <v>766</v>
        <stp/>
        <stp>VOLUME</stp>
        <stp>.SPY250620C568</stp>
        <tr r="BE18" s="1"/>
        <tr r="BE18" s="1"/>
      </tp>
      <tp>
        <v>40</v>
        <stp/>
        <stp>VOLUME</stp>
        <stp>.SPY250630C578</stp>
        <tr r="L9" s="2"/>
        <tr r="L9" s="2"/>
      </tp>
      <tp>
        <v>313</v>
        <stp/>
        <stp>VOLUME</stp>
        <stp>.SPY250620P569</stp>
        <tr r="BF17" s="1"/>
        <tr r="BF17" s="1"/>
      </tp>
      <tp>
        <v>40</v>
        <stp/>
        <stp>VOLUME</stp>
        <stp>.SPY250630P579</stp>
        <tr r="L8" s="2"/>
        <tr r="L8" s="2"/>
      </tp>
      <tp>
        <v>369</v>
        <stp/>
        <stp>VOLUME</stp>
        <stp>.SPY250620C569</stp>
        <tr r="BE17" s="1"/>
        <tr r="BE17" s="1"/>
      </tp>
      <tp>
        <v>6</v>
        <stp/>
        <stp>VOLUME</stp>
        <stp>.SPY250630C579</stp>
        <tr r="L8" s="2"/>
        <tr r="L8" s="2"/>
      </tp>
      <tp>
        <v>152</v>
        <stp/>
        <stp>VOLUME</stp>
        <stp>.SPY250606P570</stp>
        <tr r="J17" s="2"/>
        <tr r="J17" s="2"/>
      </tp>
      <tp>
        <v>378</v>
        <stp/>
        <stp>VOLUME</stp>
        <stp>.SPY250620P556</stp>
        <tr r="BF30" s="1"/>
        <tr r="BF30" s="1"/>
      </tp>
      <tp>
        <v>1216</v>
        <stp/>
        <stp>VOLUME</stp>
        <stp>.SPY250606C570</stp>
        <tr r="J17" s="2"/>
        <tr r="J17" s="2"/>
      </tp>
      <tp>
        <v>17</v>
        <stp/>
        <stp>VOLUME</stp>
        <stp>.SPY250620C556</stp>
        <tr r="BE30" s="1"/>
        <tr r="BE30" s="1"/>
      </tp>
      <tp>
        <v>16</v>
        <stp/>
        <stp>VOLUME</stp>
        <stp>.SPY250606P571</stp>
        <tr r="J16" s="2"/>
        <tr r="J16" s="2"/>
      </tp>
      <tp>
        <v>433</v>
        <stp/>
        <stp>VOLUME</stp>
        <stp>.SPY250620P557</stp>
        <tr r="BF29" s="1"/>
        <tr r="BF29" s="1"/>
      </tp>
      <tp>
        <v>183</v>
        <stp/>
        <stp>VOLUME</stp>
        <stp>.SPY250606C571</stp>
        <tr r="J16" s="2"/>
        <tr r="J16" s="2"/>
      </tp>
      <tp>
        <v>62</v>
        <stp/>
        <stp>VOLUME</stp>
        <stp>.SPY250620C557</stp>
        <tr r="BE29" s="1"/>
        <tr r="BE29" s="1"/>
      </tp>
      <tp>
        <v>5</v>
        <stp/>
        <stp>VOLUME</stp>
        <stp>.SPY250606P572</stp>
        <tr r="J15" s="2"/>
        <tr r="J15" s="2"/>
      </tp>
      <tp>
        <v>639</v>
        <stp/>
        <stp>VOLUME</stp>
        <stp>.SPY250620P554</stp>
        <tr r="BF32" s="1"/>
        <tr r="BF32" s="1"/>
      </tp>
      <tp>
        <v>431</v>
        <stp/>
        <stp>VOLUME</stp>
        <stp>.SPY250606C572</stp>
        <tr r="J15" s="2"/>
        <tr r="J15" s="2"/>
      </tp>
      <tp>
        <v>11</v>
        <stp/>
        <stp>VOLUME</stp>
        <stp>.SPY250620C554</stp>
        <tr r="BE32" s="1"/>
        <tr r="BE32" s="1"/>
      </tp>
      <tp t="s">
        <v>N/A</v>
        <stp/>
        <stp>VOLUME</stp>
        <stp>.SPY250606P573</stp>
        <tr r="J14" s="2"/>
      </tp>
      <tp>
        <v>1088</v>
        <stp/>
        <stp>VOLUME</stp>
        <stp>.SPY250620P555</stp>
        <tr r="BF31" s="1"/>
        <tr r="BF31" s="1"/>
      </tp>
      <tp>
        <v>204</v>
        <stp/>
        <stp>VOLUME</stp>
        <stp>.SPY250606C573</stp>
        <tr r="J14" s="2"/>
        <tr r="J14" s="2"/>
      </tp>
      <tp>
        <v>345</v>
        <stp/>
        <stp>VOLUME</stp>
        <stp>.SPY250620C555</stp>
        <tr r="BE31" s="1"/>
        <tr r="BE31" s="1"/>
      </tp>
      <tp>
        <v>1</v>
        <stp/>
        <stp>VOLUME</stp>
        <stp>.SPY250606P574</stp>
        <tr r="J13" s="2"/>
        <tr r="J13" s="2"/>
      </tp>
      <tp>
        <v>397</v>
        <stp/>
        <stp>VOLUME</stp>
        <stp>.SPY250620P552</stp>
        <tr r="BF34" s="1"/>
        <tr r="BF34" s="1"/>
      </tp>
      <tp>
        <v>117</v>
        <stp/>
        <stp>VOLUME</stp>
        <stp>.SPY250606C574</stp>
        <tr r="J13" s="2"/>
        <tr r="J13" s="2"/>
      </tp>
      <tp>
        <v>11</v>
        <stp/>
        <stp>VOLUME</stp>
        <stp>.SPY250620C552</stp>
        <tr r="BE34" s="1"/>
        <tr r="BE34" s="1"/>
      </tp>
      <tp>
        <v>12</v>
        <stp/>
        <stp>VOLUME</stp>
        <stp>.SPY250606P575</stp>
        <tr r="J12" s="2"/>
        <tr r="J12" s="2"/>
      </tp>
      <tp>
        <v>347</v>
        <stp/>
        <stp>VOLUME</stp>
        <stp>.SPY250620P553</stp>
        <tr r="BF33" s="1"/>
        <tr r="BF33" s="1"/>
      </tp>
      <tp>
        <v>549</v>
        <stp/>
        <stp>VOLUME</stp>
        <stp>.SPY250606C575</stp>
        <tr r="J12" s="2"/>
        <tr r="J12" s="2"/>
      </tp>
      <tp>
        <v>20</v>
        <stp/>
        <stp>VOLUME</stp>
        <stp>.SPY250620C553</stp>
        <tr r="BE33" s="1"/>
        <tr r="BE33" s="1"/>
      </tp>
      <tp>
        <v>6</v>
        <stp/>
        <stp>VOLUME</stp>
        <stp>.SPY250606P576</stp>
        <tr r="J11" s="2"/>
        <tr r="J11" s="2"/>
      </tp>
      <tp>
        <v>9108</v>
        <stp/>
        <stp>VOLUME</stp>
        <stp>.SPY250620P550</stp>
        <tr r="BF36" s="1"/>
        <tr r="BF36" s="1"/>
      </tp>
      <tp>
        <v>213</v>
        <stp/>
        <stp>VOLUME</stp>
        <stp>.SPY250606C576</stp>
        <tr r="J11" s="2"/>
        <tr r="J11" s="2"/>
      </tp>
      <tp>
        <v>279</v>
        <stp/>
        <stp>VOLUME</stp>
        <stp>.SPY250620C550</stp>
        <tr r="BE36" s="1"/>
        <tr r="BE36" s="1"/>
      </tp>
      <tp t="s">
        <v>N/A</v>
        <stp/>
        <stp>VOLUME</stp>
        <stp>.SPY250606P577</stp>
        <tr r="J10" s="2"/>
      </tp>
      <tp>
        <v>181</v>
        <stp/>
        <stp>VOLUME</stp>
        <stp>.SPY250620P551</stp>
        <tr r="BF35" s="1"/>
        <tr r="BF35" s="1"/>
      </tp>
      <tp>
        <v>113</v>
        <stp/>
        <stp>VOLUME</stp>
        <stp>.SPY250606C577</stp>
        <tr r="J10" s="2"/>
        <tr r="J10" s="2"/>
      </tp>
      <tp t="s">
        <v>N/A</v>
        <stp/>
        <stp>VOLUME</stp>
        <stp>.SPY250620C551</stp>
        <tr r="BE35" s="1"/>
      </tp>
      <tp>
        <v>5</v>
        <stp/>
        <stp>VOLUME</stp>
        <stp>.SPY250606P578</stp>
        <tr r="J9" s="2"/>
        <tr r="J9" s="2"/>
      </tp>
      <tp>
        <v>60</v>
        <stp/>
        <stp>VOLUME</stp>
        <stp>.SPY250606C578</stp>
        <tr r="J9" s="2"/>
        <tr r="J9" s="2"/>
      </tp>
      <tp t="s">
        <v>N/A</v>
        <stp/>
        <stp>VOLUME</stp>
        <stp>.SPY250606P579</stp>
        <tr r="J8" s="2"/>
      </tp>
      <tp>
        <v>164</v>
        <stp/>
        <stp>VOLUME</stp>
        <stp>.SPY250606C579</stp>
        <tr r="J8" s="2"/>
        <tr r="J8" s="2"/>
      </tp>
      <tp>
        <v>239</v>
        <stp/>
        <stp>VOLUME</stp>
        <stp>.SPY250620P558</stp>
        <tr r="BF28" s="1"/>
        <tr r="BF28" s="1"/>
      </tp>
      <tp>
        <v>4</v>
        <stp/>
        <stp>VOLUME</stp>
        <stp>.SPY250630P548</stp>
        <tr r="L39" s="2"/>
        <tr r="L39" s="2"/>
      </tp>
      <tp>
        <v>48</v>
        <stp/>
        <stp>VOLUME</stp>
        <stp>.SPY250620C558</stp>
        <tr r="BE28" s="1"/>
        <tr r="BE28" s="1"/>
      </tp>
      <tp t="s">
        <v>N/A</v>
        <stp/>
        <stp>VOLUME</stp>
        <stp>.SPY250630C548</stp>
        <tr r="L39" s="2"/>
      </tp>
      <tp>
        <v>187</v>
        <stp/>
        <stp>VOLUME</stp>
        <stp>.SPY250620P559</stp>
        <tr r="BF27" s="1"/>
        <tr r="BF27" s="1"/>
      </tp>
      <tp>
        <v>15</v>
        <stp/>
        <stp>VOLUME</stp>
        <stp>.SPY250630P549</stp>
        <tr r="L38" s="2"/>
        <tr r="L38" s="2"/>
      </tp>
      <tp>
        <v>65</v>
        <stp/>
        <stp>VOLUME</stp>
        <stp>.SPY250620C559</stp>
        <tr r="BE27" s="1"/>
        <tr r="BE27" s="1"/>
      </tp>
      <tp t="s">
        <v>N/A</v>
        <stp/>
        <stp>VOLUME</stp>
        <stp>.SPY250630C549</stp>
        <tr r="L38" s="2"/>
      </tp>
      <tp>
        <v>987</v>
        <stp/>
        <stp>VOLUME</stp>
        <stp>.SPY250606P560</stp>
        <tr r="J27" s="2"/>
        <tr r="J27" s="2"/>
      </tp>
      <tp>
        <v>78</v>
        <stp/>
        <stp>VOLUME</stp>
        <stp>.SPY250630P556</stp>
        <tr r="L31" s="2"/>
        <tr r="L31" s="2"/>
      </tp>
      <tp>
        <v>373</v>
        <stp/>
        <stp>VOLUME</stp>
        <stp>.SPY250606C560</stp>
        <tr r="J27" s="2"/>
        <tr r="J27" s="2"/>
      </tp>
      <tp>
        <v>2</v>
        <stp/>
        <stp>VOLUME</stp>
        <stp>.SPY250630C556</stp>
        <tr r="L31" s="2"/>
        <tr r="L31" s="2"/>
      </tp>
      <tp>
        <v>51</v>
        <stp/>
        <stp>VOLUME</stp>
        <stp>.SPY250606P561</stp>
        <tr r="J26" s="2"/>
        <tr r="J26" s="2"/>
      </tp>
      <tp>
        <v>4</v>
        <stp/>
        <stp>VOLUME</stp>
        <stp>.SPY250630P557</stp>
        <tr r="L30" s="2"/>
        <tr r="L30" s="2"/>
      </tp>
      <tp>
        <v>77</v>
        <stp/>
        <stp>VOLUME</stp>
        <stp>.SPY250606C561</stp>
        <tr r="J26" s="2"/>
        <tr r="J26" s="2"/>
      </tp>
      <tp t="s">
        <v>N/A</v>
        <stp/>
        <stp>VOLUME</stp>
        <stp>.SPY250630C557</stp>
        <tr r="L30" s="2"/>
      </tp>
      <tp>
        <v>72</v>
        <stp/>
        <stp>VOLUME</stp>
        <stp>.SPY250606P562</stp>
        <tr r="J25" s="2"/>
        <tr r="J25" s="2"/>
      </tp>
      <tp>
        <v>15</v>
        <stp/>
        <stp>VOLUME</stp>
        <stp>.SPY250630P554</stp>
        <tr r="L33" s="2"/>
        <tr r="L33" s="2"/>
      </tp>
      <tp>
        <v>99</v>
        <stp/>
        <stp>VOLUME</stp>
        <stp>.SPY250606C562</stp>
        <tr r="J25" s="2"/>
        <tr r="J25" s="2"/>
      </tp>
      <tp>
        <v>2</v>
        <stp/>
        <stp>VOLUME</stp>
        <stp>.SPY250630C554</stp>
        <tr r="L33" s="2"/>
        <tr r="L33" s="2"/>
      </tp>
      <tp>
        <v>185</v>
        <stp/>
        <stp>VOLUME</stp>
        <stp>.SPY250606P563</stp>
        <tr r="J24" s="2"/>
        <tr r="J24" s="2"/>
      </tp>
      <tp>
        <v>617</v>
        <stp/>
        <stp>VOLUME</stp>
        <stp>.SPY250630P555</stp>
        <tr r="L32" s="2"/>
        <tr r="L32" s="2"/>
      </tp>
      <tp>
        <v>541</v>
        <stp/>
        <stp>VOLUME</stp>
        <stp>.SPY250606C563</stp>
        <tr r="J24" s="2"/>
        <tr r="J24" s="2"/>
      </tp>
      <tp>
        <v>50</v>
        <stp/>
        <stp>VOLUME</stp>
        <stp>.SPY250630C555</stp>
        <tr r="L32" s="2"/>
        <tr r="L32" s="2"/>
      </tp>
      <tp>
        <v>1572</v>
        <stp/>
        <stp>VOLUME</stp>
        <stp>.SPY250606P564</stp>
        <tr r="J23" s="2"/>
        <tr r="J23" s="2"/>
      </tp>
      <tp>
        <v>21</v>
        <stp/>
        <stp>VOLUME</stp>
        <stp>.SPY250630P552</stp>
        <tr r="L35" s="2"/>
        <tr r="L35" s="2"/>
      </tp>
      <tp>
        <v>538</v>
        <stp/>
        <stp>VOLUME</stp>
        <stp>.SPY250606C564</stp>
        <tr r="J23" s="2"/>
        <tr r="J23" s="2"/>
      </tp>
      <tp>
        <v>2</v>
        <stp/>
        <stp>VOLUME</stp>
        <stp>.SPY250630C552</stp>
        <tr r="L35" s="2"/>
        <tr r="L35" s="2"/>
      </tp>
      <tp>
        <v>609</v>
        <stp/>
        <stp>VOLUME</stp>
        <stp>.SPY250606P565</stp>
        <tr r="J22" s="2"/>
        <tr r="J22" s="2"/>
      </tp>
      <tp>
        <v>97</v>
        <stp/>
        <stp>VOLUME</stp>
        <stp>.SPY250630P553</stp>
        <tr r="L34" s="2"/>
        <tr r="L34" s="2"/>
      </tp>
      <tp>
        <v>1669</v>
        <stp/>
        <stp>VOLUME</stp>
        <stp>.SPY250606C565</stp>
        <tr r="J22" s="2"/>
        <tr r="J22" s="2"/>
      </tp>
      <tp>
        <v>2</v>
        <stp/>
        <stp>VOLUME</stp>
        <stp>.SPY250630C553</stp>
        <tr r="L34" s="2"/>
        <tr r="L34" s="2"/>
      </tp>
      <tp>
        <v>863</v>
        <stp/>
        <stp>VOLUME</stp>
        <stp>.SPY250606P566</stp>
        <tr r="J21" s="2"/>
        <tr r="J21" s="2"/>
      </tp>
      <tp>
        <v>696</v>
        <stp/>
        <stp>VOLUME</stp>
        <stp>.SPY250630P550</stp>
        <tr r="L37" s="2"/>
        <tr r="L37" s="2"/>
      </tp>
      <tp>
        <v>191</v>
        <stp/>
        <stp>VOLUME</stp>
        <stp>.SPY250606C566</stp>
        <tr r="J21" s="2"/>
        <tr r="J21" s="2"/>
      </tp>
      <tp>
        <v>29</v>
        <stp/>
        <stp>VOLUME</stp>
        <stp>.SPY250630C550</stp>
        <tr r="L37" s="2"/>
        <tr r="L37" s="2"/>
      </tp>
      <tp>
        <v>155</v>
        <stp/>
        <stp>VOLUME</stp>
        <stp>.SPY250606P567</stp>
        <tr r="J20" s="2"/>
        <tr r="J20" s="2"/>
      </tp>
      <tp>
        <v>8</v>
        <stp/>
        <stp>VOLUME</stp>
        <stp>.SPY250630P551</stp>
        <tr r="L36" s="2"/>
        <tr r="L36" s="2"/>
      </tp>
      <tp>
        <v>225</v>
        <stp/>
        <stp>VOLUME</stp>
        <stp>.SPY250606C567</stp>
        <tr r="J20" s="2"/>
        <tr r="J20" s="2"/>
      </tp>
      <tp t="s">
        <v>N/A</v>
        <stp/>
        <stp>VOLUME</stp>
        <stp>.SPY250630C551</stp>
        <tr r="L36" s="2"/>
      </tp>
      <tp>
        <v>82</v>
        <stp/>
        <stp>VOLUME</stp>
        <stp>.SPY250606P568</stp>
        <tr r="J19" s="2"/>
        <tr r="J19" s="2"/>
      </tp>
      <tp>
        <v>219</v>
        <stp/>
        <stp>VOLUME</stp>
        <stp>.SPY250606C568</stp>
        <tr r="J19" s="2"/>
        <tr r="J19" s="2"/>
      </tp>
      <tp>
        <v>73</v>
        <stp/>
        <stp>VOLUME</stp>
        <stp>.SPY250606P569</stp>
        <tr r="J18" s="2"/>
        <tr r="J18" s="2"/>
      </tp>
      <tp>
        <v>77</v>
        <stp/>
        <stp>VOLUME</stp>
        <stp>.SPY250606C569</stp>
        <tr r="J18" s="2"/>
        <tr r="J18" s="2"/>
      </tp>
      <tp>
        <v>80</v>
        <stp/>
        <stp>VOLUME</stp>
        <stp>.SPY250620P548</stp>
        <tr r="BF38" s="1"/>
        <tr r="BF38" s="1"/>
      </tp>
      <tp>
        <v>78</v>
        <stp/>
        <stp>VOLUME</stp>
        <stp>.SPY250630P558</stp>
        <tr r="L29" s="2"/>
        <tr r="L29" s="2"/>
      </tp>
      <tp>
        <v>5</v>
        <stp/>
        <stp>VOLUME</stp>
        <stp>.SPY250620C548</stp>
        <tr r="BE38" s="1"/>
        <tr r="BE38" s="1"/>
      </tp>
      <tp>
        <v>2</v>
        <stp/>
        <stp>VOLUME</stp>
        <stp>.SPY250630C558</stp>
        <tr r="L29" s="2"/>
        <tr r="L29" s="2"/>
      </tp>
      <tp>
        <v>463</v>
        <stp/>
        <stp>VOLUME</stp>
        <stp>.SPY250620P549</stp>
        <tr r="BF37" s="1"/>
        <tr r="BF37" s="1"/>
      </tp>
      <tp>
        <v>387</v>
        <stp/>
        <stp>VOLUME</stp>
        <stp>.SPY250630P559</stp>
        <tr r="L28" s="2"/>
        <tr r="L28" s="2"/>
      </tp>
      <tp>
        <v>7</v>
        <stp/>
        <stp>VOLUME</stp>
        <stp>.SPY250620C549</stp>
        <tr r="BE37" s="1"/>
        <tr r="BE37" s="1"/>
      </tp>
      <tp>
        <v>1</v>
        <stp/>
        <stp>VOLUME</stp>
        <stp>.SPY250630C559</stp>
        <tr r="L28" s="2"/>
        <tr r="L28" s="2"/>
      </tp>
      <tp t="s">
        <v>N/A</v>
        <stp/>
        <stp>DELTA</stp>
        <stp>.SPXW250509P5720</stp>
        <tr r="CE100" s="1"/>
      </tp>
      <tp t="s">
        <v>N/A</v>
        <stp/>
        <stp>DELTA</stp>
        <stp>.SPXW250509C5720</stp>
        <tr r="CD100" s="1"/>
      </tp>
      <tp>
        <v>-0.96</v>
        <stp/>
        <stp>DELTA</stp>
        <stp>.SPXW250509P5730</stp>
        <tr r="CE99" s="1"/>
        <tr r="CE99" s="1"/>
      </tp>
      <tp>
        <v>0</v>
        <stp/>
        <stp>DELTA</stp>
        <stp>.SPXW250509C5730</stp>
        <tr r="CD99" s="1"/>
        <tr r="CD99" s="1"/>
      </tp>
      <tp>
        <v>-0.95</v>
        <stp/>
        <stp>DELTA</stp>
        <stp>.SPXW250509P5700</stp>
        <tr r="CE102" s="1"/>
        <tr r="CE102" s="1"/>
      </tp>
      <tp>
        <v>0.01</v>
        <stp/>
        <stp>DELTA</stp>
        <stp>.SPXW250509C5700</stp>
        <tr r="CD102" s="1"/>
        <tr r="CD102" s="1"/>
      </tp>
      <tp>
        <v>-0.95</v>
        <stp/>
        <stp>DELTA</stp>
        <stp>.SPXW250509P5710</stp>
        <tr r="CE101" s="1"/>
        <tr r="CE101" s="1"/>
      </tp>
      <tp>
        <v>0</v>
        <stp/>
        <stp>DELTA</stp>
        <stp>.SPXW250509C5710</stp>
        <tr r="CD101" s="1"/>
        <tr r="CD101" s="1"/>
      </tp>
      <tp>
        <v>-0.97</v>
        <stp/>
        <stp>DELTA</stp>
        <stp>.SPXW250509P5760</stp>
        <tr r="CE96" s="1"/>
        <tr r="CE96" s="1"/>
      </tp>
      <tp>
        <v>0</v>
        <stp/>
        <stp>DELTA</stp>
        <stp>.SPXW250509C5760</stp>
        <tr r="CD96" s="1"/>
        <tr r="CD96" s="1"/>
      </tp>
      <tp>
        <v>-0.98</v>
        <stp/>
        <stp>DELTA</stp>
        <stp>.SPXW250509P5770</stp>
        <tr r="CE95" s="1"/>
        <tr r="CE95" s="1"/>
      </tp>
      <tp>
        <v>0</v>
        <stp/>
        <stp>DELTA</stp>
        <stp>.SPXW250509C5770</stp>
        <tr r="CD95" s="1"/>
        <tr r="CD95" s="1"/>
      </tp>
      <tp>
        <v>-0.97</v>
        <stp/>
        <stp>DELTA</stp>
        <stp>.SPXW250509P5740</stp>
        <tr r="CE98" s="1"/>
        <tr r="CE98" s="1"/>
      </tp>
      <tp>
        <v>0</v>
        <stp/>
        <stp>DELTA</stp>
        <stp>.SPXW250509C5740</stp>
        <tr r="CD98" s="1"/>
        <tr r="CD98" s="1"/>
      </tp>
      <tp>
        <v>-0.97</v>
        <stp/>
        <stp>DELTA</stp>
        <stp>.SPXW250509P5750</stp>
        <tr r="CE97" s="1"/>
        <tr r="CE97" s="1"/>
      </tp>
      <tp>
        <v>0</v>
        <stp/>
        <stp>DELTA</stp>
        <stp>.SPXW250509C5750</stp>
        <tr r="CD97" s="1"/>
        <tr r="CD97" s="1"/>
      </tp>
      <tp>
        <v>-0.99</v>
        <stp/>
        <stp>DELTA</stp>
        <stp>.SPXW250509P5780</stp>
        <tr r="CE94" s="1"/>
        <tr r="CE94" s="1"/>
      </tp>
      <tp>
        <v>0</v>
        <stp/>
        <stp>DELTA</stp>
        <stp>.SPXW250509C5780</stp>
        <tr r="CD94" s="1"/>
        <tr r="CD94" s="1"/>
      </tp>
      <tp>
        <v>-0.99</v>
        <stp/>
        <stp>DELTA</stp>
        <stp>.SPXW250509P5790</stp>
        <tr r="CE93" s="1"/>
        <tr r="CE93" s="1"/>
      </tp>
      <tp>
        <v>0</v>
        <stp/>
        <stp>DELTA</stp>
        <stp>.SPXW250509C5790</stp>
        <tr r="CD93" s="1"/>
        <tr r="CD93" s="1"/>
      </tp>
      <tp>
        <v>276</v>
        <stp/>
        <stp>VOLUME</stp>
        <stp>.SPY250516P580</stp>
        <tr r="BD6" s="1"/>
        <tr r="BD6" s="1"/>
      </tp>
      <tp>
        <v>24557</v>
        <stp/>
        <stp>VOLUME</stp>
        <stp>.SPY250516C580</stp>
        <tr r="BC6" s="1"/>
        <tr r="BC6" s="1"/>
      </tp>
      <tp>
        <v>202</v>
        <stp/>
        <stp>VOLUME</stp>
        <stp>.SPY250516P581</stp>
        <tr r="BD5" s="1"/>
        <tr r="BD5" s="1"/>
      </tp>
      <tp>
        <v>3906</v>
        <stp/>
        <stp>VOLUME</stp>
        <stp>.SPY250516C581</stp>
        <tr r="BC5" s="1"/>
        <tr r="BC5" s="1"/>
      </tp>
      <tp>
        <v>105</v>
        <stp/>
        <stp>VOLUME</stp>
        <stp>.SPY250516P582</stp>
        <tr r="BD4" s="1"/>
        <tr r="BD4" s="1"/>
      </tp>
      <tp>
        <v>3487</v>
        <stp/>
        <stp>VOLUME</stp>
        <stp>.SPY250516C582</stp>
        <tr r="BC4" s="1"/>
        <tr r="BC4" s="1"/>
      </tp>
      <tp>
        <v>40</v>
        <stp/>
        <stp>VOLUME</stp>
        <stp>.SPY250509P582</stp>
        <tr r="BB4" s="1"/>
        <tr r="BB4" s="1"/>
      </tp>
      <tp>
        <v>2148</v>
        <stp/>
        <stp>VOLUME</stp>
        <stp>.SPY250509C582</stp>
        <tr r="BA4" s="1"/>
        <tr r="BA4" s="1"/>
      </tp>
      <tp>
        <v>15</v>
        <stp/>
        <stp>VOLUME</stp>
        <stp>.SPY250509P581</stp>
        <tr r="BB5" s="1"/>
        <tr r="BB5" s="1"/>
      </tp>
      <tp>
        <v>4392</v>
        <stp/>
        <stp>VOLUME</stp>
        <stp>.SPY250509C581</stp>
        <tr r="BA5" s="1"/>
        <tr r="BA5" s="1"/>
      </tp>
      <tp>
        <v>127</v>
        <stp/>
        <stp>VOLUME</stp>
        <stp>.SPY250509P580</stp>
        <tr r="BB6" s="1"/>
        <tr r="BB6" s="1"/>
      </tp>
      <tp>
        <v>11783</v>
        <stp/>
        <stp>VOLUME</stp>
        <stp>.SPY250509C580</stp>
        <tr r="BA6" s="1"/>
        <tr r="BA6" s="1"/>
      </tp>
      <tp>
        <v>1</v>
        <stp/>
        <stp>VOLUME</stp>
        <stp>.SPY250530P582</stp>
        <tr r="I5" s="2"/>
        <tr r="I5" s="2"/>
      </tp>
      <tp>
        <v>283</v>
        <stp/>
        <stp>VOLUME</stp>
        <stp>.SPY250530C582</stp>
        <tr r="I5" s="2"/>
        <tr r="I5" s="2"/>
      </tp>
      <tp>
        <v>141</v>
        <stp/>
        <stp>VOLUME</stp>
        <stp>.SPY250530P580</stp>
        <tr r="I7" s="2"/>
        <tr r="I7" s="2"/>
      </tp>
      <tp>
        <v>3390</v>
        <stp/>
        <stp>VOLUME</stp>
        <stp>.SPY250530C580</stp>
        <tr r="I7" s="2"/>
        <tr r="I7" s="2"/>
      </tp>
      <tp t="s">
        <v>N/A</v>
        <stp/>
        <stp>VOLUME</stp>
        <stp>.SPY250530P581</stp>
        <tr r="I6" s="2"/>
      </tp>
      <tp>
        <v>655</v>
        <stp/>
        <stp>VOLUME</stp>
        <stp>.SPY250530C581</stp>
        <tr r="I6" s="2"/>
        <tr r="I6" s="2"/>
      </tp>
      <tp>
        <v>3</v>
        <stp/>
        <stp>VOLUME</stp>
        <stp>.SPY250523P581</stp>
        <tr r="H6" s="2"/>
        <tr r="H6" s="2"/>
      </tp>
      <tp>
        <v>318</v>
        <stp/>
        <stp>VOLUME</stp>
        <stp>.SPY250523C581</stp>
        <tr r="H6" s="2"/>
        <tr r="H6" s="2"/>
      </tp>
      <tp>
        <v>13</v>
        <stp/>
        <stp>VOLUME</stp>
        <stp>.SPY250523P580</stp>
        <tr r="H7" s="2"/>
        <tr r="H7" s="2"/>
      </tp>
      <tp>
        <v>3120</v>
        <stp/>
        <stp>VOLUME</stp>
        <stp>.SPY250523C580</stp>
        <tr r="H7" s="2"/>
        <tr r="H7" s="2"/>
      </tp>
      <tp t="s">
        <v>N/A</v>
        <stp/>
        <stp>VOLUME</stp>
        <stp>.SPY250523P582</stp>
        <tr r="H5" s="2"/>
      </tp>
      <tp>
        <v>287</v>
        <stp/>
        <stp>VOLUME</stp>
        <stp>.SPY250523C582</stp>
        <tr r="H5" s="2"/>
        <tr r="H5" s="2"/>
      </tp>
      <tp>
        <v>82</v>
        <stp/>
        <stp>VOLUME</stp>
        <stp>.SPY250523P575</stp>
        <tr r="H12" s="2"/>
        <tr r="H12" s="2"/>
      </tp>
      <tp>
        <v>518</v>
        <stp/>
        <stp>VOLUME</stp>
        <stp>.SPY250530P566</stp>
        <tr r="I21" s="2"/>
        <tr r="I21" s="2"/>
      </tp>
      <tp>
        <v>1060</v>
        <stp/>
        <stp>VOLUME</stp>
        <stp>.SPY250523C575</stp>
        <tr r="H12" s="2"/>
        <tr r="H12" s="2"/>
      </tp>
      <tp>
        <v>1088</v>
        <stp/>
        <stp>VOLUME</stp>
        <stp>.SPY250530C566</stp>
        <tr r="I21" s="2"/>
        <tr r="I21" s="2"/>
      </tp>
      <tp>
        <v>2</v>
        <stp/>
        <stp>VOLUME</stp>
        <stp>.SPY250523P574</stp>
        <tr r="H13" s="2"/>
        <tr r="H13" s="2"/>
      </tp>
      <tp>
        <v>756</v>
        <stp/>
        <stp>VOLUME</stp>
        <stp>.SPY250530P567</stp>
        <tr r="I20" s="2"/>
        <tr r="I20" s="2"/>
      </tp>
      <tp>
        <v>115</v>
        <stp/>
        <stp>VOLUME</stp>
        <stp>.SPY250523C574</stp>
        <tr r="H13" s="2"/>
        <tr r="H13" s="2"/>
      </tp>
      <tp>
        <v>1082</v>
        <stp/>
        <stp>VOLUME</stp>
        <stp>.SPY250530C567</stp>
        <tr r="I20" s="2"/>
        <tr r="I20" s="2"/>
      </tp>
      <tp>
        <v>2</v>
        <stp/>
        <stp>VOLUME</stp>
        <stp>.SPY250523P577</stp>
        <tr r="H10" s="2"/>
        <tr r="H10" s="2"/>
      </tp>
      <tp>
        <v>1027</v>
        <stp/>
        <stp>VOLUME</stp>
        <stp>.SPY250530P564</stp>
        <tr r="I23" s="2"/>
        <tr r="I23" s="2"/>
      </tp>
      <tp>
        <v>172</v>
        <stp/>
        <stp>VOLUME</stp>
        <stp>.SPY250523C577</stp>
        <tr r="H10" s="2"/>
        <tr r="H10" s="2"/>
      </tp>
      <tp>
        <v>1159</v>
        <stp/>
        <stp>VOLUME</stp>
        <stp>.SPY250530C564</stp>
        <tr r="I23" s="2"/>
        <tr r="I23" s="2"/>
      </tp>
      <tp>
        <v>15</v>
        <stp/>
        <stp>VOLUME</stp>
        <stp>.SPY250523P576</stp>
        <tr r="H11" s="2"/>
        <tr r="H11" s="2"/>
      </tp>
      <tp>
        <v>1746</v>
        <stp/>
        <stp>VOLUME</stp>
        <stp>.SPY250530P565</stp>
        <tr r="I22" s="2"/>
        <tr r="I22" s="2"/>
      </tp>
      <tp>
        <v>416</v>
        <stp/>
        <stp>VOLUME</stp>
        <stp>.SPY250523C576</stp>
        <tr r="H11" s="2"/>
        <tr r="H11" s="2"/>
      </tp>
      <tp>
        <v>3973</v>
        <stp/>
        <stp>VOLUME</stp>
        <stp>.SPY250530C565</stp>
        <tr r="I22" s="2"/>
        <tr r="I22" s="2"/>
      </tp>
      <tp>
        <v>6</v>
        <stp/>
        <stp>VOLUME</stp>
        <stp>.SPY250523P571</stp>
        <tr r="H16" s="2"/>
        <tr r="H16" s="2"/>
      </tp>
      <tp>
        <v>138</v>
        <stp/>
        <stp>VOLUME</stp>
        <stp>.SPY250530P562</stp>
        <tr r="I25" s="2"/>
        <tr r="I25" s="2"/>
      </tp>
      <tp>
        <v>1568</v>
        <stp/>
        <stp>VOLUME</stp>
        <stp>.SPY250523C571</stp>
        <tr r="H16" s="2"/>
        <tr r="H16" s="2"/>
      </tp>
      <tp>
        <v>655</v>
        <stp/>
        <stp>VOLUME</stp>
        <stp>.SPY250530C562</stp>
        <tr r="I25" s="2"/>
        <tr r="I25" s="2"/>
      </tp>
      <tp>
        <v>670</v>
        <stp/>
        <stp>VOLUME</stp>
        <stp>.SPY250523P570</stp>
        <tr r="H17" s="2"/>
        <tr r="H17" s="2"/>
      </tp>
      <tp>
        <v>697</v>
        <stp/>
        <stp>VOLUME</stp>
        <stp>.SPY250530P563</stp>
        <tr r="I24" s="2"/>
        <tr r="I24" s="2"/>
      </tp>
      <tp>
        <v>1910</v>
        <stp/>
        <stp>VOLUME</stp>
        <stp>.SPY250523C570</stp>
        <tr r="H17" s="2"/>
        <tr r="H17" s="2"/>
      </tp>
      <tp>
        <v>775</v>
        <stp/>
        <stp>VOLUME</stp>
        <stp>.SPY250530C563</stp>
        <tr r="I24" s="2"/>
        <tr r="I24" s="2"/>
      </tp>
      <tp>
        <v>74152</v>
        <stp/>
        <stp>VOLUME</stp>
        <stp>.SPY250509P559</stp>
        <tr r="BB27" s="1"/>
        <tr r="BB27" s="1"/>
      </tp>
      <tp>
        <v>15</v>
        <stp/>
        <stp>VOLUME</stp>
        <stp>.SPY250523P573</stp>
        <tr r="H14" s="2"/>
        <tr r="H14" s="2"/>
      </tp>
      <tp>
        <v>1425</v>
        <stp/>
        <stp>VOLUME</stp>
        <stp>.SPY250530P560</stp>
        <tr r="I27" s="2"/>
        <tr r="I27" s="2"/>
      </tp>
      <tp>
        <v>3494</v>
        <stp/>
        <stp>VOLUME</stp>
        <stp>.SPY250509C559</stp>
        <tr r="BA27" s="1"/>
        <tr r="BA27" s="1"/>
      </tp>
      <tp>
        <v>167</v>
        <stp/>
        <stp>VOLUME</stp>
        <stp>.SPY250523C573</stp>
        <tr r="H14" s="2"/>
        <tr r="H14" s="2"/>
      </tp>
      <tp>
        <v>605</v>
        <stp/>
        <stp>VOLUME</stp>
        <stp>.SPY250530C560</stp>
        <tr r="I27" s="2"/>
        <tr r="I27" s="2"/>
      </tp>
      <tp>
        <v>46685</v>
        <stp/>
        <stp>VOLUME</stp>
        <stp>.SPY250509P558</stp>
        <tr r="BB28" s="1"/>
        <tr r="BB28" s="1"/>
      </tp>
      <tp>
        <v>38</v>
        <stp/>
        <stp>VOLUME</stp>
        <stp>.SPY250523P572</stp>
        <tr r="H15" s="2"/>
        <tr r="H15" s="2"/>
      </tp>
      <tp>
        <v>918</v>
        <stp/>
        <stp>VOLUME</stp>
        <stp>.SPY250530P561</stp>
        <tr r="I26" s="2"/>
        <tr r="I26" s="2"/>
      </tp>
      <tp>
        <v>1075</v>
        <stp/>
        <stp>VOLUME</stp>
        <stp>.SPY250509C558</stp>
        <tr r="BA28" s="1"/>
        <tr r="BA28" s="1"/>
      </tp>
      <tp>
        <v>320</v>
        <stp/>
        <stp>VOLUME</stp>
        <stp>.SPY250523C572</stp>
        <tr r="H15" s="2"/>
        <tr r="H15" s="2"/>
      </tp>
      <tp>
        <v>293</v>
        <stp/>
        <stp>VOLUME</stp>
        <stp>.SPY250530C561</stp>
        <tr r="I26" s="2"/>
        <tr r="I26" s="2"/>
      </tp>
      <tp>
        <v>35181</v>
        <stp/>
        <stp>VOLUME</stp>
        <stp>.SPY250509P557</stp>
        <tr r="BB29" s="1"/>
        <tr r="BB29" s="1"/>
      </tp>
      <tp>
        <v>3395</v>
        <stp/>
        <stp>VOLUME</stp>
        <stp>.SPY250516P548</stp>
        <tr r="BD38" s="1"/>
        <tr r="BD38" s="1"/>
      </tp>
      <tp>
        <v>731</v>
        <stp/>
        <stp>VOLUME</stp>
        <stp>.SPY250509C557</stp>
        <tr r="BA29" s="1"/>
        <tr r="BA29" s="1"/>
      </tp>
      <tp>
        <v>102</v>
        <stp/>
        <stp>VOLUME</stp>
        <stp>.SPY250516C548</stp>
        <tr r="BC38" s="1"/>
        <tr r="BC38" s="1"/>
      </tp>
      <tp>
        <v>34853</v>
        <stp/>
        <stp>VOLUME</stp>
        <stp>.SPY250509P556</stp>
        <tr r="BB30" s="1"/>
        <tr r="BB30" s="1"/>
      </tp>
      <tp>
        <v>2265</v>
        <stp/>
        <stp>VOLUME</stp>
        <stp>.SPY250516P549</stp>
        <tr r="BD37" s="1"/>
        <tr r="BD37" s="1"/>
      </tp>
      <tp>
        <v>628</v>
        <stp/>
        <stp>VOLUME</stp>
        <stp>.SPY250509C556</stp>
        <tr r="BA30" s="1"/>
        <tr r="BA30" s="1"/>
      </tp>
      <tp>
        <v>57</v>
        <stp/>
        <stp>VOLUME</stp>
        <stp>.SPY250516C549</stp>
        <tr r="BC37" s="1"/>
        <tr r="BC37" s="1"/>
      </tp>
      <tp>
        <v>50982</v>
        <stp/>
        <stp>VOLUME</stp>
        <stp>.SPY250509P555</stp>
        <tr r="BB31" s="1"/>
        <tr r="BB31" s="1"/>
      </tp>
      <tp>
        <v>1732</v>
        <stp/>
        <stp>VOLUME</stp>
        <stp>.SPY250509C555</stp>
        <tr r="BA31" s="1"/>
        <tr r="BA31" s="1"/>
      </tp>
      <tp>
        <v>21468</v>
        <stp/>
        <stp>VOLUME</stp>
        <stp>.SPY250509P554</stp>
        <tr r="BB32" s="1"/>
        <tr r="BB32" s="1"/>
      </tp>
      <tp>
        <v>853</v>
        <stp/>
        <stp>VOLUME</stp>
        <stp>.SPY250509C554</stp>
        <tr r="BA32" s="1"/>
        <tr r="BA32" s="1"/>
      </tp>
      <tp>
        <v>15411</v>
        <stp/>
        <stp>VOLUME</stp>
        <stp>.SPY250509P553</stp>
        <tr r="BB33" s="1"/>
        <tr r="BB33" s="1"/>
      </tp>
      <tp>
        <v>4</v>
        <stp/>
        <stp>VOLUME</stp>
        <stp>.SPY250523P579</stp>
        <tr r="H8" s="2"/>
        <tr r="H8" s="2"/>
      </tp>
      <tp>
        <v>228</v>
        <stp/>
        <stp>VOLUME</stp>
        <stp>.SPY250509C553</stp>
        <tr r="BA33" s="1"/>
        <tr r="BA33" s="1"/>
      </tp>
      <tp>
        <v>130</v>
        <stp/>
        <stp>VOLUME</stp>
        <stp>.SPY250523C579</stp>
        <tr r="H8" s="2"/>
        <tr r="H8" s="2"/>
      </tp>
      <tp>
        <v>14323</v>
        <stp/>
        <stp>VOLUME</stp>
        <stp>.SPY250509P552</stp>
        <tr r="BB34" s="1"/>
        <tr r="BB34" s="1"/>
      </tp>
      <tp>
        <v>1</v>
        <stp/>
        <stp>VOLUME</stp>
        <stp>.SPY250523P578</stp>
        <tr r="H9" s="2"/>
        <tr r="H9" s="2"/>
      </tp>
      <tp>
        <v>232</v>
        <stp/>
        <stp>VOLUME</stp>
        <stp>.SPY250509C552</stp>
        <tr r="BA34" s="1"/>
        <tr r="BA34" s="1"/>
      </tp>
      <tp>
        <v>228</v>
        <stp/>
        <stp>VOLUME</stp>
        <stp>.SPY250523C578</stp>
        <tr r="H9" s="2"/>
        <tr r="H9" s="2"/>
      </tp>
      <tp>
        <v>8178</v>
        <stp/>
        <stp>VOLUME</stp>
        <stp>.SPY250509P551</stp>
        <tr r="BB35" s="1"/>
        <tr r="BB35" s="1"/>
      </tp>
      <tp>
        <v>167</v>
        <stp/>
        <stp>VOLUME</stp>
        <stp>.SPY250530P568</stp>
        <tr r="I19" s="2"/>
        <tr r="I19" s="2"/>
      </tp>
      <tp>
        <v>210</v>
        <stp/>
        <stp>VOLUME</stp>
        <stp>.SPY250509C551</stp>
        <tr r="BA35" s="1"/>
        <tr r="BA35" s="1"/>
      </tp>
      <tp>
        <v>1090</v>
        <stp/>
        <stp>VOLUME</stp>
        <stp>.SPY250530C568</stp>
        <tr r="I19" s="2"/>
        <tr r="I19" s="2"/>
      </tp>
      <tp>
        <v>19768</v>
        <stp/>
        <stp>VOLUME</stp>
        <stp>.SPY250509P550</stp>
        <tr r="BB36" s="1"/>
        <tr r="BB36" s="1"/>
      </tp>
      <tp>
        <v>265</v>
        <stp/>
        <stp>VOLUME</stp>
        <stp>.SPY250530P569</stp>
        <tr r="I18" s="2"/>
        <tr r="I18" s="2"/>
      </tp>
      <tp>
        <v>821</v>
        <stp/>
        <stp>VOLUME</stp>
        <stp>.SPY250509C550</stp>
        <tr r="BA36" s="1"/>
        <tr r="BA36" s="1"/>
      </tp>
      <tp>
        <v>608</v>
        <stp/>
        <stp>VOLUME</stp>
        <stp>.SPY250530C569</stp>
        <tr r="I18" s="2"/>
        <tr r="I18" s="2"/>
      </tp>
      <tp>
        <v>58889</v>
        <stp/>
        <stp>VOLUME</stp>
        <stp>.SPY250516P550</stp>
        <tr r="BD36" s="1"/>
        <tr r="BD36" s="1"/>
      </tp>
      <tp>
        <v>1103</v>
        <stp/>
        <stp>VOLUME</stp>
        <stp>.SPY250523P565</stp>
        <tr r="H22" s="2"/>
        <tr r="H22" s="2"/>
      </tp>
      <tp>
        <v>6</v>
        <stp/>
        <stp>VOLUME</stp>
        <stp>.SPY250530P576</stp>
        <tr r="I11" s="2"/>
        <tr r="I11" s="2"/>
      </tp>
      <tp>
        <v>754</v>
        <stp/>
        <stp>VOLUME</stp>
        <stp>.SPY250516C550</stp>
        <tr r="BC36" s="1"/>
        <tr r="BC36" s="1"/>
      </tp>
      <tp>
        <v>1993</v>
        <stp/>
        <stp>VOLUME</stp>
        <stp>.SPY250523C565</stp>
        <tr r="H22" s="2"/>
        <tr r="H22" s="2"/>
      </tp>
      <tp>
        <v>348</v>
        <stp/>
        <stp>VOLUME</stp>
        <stp>.SPY250530C576</stp>
        <tr r="I11" s="2"/>
        <tr r="I11" s="2"/>
      </tp>
      <tp>
        <v>2487</v>
        <stp/>
        <stp>VOLUME</stp>
        <stp>.SPY250516P551</stp>
        <tr r="BD35" s="1"/>
        <tr r="BD35" s="1"/>
      </tp>
      <tp>
        <v>1180</v>
        <stp/>
        <stp>VOLUME</stp>
        <stp>.SPY250523P564</stp>
        <tr r="H23" s="2"/>
        <tr r="H23" s="2"/>
      </tp>
      <tp t="s">
        <v>N/A</v>
        <stp/>
        <stp>VOLUME</stp>
        <stp>.SPY250530P577</stp>
        <tr r="I10" s="2"/>
      </tp>
      <tp>
        <v>35</v>
        <stp/>
        <stp>VOLUME</stp>
        <stp>.SPY250516C551</stp>
        <tr r="BC35" s="1"/>
        <tr r="BC35" s="1"/>
      </tp>
      <tp>
        <v>1284</v>
        <stp/>
        <stp>VOLUME</stp>
        <stp>.SPY250523C564</stp>
        <tr r="H23" s="2"/>
        <tr r="H23" s="2"/>
      </tp>
      <tp>
        <v>282</v>
        <stp/>
        <stp>VOLUME</stp>
        <stp>.SPY250530C577</stp>
        <tr r="I10" s="2"/>
        <tr r="I10" s="2"/>
      </tp>
      <tp>
        <v>3328</v>
        <stp/>
        <stp>VOLUME</stp>
        <stp>.SPY250516P552</stp>
        <tr r="BD34" s="1"/>
        <tr r="BD34" s="1"/>
      </tp>
      <tp>
        <v>271</v>
        <stp/>
        <stp>VOLUME</stp>
        <stp>.SPY250523P567</stp>
        <tr r="H20" s="2"/>
        <tr r="H20" s="2"/>
      </tp>
      <tp>
        <v>158</v>
        <stp/>
        <stp>VOLUME</stp>
        <stp>.SPY250530P574</stp>
        <tr r="I13" s="2"/>
        <tr r="I13" s="2"/>
      </tp>
      <tp>
        <v>122</v>
        <stp/>
        <stp>VOLUME</stp>
        <stp>.SPY250516C552</stp>
        <tr r="BC34" s="1"/>
        <tr r="BC34" s="1"/>
      </tp>
      <tp>
        <v>851</v>
        <stp/>
        <stp>VOLUME</stp>
        <stp>.SPY250523C567</stp>
        <tr r="H20" s="2"/>
        <tr r="H20" s="2"/>
      </tp>
      <tp>
        <v>532</v>
        <stp/>
        <stp>VOLUME</stp>
        <stp>.SPY250530C574</stp>
        <tr r="I13" s="2"/>
        <tr r="I13" s="2"/>
      </tp>
      <tp>
        <v>1283</v>
        <stp/>
        <stp>VOLUME</stp>
        <stp>.SPY250516P553</stp>
        <tr r="BD33" s="1"/>
        <tr r="BD33" s="1"/>
      </tp>
      <tp>
        <v>559</v>
        <stp/>
        <stp>VOLUME</stp>
        <stp>.SPY250523P566</stp>
        <tr r="H21" s="2"/>
        <tr r="H21" s="2"/>
      </tp>
      <tp>
        <v>62</v>
        <stp/>
        <stp>VOLUME</stp>
        <stp>.SPY250530P575</stp>
        <tr r="I12" s="2"/>
        <tr r="I12" s="2"/>
      </tp>
      <tp>
        <v>235</v>
        <stp/>
        <stp>VOLUME</stp>
        <stp>.SPY250516C553</stp>
        <tr r="BC33" s="1"/>
        <tr r="BC33" s="1"/>
      </tp>
      <tp>
        <v>1035</v>
        <stp/>
        <stp>VOLUME</stp>
        <stp>.SPY250523C566</stp>
        <tr r="H21" s="2"/>
        <tr r="H21" s="2"/>
      </tp>
      <tp>
        <v>2459</v>
        <stp/>
        <stp>VOLUME</stp>
        <stp>.SPY250530C575</stp>
        <tr r="I12" s="2"/>
        <tr r="I12" s="2"/>
      </tp>
      <tp>
        <v>2238</v>
        <stp/>
        <stp>VOLUME</stp>
        <stp>.SPY250516P554</stp>
        <tr r="BD32" s="1"/>
        <tr r="BD32" s="1"/>
      </tp>
      <tp>
        <v>1034</v>
        <stp/>
        <stp>VOLUME</stp>
        <stp>.SPY250523P561</stp>
        <tr r="H26" s="2"/>
        <tr r="H26" s="2"/>
      </tp>
      <tp>
        <v>11</v>
        <stp/>
        <stp>VOLUME</stp>
        <stp>.SPY250530P572</stp>
        <tr r="I15" s="2"/>
        <tr r="I15" s="2"/>
      </tp>
      <tp>
        <v>130</v>
        <stp/>
        <stp>VOLUME</stp>
        <stp>.SPY250516C554</stp>
        <tr r="BC32" s="1"/>
        <tr r="BC32" s="1"/>
      </tp>
      <tp>
        <v>32</v>
        <stp/>
        <stp>VOLUME</stp>
        <stp>.SPY250523C561</stp>
        <tr r="H26" s="2"/>
        <tr r="H26" s="2"/>
      </tp>
      <tp>
        <v>494</v>
        <stp/>
        <stp>VOLUME</stp>
        <stp>.SPY250530C572</stp>
        <tr r="I15" s="2"/>
        <tr r="I15" s="2"/>
      </tp>
      <tp>
        <v>14321</v>
        <stp/>
        <stp>VOLUME</stp>
        <stp>.SPY250516P555</stp>
        <tr r="BD31" s="1"/>
        <tr r="BD31" s="1"/>
      </tp>
      <tp>
        <v>2135</v>
        <stp/>
        <stp>VOLUME</stp>
        <stp>.SPY250523P560</stp>
        <tr r="H27" s="2"/>
        <tr r="H27" s="2"/>
      </tp>
      <tp>
        <v>27</v>
        <stp/>
        <stp>VOLUME</stp>
        <stp>.SPY250530P573</stp>
        <tr r="I14" s="2"/>
        <tr r="I14" s="2"/>
      </tp>
      <tp>
        <v>703</v>
        <stp/>
        <stp>VOLUME</stp>
        <stp>.SPY250516C555</stp>
        <tr r="BC31" s="1"/>
        <tr r="BC31" s="1"/>
      </tp>
      <tp>
        <v>706</v>
        <stp/>
        <stp>VOLUME</stp>
        <stp>.SPY250523C560</stp>
        <tr r="H27" s="2"/>
        <tr r="H27" s="2"/>
      </tp>
      <tp>
        <v>888</v>
        <stp/>
        <stp>VOLUME</stp>
        <stp>.SPY250530C573</stp>
        <tr r="I14" s="2"/>
        <tr r="I14" s="2"/>
      </tp>
      <tp>
        <v>8425</v>
        <stp/>
        <stp>VOLUME</stp>
        <stp>.SPY250509P549</stp>
        <tr r="BB37" s="1"/>
        <tr r="BB37" s="1"/>
      </tp>
      <tp>
        <v>1634</v>
        <stp/>
        <stp>VOLUME</stp>
        <stp>.SPY250516P556</stp>
        <tr r="BD30" s="1"/>
        <tr r="BD30" s="1"/>
      </tp>
      <tp>
        <v>181</v>
        <stp/>
        <stp>VOLUME</stp>
        <stp>.SPY250523P563</stp>
        <tr r="H24" s="2"/>
        <tr r="H24" s="2"/>
      </tp>
      <tp>
        <v>966</v>
        <stp/>
        <stp>VOLUME</stp>
        <stp>.SPY250530P570</stp>
        <tr r="I17" s="2"/>
        <tr r="I17" s="2"/>
      </tp>
      <tp>
        <v>74</v>
        <stp/>
        <stp>VOLUME</stp>
        <stp>.SPY250509C549</stp>
        <tr r="BA37" s="1"/>
        <tr r="BA37" s="1"/>
      </tp>
      <tp>
        <v>110</v>
        <stp/>
        <stp>VOLUME</stp>
        <stp>.SPY250516C556</stp>
        <tr r="BC30" s="1"/>
        <tr r="BC30" s="1"/>
      </tp>
      <tp>
        <v>553</v>
        <stp/>
        <stp>VOLUME</stp>
        <stp>.SPY250523C563</stp>
        <tr r="H24" s="2"/>
        <tr r="H24" s="2"/>
      </tp>
      <tp>
        <v>2800</v>
        <stp/>
        <stp>VOLUME</stp>
        <stp>.SPY250530C570</stp>
        <tr r="I17" s="2"/>
        <tr r="I17" s="2"/>
      </tp>
      <tp>
        <v>3992</v>
        <stp/>
        <stp>VOLUME</stp>
        <stp>.SPY250509P548</stp>
        <tr r="BB38" s="1"/>
        <tr r="BB38" s="1"/>
      </tp>
      <tp>
        <v>1552</v>
        <stp/>
        <stp>VOLUME</stp>
        <stp>.SPY250516P557</stp>
        <tr r="BD29" s="1"/>
        <tr r="BD29" s="1"/>
      </tp>
      <tp>
        <v>506</v>
        <stp/>
        <stp>VOLUME</stp>
        <stp>.SPY250523P562</stp>
        <tr r="H25" s="2"/>
        <tr r="H25" s="2"/>
      </tp>
      <tp>
        <v>18</v>
        <stp/>
        <stp>VOLUME</stp>
        <stp>.SPY250530P571</stp>
        <tr r="I16" s="2"/>
        <tr r="I16" s="2"/>
      </tp>
      <tp>
        <v>96</v>
        <stp/>
        <stp>VOLUME</stp>
        <stp>.SPY250509C548</stp>
        <tr r="BA38" s="1"/>
        <tr r="BA38" s="1"/>
      </tp>
      <tp>
        <v>163</v>
        <stp/>
        <stp>VOLUME</stp>
        <stp>.SPY250516C557</stp>
        <tr r="BC29" s="1"/>
        <tr r="BC29" s="1"/>
      </tp>
      <tp>
        <v>114</v>
        <stp/>
        <stp>VOLUME</stp>
        <stp>.SPY250523C562</stp>
        <tr r="H25" s="2"/>
        <tr r="H25" s="2"/>
      </tp>
      <tp>
        <v>210</v>
        <stp/>
        <stp>VOLUME</stp>
        <stp>.SPY250530C571</stp>
        <tr r="I16" s="2"/>
        <tr r="I16" s="2"/>
      </tp>
      <tp>
        <v>2033</v>
        <stp/>
        <stp>VOLUME</stp>
        <stp>.SPY250516P558</stp>
        <tr r="BD28" s="1"/>
        <tr r="BD28" s="1"/>
      </tp>
      <tp>
        <v>295</v>
        <stp/>
        <stp>VOLUME</stp>
        <stp>.SPY250516C558</stp>
        <tr r="BC28" s="1"/>
        <tr r="BC28" s="1"/>
      </tp>
      <tp>
        <v>2605</v>
        <stp/>
        <stp>VOLUME</stp>
        <stp>.SPY250516P559</stp>
        <tr r="BD27" s="1"/>
        <tr r="BD27" s="1"/>
      </tp>
      <tp>
        <v>294</v>
        <stp/>
        <stp>VOLUME</stp>
        <stp>.SPY250516C559</stp>
        <tr r="BC27" s="1"/>
        <tr r="BC27" s="1"/>
      </tp>
      <tp>
        <v>151</v>
        <stp/>
        <stp>VOLUME</stp>
        <stp>.SPY250523P569</stp>
        <tr r="H18" s="2"/>
        <tr r="H18" s="2"/>
      </tp>
      <tp>
        <v>174</v>
        <stp/>
        <stp>VOLUME</stp>
        <stp>.SPY250523C569</stp>
        <tr r="H18" s="2"/>
        <tr r="H18" s="2"/>
      </tp>
      <tp>
        <v>391</v>
        <stp/>
        <stp>VOLUME</stp>
        <stp>.SPY250523P568</stp>
        <tr r="H19" s="2"/>
        <tr r="H19" s="2"/>
      </tp>
      <tp>
        <v>694</v>
        <stp/>
        <stp>VOLUME</stp>
        <stp>.SPY250523C568</stp>
        <tr r="H19" s="2"/>
        <tr r="H19" s="2"/>
      </tp>
      <tp>
        <v>5</v>
        <stp/>
        <stp>VOLUME</stp>
        <stp>.SPY250530P578</stp>
        <tr r="I9" s="2"/>
        <tr r="I9" s="2"/>
      </tp>
      <tp>
        <v>569</v>
        <stp/>
        <stp>VOLUME</stp>
        <stp>.SPY250530C578</stp>
        <tr r="I9" s="2"/>
        <tr r="I9" s="2"/>
      </tp>
      <tp>
        <v>12</v>
        <stp/>
        <stp>VOLUME</stp>
        <stp>.SPY250530P579</stp>
        <tr r="I8" s="2"/>
        <tr r="I8" s="2"/>
      </tp>
      <tp>
        <v>294</v>
        <stp/>
        <stp>VOLUME</stp>
        <stp>.SPY250530C579</stp>
        <tr r="I8" s="2"/>
        <tr r="I8" s="2"/>
      </tp>
      <tp>
        <v>20932</v>
        <stp/>
        <stp>VOLUME</stp>
        <stp>.SPY250516P560</stp>
        <tr r="BD26" s="1"/>
        <tr r="BD26" s="1"/>
      </tp>
      <tp>
        <v>6595</v>
        <stp/>
        <stp>VOLUME</stp>
        <stp>.SPY250523P555</stp>
        <tr r="H32" s="2"/>
        <tr r="H32" s="2"/>
      </tp>
      <tp>
        <v>3596</v>
        <stp/>
        <stp>VOLUME</stp>
        <stp>.SPY250516C560</stp>
        <tr r="BC26" s="1"/>
        <tr r="BC26" s="1"/>
      </tp>
      <tp>
        <v>151</v>
        <stp/>
        <stp>VOLUME</stp>
        <stp>.SPY250523C555</stp>
        <tr r="H32" s="2"/>
        <tr r="H32" s="2"/>
      </tp>
      <tp>
        <v>1807</v>
        <stp/>
        <stp>VOLUME</stp>
        <stp>.SPY250516P561</stp>
        <tr r="BD25" s="1"/>
        <tr r="BD25" s="1"/>
      </tp>
      <tp>
        <v>180</v>
        <stp/>
        <stp>VOLUME</stp>
        <stp>.SPY250523P554</stp>
        <tr r="H33" s="2"/>
        <tr r="H33" s="2"/>
      </tp>
      <tp>
        <v>396</v>
        <stp/>
        <stp>VOLUME</stp>
        <stp>.SPY250516C561</stp>
        <tr r="BC25" s="1"/>
        <tr r="BC25" s="1"/>
      </tp>
      <tp>
        <v>1</v>
        <stp/>
        <stp>VOLUME</stp>
        <stp>.SPY250523C554</stp>
        <tr r="H33" s="2"/>
        <tr r="H33" s="2"/>
      </tp>
      <tp>
        <v>3759</v>
        <stp/>
        <stp>VOLUME</stp>
        <stp>.SPY250516P562</stp>
        <tr r="BD24" s="1"/>
        <tr r="BD24" s="1"/>
      </tp>
      <tp>
        <v>151</v>
        <stp/>
        <stp>VOLUME</stp>
        <stp>.SPY250523P557</stp>
        <tr r="H30" s="2"/>
        <tr r="H30" s="2"/>
      </tp>
      <tp>
        <v>1085</v>
        <stp/>
        <stp>VOLUME</stp>
        <stp>.SPY250516C562</stp>
        <tr r="BC24" s="1"/>
        <tr r="BC24" s="1"/>
      </tp>
      <tp>
        <v>19</v>
        <stp/>
        <stp>VOLUME</stp>
        <stp>.SPY250523C557</stp>
        <tr r="H30" s="2"/>
        <tr r="H30" s="2"/>
      </tp>
      <tp>
        <v>4365</v>
        <stp/>
        <stp>VOLUME</stp>
        <stp>.SPY250516P563</stp>
        <tr r="BD23" s="1"/>
        <tr r="BD23" s="1"/>
      </tp>
      <tp>
        <v>279</v>
        <stp/>
        <stp>VOLUME</stp>
        <stp>.SPY250523P556</stp>
        <tr r="H31" s="2"/>
        <tr r="H31" s="2"/>
      </tp>
      <tp>
        <v>3176</v>
        <stp/>
        <stp>VOLUME</stp>
        <stp>.SPY250516C563</stp>
        <tr r="BC23" s="1"/>
        <tr r="BC23" s="1"/>
      </tp>
      <tp>
        <v>22</v>
        <stp/>
        <stp>VOLUME</stp>
        <stp>.SPY250523C556</stp>
        <tr r="H31" s="2"/>
        <tr r="H31" s="2"/>
      </tp>
      <tp>
        <v>7077</v>
        <stp/>
        <stp>VOLUME</stp>
        <stp>.SPY250516P564</stp>
        <tr r="BD22" s="1"/>
        <tr r="BD22" s="1"/>
      </tp>
      <tp>
        <v>110</v>
        <stp/>
        <stp>VOLUME</stp>
        <stp>.SPY250523P551</stp>
        <tr r="H36" s="2"/>
        <tr r="H36" s="2"/>
      </tp>
      <tp>
        <v>7537</v>
        <stp/>
        <stp>VOLUME</stp>
        <stp>.SPY250516C564</stp>
        <tr r="BC22" s="1"/>
        <tr r="BC22" s="1"/>
      </tp>
      <tp>
        <v>10</v>
        <stp/>
        <stp>VOLUME</stp>
        <stp>.SPY250523C551</stp>
        <tr r="H36" s="2"/>
        <tr r="H36" s="2"/>
      </tp>
      <tp>
        <v>27590</v>
        <stp/>
        <stp>VOLUME</stp>
        <stp>.SPY250516P565</stp>
        <tr r="BD21" s="1"/>
        <tr r="BD21" s="1"/>
      </tp>
      <tp>
        <v>3003</v>
        <stp/>
        <stp>VOLUME</stp>
        <stp>.SPY250523P550</stp>
        <tr r="H37" s="2"/>
        <tr r="H37" s="2"/>
      </tp>
      <tp>
        <v>28175</v>
        <stp/>
        <stp>VOLUME</stp>
        <stp>.SPY250516C565</stp>
        <tr r="BC21" s="1"/>
        <tr r="BC21" s="1"/>
      </tp>
      <tp>
        <v>103</v>
        <stp/>
        <stp>VOLUME</stp>
        <stp>.SPY250523C550</stp>
        <tr r="H37" s="2"/>
        <tr r="H37" s="2"/>
      </tp>
      <tp>
        <v>54</v>
        <stp/>
        <stp>VOLUME</stp>
        <stp>.SPY250509P579</stp>
        <tr r="BB7" s="1"/>
        <tr r="BB7" s="1"/>
      </tp>
      <tp>
        <v>3679</v>
        <stp/>
        <stp>VOLUME</stp>
        <stp>.SPY250516P566</stp>
        <tr r="BD20" s="1"/>
        <tr r="BD20" s="1"/>
      </tp>
      <tp>
        <v>139</v>
        <stp/>
        <stp>VOLUME</stp>
        <stp>.SPY250523P553</stp>
        <tr r="H34" s="2"/>
        <tr r="H34" s="2"/>
      </tp>
      <tp>
        <v>7161</v>
        <stp/>
        <stp>VOLUME</stp>
        <stp>.SPY250509C579</stp>
        <tr r="BA7" s="1"/>
        <tr r="BA7" s="1"/>
      </tp>
      <tp>
        <v>7469</v>
        <stp/>
        <stp>VOLUME</stp>
        <stp>.SPY250516C566</stp>
        <tr r="BC20" s="1"/>
        <tr r="BC20" s="1"/>
      </tp>
      <tp>
        <v>13</v>
        <stp/>
        <stp>VOLUME</stp>
        <stp>.SPY250523C553</stp>
        <tr r="H34" s="2"/>
        <tr r="H34" s="2"/>
      </tp>
      <tp>
        <v>37</v>
        <stp/>
        <stp>VOLUME</stp>
        <stp>.SPY250509P578</stp>
        <tr r="BB8" s="1"/>
        <tr r="BB8" s="1"/>
      </tp>
      <tp>
        <v>3740</v>
        <stp/>
        <stp>VOLUME</stp>
        <stp>.SPY250516P567</stp>
        <tr r="BD19" s="1"/>
        <tr r="BD19" s="1"/>
      </tp>
      <tp>
        <v>259</v>
        <stp/>
        <stp>VOLUME</stp>
        <stp>.SPY250523P552</stp>
        <tr r="H35" s="2"/>
        <tr r="H35" s="2"/>
      </tp>
      <tp>
        <v>6252</v>
        <stp/>
        <stp>VOLUME</stp>
        <stp>.SPY250509C578</stp>
        <tr r="BA8" s="1"/>
        <tr r="BA8" s="1"/>
      </tp>
      <tp>
        <v>13645</v>
        <stp/>
        <stp>VOLUME</stp>
        <stp>.SPY250516C567</stp>
        <tr r="BC19" s="1"/>
        <tr r="BC19" s="1"/>
      </tp>
      <tp>
        <v>15</v>
        <stp/>
        <stp>VOLUME</stp>
        <stp>.SPY250523C552</stp>
        <tr r="H35" s="2"/>
        <tr r="H35" s="2"/>
      </tp>
      <tp>
        <v>111</v>
        <stp/>
        <stp>VOLUME</stp>
        <stp>.SPY250509P577</stp>
        <tr r="BB9" s="1"/>
        <tr r="BB9" s="1"/>
      </tp>
      <tp>
        <v>1593</v>
        <stp/>
        <stp>VOLUME</stp>
        <stp>.SPY250516P568</stp>
        <tr r="BD18" s="1"/>
        <tr r="BD18" s="1"/>
      </tp>
      <tp>
        <v>13773</v>
        <stp/>
        <stp>VOLUME</stp>
        <stp>.SPY250509C577</stp>
        <tr r="BA9" s="1"/>
        <tr r="BA9" s="1"/>
      </tp>
      <tp>
        <v>7129</v>
        <stp/>
        <stp>VOLUME</stp>
        <stp>.SPY250516C568</stp>
        <tr r="BC18" s="1"/>
        <tr r="BC18" s="1"/>
      </tp>
      <tp>
        <v>570</v>
        <stp/>
        <stp>VOLUME</stp>
        <stp>.SPY250509P576</stp>
        <tr r="BB10" s="1"/>
        <tr r="BB10" s="1"/>
      </tp>
      <tp>
        <v>1079</v>
        <stp/>
        <stp>VOLUME</stp>
        <stp>.SPY250516P569</stp>
        <tr r="BD17" s="1"/>
        <tr r="BD17" s="1"/>
      </tp>
      <tp>
        <v>17723</v>
        <stp/>
        <stp>VOLUME</stp>
        <stp>.SPY250509C576</stp>
        <tr r="BA10" s="1"/>
        <tr r="BA10" s="1"/>
      </tp>
      <tp>
        <v>4892</v>
        <stp/>
        <stp>VOLUME</stp>
        <stp>.SPY250516C569</stp>
        <tr r="BC17" s="1"/>
        <tr r="BC17" s="1"/>
      </tp>
      <tp>
        <v>1768</v>
        <stp/>
        <stp>VOLUME</stp>
        <stp>.SPY250509P575</stp>
        <tr r="BB11" s="1"/>
        <tr r="BB11" s="1"/>
      </tp>
      <tp>
        <v>43555</v>
        <stp/>
        <stp>VOLUME</stp>
        <stp>.SPY250509C575</stp>
        <tr r="BA11" s="1"/>
        <tr r="BA11" s="1"/>
      </tp>
      <tp>
        <v>402</v>
        <stp/>
        <stp>VOLUME</stp>
        <stp>.SPY250509P574</stp>
        <tr r="BB12" s="1"/>
        <tr r="BB12" s="1"/>
      </tp>
      <tp>
        <v>27683</v>
        <stp/>
        <stp>VOLUME</stp>
        <stp>.SPY250509C574</stp>
        <tr r="BA12" s="1"/>
        <tr r="BA12" s="1"/>
      </tp>
      <tp>
        <v>1067</v>
        <stp/>
        <stp>VOLUME</stp>
        <stp>.SPY250509P573</stp>
        <tr r="BB13" s="1"/>
        <tr r="BB13" s="1"/>
      </tp>
      <tp>
        <v>229</v>
        <stp/>
        <stp>VOLUME</stp>
        <stp>.SPY250523P559</stp>
        <tr r="H28" s="2"/>
        <tr r="H28" s="2"/>
      </tp>
      <tp>
        <v>36747</v>
        <stp/>
        <stp>VOLUME</stp>
        <stp>.SPY250509C573</stp>
        <tr r="BA13" s="1"/>
        <tr r="BA13" s="1"/>
      </tp>
      <tp>
        <v>35</v>
        <stp/>
        <stp>VOLUME</stp>
        <stp>.SPY250523C559</stp>
        <tr r="H28" s="2"/>
        <tr r="H28" s="2"/>
      </tp>
      <tp>
        <v>1733</v>
        <stp/>
        <stp>VOLUME</stp>
        <stp>.SPY250509P572</stp>
        <tr r="BB14" s="1"/>
        <tr r="BB14" s="1"/>
      </tp>
      <tp>
        <v>460</v>
        <stp/>
        <stp>VOLUME</stp>
        <stp>.SPY250523P558</stp>
        <tr r="H29" s="2"/>
        <tr r="H29" s="2"/>
      </tp>
      <tp>
        <v>73412</v>
        <stp/>
        <stp>VOLUME</stp>
        <stp>.SPY250509C572</stp>
        <tr r="BA14" s="1"/>
        <tr r="BA14" s="1"/>
      </tp>
      <tp>
        <v>69</v>
        <stp/>
        <stp>VOLUME</stp>
        <stp>.SPY250523C558</stp>
        <tr r="H29" s="2"/>
        <tr r="H29" s="2"/>
      </tp>
      <tp>
        <v>1727</v>
        <stp/>
        <stp>VOLUME</stp>
        <stp>.SPY250509P571</stp>
        <tr r="BB15" s="1"/>
        <tr r="BB15" s="1"/>
      </tp>
      <tp>
        <v>108</v>
        <stp/>
        <stp>VOLUME</stp>
        <stp>.SPY250530P548</stp>
        <tr r="I39" s="2"/>
        <tr r="I39" s="2"/>
      </tp>
      <tp>
        <v>81781</v>
        <stp/>
        <stp>VOLUME</stp>
        <stp>.SPY250509C571</stp>
        <tr r="BA15" s="1"/>
        <tr r="BA15" s="1"/>
      </tp>
      <tp>
        <v>69</v>
        <stp/>
        <stp>VOLUME</stp>
        <stp>.SPY250530C548</stp>
        <tr r="I39" s="2"/>
        <tr r="I39" s="2"/>
      </tp>
      <tp>
        <v>10311</v>
        <stp/>
        <stp>VOLUME</stp>
        <stp>.SPY250509P570</stp>
        <tr r="BB16" s="1"/>
        <tr r="BB16" s="1"/>
      </tp>
      <tp>
        <v>88</v>
        <stp/>
        <stp>VOLUME</stp>
        <stp>.SPY250530P549</stp>
        <tr r="I38" s="2"/>
        <tr r="I38" s="2"/>
      </tp>
      <tp>
        <v>230171</v>
        <stp/>
        <stp>VOLUME</stp>
        <stp>.SPY250509C570</stp>
        <tr r="BA16" s="1"/>
        <tr r="BA16" s="1"/>
      </tp>
      <tp>
        <v>22</v>
        <stp/>
        <stp>VOLUME</stp>
        <stp>.SPY250530C549</stp>
        <tr r="I38" s="2"/>
        <tr r="I38" s="2"/>
      </tp>
      <tp>
        <v>1942</v>
        <stp/>
        <stp>VOLUME</stp>
        <stp>.SPY250516P570</stp>
        <tr r="BD16" s="1"/>
        <tr r="BD16" s="1"/>
      </tp>
      <tp>
        <v>2002</v>
        <stp/>
        <stp>VOLUME</stp>
        <stp>.SPY250530P556</stp>
        <tr r="I31" s="2"/>
        <tr r="I31" s="2"/>
      </tp>
      <tp>
        <v>28207</v>
        <stp/>
        <stp>VOLUME</stp>
        <stp>.SPY250516C570</stp>
        <tr r="BC16" s="1"/>
        <tr r="BC16" s="1"/>
      </tp>
      <tp>
        <v>31</v>
        <stp/>
        <stp>VOLUME</stp>
        <stp>.SPY250530C556</stp>
        <tr r="I31" s="2"/>
        <tr r="I31" s="2"/>
      </tp>
      <tp>
        <v>17</v>
        <stp/>
        <stp>VOLUME</stp>
        <stp>.SPY250516P571</stp>
        <tr r="BD15" s="1"/>
        <tr r="BD15" s="1"/>
      </tp>
      <tp>
        <v>429</v>
        <stp/>
        <stp>VOLUME</stp>
        <stp>.SPY250530P557</stp>
        <tr r="I30" s="2"/>
        <tr r="I30" s="2"/>
      </tp>
      <tp>
        <v>3571</v>
        <stp/>
        <stp>VOLUME</stp>
        <stp>.SPY250516C571</stp>
        <tr r="BC15" s="1"/>
        <tr r="BC15" s="1"/>
      </tp>
      <tp>
        <v>94</v>
        <stp/>
        <stp>VOLUME</stp>
        <stp>.SPY250530C557</stp>
        <tr r="I30" s="2"/>
        <tr r="I30" s="2"/>
      </tp>
      <tp>
        <v>67</v>
        <stp/>
        <stp>VOLUME</stp>
        <stp>.SPY250516P572</stp>
        <tr r="BD14" s="1"/>
        <tr r="BD14" s="1"/>
      </tp>
      <tp>
        <v>453</v>
        <stp/>
        <stp>VOLUME</stp>
        <stp>.SPY250530P554</stp>
        <tr r="I33" s="2"/>
        <tr r="I33" s="2"/>
      </tp>
      <tp>
        <v>2726</v>
        <stp/>
        <stp>VOLUME</stp>
        <stp>.SPY250516C572</stp>
        <tr r="BC14" s="1"/>
        <tr r="BC14" s="1"/>
      </tp>
      <tp>
        <v>8</v>
        <stp/>
        <stp>VOLUME</stp>
        <stp>.SPY250530C554</stp>
        <tr r="I33" s="2"/>
        <tr r="I33" s="2"/>
      </tp>
      <tp>
        <v>44</v>
        <stp/>
        <stp>VOLUME</stp>
        <stp>.SPY250516P573</stp>
        <tr r="BD13" s="1"/>
        <tr r="BD13" s="1"/>
      </tp>
      <tp>
        <v>2092</v>
        <stp/>
        <stp>VOLUME</stp>
        <stp>.SPY250530P555</stp>
        <tr r="I32" s="2"/>
        <tr r="I32" s="2"/>
      </tp>
      <tp>
        <v>2031</v>
        <stp/>
        <stp>VOLUME</stp>
        <stp>.SPY250516C573</stp>
        <tr r="BC13" s="1"/>
        <tr r="BC13" s="1"/>
      </tp>
      <tp>
        <v>151</v>
        <stp/>
        <stp>VOLUME</stp>
        <stp>.SPY250530C555</stp>
        <tr r="I32" s="2"/>
        <tr r="I32" s="2"/>
      </tp>
      <tp>
        <v>15</v>
        <stp/>
        <stp>VOLUME</stp>
        <stp>.SPY250516P574</stp>
        <tr r="BD12" s="1"/>
        <tr r="BD12" s="1"/>
      </tp>
      <tp>
        <v>153</v>
        <stp/>
        <stp>VOLUME</stp>
        <stp>.SPY250530P552</stp>
        <tr r="I35" s="2"/>
        <tr r="I35" s="2"/>
      </tp>
      <tp>
        <v>1697</v>
        <stp/>
        <stp>VOLUME</stp>
        <stp>.SPY250516C574</stp>
        <tr r="BC12" s="1"/>
        <tr r="BC12" s="1"/>
      </tp>
      <tp>
        <v>159</v>
        <stp/>
        <stp>VOLUME</stp>
        <stp>.SPY250530C552</stp>
        <tr r="I35" s="2"/>
        <tr r="I35" s="2"/>
      </tp>
      <tp>
        <v>471</v>
        <stp/>
        <stp>VOLUME</stp>
        <stp>.SPY250516P575</stp>
        <tr r="BD11" s="1"/>
        <tr r="BD11" s="1"/>
      </tp>
      <tp>
        <v>352</v>
        <stp/>
        <stp>VOLUME</stp>
        <stp>.SPY250530P553</stp>
        <tr r="I34" s="2"/>
        <tr r="I34" s="2"/>
      </tp>
      <tp>
        <v>20039</v>
        <stp/>
        <stp>VOLUME</stp>
        <stp>.SPY250516C575</stp>
        <tr r="BC11" s="1"/>
        <tr r="BC11" s="1"/>
      </tp>
      <tp>
        <v>61</v>
        <stp/>
        <stp>VOLUME</stp>
        <stp>.SPY250530C553</stp>
        <tr r="I34" s="2"/>
        <tr r="I34" s="2"/>
      </tp>
      <tp>
        <v>6738</v>
        <stp/>
        <stp>VOLUME</stp>
        <stp>.SPY250509P569</stp>
        <tr r="BB17" s="1"/>
        <tr r="BB17" s="1"/>
      </tp>
      <tp>
        <v>18</v>
        <stp/>
        <stp>VOLUME</stp>
        <stp>.SPY250516P576</stp>
        <tr r="BD10" s="1"/>
        <tr r="BD10" s="1"/>
      </tp>
      <tp>
        <v>3722</v>
        <stp/>
        <stp>VOLUME</stp>
        <stp>.SPY250530P550</stp>
        <tr r="I37" s="2"/>
        <tr r="I37" s="2"/>
      </tp>
      <tp>
        <v>178857</v>
        <stp/>
        <stp>VOLUME</stp>
        <stp>.SPY250509C569</stp>
        <tr r="BA17" s="1"/>
        <tr r="BA17" s="1"/>
      </tp>
      <tp>
        <v>3648</v>
        <stp/>
        <stp>VOLUME</stp>
        <stp>.SPY250516C576</stp>
        <tr r="BC10" s="1"/>
        <tr r="BC10" s="1"/>
      </tp>
      <tp>
        <v>185</v>
        <stp/>
        <stp>VOLUME</stp>
        <stp>.SPY250530C550</stp>
        <tr r="I37" s="2"/>
        <tr r="I37" s="2"/>
      </tp>
      <tp>
        <v>18389</v>
        <stp/>
        <stp>VOLUME</stp>
        <stp>.SPY250509P568</stp>
        <tr r="BB18" s="1"/>
        <tr r="BB18" s="1"/>
      </tp>
      <tp>
        <v>34</v>
        <stp/>
        <stp>VOLUME</stp>
        <stp>.SPY250516P577</stp>
        <tr r="BD9" s="1"/>
        <tr r="BD9" s="1"/>
      </tp>
      <tp>
        <v>127</v>
        <stp/>
        <stp>VOLUME</stp>
        <stp>.SPY250530P551</stp>
        <tr r="I36" s="2"/>
        <tr r="I36" s="2"/>
      </tp>
      <tp>
        <v>217360</v>
        <stp/>
        <stp>VOLUME</stp>
        <stp>.SPY250509C568</stp>
        <tr r="BA18" s="1"/>
        <tr r="BA18" s="1"/>
      </tp>
      <tp>
        <v>2466</v>
        <stp/>
        <stp>VOLUME</stp>
        <stp>.SPY250516C577</stp>
        <tr r="BC9" s="1"/>
        <tr r="BC9" s="1"/>
      </tp>
      <tp>
        <v>47</v>
        <stp/>
        <stp>VOLUME</stp>
        <stp>.SPY250530C551</stp>
        <tr r="I36" s="2"/>
        <tr r="I36" s="2"/>
      </tp>
      <tp>
        <v>72903</v>
        <stp/>
        <stp>VOLUME</stp>
        <stp>.SPY250509P567</stp>
        <tr r="BB19" s="1"/>
        <tr r="BB19" s="1"/>
      </tp>
      <tp>
        <v>29</v>
        <stp/>
        <stp>VOLUME</stp>
        <stp>.SPY250516P578</stp>
        <tr r="BD8" s="1"/>
        <tr r="BD8" s="1"/>
      </tp>
      <tp>
        <v>397613</v>
        <stp/>
        <stp>VOLUME</stp>
        <stp>.SPY250509C567</stp>
        <tr r="BA19" s="1"/>
        <tr r="BA19" s="1"/>
      </tp>
      <tp>
        <v>4148</v>
        <stp/>
        <stp>VOLUME</stp>
        <stp>.SPY250516C578</stp>
        <tr r="BC8" s="1"/>
        <tr r="BC8" s="1"/>
      </tp>
      <tp>
        <v>172752</v>
        <stp/>
        <stp>VOLUME</stp>
        <stp>.SPY250509P566</stp>
        <tr r="BB20" s="1"/>
        <tr r="BB20" s="1"/>
      </tp>
      <tp>
        <v>25</v>
        <stp/>
        <stp>VOLUME</stp>
        <stp>.SPY250516P579</stp>
        <tr r="BD7" s="1"/>
        <tr r="BD7" s="1"/>
      </tp>
      <tp>
        <v>387340</v>
        <stp/>
        <stp>VOLUME</stp>
        <stp>.SPY250509C566</stp>
        <tr r="BA20" s="1"/>
        <tr r="BA20" s="1"/>
      </tp>
      <tp>
        <v>2367</v>
        <stp/>
        <stp>VOLUME</stp>
        <stp>.SPY250516C579</stp>
        <tr r="BC7" s="1"/>
        <tr r="BC7" s="1"/>
      </tp>
      <tp>
        <v>347771</v>
        <stp/>
        <stp>VOLUME</stp>
        <stp>.SPY250509P565</stp>
        <tr r="BB21" s="1"/>
        <tr r="BB21" s="1"/>
      </tp>
      <tp>
        <v>491754</v>
        <stp/>
        <stp>VOLUME</stp>
        <stp>.SPY250509C565</stp>
        <tr r="BA21" s="1"/>
        <tr r="BA21" s="1"/>
      </tp>
      <tp>
        <v>423574</v>
        <stp/>
        <stp>VOLUME</stp>
        <stp>.SPY250509P564</stp>
        <tr r="BB22" s="1"/>
        <tr r="BB22" s="1"/>
      </tp>
      <tp>
        <v>311920</v>
        <stp/>
        <stp>VOLUME</stp>
        <stp>.SPY250509C564</stp>
        <tr r="BA22" s="1"/>
        <tr r="BA22" s="1"/>
      </tp>
      <tp>
        <v>329830</v>
        <stp/>
        <stp>VOLUME</stp>
        <stp>.SPY250509P563</stp>
        <tr r="BB23" s="1"/>
        <tr r="BB23" s="1"/>
      </tp>
      <tp>
        <v>229</v>
        <stp/>
        <stp>VOLUME</stp>
        <stp>.SPY250523P549</stp>
        <tr r="H38" s="2"/>
        <tr r="H38" s="2"/>
      </tp>
      <tp>
        <v>71490</v>
        <stp/>
        <stp>VOLUME</stp>
        <stp>.SPY250509C563</stp>
        <tr r="BA23" s="1"/>
        <tr r="BA23" s="1"/>
      </tp>
      <tp>
        <v>3</v>
        <stp/>
        <stp>VOLUME</stp>
        <stp>.SPY250523C549</stp>
        <tr r="H38" s="2"/>
        <tr r="H38" s="2"/>
      </tp>
      <tp>
        <v>151651</v>
        <stp/>
        <stp>VOLUME</stp>
        <stp>.SPY250509P562</stp>
        <tr r="BB24" s="1"/>
        <tr r="BB24" s="1"/>
      </tp>
      <tp>
        <v>171</v>
        <stp/>
        <stp>VOLUME</stp>
        <stp>.SPY250523P548</stp>
        <tr r="H39" s="2"/>
        <tr r="H39" s="2"/>
      </tp>
      <tp>
        <v>18571</v>
        <stp/>
        <stp>VOLUME</stp>
        <stp>.SPY250509C562</stp>
        <tr r="BA24" s="1"/>
        <tr r="BA24" s="1"/>
      </tp>
      <tp>
        <v>24</v>
        <stp/>
        <stp>VOLUME</stp>
        <stp>.SPY250523C548</stp>
        <tr r="H39" s="2"/>
        <tr r="H39" s="2"/>
      </tp>
      <tp>
        <v>127811</v>
        <stp/>
        <stp>VOLUME</stp>
        <stp>.SPY250509P561</stp>
        <tr r="BB25" s="1"/>
        <tr r="BB25" s="1"/>
      </tp>
      <tp>
        <v>329</v>
        <stp/>
        <stp>VOLUME</stp>
        <stp>.SPY250530P558</stp>
        <tr r="I29" s="2"/>
        <tr r="I29" s="2"/>
      </tp>
      <tp>
        <v>7937</v>
        <stp/>
        <stp>VOLUME</stp>
        <stp>.SPY250509C561</stp>
        <tr r="BA25" s="1"/>
        <tr r="BA25" s="1"/>
      </tp>
      <tp>
        <v>8</v>
        <stp/>
        <stp>VOLUME</stp>
        <stp>.SPY250530C558</stp>
        <tr r="I29" s="2"/>
        <tr r="I29" s="2"/>
      </tp>
      <tp>
        <v>240660</v>
        <stp/>
        <stp>VOLUME</stp>
        <stp>.SPY250509P560</stp>
        <tr r="BB26" s="1"/>
        <tr r="BB26" s="1"/>
      </tp>
      <tp>
        <v>249</v>
        <stp/>
        <stp>VOLUME</stp>
        <stp>.SPY250530P559</stp>
        <tr r="I28" s="2"/>
        <tr r="I28" s="2"/>
      </tp>
      <tp>
        <v>11376</v>
        <stp/>
        <stp>VOLUME</stp>
        <stp>.SPY250509C560</stp>
        <tr r="BA26" s="1"/>
        <tr r="BA26" s="1"/>
      </tp>
      <tp>
        <v>111</v>
        <stp/>
        <stp>VOLUME</stp>
        <stp>.SPY250530C559</stp>
        <tr r="I28" s="2"/>
        <tr r="I28" s="2"/>
      </tp>
      <tp>
        <v>0</v>
        <stp/>
        <stp>DELTA</stp>
        <stp>.SPXW250509P5420</stp>
        <tr r="CE130" s="1"/>
        <tr r="CE130" s="1"/>
      </tp>
      <tp>
        <v>0.98</v>
        <stp/>
        <stp>DELTA</stp>
        <stp>.SPXW250509C5420</stp>
        <tr r="CD130" s="1"/>
        <tr r="CD130" s="1"/>
      </tp>
      <tp>
        <v>0</v>
        <stp/>
        <stp>DELTA</stp>
        <stp>.SPXW250509P5430</stp>
        <tr r="CE129" s="1"/>
        <tr r="CE129" s="1"/>
      </tp>
      <tp>
        <v>0.98</v>
        <stp/>
        <stp>DELTA</stp>
        <stp>.SPXW250509C5430</stp>
        <tr r="CD129" s="1"/>
        <tr r="CD129" s="1"/>
      </tp>
      <tp>
        <v>0</v>
        <stp/>
        <stp>DELTA</stp>
        <stp>.SPXW250509P5460</stp>
        <tr r="CE126" s="1"/>
        <tr r="CE126" s="1"/>
      </tp>
      <tp>
        <v>1</v>
        <stp/>
        <stp>DELTA</stp>
        <stp>.SPXW250509C5460</stp>
        <tr r="CD126" s="1"/>
        <tr r="CD126" s="1"/>
      </tp>
      <tp>
        <v>0</v>
        <stp/>
        <stp>DELTA</stp>
        <stp>.SPXW250509P5470</stp>
        <tr r="CE125" s="1"/>
        <tr r="CE125" s="1"/>
      </tp>
      <tp>
        <v>1</v>
        <stp/>
        <stp>DELTA</stp>
        <stp>.SPXW250509C5470</stp>
        <tr r="CD125" s="1"/>
        <tr r="CD125" s="1"/>
      </tp>
      <tp>
        <v>0</v>
        <stp/>
        <stp>DELTA</stp>
        <stp>.SPXW250509P5440</stp>
        <tr r="CE128" s="1"/>
        <tr r="CE128" s="1"/>
      </tp>
      <tp>
        <v>0.98</v>
        <stp/>
        <stp>DELTA</stp>
        <stp>.SPXW250509C5440</stp>
        <tr r="CD128" s="1"/>
        <tr r="CD128" s="1"/>
      </tp>
      <tp>
        <v>0</v>
        <stp/>
        <stp>DELTA</stp>
        <stp>.SPXW250509P5450</stp>
        <tr r="CE127" s="1"/>
        <tr r="CE127" s="1"/>
      </tp>
      <tp>
        <v>1</v>
        <stp/>
        <stp>DELTA</stp>
        <stp>.SPXW250509C5450</stp>
        <tr r="CD127" s="1"/>
        <tr r="CD127" s="1"/>
      </tp>
      <tp>
        <v>0</v>
        <stp/>
        <stp>DELTA</stp>
        <stp>.SPXW250509P5480</stp>
        <tr r="CE124" s="1"/>
        <tr r="CE124" s="1"/>
      </tp>
      <tp>
        <v>1</v>
        <stp/>
        <stp>DELTA</stp>
        <stp>.SPXW250509C5480</stp>
        <tr r="CD124" s="1"/>
        <tr r="CD124" s="1"/>
      </tp>
      <tp>
        <v>0</v>
        <stp/>
        <stp>DELTA</stp>
        <stp>.SPXW250509P5490</stp>
        <tr r="CE123" s="1"/>
        <tr r="CE123" s="1"/>
      </tp>
      <tp>
        <v>1</v>
        <stp/>
        <stp>DELTA</stp>
        <stp>.SPXW250509C5490</stp>
        <tr r="CD123" s="1"/>
        <tr r="CD123" s="1"/>
      </tp>
      <tp>
        <v>0</v>
        <stp/>
        <stp>DELTA</stp>
        <stp>.SPXW250509P5520</stp>
        <tr r="CE120" s="1"/>
        <tr r="CE120" s="1"/>
      </tp>
      <tp>
        <v>1</v>
        <stp/>
        <stp>DELTA</stp>
        <stp>.SPXW250509C5520</stp>
        <tr r="CD120" s="1"/>
        <tr r="CD120" s="1"/>
      </tp>
      <tp>
        <v>0</v>
        <stp/>
        <stp>DELTA</stp>
        <stp>.SPXW250509P5530</stp>
        <tr r="CE119" s="1"/>
        <tr r="CE119" s="1"/>
      </tp>
      <tp>
        <v>1</v>
        <stp/>
        <stp>DELTA</stp>
        <stp>.SPXW250509C5530</stp>
        <tr r="CD119" s="1"/>
        <tr r="CD119" s="1"/>
      </tp>
      <tp>
        <v>0</v>
        <stp/>
        <stp>DELTA</stp>
        <stp>.SPXW250509P5500</stp>
        <tr r="CE122" s="1"/>
        <tr r="CE122" s="1"/>
      </tp>
      <tp>
        <v>1</v>
        <stp/>
        <stp>DELTA</stp>
        <stp>.SPXW250509C5500</stp>
        <tr r="CD122" s="1"/>
        <tr r="CD122" s="1"/>
      </tp>
      <tp>
        <v>0</v>
        <stp/>
        <stp>DELTA</stp>
        <stp>.SPXW250509P5510</stp>
        <tr r="CE121" s="1"/>
        <tr r="CE121" s="1"/>
      </tp>
      <tp>
        <v>1</v>
        <stp/>
        <stp>DELTA</stp>
        <stp>.SPXW250509C5510</stp>
        <tr r="CD121" s="1"/>
        <tr r="CD121" s="1"/>
      </tp>
      <tp>
        <v>0</v>
        <stp/>
        <stp>DELTA</stp>
        <stp>.SPXW250509P5560</stp>
        <tr r="CE116" s="1"/>
        <tr r="CE116" s="1"/>
      </tp>
      <tp>
        <v>1</v>
        <stp/>
        <stp>DELTA</stp>
        <stp>.SPXW250509C5560</stp>
        <tr r="CD116" s="1"/>
        <tr r="CD116" s="1"/>
      </tp>
      <tp>
        <v>0</v>
        <stp/>
        <stp>DELTA</stp>
        <stp>.SPXW250509P5570</stp>
        <tr r="CE115" s="1"/>
        <tr r="CE115" s="1"/>
      </tp>
      <tp>
        <v>1</v>
        <stp/>
        <stp>DELTA</stp>
        <stp>.SPXW250509C5570</stp>
        <tr r="CD115" s="1"/>
        <tr r="CD115" s="1"/>
      </tp>
      <tp>
        <v>0</v>
        <stp/>
        <stp>DELTA</stp>
        <stp>.SPXW250509P5540</stp>
        <tr r="CE118" s="1"/>
        <tr r="CE118" s="1"/>
      </tp>
      <tp>
        <v>1</v>
        <stp/>
        <stp>DELTA</stp>
        <stp>.SPXW250509C5540</stp>
        <tr r="CD118" s="1"/>
        <tr r="CD118" s="1"/>
      </tp>
      <tp>
        <v>0</v>
        <stp/>
        <stp>DELTA</stp>
        <stp>.SPXW250509P5550</stp>
        <tr r="CE117" s="1"/>
        <tr r="CE117" s="1"/>
      </tp>
      <tp>
        <v>1</v>
        <stp/>
        <stp>DELTA</stp>
        <stp>.SPXW250509C5550</stp>
        <tr r="CD117" s="1"/>
        <tr r="CD117" s="1"/>
      </tp>
      <tp>
        <v>0</v>
        <stp/>
        <stp>DELTA</stp>
        <stp>.SPXW250509P5580</stp>
        <tr r="CE114" s="1"/>
        <tr r="CE114" s="1"/>
      </tp>
      <tp>
        <v>1</v>
        <stp/>
        <stp>DELTA</stp>
        <stp>.SPXW250509C5580</stp>
        <tr r="CD114" s="1"/>
        <tr r="CD114" s="1"/>
      </tp>
      <tp>
        <v>0</v>
        <stp/>
        <stp>DELTA</stp>
        <stp>.SPXW250509P5590</stp>
        <tr r="CE113" s="1"/>
        <tr r="CE113" s="1"/>
      </tp>
      <tp>
        <v>1</v>
        <stp/>
        <stp>DELTA</stp>
        <stp>.SPXW250509C5590</stp>
        <tr r="CD113" s="1"/>
        <tr r="CD113" s="1"/>
      </tp>
      <tp t="s">
        <v>N/A</v>
        <stp/>
        <stp>VOLUME</stp>
        <stp>.SPY251219P582</stp>
        <tr r="W5" s="2"/>
      </tp>
      <tp t="s">
        <v>N/A</v>
        <stp/>
        <stp>VOLUME</stp>
        <stp>.SPY251219C582</stp>
        <tr r="W5" s="2"/>
      </tp>
      <tp t="s">
        <v>N/A</v>
        <stp/>
        <stp>VOLUME</stp>
        <stp>.SPY251219P581</stp>
        <tr r="W6" s="2"/>
      </tp>
      <tp t="s">
        <v>N/A</v>
        <stp/>
        <stp>VOLUME</stp>
        <stp>.SPY251219C581</stp>
        <tr r="W6" s="2"/>
      </tp>
      <tp>
        <v>11</v>
        <stp/>
        <stp>VOLUME</stp>
        <stp>.SPY251219P580</stp>
        <tr r="W7" s="2"/>
        <tr r="W7" s="2"/>
      </tp>
      <tp>
        <v>235</v>
        <stp/>
        <stp>VOLUME</stp>
        <stp>.SPY251219C580</stp>
        <tr r="W7" s="2"/>
        <tr r="W7" s="2"/>
      </tp>
      <tp t="s">
        <v>N/A</v>
        <stp/>
        <stp>VOLUME</stp>
        <stp>.SPY251231P582</stp>
        <tr r="X5" s="2"/>
      </tp>
      <tp t="s">
        <v>N/A</v>
        <stp/>
        <stp>VOLUME</stp>
        <stp>.SPY251231C582</stp>
        <tr r="X5" s="2"/>
      </tp>
      <tp t="s">
        <v>N/A</v>
        <stp/>
        <stp>VOLUME</stp>
        <stp>.SPY251231P581</stp>
        <tr r="X6" s="2"/>
      </tp>
      <tp>
        <v>2</v>
        <stp/>
        <stp>VOLUME</stp>
        <stp>.SPY251231C581</stp>
        <tr r="X6" s="2"/>
        <tr r="X6" s="2"/>
      </tp>
      <tp>
        <v>143</v>
        <stp/>
        <stp>VOLUME</stp>
        <stp>.SPY251231P580</stp>
        <tr r="X7" s="2"/>
        <tr r="X7" s="2"/>
      </tp>
      <tp>
        <v>18</v>
        <stp/>
        <stp>VOLUME</stp>
        <stp>.SPY251231C580</stp>
        <tr r="X7" s="2"/>
        <tr r="X7" s="2"/>
      </tp>
      <tp>
        <v>5</v>
        <stp/>
        <stp>VOLUME</stp>
        <stp>.SPY251231P567</stp>
        <tr r="X20" s="2"/>
        <tr r="X20" s="2"/>
      </tp>
      <tp>
        <v>5</v>
        <stp/>
        <stp>VOLUME</stp>
        <stp>.SPY251231C567</stp>
        <tr r="X20" s="2"/>
        <tr r="X20" s="2"/>
      </tp>
      <tp t="s">
        <v>N/A</v>
        <stp/>
        <stp>VOLUME</stp>
        <stp>.SPY251231P566</stp>
        <tr r="X21" s="2"/>
      </tp>
      <tp>
        <v>18</v>
        <stp/>
        <stp>VOLUME</stp>
        <stp>.SPY251231C566</stp>
        <tr r="X21" s="2"/>
        <tr r="X21" s="2"/>
      </tp>
      <tp>
        <v>27</v>
        <stp/>
        <stp>VOLUME</stp>
        <stp>.SPY251231P565</stp>
        <tr r="X22" s="2"/>
        <tr r="X22" s="2"/>
      </tp>
      <tp>
        <v>83</v>
        <stp/>
        <stp>VOLUME</stp>
        <stp>.SPY251231C565</stp>
        <tr r="X22" s="2"/>
        <tr r="X22" s="2"/>
      </tp>
      <tp>
        <v>80</v>
        <stp/>
        <stp>VOLUME</stp>
        <stp>.SPY251231P564</stp>
        <tr r="X23" s="2"/>
        <tr r="X23" s="2"/>
      </tp>
      <tp>
        <v>47</v>
        <stp/>
        <stp>VOLUME</stp>
        <stp>.SPY251231C564</stp>
        <tr r="X23" s="2"/>
        <tr r="X23" s="2"/>
      </tp>
      <tp>
        <v>152</v>
        <stp/>
        <stp>VOLUME</stp>
        <stp>.SPY251231P563</stp>
        <tr r="X24" s="2"/>
        <tr r="X24" s="2"/>
      </tp>
      <tp>
        <v>1</v>
        <stp/>
        <stp>VOLUME</stp>
        <stp>.SPY251231C563</stp>
        <tr r="X24" s="2"/>
        <tr r="X24" s="2"/>
      </tp>
      <tp>
        <v>387</v>
        <stp/>
        <stp>VOLUME</stp>
        <stp>.SPY251231P562</stp>
        <tr r="X25" s="2"/>
        <tr r="X25" s="2"/>
      </tp>
      <tp t="s">
        <v>N/A</v>
        <stp/>
        <stp>VOLUME</stp>
        <stp>.SPY251231C562</stp>
        <tr r="X25" s="2"/>
      </tp>
      <tp t="s">
        <v>N/A</v>
        <stp/>
        <stp>VOLUME</stp>
        <stp>.SPY251219P549</stp>
        <tr r="W38" s="2"/>
      </tp>
      <tp>
        <v>132</v>
        <stp/>
        <stp>VOLUME</stp>
        <stp>.SPY251231P561</stp>
        <tr r="X26" s="2"/>
        <tr r="X26" s="2"/>
      </tp>
      <tp t="s">
        <v>N/A</v>
        <stp/>
        <stp>VOLUME</stp>
        <stp>.SPY251219C549</stp>
        <tr r="W38" s="2"/>
      </tp>
      <tp t="s">
        <v>N/A</v>
        <stp/>
        <stp>VOLUME</stp>
        <stp>.SPY251231C561</stp>
        <tr r="X26" s="2"/>
      </tp>
      <tp t="s">
        <v>N/A</v>
        <stp/>
        <stp>VOLUME</stp>
        <stp>.SPY251219P548</stp>
        <tr r="W39" s="2"/>
      </tp>
      <tp>
        <v>6</v>
        <stp/>
        <stp>VOLUME</stp>
        <stp>.SPY251231P560</stp>
        <tr r="X27" s="2"/>
        <tr r="X27" s="2"/>
      </tp>
      <tp t="s">
        <v>N/A</v>
        <stp/>
        <stp>VOLUME</stp>
        <stp>.SPY251219C548</stp>
        <tr r="W39" s="2"/>
      </tp>
      <tp>
        <v>3</v>
        <stp/>
        <stp>VOLUME</stp>
        <stp>.SPY251231C560</stp>
        <tr r="X27" s="2"/>
        <tr r="X27" s="2"/>
      </tp>
      <tp>
        <v>1</v>
        <stp/>
        <stp>VOLUME</stp>
        <stp>.SPY251231P569</stp>
        <tr r="X18" s="2"/>
        <tr r="X18" s="2"/>
      </tp>
      <tp t="s">
        <v>N/A</v>
        <stp/>
        <stp>VOLUME</stp>
        <stp>.SPY251231C569</stp>
        <tr r="X18" s="2"/>
      </tp>
      <tp t="s">
        <v>N/A</v>
        <stp/>
        <stp>VOLUME</stp>
        <stp>.SPY251231P568</stp>
        <tr r="X19" s="2"/>
      </tp>
      <tp>
        <v>3</v>
        <stp/>
        <stp>VOLUME</stp>
        <stp>.SPY251231C568</stp>
        <tr r="X19" s="2"/>
        <tr r="X19" s="2"/>
      </tp>
      <tp t="s">
        <v>N/A</v>
        <stp/>
        <stp>VOLUME</stp>
        <stp>.SPY251231P577</stp>
        <tr r="X10" s="2"/>
      </tp>
      <tp t="s">
        <v>N/A</v>
        <stp/>
        <stp>VOLUME</stp>
        <stp>.SPY251231C577</stp>
        <tr r="X10" s="2"/>
      </tp>
      <tp t="s">
        <v>N/A</v>
        <stp/>
        <stp>VOLUME</stp>
        <stp>.SPY251231P576</stp>
        <tr r="X11" s="2"/>
      </tp>
      <tp t="s">
        <v>N/A</v>
        <stp/>
        <stp>VOLUME</stp>
        <stp>.SPY251231C576</stp>
        <tr r="X11" s="2"/>
      </tp>
      <tp>
        <v>85</v>
        <stp/>
        <stp>VOLUME</stp>
        <stp>.SPY251231P575</stp>
        <tr r="X12" s="2"/>
        <tr r="X12" s="2"/>
      </tp>
      <tp>
        <v>5</v>
        <stp/>
        <stp>VOLUME</stp>
        <stp>.SPY251231C575</stp>
        <tr r="X12" s="2"/>
        <tr r="X12" s="2"/>
      </tp>
      <tp t="s">
        <v>N/A</v>
        <stp/>
        <stp>VOLUME</stp>
        <stp>.SPY251231P574</stp>
        <tr r="X13" s="2"/>
      </tp>
      <tp t="s">
        <v>N/A</v>
        <stp/>
        <stp>VOLUME</stp>
        <stp>.SPY251231C574</stp>
        <tr r="X13" s="2"/>
      </tp>
      <tp t="s">
        <v>N/A</v>
        <stp/>
        <stp>VOLUME</stp>
        <stp>.SPY251231P573</stp>
        <tr r="X14" s="2"/>
      </tp>
      <tp t="s">
        <v>N/A</v>
        <stp/>
        <stp>VOLUME</stp>
        <stp>.SPY251231C573</stp>
        <tr r="X14" s="2"/>
      </tp>
      <tp>
        <v>2</v>
        <stp/>
        <stp>VOLUME</stp>
        <stp>.SPY251231P572</stp>
        <tr r="X15" s="2"/>
        <tr r="X15" s="2"/>
      </tp>
      <tp>
        <v>10</v>
        <stp/>
        <stp>VOLUME</stp>
        <stp>.SPY251231C572</stp>
        <tr r="X15" s="2"/>
        <tr r="X15" s="2"/>
      </tp>
      <tp t="s">
        <v>N/A</v>
        <stp/>
        <stp>VOLUME</stp>
        <stp>.SPY251219P559</stp>
        <tr r="W28" s="2"/>
      </tp>
      <tp>
        <v>1</v>
        <stp/>
        <stp>VOLUME</stp>
        <stp>.SPY251231P571</stp>
        <tr r="X16" s="2"/>
        <tr r="X16" s="2"/>
      </tp>
      <tp t="s">
        <v>N/A</v>
        <stp/>
        <stp>VOLUME</stp>
        <stp>.SPY251219C559</stp>
        <tr r="W28" s="2"/>
      </tp>
      <tp>
        <v>20</v>
        <stp/>
        <stp>VOLUME</stp>
        <stp>.SPY251231C571</stp>
        <tr r="X16" s="2"/>
        <tr r="X16" s="2"/>
      </tp>
      <tp t="s">
        <v>N/A</v>
        <stp/>
        <stp>VOLUME</stp>
        <stp>.SPY251219P558</stp>
        <tr r="W29" s="2"/>
      </tp>
      <tp>
        <v>28</v>
        <stp/>
        <stp>VOLUME</stp>
        <stp>.SPY251231P570</stp>
        <tr r="X17" s="2"/>
        <tr r="X17" s="2"/>
      </tp>
      <tp t="s">
        <v>N/A</v>
        <stp/>
        <stp>VOLUME</stp>
        <stp>.SPY251219C558</stp>
        <tr r="W29" s="2"/>
      </tp>
      <tp>
        <v>23</v>
        <stp/>
        <stp>VOLUME</stp>
        <stp>.SPY251231C570</stp>
        <tr r="X17" s="2"/>
        <tr r="X17" s="2"/>
      </tp>
      <tp t="s">
        <v>N/A</v>
        <stp/>
        <stp>VOLUME</stp>
        <stp>.SPY251219P557</stp>
        <tr r="W30" s="2"/>
      </tp>
      <tp t="s">
        <v>N/A</v>
        <stp/>
        <stp>VOLUME</stp>
        <stp>.SPY251219C557</stp>
        <tr r="W30" s="2"/>
      </tp>
      <tp t="s">
        <v>N/A</v>
        <stp/>
        <stp>VOLUME</stp>
        <stp>.SPY251219P556</stp>
        <tr r="W31" s="2"/>
      </tp>
      <tp t="s">
        <v>N/A</v>
        <stp/>
        <stp>VOLUME</stp>
        <stp>.SPY251219C556</stp>
        <tr r="W31" s="2"/>
      </tp>
      <tp>
        <v>65</v>
        <stp/>
        <stp>VOLUME</stp>
        <stp>.SPY251219P555</stp>
        <tr r="W32" s="2"/>
        <tr r="W32" s="2"/>
      </tp>
      <tp>
        <v>3</v>
        <stp/>
        <stp>VOLUME</stp>
        <stp>.SPY251219C555</stp>
        <tr r="W32" s="2"/>
        <tr r="W32" s="2"/>
      </tp>
      <tp t="s">
        <v>N/A</v>
        <stp/>
        <stp>VOLUME</stp>
        <stp>.SPY251219P554</stp>
        <tr r="W33" s="2"/>
      </tp>
      <tp t="s">
        <v>N/A</v>
        <stp/>
        <stp>VOLUME</stp>
        <stp>.SPY251219C554</stp>
        <tr r="W33" s="2"/>
      </tp>
      <tp t="s">
        <v>N/A</v>
        <stp/>
        <stp>VOLUME</stp>
        <stp>.SPY251219P553</stp>
        <tr r="W34" s="2"/>
      </tp>
      <tp t="s">
        <v>N/A</v>
        <stp/>
        <stp>VOLUME</stp>
        <stp>.SPY251219C553</stp>
        <tr r="W34" s="2"/>
      </tp>
      <tp t="s">
        <v>N/A</v>
        <stp/>
        <stp>VOLUME</stp>
        <stp>.SPY251219P552</stp>
        <tr r="W35" s="2"/>
      </tp>
      <tp t="s">
        <v>N/A</v>
        <stp/>
        <stp>VOLUME</stp>
        <stp>.SPY251219C552</stp>
        <tr r="W35" s="2"/>
      </tp>
      <tp t="s">
        <v>N/A</v>
        <stp/>
        <stp>VOLUME</stp>
        <stp>.SPY251219P551</stp>
        <tr r="W36" s="2"/>
      </tp>
      <tp t="s">
        <v>N/A</v>
        <stp/>
        <stp>VOLUME</stp>
        <stp>.SPY251231P579</stp>
        <tr r="X8" s="2"/>
      </tp>
      <tp t="s">
        <v>N/A</v>
        <stp/>
        <stp>VOLUME</stp>
        <stp>.SPY251219C551</stp>
        <tr r="W36" s="2"/>
      </tp>
      <tp t="s">
        <v>N/A</v>
        <stp/>
        <stp>VOLUME</stp>
        <stp>.SPY251231C579</stp>
        <tr r="X8" s="2"/>
      </tp>
      <tp>
        <v>620</v>
        <stp/>
        <stp>VOLUME</stp>
        <stp>.SPY251219P550</stp>
        <tr r="W37" s="2"/>
        <tr r="W37" s="2"/>
      </tp>
      <tp t="s">
        <v>N/A</v>
        <stp/>
        <stp>VOLUME</stp>
        <stp>.SPY251231P578</stp>
        <tr r="X9" s="2"/>
      </tp>
      <tp>
        <v>45</v>
        <stp/>
        <stp>VOLUME</stp>
        <stp>.SPY251219C550</stp>
        <tr r="W37" s="2"/>
        <tr r="W37" s="2"/>
      </tp>
      <tp t="s">
        <v>N/A</v>
        <stp/>
        <stp>VOLUME</stp>
        <stp>.SPY251231C578</stp>
        <tr r="X9" s="2"/>
      </tp>
      <tp t="s">
        <v>N/A</v>
        <stp/>
        <stp>VOLUME</stp>
        <stp>.SPY251219P569</stp>
        <tr r="W18" s="2"/>
      </tp>
      <tp t="s">
        <v>N/A</v>
        <stp/>
        <stp>VOLUME</stp>
        <stp>.SPY251219C569</stp>
        <tr r="W18" s="2"/>
      </tp>
      <tp t="s">
        <v>N/A</v>
        <stp/>
        <stp>VOLUME</stp>
        <stp>.SPY251219P568</stp>
        <tr r="W19" s="2"/>
      </tp>
      <tp t="s">
        <v>N/A</v>
        <stp/>
        <stp>VOLUME</stp>
        <stp>.SPY251219C568</stp>
        <tr r="W19" s="2"/>
      </tp>
      <tp t="s">
        <v>N/A</v>
        <stp/>
        <stp>VOLUME</stp>
        <stp>.SPY251219P567</stp>
        <tr r="W20" s="2"/>
      </tp>
      <tp t="s">
        <v>N/A</v>
        <stp/>
        <stp>VOLUME</stp>
        <stp>.SPY251219C567</stp>
        <tr r="W20" s="2"/>
      </tp>
      <tp t="s">
        <v>N/A</v>
        <stp/>
        <stp>VOLUME</stp>
        <stp>.SPY251219P566</stp>
        <tr r="W21" s="2"/>
      </tp>
      <tp t="s">
        <v>N/A</v>
        <stp/>
        <stp>VOLUME</stp>
        <stp>.SPY251219C566</stp>
        <tr r="W21" s="2"/>
      </tp>
      <tp>
        <v>18</v>
        <stp/>
        <stp>VOLUME</stp>
        <stp>.SPY251219P565</stp>
        <tr r="W22" s="2"/>
        <tr r="W22" s="2"/>
      </tp>
      <tp>
        <v>10</v>
        <stp/>
        <stp>VOLUME</stp>
        <stp>.SPY251219C565</stp>
        <tr r="W22" s="2"/>
        <tr r="W22" s="2"/>
      </tp>
      <tp t="s">
        <v>N/A</v>
        <stp/>
        <stp>VOLUME</stp>
        <stp>.SPY251219P564</stp>
        <tr r="W23" s="2"/>
      </tp>
      <tp t="s">
        <v>N/A</v>
        <stp/>
        <stp>VOLUME</stp>
        <stp>.SPY251219C564</stp>
        <tr r="W23" s="2"/>
      </tp>
      <tp t="s">
        <v>N/A</v>
        <stp/>
        <stp>VOLUME</stp>
        <stp>.SPY251219P563</stp>
        <tr r="W24" s="2"/>
      </tp>
      <tp t="s">
        <v>N/A</v>
        <stp/>
        <stp>VOLUME</stp>
        <stp>.SPY251219C563</stp>
        <tr r="W24" s="2"/>
      </tp>
      <tp t="s">
        <v>N/A</v>
        <stp/>
        <stp>VOLUME</stp>
        <stp>.SPY251219P562</stp>
        <tr r="W25" s="2"/>
      </tp>
      <tp t="s">
        <v>N/A</v>
        <stp/>
        <stp>VOLUME</stp>
        <stp>.SPY251219C562</stp>
        <tr r="W25" s="2"/>
      </tp>
      <tp t="s">
        <v>N/A</v>
        <stp/>
        <stp>VOLUME</stp>
        <stp>.SPY251219P561</stp>
        <tr r="W26" s="2"/>
      </tp>
      <tp>
        <v>10</v>
        <stp/>
        <stp>VOLUME</stp>
        <stp>.SPY251231P549</stp>
        <tr r="X38" s="2"/>
        <tr r="X38" s="2"/>
      </tp>
      <tp t="s">
        <v>N/A</v>
        <stp/>
        <stp>VOLUME</stp>
        <stp>.SPY251219C561</stp>
        <tr r="W26" s="2"/>
      </tp>
      <tp t="s">
        <v>N/A</v>
        <stp/>
        <stp>VOLUME</stp>
        <stp>.SPY251231C549</stp>
        <tr r="X38" s="2"/>
      </tp>
      <tp>
        <v>132</v>
        <stp/>
        <stp>VOLUME</stp>
        <stp>.SPY251219P560</stp>
        <tr r="W27" s="2"/>
        <tr r="W27" s="2"/>
      </tp>
      <tp t="s">
        <v>N/A</v>
        <stp/>
        <stp>VOLUME</stp>
        <stp>.SPY251231P548</stp>
        <tr r="X39" s="2"/>
      </tp>
      <tp>
        <v>14</v>
        <stp/>
        <stp>VOLUME</stp>
        <stp>.SPY251219C560</stp>
        <tr r="W27" s="2"/>
        <tr r="W27" s="2"/>
      </tp>
      <tp t="s">
        <v>N/A</v>
        <stp/>
        <stp>VOLUME</stp>
        <stp>.SPY251231C548</stp>
        <tr r="X39" s="2"/>
      </tp>
      <tp t="s">
        <v>N/A</v>
        <stp/>
        <stp>VOLUME</stp>
        <stp>.SPY251231P557</stp>
        <tr r="X30" s="2"/>
      </tp>
      <tp t="s">
        <v>N/A</v>
        <stp/>
        <stp>VOLUME</stp>
        <stp>.SPY251231C557</stp>
        <tr r="X30" s="2"/>
      </tp>
      <tp t="s">
        <v>N/A</v>
        <stp/>
        <stp>VOLUME</stp>
        <stp>.SPY251231P556</stp>
        <tr r="X31" s="2"/>
      </tp>
      <tp t="s">
        <v>N/A</v>
        <stp/>
        <stp>VOLUME</stp>
        <stp>.SPY251231C556</stp>
        <tr r="X31" s="2"/>
      </tp>
      <tp>
        <v>10</v>
        <stp/>
        <stp>VOLUME</stp>
        <stp>.SPY251231P555</stp>
        <tr r="X32" s="2"/>
        <tr r="X32" s="2"/>
      </tp>
      <tp>
        <v>2</v>
        <stp/>
        <stp>VOLUME</stp>
        <stp>.SPY251231C555</stp>
        <tr r="X32" s="2"/>
        <tr r="X32" s="2"/>
      </tp>
      <tp>
        <v>1</v>
        <stp/>
        <stp>VOLUME</stp>
        <stp>.SPY251231P554</stp>
        <tr r="X33" s="2"/>
        <tr r="X33" s="2"/>
      </tp>
      <tp t="s">
        <v>N/A</v>
        <stp/>
        <stp>VOLUME</stp>
        <stp>.SPY251231C554</stp>
        <tr r="X33" s="2"/>
      </tp>
      <tp t="s">
        <v>N/A</v>
        <stp/>
        <stp>VOLUME</stp>
        <stp>.SPY251231P553</stp>
        <tr r="X34" s="2"/>
      </tp>
      <tp t="s">
        <v>N/A</v>
        <stp/>
        <stp>VOLUME</stp>
        <stp>.SPY251231C553</stp>
        <tr r="X34" s="2"/>
      </tp>
      <tp>
        <v>5</v>
        <stp/>
        <stp>VOLUME</stp>
        <stp>.SPY251231P552</stp>
        <tr r="X35" s="2"/>
        <tr r="X35" s="2"/>
      </tp>
      <tp t="s">
        <v>N/A</v>
        <stp/>
        <stp>VOLUME</stp>
        <stp>.SPY251231C552</stp>
        <tr r="X35" s="2"/>
      </tp>
      <tp t="s">
        <v>N/A</v>
        <stp/>
        <stp>VOLUME</stp>
        <stp>.SPY251219P579</stp>
        <tr r="W8" s="2"/>
      </tp>
      <tp t="s">
        <v>N/A</v>
        <stp/>
        <stp>VOLUME</stp>
        <stp>.SPY251231P551</stp>
        <tr r="X36" s="2"/>
      </tp>
      <tp t="s">
        <v>N/A</v>
        <stp/>
        <stp>VOLUME</stp>
        <stp>.SPY251219C579</stp>
        <tr r="W8" s="2"/>
      </tp>
      <tp t="s">
        <v>N/A</v>
        <stp/>
        <stp>VOLUME</stp>
        <stp>.SPY251231C551</stp>
        <tr r="X36" s="2"/>
      </tp>
      <tp t="s">
        <v>N/A</v>
        <stp/>
        <stp>VOLUME</stp>
        <stp>.SPY251219P578</stp>
        <tr r="W9" s="2"/>
      </tp>
      <tp>
        <v>75</v>
        <stp/>
        <stp>VOLUME</stp>
        <stp>.SPY251231P550</stp>
        <tr r="X37" s="2"/>
        <tr r="X37" s="2"/>
      </tp>
      <tp t="s">
        <v>N/A</v>
        <stp/>
        <stp>VOLUME</stp>
        <stp>.SPY251219C578</stp>
        <tr r="W9" s="2"/>
      </tp>
      <tp>
        <v>5</v>
        <stp/>
        <stp>VOLUME</stp>
        <stp>.SPY251231C550</stp>
        <tr r="X37" s="2"/>
        <tr r="X37" s="2"/>
      </tp>
      <tp t="s">
        <v>N/A</v>
        <stp/>
        <stp>VOLUME</stp>
        <stp>.SPY251219P577</stp>
        <tr r="W10" s="2"/>
      </tp>
      <tp t="s">
        <v>N/A</v>
        <stp/>
        <stp>VOLUME</stp>
        <stp>.SPY251219C577</stp>
        <tr r="W10" s="2"/>
      </tp>
      <tp t="s">
        <v>N/A</v>
        <stp/>
        <stp>VOLUME</stp>
        <stp>.SPY251219P576</stp>
        <tr r="W11" s="2"/>
      </tp>
      <tp t="s">
        <v>N/A</v>
        <stp/>
        <stp>VOLUME</stp>
        <stp>.SPY251219C576</stp>
        <tr r="W11" s="2"/>
      </tp>
      <tp>
        <v>40</v>
        <stp/>
        <stp>VOLUME</stp>
        <stp>.SPY251219P575</stp>
        <tr r="W12" s="2"/>
        <tr r="W12" s="2"/>
      </tp>
      <tp>
        <v>32</v>
        <stp/>
        <stp>VOLUME</stp>
        <stp>.SPY251219C575</stp>
        <tr r="W12" s="2"/>
        <tr r="W12" s="2"/>
      </tp>
      <tp t="s">
        <v>N/A</v>
        <stp/>
        <stp>VOLUME</stp>
        <stp>.SPY251219P574</stp>
        <tr r="W13" s="2"/>
      </tp>
      <tp t="s">
        <v>N/A</v>
        <stp/>
        <stp>VOLUME</stp>
        <stp>.SPY251219C574</stp>
        <tr r="W13" s="2"/>
      </tp>
      <tp t="s">
        <v>N/A</v>
        <stp/>
        <stp>VOLUME</stp>
        <stp>.SPY251219P573</stp>
        <tr r="W14" s="2"/>
      </tp>
      <tp t="s">
        <v>N/A</v>
        <stp/>
        <stp>VOLUME</stp>
        <stp>.SPY251219C573</stp>
        <tr r="W14" s="2"/>
      </tp>
      <tp t="s">
        <v>N/A</v>
        <stp/>
        <stp>VOLUME</stp>
        <stp>.SPY251219P572</stp>
        <tr r="W15" s="2"/>
      </tp>
      <tp t="s">
        <v>N/A</v>
        <stp/>
        <stp>VOLUME</stp>
        <stp>.SPY251219C572</stp>
        <tr r="W15" s="2"/>
      </tp>
      <tp t="s">
        <v>N/A</v>
        <stp/>
        <stp>VOLUME</stp>
        <stp>.SPY251219P571</stp>
        <tr r="W16" s="2"/>
      </tp>
      <tp t="s">
        <v>N/A</v>
        <stp/>
        <stp>VOLUME</stp>
        <stp>.SPY251231P559</stp>
        <tr r="X28" s="2"/>
      </tp>
      <tp t="s">
        <v>N/A</v>
        <stp/>
        <stp>VOLUME</stp>
        <stp>.SPY251219C571</stp>
        <tr r="W16" s="2"/>
      </tp>
      <tp t="s">
        <v>N/A</v>
        <stp/>
        <stp>VOLUME</stp>
        <stp>.SPY251231C559</stp>
        <tr r="X28" s="2"/>
      </tp>
      <tp>
        <v>473</v>
        <stp/>
        <stp>VOLUME</stp>
        <stp>.SPY251219P570</stp>
        <tr r="W17" s="2"/>
        <tr r="W17" s="2"/>
      </tp>
      <tp t="s">
        <v>N/A</v>
        <stp/>
        <stp>VOLUME</stp>
        <stp>.SPY251231P558</stp>
        <tr r="X29" s="2"/>
      </tp>
      <tp>
        <v>110</v>
        <stp/>
        <stp>VOLUME</stp>
        <stp>.SPY251219C570</stp>
        <tr r="W17" s="2"/>
        <tr r="W17" s="2"/>
      </tp>
      <tp>
        <v>2</v>
        <stp/>
        <stp>VOLUME</stp>
        <stp>.SPY251231C558</stp>
        <tr r="X29" s="2"/>
        <tr r="X29" s="2"/>
      </tp>
      <tp t="s">
        <v>N/A</v>
        <stp/>
        <stp>VOLUME</stp>
        <stp>.QQQ250815P481</stp>
        <tr r="O67" s="2"/>
      </tp>
      <tp t="s">
        <v>N/A</v>
        <stp/>
        <stp>VOLUME</stp>
        <stp>.QQQ250815C481</stp>
        <tr r="O67" s="2"/>
      </tp>
      <tp>
        <v>76</v>
        <stp/>
        <stp>VOLUME</stp>
        <stp>.QQQ250815P480</stp>
        <tr r="O68" s="2"/>
        <tr r="O68" s="2"/>
      </tp>
      <tp>
        <v>19</v>
        <stp/>
        <stp>VOLUME</stp>
        <stp>.QQQ250815C480</stp>
        <tr r="O68" s="2"/>
        <tr r="O68" s="2"/>
      </tp>
      <tp t="s">
        <v>N/A</v>
        <stp/>
        <stp>VOLUME</stp>
        <stp>.QQQ250815P483</stp>
        <tr r="O65" s="2"/>
      </tp>
      <tp t="s">
        <v>N/A</v>
        <stp/>
        <stp>VOLUME</stp>
        <stp>.QQQ250815C483</stp>
        <tr r="O65" s="2"/>
      </tp>
      <tp t="s">
        <v>N/A</v>
        <stp/>
        <stp>VOLUME</stp>
        <stp>.QQQ250815P482</stp>
        <tr r="O66" s="2"/>
      </tp>
      <tp t="s">
        <v>N/A</v>
        <stp/>
        <stp>VOLUME</stp>
        <stp>.QQQ250815C482</stp>
        <tr r="O66" s="2"/>
      </tp>
      <tp>
        <v>101</v>
        <stp/>
        <stp>VOLUME</stp>
        <stp>.QQQ250815P485</stp>
        <tr r="O63" s="2"/>
        <tr r="O63" s="2"/>
      </tp>
      <tp>
        <v>118</v>
        <stp/>
        <stp>VOLUME</stp>
        <stp>.QQQ250815C485</stp>
        <tr r="O63" s="2"/>
        <tr r="O63" s="2"/>
      </tp>
      <tp t="s">
        <v>N/A</v>
        <stp/>
        <stp>VOLUME</stp>
        <stp>.QQQ250815P484</stp>
        <tr r="O64" s="2"/>
      </tp>
      <tp t="s">
        <v>N/A</v>
        <stp/>
        <stp>VOLUME</stp>
        <stp>.QQQ250815C484</stp>
        <tr r="O64" s="2"/>
      </tp>
      <tp t="s">
        <v>N/A</v>
        <stp/>
        <stp>VOLUME</stp>
        <stp>.QQQ250815P487</stp>
        <tr r="O61" s="2"/>
      </tp>
      <tp t="s">
        <v>N/A</v>
        <stp/>
        <stp>VOLUME</stp>
        <stp>.QQQ250815C487</stp>
        <tr r="O61" s="2"/>
      </tp>
      <tp t="s">
        <v>N/A</v>
        <stp/>
        <stp>VOLUME</stp>
        <stp>.QQQ250815P486</stp>
        <tr r="O62" s="2"/>
      </tp>
      <tp t="s">
        <v>N/A</v>
        <stp/>
        <stp>VOLUME</stp>
        <stp>.QQQ250815C486</stp>
        <tr r="O62" s="2"/>
      </tp>
      <tp t="s">
        <v>N/A</v>
        <stp/>
        <stp>VOLUME</stp>
        <stp>.QQQ250815P489</stp>
        <tr r="O59" s="2"/>
      </tp>
      <tp t="s">
        <v>N/A</v>
        <stp/>
        <stp>VOLUME</stp>
        <stp>.QQQ250815C489</stp>
        <tr r="O59" s="2"/>
      </tp>
      <tp t="s">
        <v>N/A</v>
        <stp/>
        <stp>VOLUME</stp>
        <stp>.QQQ250815P488</stp>
        <tr r="O60" s="2"/>
      </tp>
      <tp t="s">
        <v>N/A</v>
        <stp/>
        <stp>VOLUME</stp>
        <stp>.QQQ250815C488</stp>
        <tr r="O60" s="2"/>
      </tp>
      <tp t="s">
        <v>N/A</v>
        <stp/>
        <stp>VOLUME</stp>
        <stp>.QQQ250815P491</stp>
        <tr r="O57" s="2"/>
      </tp>
      <tp t="s">
        <v>N/A</v>
        <stp/>
        <stp>VOLUME</stp>
        <stp>.QQQ250815C491</stp>
        <tr r="O57" s="2"/>
      </tp>
      <tp>
        <v>2243</v>
        <stp/>
        <stp>VOLUME</stp>
        <stp>.QQQ250815P490</stp>
        <tr r="O58" s="2"/>
        <tr r="O58" s="2"/>
      </tp>
      <tp>
        <v>2165</v>
        <stp/>
        <stp>VOLUME</stp>
        <stp>.QQQ250815C490</stp>
        <tr r="O58" s="2"/>
        <tr r="O58" s="2"/>
      </tp>
      <tp t="s">
        <v>N/A</v>
        <stp/>
        <stp>VOLUME</stp>
        <stp>.QQQ250815P493</stp>
        <tr r="O55" s="2"/>
      </tp>
      <tp t="s">
        <v>N/A</v>
        <stp/>
        <stp>VOLUME</stp>
        <stp>.QQQ250815C493</stp>
        <tr r="O55" s="2"/>
      </tp>
      <tp t="s">
        <v>N/A</v>
        <stp/>
        <stp>VOLUME</stp>
        <stp>.QQQ250815P492</stp>
        <tr r="O56" s="2"/>
      </tp>
      <tp t="s">
        <v>N/A</v>
        <stp/>
        <stp>VOLUME</stp>
        <stp>.QQQ250815C492</stp>
        <tr r="O56" s="2"/>
      </tp>
      <tp>
        <v>31</v>
        <stp/>
        <stp>VOLUME</stp>
        <stp>.QQQ250815P495</stp>
        <tr r="O53" s="2"/>
        <tr r="O53" s="2"/>
      </tp>
      <tp>
        <v>84</v>
        <stp/>
        <stp>VOLUME</stp>
        <stp>.QQQ250815C495</stp>
        <tr r="O53" s="2"/>
        <tr r="O53" s="2"/>
      </tp>
      <tp t="s">
        <v>N/A</v>
        <stp/>
        <stp>VOLUME</stp>
        <stp>.QQQ250815P494</stp>
        <tr r="O54" s="2"/>
      </tp>
      <tp t="s">
        <v>N/A</v>
        <stp/>
        <stp>VOLUME</stp>
        <stp>.QQQ250815C494</stp>
        <tr r="O54" s="2"/>
      </tp>
      <tp t="s">
        <v>N/A</v>
        <stp/>
        <stp>VOLUME</stp>
        <stp>.QQQ250815P497</stp>
        <tr r="O51" s="2"/>
      </tp>
      <tp t="s">
        <v>N/A</v>
        <stp/>
        <stp>VOLUME</stp>
        <stp>.QQQ250815C497</stp>
        <tr r="O51" s="2"/>
      </tp>
      <tp t="s">
        <v>N/A</v>
        <stp/>
        <stp>VOLUME</stp>
        <stp>.QQQ250815P496</stp>
        <tr r="O52" s="2"/>
      </tp>
      <tp t="s">
        <v>N/A</v>
        <stp/>
        <stp>VOLUME</stp>
        <stp>.QQQ250815C496</stp>
        <tr r="O52" s="2"/>
      </tp>
      <tp t="s">
        <v>N/A</v>
        <stp/>
        <stp>VOLUME</stp>
        <stp>.QQQ250815P499</stp>
        <tr r="O49" s="2"/>
      </tp>
      <tp t="s">
        <v>N/A</v>
        <stp/>
        <stp>VOLUME</stp>
        <stp>.QQQ250815C499</stp>
        <tr r="O49" s="2"/>
      </tp>
      <tp t="s">
        <v>N/A</v>
        <stp/>
        <stp>VOLUME</stp>
        <stp>.QQQ250815P498</stp>
        <tr r="O50" s="2"/>
      </tp>
      <tp t="s">
        <v>N/A</v>
        <stp/>
        <stp>VOLUME</stp>
        <stp>.QQQ250815C498</stp>
        <tr r="O50" s="2"/>
      </tp>
      <tp t="s">
        <v>N/A</v>
        <stp/>
        <stp>VOLUME</stp>
        <stp>.QQQ250829P499</stp>
        <tr r="P49" s="2"/>
      </tp>
      <tp t="s">
        <v>N/A</v>
        <stp/>
        <stp>VOLUME</stp>
        <stp>.QQQ250829C499</stp>
        <tr r="P49" s="2"/>
      </tp>
      <tp t="s">
        <v>N/A</v>
        <stp/>
        <stp>VOLUME</stp>
        <stp>.QQQ250829P498</stp>
        <tr r="P50" s="2"/>
      </tp>
      <tp t="s">
        <v>N/A</v>
        <stp/>
        <stp>VOLUME</stp>
        <stp>.QQQ250829C498</stp>
        <tr r="P50" s="2"/>
      </tp>
      <tp t="s">
        <v>N/A</v>
        <stp/>
        <stp>VOLUME</stp>
        <stp>.QQQ250829P495</stp>
        <tr r="P53" s="2"/>
      </tp>
      <tp>
        <v>29</v>
        <stp/>
        <stp>VOLUME</stp>
        <stp>.QQQ250829C495</stp>
        <tr r="P53" s="2"/>
        <tr r="P53" s="2"/>
      </tp>
      <tp t="s">
        <v>N/A</v>
        <stp/>
        <stp>VOLUME</stp>
        <stp>.QQQ250829P494</stp>
        <tr r="P54" s="2"/>
      </tp>
      <tp t="s">
        <v>N/A</v>
        <stp/>
        <stp>VOLUME</stp>
        <stp>.QQQ250829C494</stp>
        <tr r="P54" s="2"/>
      </tp>
      <tp t="s">
        <v>N/A</v>
        <stp/>
        <stp>VOLUME</stp>
        <stp>.QQQ250829P497</stp>
        <tr r="P51" s="2"/>
      </tp>
      <tp t="s">
        <v>N/A</v>
        <stp/>
        <stp>VOLUME</stp>
        <stp>.QQQ250829C497</stp>
        <tr r="P51" s="2"/>
      </tp>
      <tp t="s">
        <v>N/A</v>
        <stp/>
        <stp>VOLUME</stp>
        <stp>.QQQ250829P496</stp>
        <tr r="P52" s="2"/>
      </tp>
      <tp t="s">
        <v>N/A</v>
        <stp/>
        <stp>VOLUME</stp>
        <stp>.QQQ250829C496</stp>
        <tr r="P52" s="2"/>
      </tp>
      <tp t="s">
        <v>N/A</v>
        <stp/>
        <stp>VOLUME</stp>
        <stp>.QQQ250829P491</stp>
        <tr r="P57" s="2"/>
      </tp>
      <tp t="s">
        <v>N/A</v>
        <stp/>
        <stp>VOLUME</stp>
        <stp>.QQQ250829C491</stp>
        <tr r="P57" s="2"/>
      </tp>
      <tp>
        <v>77</v>
        <stp/>
        <stp>VOLUME</stp>
        <stp>.QQQ250829P490</stp>
        <tr r="P58" s="2"/>
        <tr r="P58" s="2"/>
      </tp>
      <tp>
        <v>15</v>
        <stp/>
        <stp>VOLUME</stp>
        <stp>.QQQ250829C490</stp>
        <tr r="P58" s="2"/>
        <tr r="P58" s="2"/>
      </tp>
      <tp t="s">
        <v>N/A</v>
        <stp/>
        <stp>VOLUME</stp>
        <stp>.QQQ250829P493</stp>
        <tr r="P55" s="2"/>
      </tp>
      <tp t="s">
        <v>N/A</v>
        <stp/>
        <stp>VOLUME</stp>
        <stp>.QQQ250829C493</stp>
        <tr r="P55" s="2"/>
      </tp>
      <tp t="s">
        <v>N/A</v>
        <stp/>
        <stp>VOLUME</stp>
        <stp>.QQQ250829P492</stp>
        <tr r="P56" s="2"/>
      </tp>
      <tp t="s">
        <v>N/A</v>
        <stp/>
        <stp>VOLUME</stp>
        <stp>.QQQ250829C492</stp>
        <tr r="P56" s="2"/>
      </tp>
      <tp t="s">
        <v>N/A</v>
        <stp/>
        <stp>VOLUME</stp>
        <stp>.QQQ250829P489</stp>
        <tr r="P59" s="2"/>
      </tp>
      <tp t="s">
        <v>N/A</v>
        <stp/>
        <stp>VOLUME</stp>
        <stp>.QQQ250829C489</stp>
        <tr r="P59" s="2"/>
      </tp>
      <tp t="s">
        <v>N/A</v>
        <stp/>
        <stp>VOLUME</stp>
        <stp>.QQQ250829P488</stp>
        <tr r="P60" s="2"/>
      </tp>
      <tp t="s">
        <v>N/A</v>
        <stp/>
        <stp>VOLUME</stp>
        <stp>.SPY251121P582</stp>
        <tr r="U5" s="2"/>
      </tp>
      <tp t="s">
        <v>N/A</v>
        <stp/>
        <stp>VOLUME</stp>
        <stp>.QQQ250829C488</stp>
        <tr r="P60" s="2"/>
      </tp>
      <tp t="s">
        <v>N/A</v>
        <stp/>
        <stp>VOLUME</stp>
        <stp>.SPY251121C582</stp>
        <tr r="U5" s="2"/>
      </tp>
      <tp t="s">
        <v>N/A</v>
        <stp/>
        <stp>VOLUME</stp>
        <stp>.SPY251121P581</stp>
        <tr r="U6" s="2"/>
      </tp>
      <tp t="s">
        <v>N/A</v>
        <stp/>
        <stp>VOLUME</stp>
        <stp>.SPY251121C581</stp>
        <tr r="U6" s="2"/>
      </tp>
      <tp t="s">
        <v>N/A</v>
        <stp/>
        <stp>VOLUME</stp>
        <stp>.SPY251121P580</stp>
        <tr r="U7" s="2"/>
      </tp>
      <tp t="s">
        <v>N/A</v>
        <stp/>
        <stp>VOLUME</stp>
        <stp>.SPY251121C580</stp>
        <tr r="U7" s="2"/>
      </tp>
      <tp>
        <v>11</v>
        <stp/>
        <stp>VOLUME</stp>
        <stp>.QQQ250829P485</stp>
        <tr r="P63" s="2"/>
        <tr r="P63" s="2"/>
      </tp>
      <tp>
        <v>37</v>
        <stp/>
        <stp>VOLUME</stp>
        <stp>.QQQ250829C485</stp>
        <tr r="P63" s="2"/>
        <tr r="P63" s="2"/>
      </tp>
      <tp t="s">
        <v>N/A</v>
        <stp/>
        <stp>VOLUME</stp>
        <stp>.QQQ250829P484</stp>
        <tr r="P64" s="2"/>
      </tp>
      <tp t="s">
        <v>N/A</v>
        <stp/>
        <stp>VOLUME</stp>
        <stp>.QQQ250829C484</stp>
        <tr r="P64" s="2"/>
      </tp>
      <tp t="s">
        <v>N/A</v>
        <stp/>
        <stp>VOLUME</stp>
        <stp>.QQQ250829P487</stp>
        <tr r="P61" s="2"/>
      </tp>
      <tp t="s">
        <v>N/A</v>
        <stp/>
        <stp>VOLUME</stp>
        <stp>.QQQ250829C487</stp>
        <tr r="P61" s="2"/>
      </tp>
      <tp t="s">
        <v>N/A</v>
        <stp/>
        <stp>VOLUME</stp>
        <stp>.QQQ250829P486</stp>
        <tr r="P62" s="2"/>
      </tp>
      <tp t="s">
        <v>N/A</v>
        <stp/>
        <stp>VOLUME</stp>
        <stp>.QQQ250829C486</stp>
        <tr r="P62" s="2"/>
      </tp>
      <tp t="s">
        <v>N/A</v>
        <stp/>
        <stp>VOLUME</stp>
        <stp>.QQQ250829P481</stp>
        <tr r="P67" s="2"/>
      </tp>
      <tp t="s">
        <v>N/A</v>
        <stp/>
        <stp>VOLUME</stp>
        <stp>.SPY251128P582</stp>
        <tr r="V5" s="2"/>
      </tp>
      <tp t="s">
        <v>N/A</v>
        <stp/>
        <stp>VOLUME</stp>
        <stp>.QQQ250829C481</stp>
        <tr r="P67" s="2"/>
      </tp>
      <tp t="s">
        <v>N/A</v>
        <stp/>
        <stp>VOLUME</stp>
        <stp>.SPY251128C582</stp>
        <tr r="V5" s="2"/>
      </tp>
      <tp>
        <v>20</v>
        <stp/>
        <stp>VOLUME</stp>
        <stp>.QQQ250829P480</stp>
        <tr r="P68" s="2"/>
        <tr r="P68" s="2"/>
      </tp>
      <tp>
        <v>4</v>
        <stp/>
        <stp>VOLUME</stp>
        <stp>.QQQ250829C480</stp>
        <tr r="P68" s="2"/>
        <tr r="P68" s="2"/>
      </tp>
      <tp t="s">
        <v>N/A</v>
        <stp/>
        <stp>VOLUME</stp>
        <stp>.QQQ250829P483</stp>
        <tr r="P65" s="2"/>
      </tp>
      <tp t="s">
        <v>N/A</v>
        <stp/>
        <stp>VOLUME</stp>
        <stp>.SPY251128P580</stp>
        <tr r="V7" s="2"/>
      </tp>
      <tp t="s">
        <v>N/A</v>
        <stp/>
        <stp>VOLUME</stp>
        <stp>.QQQ250829C483</stp>
        <tr r="P65" s="2"/>
      </tp>
      <tp t="s">
        <v>N/A</v>
        <stp/>
        <stp>VOLUME</stp>
        <stp>.SPY251128C580</stp>
        <tr r="V7" s="2"/>
      </tp>
      <tp t="s">
        <v>N/A</v>
        <stp/>
        <stp>VOLUME</stp>
        <stp>.QQQ250829P482</stp>
        <tr r="P66" s="2"/>
      </tp>
      <tp t="s">
        <v>N/A</v>
        <stp/>
        <stp>VOLUME</stp>
        <stp>.SPY251128P581</stp>
        <tr r="V6" s="2"/>
      </tp>
      <tp t="s">
        <v>N/A</v>
        <stp/>
        <stp>VOLUME</stp>
        <stp>.QQQ250829C482</stp>
        <tr r="P66" s="2"/>
      </tp>
      <tp t="s">
        <v>N/A</v>
        <stp/>
        <stp>VOLUME</stp>
        <stp>.SPY251128C581</stp>
        <tr r="V6" s="2"/>
      </tp>
      <tp t="s">
        <v>N/A</v>
        <stp/>
        <stp>VOLUME</stp>
        <stp>.QQQ250919P501</stp>
        <tr r="Q47" s="2"/>
      </tp>
      <tp t="s">
        <v>N/A</v>
        <stp/>
        <stp>VOLUME</stp>
        <stp>.QQQ250919C501</stp>
        <tr r="Q47" s="2"/>
      </tp>
      <tp>
        <v>49</v>
        <stp/>
        <stp>VOLUME</stp>
        <stp>.QQQ250919P500</stp>
        <tr r="Q48" s="2"/>
        <tr r="Q48" s="2"/>
      </tp>
      <tp>
        <v>407</v>
        <stp/>
        <stp>VOLUME</stp>
        <stp>.QQQ250919C500</stp>
        <tr r="Q48" s="2"/>
        <tr r="Q48" s="2"/>
      </tp>
      <tp t="s">
        <v>N/A</v>
        <stp/>
        <stp>VOLUME</stp>
        <stp>.QQQ250919P502</stp>
        <tr r="Q46" s="2"/>
      </tp>
      <tp t="s">
        <v>N/A</v>
        <stp/>
        <stp>VOLUME</stp>
        <stp>.QQQ250919C502</stp>
        <tr r="Q46" s="2"/>
      </tp>
      <tp>
        <v>66</v>
        <stp/>
        <stp>VOLUME</stp>
        <stp>.QQQ250930P500</stp>
        <tr r="R48" s="2"/>
        <tr r="R48" s="2"/>
      </tp>
      <tp>
        <v>180</v>
        <stp/>
        <stp>VOLUME</stp>
        <stp>.QQQ250930C500</stp>
        <tr r="R48" s="2"/>
        <tr r="R48" s="2"/>
      </tp>
      <tp>
        <v>40</v>
        <stp/>
        <stp>VOLUME</stp>
        <stp>.QQQ250930P501</stp>
        <tr r="R47" s="2"/>
        <tr r="R47" s="2"/>
      </tp>
      <tp t="s">
        <v>N/A</v>
        <stp/>
        <stp>VOLUME</stp>
        <stp>.QQQ250930C501</stp>
        <tr r="R47" s="2"/>
      </tp>
      <tp>
        <v>11</v>
        <stp/>
        <stp>VOLUME</stp>
        <stp>.QQQ250930P502</stp>
        <tr r="R46" s="2"/>
        <tr r="R46" s="2"/>
      </tp>
      <tp>
        <v>23</v>
        <stp/>
        <stp>VOLUME</stp>
        <stp>.QQQ250930C502</stp>
        <tr r="R46" s="2"/>
        <tr r="R46" s="2"/>
      </tp>
      <tp t="s">
        <v>N/A</v>
        <stp/>
        <stp>VOLUME</stp>
        <stp>.SPY251121P577</stp>
        <tr r="U10" s="2"/>
      </tp>
      <tp t="s">
        <v>N/A</v>
        <stp/>
        <stp>VOLUME</stp>
        <stp>.SPY251121C577</stp>
        <tr r="U10" s="2"/>
      </tp>
      <tp t="s">
        <v>N/A</v>
        <stp/>
        <stp>VOLUME</stp>
        <stp>.SPY251121P576</stp>
        <tr r="U11" s="2"/>
      </tp>
      <tp t="s">
        <v>N/A</v>
        <stp/>
        <stp>VOLUME</stp>
        <stp>.SPY251121C576</stp>
        <tr r="U11" s="2"/>
      </tp>
      <tp t="s">
        <v>N/A</v>
        <stp/>
        <stp>VOLUME</stp>
        <stp>.SPY251121P575</stp>
        <tr r="U12" s="2"/>
      </tp>
      <tp t="s">
        <v>N/A</v>
        <stp/>
        <stp>VOLUME</stp>
        <stp>.SPY251121C575</stp>
        <tr r="U12" s="2"/>
      </tp>
      <tp t="s">
        <v>N/A</v>
        <stp/>
        <stp>VOLUME</stp>
        <stp>.SPY251121P574</stp>
        <tr r="U13" s="2"/>
      </tp>
      <tp t="s">
        <v>N/A</v>
        <stp/>
        <stp>VOLUME</stp>
        <stp>.SPY251121C574</stp>
        <tr r="U13" s="2"/>
      </tp>
      <tp t="s">
        <v>N/A</v>
        <stp/>
        <stp>VOLUME</stp>
        <stp>.QQQ250829P479</stp>
        <tr r="P69" s="2"/>
      </tp>
      <tp t="s">
        <v>N/A</v>
        <stp/>
        <stp>VOLUME</stp>
        <stp>.SPY251121P573</stp>
        <tr r="U14" s="2"/>
      </tp>
      <tp t="s">
        <v>N/A</v>
        <stp/>
        <stp>VOLUME</stp>
        <stp>.QQQ250829C479</stp>
        <tr r="P69" s="2"/>
      </tp>
      <tp t="s">
        <v>N/A</v>
        <stp/>
        <stp>VOLUME</stp>
        <stp>.SPY251121C573</stp>
        <tr r="U14" s="2"/>
      </tp>
      <tp t="s">
        <v>N/A</v>
        <stp/>
        <stp>VOLUME</stp>
        <stp>.QQQ250829P478</stp>
        <tr r="P70" s="2"/>
      </tp>
      <tp t="s">
        <v>N/A</v>
        <stp/>
        <stp>VOLUME</stp>
        <stp>.SPY251121P572</stp>
        <tr r="U15" s="2"/>
      </tp>
      <tp t="s">
        <v>N/A</v>
        <stp/>
        <stp>VOLUME</stp>
        <stp>.QQQ250829C478</stp>
        <tr r="P70" s="2"/>
      </tp>
      <tp t="s">
        <v>N/A</v>
        <stp/>
        <stp>VOLUME</stp>
        <stp>.SPY251121C572</stp>
        <tr r="U15" s="2"/>
      </tp>
      <tp t="s">
        <v>N/A</v>
        <stp/>
        <stp>VOLUME</stp>
        <stp>.SPY251121P571</stp>
        <tr r="U16" s="2"/>
      </tp>
      <tp t="s">
        <v>N/A</v>
        <stp/>
        <stp>VOLUME</stp>
        <stp>.SPY251128P578</stp>
        <tr r="V9" s="2"/>
      </tp>
      <tp t="s">
        <v>N/A</v>
        <stp/>
        <stp>VOLUME</stp>
        <stp>.SPY251121C571</stp>
        <tr r="U16" s="2"/>
      </tp>
      <tp t="s">
        <v>N/A</v>
        <stp/>
        <stp>VOLUME</stp>
        <stp>.SPY251128C578</stp>
        <tr r="V9" s="2"/>
      </tp>
      <tp t="s">
        <v>N/A</v>
        <stp/>
        <stp>VOLUME</stp>
        <stp>.SPY251121P570</stp>
        <tr r="U17" s="2"/>
      </tp>
      <tp t="s">
        <v>N/A</v>
        <stp/>
        <stp>VOLUME</stp>
        <stp>.SPY251128P579</stp>
        <tr r="V8" s="2"/>
      </tp>
      <tp t="s">
        <v>N/A</v>
        <stp/>
        <stp>VOLUME</stp>
        <stp>.SPY251121C570</stp>
        <tr r="U17" s="2"/>
      </tp>
      <tp t="s">
        <v>N/A</v>
        <stp/>
        <stp>VOLUME</stp>
        <stp>.SPY251128C579</stp>
        <tr r="V8" s="2"/>
      </tp>
      <tp>
        <v>7</v>
        <stp/>
        <stp>VOLUME</stp>
        <stp>.QQQ250829P475</stp>
        <tr r="P73" s="2"/>
        <tr r="P73" s="2"/>
      </tp>
      <tp t="s">
        <v>N/A</v>
        <stp/>
        <stp>VOLUME</stp>
        <stp>.SPY251128P576</stp>
        <tr r="V11" s="2"/>
      </tp>
      <tp t="s">
        <v>N/A</v>
        <stp/>
        <stp>VOLUME</stp>
        <stp>.QQQ250829C475</stp>
        <tr r="P73" s="2"/>
      </tp>
      <tp t="s">
        <v>N/A</v>
        <stp/>
        <stp>VOLUME</stp>
        <stp>.SPY251128C576</stp>
        <tr r="V11" s="2"/>
      </tp>
      <tp t="s">
        <v>N/A</v>
        <stp/>
        <stp>VOLUME</stp>
        <stp>.QQQ250829P474</stp>
        <tr r="P74" s="2"/>
      </tp>
      <tp t="s">
        <v>N/A</v>
        <stp/>
        <stp>VOLUME</stp>
        <stp>.SPY251128P577</stp>
        <tr r="V10" s="2"/>
      </tp>
      <tp t="s">
        <v>N/A</v>
        <stp/>
        <stp>VOLUME</stp>
        <stp>.QQQ250829C474</stp>
        <tr r="P74" s="2"/>
      </tp>
      <tp t="s">
        <v>N/A</v>
        <stp/>
        <stp>VOLUME</stp>
        <stp>.SPY251128C577</stp>
        <tr r="V10" s="2"/>
      </tp>
      <tp t="s">
        <v>N/A</v>
        <stp/>
        <stp>VOLUME</stp>
        <stp>.QQQ250829P477</stp>
        <tr r="P71" s="2"/>
      </tp>
      <tp t="s">
        <v>N/A</v>
        <stp/>
        <stp>VOLUME</stp>
        <stp>.SPY251128P574</stp>
        <tr r="V13" s="2"/>
      </tp>
      <tp t="s">
        <v>N/A</v>
        <stp/>
        <stp>VOLUME</stp>
        <stp>.QQQ250829C477</stp>
        <tr r="P71" s="2"/>
      </tp>
      <tp t="s">
        <v>N/A</v>
        <stp/>
        <stp>VOLUME</stp>
        <stp>.SPY251128C574</stp>
        <tr r="V13" s="2"/>
      </tp>
      <tp t="s">
        <v>N/A</v>
        <stp/>
        <stp>VOLUME</stp>
        <stp>.QQQ250829P476</stp>
        <tr r="P72" s="2"/>
      </tp>
      <tp t="s">
        <v>N/A</v>
        <stp/>
        <stp>VOLUME</stp>
        <stp>.SPY251128P575</stp>
        <tr r="V12" s="2"/>
      </tp>
      <tp t="s">
        <v>N/A</v>
        <stp/>
        <stp>VOLUME</stp>
        <stp>.QQQ250829C476</stp>
        <tr r="P72" s="2"/>
      </tp>
      <tp t="s">
        <v>N/A</v>
        <stp/>
        <stp>VOLUME</stp>
        <stp>.SPY251128C575</stp>
        <tr r="V12" s="2"/>
      </tp>
      <tp t="s">
        <v>N/A</v>
        <stp/>
        <stp>VOLUME</stp>
        <stp>.QQQ250829P471</stp>
        <tr r="P77" s="2"/>
      </tp>
      <tp t="s">
        <v>N/A</v>
        <stp/>
        <stp>VOLUME</stp>
        <stp>.SPY251128P572</stp>
        <tr r="V15" s="2"/>
      </tp>
      <tp t="s">
        <v>N/A</v>
        <stp/>
        <stp>VOLUME</stp>
        <stp>.QQQ250829C471</stp>
        <tr r="P77" s="2"/>
      </tp>
      <tp t="s">
        <v>N/A</v>
        <stp/>
        <stp>VOLUME</stp>
        <stp>.SPY251128C572</stp>
        <tr r="V15" s="2"/>
      </tp>
      <tp>
        <v>7</v>
        <stp/>
        <stp>VOLUME</stp>
        <stp>.QQQ250829P470</stp>
        <tr r="P78" s="2"/>
        <tr r="P78" s="2"/>
      </tp>
      <tp t="s">
        <v>N/A</v>
        <stp/>
        <stp>VOLUME</stp>
        <stp>.SPY251128P573</stp>
        <tr r="V14" s="2"/>
      </tp>
      <tp>
        <v>1</v>
        <stp/>
        <stp>VOLUME</stp>
        <stp>.QQQ250829C470</stp>
        <tr r="P78" s="2"/>
        <tr r="P78" s="2"/>
      </tp>
      <tp t="s">
        <v>N/A</v>
        <stp/>
        <stp>VOLUME</stp>
        <stp>.SPY251128C573</stp>
        <tr r="V14" s="2"/>
      </tp>
      <tp t="s">
        <v>N/A</v>
        <stp/>
        <stp>VOLUME</stp>
        <stp>.QQQ250829P473</stp>
        <tr r="P75" s="2"/>
      </tp>
      <tp t="s">
        <v>N/A</v>
        <stp/>
        <stp>VOLUME</stp>
        <stp>.SPY251121P579</stp>
        <tr r="U8" s="2"/>
      </tp>
      <tp t="s">
        <v>N/A</v>
        <stp/>
        <stp>VOLUME</stp>
        <stp>.SPY251128P570</stp>
        <tr r="V17" s="2"/>
      </tp>
      <tp t="s">
        <v>N/A</v>
        <stp/>
        <stp>VOLUME</stp>
        <stp>.QQQ250829C473</stp>
        <tr r="P75" s="2"/>
      </tp>
      <tp t="s">
        <v>N/A</v>
        <stp/>
        <stp>VOLUME</stp>
        <stp>.SPY251121C579</stp>
        <tr r="U8" s="2"/>
      </tp>
      <tp t="s">
        <v>N/A</v>
        <stp/>
        <stp>VOLUME</stp>
        <stp>.SPY251128C570</stp>
        <tr r="V17" s="2"/>
      </tp>
      <tp t="s">
        <v>N/A</v>
        <stp/>
        <stp>VOLUME</stp>
        <stp>.QQQ250829P472</stp>
        <tr r="P76" s="2"/>
      </tp>
      <tp t="s">
        <v>N/A</v>
        <stp/>
        <stp>VOLUME</stp>
        <stp>.SPY251121P578</stp>
        <tr r="U9" s="2"/>
      </tp>
      <tp t="s">
        <v>N/A</v>
        <stp/>
        <stp>VOLUME</stp>
        <stp>.SPY251128P571</stp>
        <tr r="V16" s="2"/>
      </tp>
      <tp t="s">
        <v>N/A</v>
        <stp/>
        <stp>VOLUME</stp>
        <stp>.QQQ250829C472</stp>
        <tr r="P76" s="2"/>
      </tp>
      <tp t="s">
        <v>N/A</v>
        <stp/>
        <stp>VOLUME</stp>
        <stp>.SPY251121C578</stp>
        <tr r="U9" s="2"/>
      </tp>
      <tp t="s">
        <v>N/A</v>
        <stp/>
        <stp>VOLUME</stp>
        <stp>.SPY251128C571</stp>
        <tr r="V16" s="2"/>
      </tp>
      <tp t="s">
        <v>N/A</v>
        <stp/>
        <stp>VOLUME</stp>
        <stp>.SPY251121P567</stp>
        <tr r="U20" s="2"/>
      </tp>
      <tp t="s">
        <v>N/A</v>
        <stp/>
        <stp>VOLUME</stp>
        <stp>.SPY251121C567</stp>
        <tr r="U20" s="2"/>
      </tp>
      <tp t="s">
        <v>N/A</v>
        <stp/>
        <stp>VOLUME</stp>
        <stp>.SPY251121P566</stp>
        <tr r="U21" s="2"/>
      </tp>
      <tp t="s">
        <v>N/A</v>
        <stp/>
        <stp>VOLUME</stp>
        <stp>.SPY251121C566</stp>
        <tr r="U21" s="2"/>
      </tp>
      <tp t="s">
        <v>N/A</v>
        <stp/>
        <stp>VOLUME</stp>
        <stp>.SPY251121P565</stp>
        <tr r="U22" s="2"/>
      </tp>
      <tp t="s">
        <v>N/A</v>
        <stp/>
        <stp>VOLUME</stp>
        <stp>.SPY251121C565</stp>
        <tr r="U22" s="2"/>
      </tp>
      <tp t="s">
        <v>N/A</v>
        <stp/>
        <stp>VOLUME</stp>
        <stp>.SPY251121P564</stp>
        <tr r="U23" s="2"/>
      </tp>
      <tp t="s">
        <v>N/A</v>
        <stp/>
        <stp>VOLUME</stp>
        <stp>.SPY251121C564</stp>
        <tr r="U23" s="2"/>
      </tp>
      <tp t="s">
        <v>N/A</v>
        <stp/>
        <stp>VOLUME</stp>
        <stp>.QQQ250829P469</stp>
        <tr r="P79" s="2"/>
      </tp>
      <tp t="s">
        <v>N/A</v>
        <stp/>
        <stp>VOLUME</stp>
        <stp>.SPY251121P563</stp>
        <tr r="U24" s="2"/>
      </tp>
      <tp t="s">
        <v>N/A</v>
        <stp/>
        <stp>VOLUME</stp>
        <stp>.QQQ250829C469</stp>
        <tr r="P79" s="2"/>
      </tp>
      <tp t="s">
        <v>N/A</v>
        <stp/>
        <stp>VOLUME</stp>
        <stp>.SPY251121C563</stp>
        <tr r="U24" s="2"/>
      </tp>
      <tp t="s">
        <v>N/A</v>
        <stp/>
        <stp>VOLUME</stp>
        <stp>.QQQ250829P468</stp>
        <tr r="P80" s="2"/>
      </tp>
      <tp t="s">
        <v>N/A</v>
        <stp/>
        <stp>VOLUME</stp>
        <stp>.SPY251121P562</stp>
        <tr r="U25" s="2"/>
      </tp>
      <tp t="s">
        <v>N/A</v>
        <stp/>
        <stp>VOLUME</stp>
        <stp>.QQQ250829C468</stp>
        <tr r="P80" s="2"/>
      </tp>
      <tp t="s">
        <v>N/A</v>
        <stp/>
        <stp>VOLUME</stp>
        <stp>.SPY251121C562</stp>
        <tr r="U25" s="2"/>
      </tp>
      <tp t="s">
        <v>N/A</v>
        <stp/>
        <stp>VOLUME</stp>
        <stp>.SPY251121P561</stp>
        <tr r="U26" s="2"/>
      </tp>
      <tp t="s">
        <v>N/A</v>
        <stp/>
        <stp>VOLUME</stp>
        <stp>.SPY251128P568</stp>
        <tr r="V19" s="2"/>
      </tp>
      <tp t="s">
        <v>N/A</v>
        <stp/>
        <stp>VOLUME</stp>
        <stp>.SPY251121C561</stp>
        <tr r="U26" s="2"/>
      </tp>
      <tp t="s">
        <v>N/A</v>
        <stp/>
        <stp>VOLUME</stp>
        <stp>.SPY251128C568</stp>
        <tr r="V19" s="2"/>
      </tp>
      <tp t="s">
        <v>N/A</v>
        <stp/>
        <stp>VOLUME</stp>
        <stp>.SPY251121P560</stp>
        <tr r="U27" s="2"/>
      </tp>
      <tp t="s">
        <v>N/A</v>
        <stp/>
        <stp>VOLUME</stp>
        <stp>.SPY251128P569</stp>
        <tr r="V18" s="2"/>
      </tp>
      <tp t="s">
        <v>N/A</v>
        <stp/>
        <stp>VOLUME</stp>
        <stp>.SPY251121C560</stp>
        <tr r="U27" s="2"/>
      </tp>
      <tp t="s">
        <v>N/A</v>
        <stp/>
        <stp>VOLUME</stp>
        <stp>.SPY251128C569</stp>
        <tr r="V18" s="2"/>
      </tp>
      <tp t="s">
        <v>N/A</v>
        <stp/>
        <stp>VOLUME</stp>
        <stp>.SPY251128P566</stp>
        <tr r="V21" s="2"/>
      </tp>
      <tp t="s">
        <v>N/A</v>
        <stp/>
        <stp>VOLUME</stp>
        <stp>.SPY251128C566</stp>
        <tr r="V21" s="2"/>
      </tp>
      <tp t="s">
        <v>N/A</v>
        <stp/>
        <stp>VOLUME</stp>
        <stp>.SPY251128P567</stp>
        <tr r="V20" s="2"/>
      </tp>
      <tp t="s">
        <v>N/A</v>
        <stp/>
        <stp>VOLUME</stp>
        <stp>.SPY251128C567</stp>
        <tr r="V20" s="2"/>
      </tp>
      <tp t="s">
        <v>N/A</v>
        <stp/>
        <stp>VOLUME</stp>
        <stp>.SPY251128P564</stp>
        <tr r="V23" s="2"/>
      </tp>
      <tp t="s">
        <v>N/A</v>
        <stp/>
        <stp>VOLUME</stp>
        <stp>.SPY251128C564</stp>
        <tr r="V23" s="2"/>
      </tp>
      <tp t="s">
        <v>N/A</v>
        <stp/>
        <stp>VOLUME</stp>
        <stp>.SPY251128P565</stp>
        <tr r="V22" s="2"/>
      </tp>
      <tp t="s">
        <v>N/A</v>
        <stp/>
        <stp>VOLUME</stp>
        <stp>.SPY251128C565</stp>
        <tr r="V22" s="2"/>
      </tp>
      <tp t="s">
        <v>N/A</v>
        <stp/>
        <stp>VOLUME</stp>
        <stp>.SPY251128P562</stp>
        <tr r="V25" s="2"/>
      </tp>
      <tp t="s">
        <v>N/A</v>
        <stp/>
        <stp>VOLUME</stp>
        <stp>.SPY251128C562</stp>
        <tr r="V25" s="2"/>
      </tp>
      <tp t="s">
        <v>N/A</v>
        <stp/>
        <stp>VOLUME</stp>
        <stp>.SPY251128P563</stp>
        <tr r="V24" s="2"/>
      </tp>
      <tp t="s">
        <v>N/A</v>
        <stp/>
        <stp>VOLUME</stp>
        <stp>.SPY251128C563</stp>
        <tr r="V24" s="2"/>
      </tp>
      <tp t="s">
        <v>N/A</v>
        <stp/>
        <stp>VOLUME</stp>
        <stp>.SPY251121P569</stp>
        <tr r="U18" s="2"/>
      </tp>
      <tp t="s">
        <v>N/A</v>
        <stp/>
        <stp>VOLUME</stp>
        <stp>.SPY251128P560</stp>
        <tr r="V27" s="2"/>
      </tp>
      <tp t="s">
        <v>N/A</v>
        <stp/>
        <stp>VOLUME</stp>
        <stp>.SPY251121C569</stp>
        <tr r="U18" s="2"/>
      </tp>
      <tp t="s">
        <v>N/A</v>
        <stp/>
        <stp>VOLUME</stp>
        <stp>.SPY251128C560</stp>
        <tr r="V27" s="2"/>
      </tp>
      <tp t="s">
        <v>N/A</v>
        <stp/>
        <stp>VOLUME</stp>
        <stp>.SPY251121P568</stp>
        <tr r="U19" s="2"/>
      </tp>
      <tp t="s">
        <v>N/A</v>
        <stp/>
        <stp>VOLUME</stp>
        <stp>.SPY251128P561</stp>
        <tr r="V26" s="2"/>
      </tp>
      <tp t="s">
        <v>N/A</v>
        <stp/>
        <stp>VOLUME</stp>
        <stp>.SPY251121C568</stp>
        <tr r="U19" s="2"/>
      </tp>
      <tp t="s">
        <v>N/A</v>
        <stp/>
        <stp>VOLUME</stp>
        <stp>.SPY251128C561</stp>
        <tr r="V26" s="2"/>
      </tp>
      <tp t="s">
        <v>N/A</v>
        <stp/>
        <stp>VOLUME</stp>
        <stp>.SPY251121P557</stp>
        <tr r="U30" s="2"/>
      </tp>
      <tp t="s">
        <v>N/A</v>
        <stp/>
        <stp>VOLUME</stp>
        <stp>.SPY251121C557</stp>
        <tr r="U30" s="2"/>
      </tp>
      <tp t="s">
        <v>N/A</v>
        <stp/>
        <stp>VOLUME</stp>
        <stp>.SPY251121P556</stp>
        <tr r="U31" s="2"/>
      </tp>
      <tp t="s">
        <v>N/A</v>
        <stp/>
        <stp>VOLUME</stp>
        <stp>.SPY251121C556</stp>
        <tr r="U31" s="2"/>
      </tp>
      <tp t="s">
        <v>N/A</v>
        <stp/>
        <stp>VOLUME</stp>
        <stp>.SPY251121P555</stp>
        <tr r="U32" s="2"/>
      </tp>
      <tp t="s">
        <v>N/A</v>
        <stp/>
        <stp>VOLUME</stp>
        <stp>.SPY251121C555</stp>
        <tr r="U32" s="2"/>
      </tp>
      <tp t="s">
        <v>N/A</v>
        <stp/>
        <stp>VOLUME</stp>
        <stp>.SPY251121P554</stp>
        <tr r="U33" s="2"/>
      </tp>
      <tp t="s">
        <v>N/A</v>
        <stp/>
        <stp>VOLUME</stp>
        <stp>.SPY251121C554</stp>
        <tr r="U33" s="2"/>
      </tp>
      <tp t="s">
        <v>N/A</v>
        <stp/>
        <stp>VOLUME</stp>
        <stp>.SPY251121P553</stp>
        <tr r="U34" s="2"/>
      </tp>
      <tp t="s">
        <v>N/A</v>
        <stp/>
        <stp>VOLUME</stp>
        <stp>.SPY251121C553</stp>
        <tr r="U34" s="2"/>
      </tp>
      <tp t="s">
        <v>N/A</v>
        <stp/>
        <stp>VOLUME</stp>
        <stp>.SPY251121P552</stp>
        <tr r="U35" s="2"/>
      </tp>
      <tp t="s">
        <v>N/A</v>
        <stp/>
        <stp>VOLUME</stp>
        <stp>.SPY251121C552</stp>
        <tr r="U35" s="2"/>
      </tp>
      <tp t="s">
        <v>N/A</v>
        <stp/>
        <stp>VOLUME</stp>
        <stp>.SPY251121P551</stp>
        <tr r="U36" s="2"/>
      </tp>
      <tp t="s">
        <v>N/A</v>
        <stp/>
        <stp>VOLUME</stp>
        <stp>.SPY251128P558</stp>
        <tr r="V29" s="2"/>
      </tp>
      <tp t="s">
        <v>N/A</v>
        <stp/>
        <stp>VOLUME</stp>
        <stp>.SPY251121C551</stp>
        <tr r="U36" s="2"/>
      </tp>
      <tp t="s">
        <v>N/A</v>
        <stp/>
        <stp>VOLUME</stp>
        <stp>.SPY251128C558</stp>
        <tr r="V29" s="2"/>
      </tp>
      <tp t="s">
        <v>N/A</v>
        <stp/>
        <stp>VOLUME</stp>
        <stp>.SPY251121P550</stp>
        <tr r="U37" s="2"/>
      </tp>
      <tp t="s">
        <v>N/A</v>
        <stp/>
        <stp>VOLUME</stp>
        <stp>.SPY251128P559</stp>
        <tr r="V28" s="2"/>
      </tp>
      <tp t="s">
        <v>N/A</v>
        <stp/>
        <stp>VOLUME</stp>
        <stp>.SPY251121C550</stp>
        <tr r="U37" s="2"/>
      </tp>
      <tp t="s">
        <v>N/A</v>
        <stp/>
        <stp>VOLUME</stp>
        <stp>.SPY251128C559</stp>
        <tr r="V28" s="2"/>
      </tp>
      <tp t="s">
        <v>N/A</v>
        <stp/>
        <stp>VOLUME</stp>
        <stp>.QQQ250815P469</stp>
        <tr r="O79" s="2"/>
      </tp>
      <tp t="s">
        <v>N/A</v>
        <stp/>
        <stp>VOLUME</stp>
        <stp>.SPY251128P556</stp>
        <tr r="V31" s="2"/>
      </tp>
      <tp t="s">
        <v>N/A</v>
        <stp/>
        <stp>VOLUME</stp>
        <stp>.QQQ250815C469</stp>
        <tr r="O79" s="2"/>
      </tp>
      <tp t="s">
        <v>N/A</v>
        <stp/>
        <stp>VOLUME</stp>
        <stp>.SPY251128C556</stp>
        <tr r="V31" s="2"/>
      </tp>
      <tp t="s">
        <v>N/A</v>
        <stp/>
        <stp>VOLUME</stp>
        <stp>.QQQ250815P468</stp>
        <tr r="O80" s="2"/>
      </tp>
      <tp t="s">
        <v>N/A</v>
        <stp/>
        <stp>VOLUME</stp>
        <stp>.SPY251128P557</stp>
        <tr r="V30" s="2"/>
      </tp>
      <tp t="s">
        <v>N/A</v>
        <stp/>
        <stp>VOLUME</stp>
        <stp>.QQQ250815C468</stp>
        <tr r="O80" s="2"/>
      </tp>
      <tp t="s">
        <v>N/A</v>
        <stp/>
        <stp>VOLUME</stp>
        <stp>.SPY251128C557</stp>
        <tr r="V30" s="2"/>
      </tp>
      <tp t="s">
        <v>N/A</v>
        <stp/>
        <stp>VOLUME</stp>
        <stp>.SPY251128P554</stp>
        <tr r="V33" s="2"/>
      </tp>
      <tp t="s">
        <v>N/A</v>
        <stp/>
        <stp>VOLUME</stp>
        <stp>.SPY251128C554</stp>
        <tr r="V33" s="2"/>
      </tp>
      <tp t="s">
        <v>N/A</v>
        <stp/>
        <stp>VOLUME</stp>
        <stp>.SPY251128P555</stp>
        <tr r="V32" s="2"/>
      </tp>
      <tp t="s">
        <v>N/A</v>
        <stp/>
        <stp>VOLUME</stp>
        <stp>.SPY251128C555</stp>
        <tr r="V32" s="2"/>
      </tp>
      <tp t="s">
        <v>N/A</v>
        <stp/>
        <stp>VOLUME</stp>
        <stp>.SPY251128P552</stp>
        <tr r="V35" s="2"/>
      </tp>
      <tp t="s">
        <v>N/A</v>
        <stp/>
        <stp>VOLUME</stp>
        <stp>.SPY251128C552</stp>
        <tr r="V35" s="2"/>
      </tp>
      <tp t="s">
        <v>N/A</v>
        <stp/>
        <stp>VOLUME</stp>
        <stp>.SPY251128P553</stp>
        <tr r="V34" s="2"/>
      </tp>
      <tp t="s">
        <v>N/A</v>
        <stp/>
        <stp>VOLUME</stp>
        <stp>.SPY251128C553</stp>
        <tr r="V34" s="2"/>
      </tp>
      <tp t="s">
        <v>N/A</v>
        <stp/>
        <stp>VOLUME</stp>
        <stp>.SPY251121P559</stp>
        <tr r="U28" s="2"/>
      </tp>
      <tp t="s">
        <v>N/A</v>
        <stp/>
        <stp>VOLUME</stp>
        <stp>.SPY251128P550</stp>
        <tr r="V37" s="2"/>
      </tp>
      <tp t="s">
        <v>N/A</v>
        <stp/>
        <stp>VOLUME</stp>
        <stp>.SPY251121C559</stp>
        <tr r="U28" s="2"/>
      </tp>
      <tp t="s">
        <v>N/A</v>
        <stp/>
        <stp>VOLUME</stp>
        <stp>.SPY251128C550</stp>
        <tr r="V37" s="2"/>
      </tp>
      <tp t="s">
        <v>N/A</v>
        <stp/>
        <stp>VOLUME</stp>
        <stp>.SPY251121P558</stp>
        <tr r="U29" s="2"/>
      </tp>
      <tp t="s">
        <v>N/A</v>
        <stp/>
        <stp>VOLUME</stp>
        <stp>.SPY251128P551</stp>
        <tr r="V36" s="2"/>
      </tp>
      <tp t="s">
        <v>N/A</v>
        <stp/>
        <stp>VOLUME</stp>
        <stp>.SPY251121C558</stp>
        <tr r="U29" s="2"/>
      </tp>
      <tp t="s">
        <v>N/A</v>
        <stp/>
        <stp>VOLUME</stp>
        <stp>.SPY251128C551</stp>
        <tr r="V36" s="2"/>
      </tp>
      <tp t="s">
        <v>N/A</v>
        <stp/>
        <stp>VOLUME</stp>
        <stp>.QQQ250815P471</stp>
        <tr r="O77" s="2"/>
      </tp>
      <tp t="s">
        <v>N/A</v>
        <stp/>
        <stp>VOLUME</stp>
        <stp>.QQQ250815C471</stp>
        <tr r="O77" s="2"/>
      </tp>
      <tp>
        <v>732</v>
        <stp/>
        <stp>VOLUME</stp>
        <stp>.QQQ250815P470</stp>
        <tr r="O78" s="2"/>
        <tr r="O78" s="2"/>
      </tp>
      <tp>
        <v>246</v>
        <stp/>
        <stp>VOLUME</stp>
        <stp>.QQQ250815C470</stp>
        <tr r="O78" s="2"/>
        <tr r="O78" s="2"/>
      </tp>
      <tp t="s">
        <v>N/A</v>
        <stp/>
        <stp>VOLUME</stp>
        <stp>.QQQ250815P473</stp>
        <tr r="O75" s="2"/>
      </tp>
      <tp t="s">
        <v>N/A</v>
        <stp/>
        <stp>VOLUME</stp>
        <stp>.QQQ250815C473</stp>
        <tr r="O75" s="2"/>
      </tp>
      <tp t="s">
        <v>N/A</v>
        <stp/>
        <stp>VOLUME</stp>
        <stp>.QQQ250815P472</stp>
        <tr r="O76" s="2"/>
      </tp>
      <tp t="s">
        <v>N/A</v>
        <stp/>
        <stp>VOLUME</stp>
        <stp>.QQQ250815C472</stp>
        <tr r="O76" s="2"/>
      </tp>
      <tp>
        <v>193</v>
        <stp/>
        <stp>VOLUME</stp>
        <stp>.QQQ250815P475</stp>
        <tr r="O73" s="2"/>
        <tr r="O73" s="2"/>
      </tp>
      <tp>
        <v>5</v>
        <stp/>
        <stp>VOLUME</stp>
        <stp>.QQQ250815C475</stp>
        <tr r="O73" s="2"/>
        <tr r="O73" s="2"/>
      </tp>
      <tp t="s">
        <v>N/A</v>
        <stp/>
        <stp>VOLUME</stp>
        <stp>.QQQ250815P474</stp>
        <tr r="O74" s="2"/>
      </tp>
      <tp t="s">
        <v>N/A</v>
        <stp/>
        <stp>VOLUME</stp>
        <stp>.QQQ250815C474</stp>
        <tr r="O74" s="2"/>
      </tp>
      <tp t="s">
        <v>N/A</v>
        <stp/>
        <stp>VOLUME</stp>
        <stp>.QQQ250815P477</stp>
        <tr r="O71" s="2"/>
      </tp>
      <tp t="s">
        <v>N/A</v>
        <stp/>
        <stp>VOLUME</stp>
        <stp>.SPY251128P548</stp>
        <tr r="V39" s="2"/>
      </tp>
      <tp t="s">
        <v>N/A</v>
        <stp/>
        <stp>VOLUME</stp>
        <stp>.QQQ250815C477</stp>
        <tr r="O71" s="2"/>
      </tp>
      <tp t="s">
        <v>N/A</v>
        <stp/>
        <stp>VOLUME</stp>
        <stp>.SPY251128C548</stp>
        <tr r="V39" s="2"/>
      </tp>
      <tp t="s">
        <v>N/A</v>
        <stp/>
        <stp>VOLUME</stp>
        <stp>.QQQ250815P476</stp>
        <tr r="O72" s="2"/>
      </tp>
      <tp t="s">
        <v>N/A</v>
        <stp/>
        <stp>VOLUME</stp>
        <stp>.SPY251128P549</stp>
        <tr r="V38" s="2"/>
      </tp>
      <tp t="s">
        <v>N/A</v>
        <stp/>
        <stp>VOLUME</stp>
        <stp>.QQQ250815C476</stp>
        <tr r="O72" s="2"/>
      </tp>
      <tp t="s">
        <v>N/A</v>
        <stp/>
        <stp>VOLUME</stp>
        <stp>.SPY251128C549</stp>
        <tr r="V38" s="2"/>
      </tp>
      <tp t="s">
        <v>N/A</v>
        <stp/>
        <stp>VOLUME</stp>
        <stp>.QQQ250815P479</stp>
        <tr r="O69" s="2"/>
      </tp>
      <tp t="s">
        <v>N/A</v>
        <stp/>
        <stp>VOLUME</stp>
        <stp>.QQQ250815C479</stp>
        <tr r="O69" s="2"/>
      </tp>
      <tp t="s">
        <v>N/A</v>
        <stp/>
        <stp>VOLUME</stp>
        <stp>.QQQ250815P478</stp>
        <tr r="O70" s="2"/>
      </tp>
      <tp t="s">
        <v>N/A</v>
        <stp/>
        <stp>VOLUME</stp>
        <stp>.QQQ250815C478</stp>
        <tr r="O70" s="2"/>
      </tp>
      <tp t="s">
        <v>N/A</v>
        <stp/>
        <stp>VOLUME</stp>
        <stp>.SPY251121P549</stp>
        <tr r="U38" s="2"/>
      </tp>
      <tp t="s">
        <v>N/A</v>
        <stp/>
        <stp>VOLUME</stp>
        <stp>.SPY251121C549</stp>
        <tr r="U38" s="2"/>
      </tp>
      <tp t="s">
        <v>N/A</v>
        <stp/>
        <stp>VOLUME</stp>
        <stp>.SPY251121P548</stp>
        <tr r="U39" s="2"/>
      </tp>
      <tp t="s">
        <v>N/A</v>
        <stp/>
        <stp>VOLUME</stp>
        <stp>.SPY251121C548</stp>
        <tr r="U39" s="2"/>
      </tp>
      <tp>
        <v>0</v>
        <stp/>
        <stp>BID</stp>
        <stp>.SPXW250509C5810</stp>
        <tr r="DE91" s="1"/>
        <tr r="DE91" s="1"/>
      </tp>
      <tp>
        <v>147.1</v>
        <stp/>
        <stp>BID</stp>
        <stp>.SPXW250509P5810</stp>
        <tr r="DF91" s="1"/>
        <tr r="DF91" s="1"/>
      </tp>
      <tp>
        <v>0</v>
        <stp/>
        <stp>BID</stp>
        <stp>.SPXW250509C5800</stp>
        <tr r="DE92" s="1"/>
        <tr r="DE92" s="1"/>
      </tp>
      <tp>
        <v>137.5</v>
        <stp/>
        <stp>BID</stp>
        <stp>.SPXW250509P5800</stp>
        <tr r="DF92" s="1"/>
        <tr r="DF92" s="1"/>
      </tp>
      <tp>
        <v>0</v>
        <stp/>
        <stp>BID</stp>
        <stp>.SPXW250509C5830</stp>
        <tr r="DE89" s="1"/>
        <tr r="DE89" s="1"/>
      </tp>
      <tp>
        <v>167.1</v>
        <stp/>
        <stp>BID</stp>
        <stp>.SPXW250509P5830</stp>
        <tr r="DF89" s="1"/>
        <tr r="DF89" s="1"/>
      </tp>
      <tp>
        <v>0</v>
        <stp/>
        <stp>BID</stp>
        <stp>.SPXW250509C5820</stp>
        <tr r="DE90" s="1"/>
        <tr r="DE90" s="1"/>
      </tp>
      <tp>
        <v>157.1</v>
        <stp/>
        <stp>BID</stp>
        <stp>.SPXW250509P5820</stp>
        <tr r="DF90" s="1"/>
        <tr r="DF90" s="1"/>
      </tp>
      <tp>
        <v>0</v>
        <stp/>
        <stp>BID</stp>
        <stp>.SPXW250509C5850</stp>
        <tr r="DE87" s="1"/>
        <tr r="DE87" s="1"/>
      </tp>
      <tp>
        <v>184.5</v>
        <stp/>
        <stp>BID</stp>
        <stp>.SPXW250509P5850</stp>
        <tr r="DF87" s="1"/>
        <tr r="DF87" s="1"/>
      </tp>
      <tp>
        <v>0</v>
        <stp/>
        <stp>BID</stp>
        <stp>.SPXW250509C5840</stp>
        <tr r="DE88" s="1"/>
        <tr r="DE88" s="1"/>
      </tp>
      <tp>
        <v>174.5</v>
        <stp/>
        <stp>BID</stp>
        <stp>.SPXW250509P5840</stp>
        <tr r="DF88" s="1"/>
        <tr r="DF88" s="1"/>
      </tp>
      <tp>
        <v>0</v>
        <stp/>
        <stp>BID</stp>
        <stp>.SPXW250509C5870</stp>
        <tr r="DE85" s="1"/>
        <tr r="DE85" s="1"/>
      </tp>
      <tp>
        <v>204.4</v>
        <stp/>
        <stp>BID</stp>
        <stp>.SPXW250509P5870</stp>
        <tr r="DF85" s="1"/>
        <tr r="DF85" s="1"/>
      </tp>
      <tp>
        <v>0</v>
        <stp/>
        <stp>BID</stp>
        <stp>.SPXW250509C5860</stp>
        <tr r="DE86" s="1"/>
        <tr r="DE86" s="1"/>
      </tp>
      <tp>
        <v>194.4</v>
        <stp/>
        <stp>BID</stp>
        <stp>.SPXW250509P5860</stp>
        <tr r="DF86" s="1"/>
        <tr r="DF86" s="1"/>
      </tp>
      <tp t="s">
        <v>N/A</v>
        <stp/>
        <stp>VOLUME</stp>
        <stp>.SPY251017P581</stp>
        <tr r="S6" s="2"/>
      </tp>
      <tp t="s">
        <v>N/A</v>
        <stp/>
        <stp>VOLUME</stp>
        <stp>.SPY251017C581</stp>
        <tr r="S6" s="2"/>
      </tp>
      <tp t="s">
        <v>N/A</v>
        <stp/>
        <stp>VOLUME</stp>
        <stp>.SPY251017P580</stp>
        <tr r="S7" s="2"/>
      </tp>
      <tp t="s">
        <v>N/A</v>
        <stp/>
        <stp>VOLUME</stp>
        <stp>.SPY251017C580</stp>
        <tr r="S7" s="2"/>
      </tp>
      <tp t="s">
        <v>N/A</v>
        <stp/>
        <stp>VOLUME</stp>
        <stp>.SPY251017P582</stp>
        <tr r="S5" s="2"/>
      </tp>
      <tp t="s">
        <v>N/A</v>
        <stp/>
        <stp>VOLUME</stp>
        <stp>.SPY251017C582</stp>
        <tr r="S5" s="2"/>
      </tp>
      <tp t="s">
        <v>N/A</v>
        <stp/>
        <stp>VOLUME</stp>
        <stp>.QQQ250919P489</stp>
        <tr r="Q59" s="2"/>
      </tp>
      <tp t="s">
        <v>N/A</v>
        <stp/>
        <stp>VOLUME</stp>
        <stp>.QQQ250919C489</stp>
        <tr r="Q59" s="2"/>
      </tp>
      <tp t="s">
        <v>N/A</v>
        <stp/>
        <stp>VOLUME</stp>
        <stp>.QQQ250919P488</stp>
        <tr r="Q60" s="2"/>
      </tp>
      <tp t="s">
        <v>N/A</v>
        <stp/>
        <stp>VOLUME</stp>
        <stp>.QQQ250919C488</stp>
        <tr r="Q60" s="2"/>
      </tp>
      <tp>
        <v>567</v>
        <stp/>
        <stp>VOLUME</stp>
        <stp>.QQQ250919P485</stp>
        <tr r="Q63" s="2"/>
        <tr r="Q63" s="2"/>
      </tp>
      <tp>
        <v>22</v>
        <stp/>
        <stp>VOLUME</stp>
        <stp>.QQQ250919C485</stp>
        <tr r="Q63" s="2"/>
        <tr r="Q63" s="2"/>
      </tp>
      <tp t="s">
        <v>N/A</v>
        <stp/>
        <stp>VOLUME</stp>
        <stp>.QQQ250919P484</stp>
        <tr r="Q64" s="2"/>
      </tp>
      <tp t="s">
        <v>N/A</v>
        <stp/>
        <stp>VOLUME</stp>
        <stp>.QQQ250919C484</stp>
        <tr r="Q64" s="2"/>
      </tp>
      <tp t="s">
        <v>N/A</v>
        <stp/>
        <stp>VOLUME</stp>
        <stp>.QQQ250919P487</stp>
        <tr r="Q61" s="2"/>
      </tp>
      <tp t="s">
        <v>N/A</v>
        <stp/>
        <stp>VOLUME</stp>
        <stp>.QQQ250919C487</stp>
        <tr r="Q61" s="2"/>
      </tp>
      <tp t="s">
        <v>N/A</v>
        <stp/>
        <stp>VOLUME</stp>
        <stp>.QQQ250919P486</stp>
        <tr r="Q62" s="2"/>
      </tp>
      <tp t="s">
        <v>N/A</v>
        <stp/>
        <stp>VOLUME</stp>
        <stp>.QQQ250919C486</stp>
        <tr r="Q62" s="2"/>
      </tp>
      <tp t="s">
        <v>N/A</v>
        <stp/>
        <stp>VOLUME</stp>
        <stp>.QQQ250919P481</stp>
        <tr r="Q67" s="2"/>
      </tp>
      <tp t="s">
        <v>N/A</v>
        <stp/>
        <stp>VOLUME</stp>
        <stp>.QQQ250919C481</stp>
        <tr r="Q67" s="2"/>
      </tp>
      <tp>
        <v>156</v>
        <stp/>
        <stp>VOLUME</stp>
        <stp>.QQQ250919P480</stp>
        <tr r="Q68" s="2"/>
        <tr r="Q68" s="2"/>
      </tp>
      <tp>
        <v>32</v>
        <stp/>
        <stp>VOLUME</stp>
        <stp>.QQQ250919C480</stp>
        <tr r="Q68" s="2"/>
        <tr r="Q68" s="2"/>
      </tp>
      <tp t="s">
        <v>N/A</v>
        <stp/>
        <stp>VOLUME</stp>
        <stp>.QQQ250919P483</stp>
        <tr r="Q65" s="2"/>
      </tp>
      <tp t="s">
        <v>N/A</v>
        <stp/>
        <stp>VOLUME</stp>
        <stp>.QQQ250919C483</stp>
        <tr r="Q65" s="2"/>
      </tp>
      <tp t="s">
        <v>N/A</v>
        <stp/>
        <stp>VOLUME</stp>
        <stp>.QQQ250919P482</stp>
        <tr r="Q66" s="2"/>
      </tp>
      <tp t="s">
        <v>N/A</v>
        <stp/>
        <stp>VOLUME</stp>
        <stp>.QQQ250919C482</stp>
        <tr r="Q66" s="2"/>
      </tp>
      <tp t="s">
        <v>N/A</v>
        <stp/>
        <stp>VOLUME</stp>
        <stp>.QQQ250919P499</stp>
        <tr r="Q49" s="2"/>
      </tp>
      <tp t="s">
        <v>N/A</v>
        <stp/>
        <stp>VOLUME</stp>
        <stp>.QQQ250919C499</stp>
        <tr r="Q49" s="2"/>
      </tp>
      <tp t="s">
        <v>N/A</v>
        <stp/>
        <stp>VOLUME</stp>
        <stp>.QQQ250919P498</stp>
        <tr r="Q50" s="2"/>
      </tp>
      <tp t="s">
        <v>N/A</v>
        <stp/>
        <stp>VOLUME</stp>
        <stp>.QQQ250919C498</stp>
        <tr r="Q50" s="2"/>
      </tp>
      <tp>
        <v>121</v>
        <stp/>
        <stp>VOLUME</stp>
        <stp>.QQQ250919P495</stp>
        <tr r="Q53" s="2"/>
        <tr r="Q53" s="2"/>
      </tp>
      <tp>
        <v>168</v>
        <stp/>
        <stp>VOLUME</stp>
        <stp>.QQQ250919C495</stp>
        <tr r="Q53" s="2"/>
        <tr r="Q53" s="2"/>
      </tp>
      <tp t="s">
        <v>N/A</v>
        <stp/>
        <stp>VOLUME</stp>
        <stp>.QQQ250919P494</stp>
        <tr r="Q54" s="2"/>
      </tp>
      <tp t="s">
        <v>N/A</v>
        <stp/>
        <stp>VOLUME</stp>
        <stp>.QQQ250919C494</stp>
        <tr r="Q54" s="2"/>
      </tp>
      <tp t="s">
        <v>N/A</v>
        <stp/>
        <stp>VOLUME</stp>
        <stp>.QQQ250919P497</stp>
        <tr r="Q51" s="2"/>
      </tp>
      <tp t="s">
        <v>N/A</v>
        <stp/>
        <stp>VOLUME</stp>
        <stp>.QQQ250919C497</stp>
        <tr r="Q51" s="2"/>
      </tp>
      <tp t="s">
        <v>N/A</v>
        <stp/>
        <stp>VOLUME</stp>
        <stp>.QQQ250919P496</stp>
        <tr r="Q52" s="2"/>
      </tp>
      <tp t="s">
        <v>N/A</v>
        <stp/>
        <stp>VOLUME</stp>
        <stp>.QQQ250919C496</stp>
        <tr r="Q52" s="2"/>
      </tp>
      <tp t="s">
        <v>N/A</v>
        <stp/>
        <stp>VOLUME</stp>
        <stp>.QQQ250919P491</stp>
        <tr r="Q57" s="2"/>
      </tp>
      <tp t="s">
        <v>N/A</v>
        <stp/>
        <stp>VOLUME</stp>
        <stp>.QQQ250919C491</stp>
        <tr r="Q57" s="2"/>
      </tp>
      <tp>
        <v>133</v>
        <stp/>
        <stp>VOLUME</stp>
        <stp>.QQQ250919P490</stp>
        <tr r="Q58" s="2"/>
        <tr r="Q58" s="2"/>
      </tp>
      <tp>
        <v>53</v>
        <stp/>
        <stp>VOLUME</stp>
        <stp>.QQQ250919C490</stp>
        <tr r="Q58" s="2"/>
        <tr r="Q58" s="2"/>
      </tp>
      <tp t="s">
        <v>N/A</v>
        <stp/>
        <stp>VOLUME</stp>
        <stp>.QQQ250919P493</stp>
        <tr r="Q55" s="2"/>
      </tp>
      <tp t="s">
        <v>N/A</v>
        <stp/>
        <stp>VOLUME</stp>
        <stp>.QQQ250919C493</stp>
        <tr r="Q55" s="2"/>
      </tp>
      <tp t="s">
        <v>N/A</v>
        <stp/>
        <stp>VOLUME</stp>
        <stp>.QQQ250919P492</stp>
        <tr r="Q56" s="2"/>
      </tp>
      <tp t="s">
        <v>N/A</v>
        <stp/>
        <stp>VOLUME</stp>
        <stp>.QQQ250919C492</stp>
        <tr r="Q56" s="2"/>
      </tp>
      <tp t="s">
        <v>N/A</v>
        <stp/>
        <stp>VOLUME</stp>
        <stp>.QQQ250930P484</stp>
        <tr r="R64" s="2"/>
      </tp>
      <tp>
        <v>8</v>
        <stp/>
        <stp>VOLUME</stp>
        <stp>.QQQ250930C484</stp>
        <tr r="R64" s="2"/>
        <tr r="R64" s="2"/>
      </tp>
      <tp>
        <v>102</v>
        <stp/>
        <stp>VOLUME</stp>
        <stp>.QQQ250930P485</stp>
        <tr r="R63" s="2"/>
        <tr r="R63" s="2"/>
      </tp>
      <tp>
        <v>7</v>
        <stp/>
        <stp>VOLUME</stp>
        <stp>.QQQ250930C485</stp>
        <tr r="R63" s="2"/>
        <tr r="R63" s="2"/>
      </tp>
      <tp t="s">
        <v>N/A</v>
        <stp/>
        <stp>VOLUME</stp>
        <stp>.QQQ250930P486</stp>
        <tr r="R62" s="2"/>
      </tp>
      <tp>
        <v>20</v>
        <stp/>
        <stp>VOLUME</stp>
        <stp>.QQQ250930C486</stp>
        <tr r="R62" s="2"/>
        <tr r="R62" s="2"/>
      </tp>
      <tp>
        <v>28</v>
        <stp/>
        <stp>VOLUME</stp>
        <stp>.QQQ250930P487</stp>
        <tr r="R61" s="2"/>
        <tr r="R61" s="2"/>
      </tp>
      <tp>
        <v>72</v>
        <stp/>
        <stp>VOLUME</stp>
        <stp>.QQQ250930C487</stp>
        <tr r="R61" s="2"/>
        <tr r="R61" s="2"/>
      </tp>
      <tp>
        <v>27</v>
        <stp/>
        <stp>VOLUME</stp>
        <stp>.QQQ250930P480</stp>
        <tr r="R68" s="2"/>
        <tr r="R68" s="2"/>
      </tp>
      <tp>
        <v>17</v>
        <stp/>
        <stp>VOLUME</stp>
        <stp>.QQQ250930C480</stp>
        <tr r="R68" s="2"/>
        <tr r="R68" s="2"/>
      </tp>
      <tp>
        <v>1</v>
        <stp/>
        <stp>VOLUME</stp>
        <stp>.QQQ250930P481</stp>
        <tr r="R67" s="2"/>
        <tr r="R67" s="2"/>
      </tp>
      <tp t="s">
        <v>N/A</v>
        <stp/>
        <stp>VOLUME</stp>
        <stp>.SPY251031P582</stp>
        <tr r="T5" s="2"/>
      </tp>
      <tp>
        <v>1</v>
        <stp/>
        <stp>VOLUME</stp>
        <stp>.QQQ250930C481</stp>
        <tr r="R67" s="2"/>
        <tr r="R67" s="2"/>
      </tp>
      <tp t="s">
        <v>N/A</v>
        <stp/>
        <stp>VOLUME</stp>
        <stp>.SPY251031C582</stp>
        <tr r="T5" s="2"/>
      </tp>
      <tp>
        <v>2</v>
        <stp/>
        <stp>VOLUME</stp>
        <stp>.QQQ250930P482</stp>
        <tr r="R66" s="2"/>
        <tr r="R66" s="2"/>
      </tp>
      <tp t="s">
        <v>N/A</v>
        <stp/>
        <stp>VOLUME</stp>
        <stp>.SPY251031P581</stp>
        <tr r="T6" s="2"/>
      </tp>
      <tp>
        <v>20</v>
        <stp/>
        <stp>VOLUME</stp>
        <stp>.QQQ250930C482</stp>
        <tr r="R66" s="2"/>
        <tr r="R66" s="2"/>
      </tp>
      <tp t="s">
        <v>N/A</v>
        <stp/>
        <stp>VOLUME</stp>
        <stp>.SPY251031C581</stp>
        <tr r="T6" s="2"/>
      </tp>
      <tp>
        <v>1</v>
        <stp/>
        <stp>VOLUME</stp>
        <stp>.QQQ250930P483</stp>
        <tr r="R65" s="2"/>
        <tr r="R65" s="2"/>
      </tp>
      <tp>
        <v>6</v>
        <stp/>
        <stp>VOLUME</stp>
        <stp>.SPY251031P580</stp>
        <tr r="T7" s="2"/>
        <tr r="T7" s="2"/>
      </tp>
      <tp>
        <v>1</v>
        <stp/>
        <stp>VOLUME</stp>
        <stp>.QQQ250930C483</stp>
        <tr r="R65" s="2"/>
        <tr r="R65" s="2"/>
      </tp>
      <tp>
        <v>42</v>
        <stp/>
        <stp>VOLUME</stp>
        <stp>.SPY251031C580</stp>
        <tr r="T7" s="2"/>
        <tr r="T7" s="2"/>
      </tp>
      <tp>
        <v>41</v>
        <stp/>
        <stp>VOLUME</stp>
        <stp>.QQQ250930P488</stp>
        <tr r="R60" s="2"/>
        <tr r="R60" s="2"/>
      </tp>
      <tp>
        <v>45</v>
        <stp/>
        <stp>VOLUME</stp>
        <stp>.QQQ250930C488</stp>
        <tr r="R60" s="2"/>
        <tr r="R60" s="2"/>
      </tp>
      <tp>
        <v>17</v>
        <stp/>
        <stp>VOLUME</stp>
        <stp>.QQQ250930P489</stp>
        <tr r="R59" s="2"/>
        <tr r="R59" s="2"/>
      </tp>
      <tp>
        <v>21</v>
        <stp/>
        <stp>VOLUME</stp>
        <stp>.QQQ250930C489</stp>
        <tr r="R59" s="2"/>
        <tr r="R59" s="2"/>
      </tp>
      <tp>
        <v>4</v>
        <stp/>
        <stp>VOLUME</stp>
        <stp>.QQQ250930P494</stp>
        <tr r="R54" s="2"/>
        <tr r="R54" s="2"/>
      </tp>
      <tp>
        <v>1</v>
        <stp/>
        <stp>VOLUME</stp>
        <stp>.QQQ250930C494</stp>
        <tr r="R54" s="2"/>
        <tr r="R54" s="2"/>
      </tp>
      <tp>
        <v>16</v>
        <stp/>
        <stp>VOLUME</stp>
        <stp>.QQQ250930P495</stp>
        <tr r="R53" s="2"/>
        <tr r="R53" s="2"/>
      </tp>
      <tp>
        <v>2</v>
        <stp/>
        <stp>VOLUME</stp>
        <stp>.QQQ250930C495</stp>
        <tr r="R53" s="2"/>
        <tr r="R53" s="2"/>
      </tp>
      <tp t="s">
        <v>N/A</v>
        <stp/>
        <stp>VOLUME</stp>
        <stp>.QQQ250930P496</stp>
        <tr r="R52" s="2"/>
      </tp>
      <tp t="s">
        <v>N/A</v>
        <stp/>
        <stp>VOLUME</stp>
        <stp>.QQQ250930C496</stp>
        <tr r="R52" s="2"/>
      </tp>
      <tp>
        <v>21</v>
        <stp/>
        <stp>VOLUME</stp>
        <stp>.QQQ250930P497</stp>
        <tr r="R51" s="2"/>
        <tr r="R51" s="2"/>
      </tp>
      <tp>
        <v>1</v>
        <stp/>
        <stp>VOLUME</stp>
        <stp>.QQQ250930C497</stp>
        <tr r="R51" s="2"/>
        <tr r="R51" s="2"/>
      </tp>
      <tp>
        <v>12</v>
        <stp/>
        <stp>VOLUME</stp>
        <stp>.QQQ250930P490</stp>
        <tr r="R58" s="2"/>
        <tr r="R58" s="2"/>
      </tp>
      <tp>
        <v>3</v>
        <stp/>
        <stp>VOLUME</stp>
        <stp>.QQQ250930C490</stp>
        <tr r="R58" s="2"/>
        <tr r="R58" s="2"/>
      </tp>
      <tp>
        <v>2</v>
        <stp/>
        <stp>VOLUME</stp>
        <stp>.QQQ250930P491</stp>
        <tr r="R57" s="2"/>
        <tr r="R57" s="2"/>
      </tp>
      <tp t="s">
        <v>N/A</v>
        <stp/>
        <stp>VOLUME</stp>
        <stp>.QQQ250930C491</stp>
        <tr r="R57" s="2"/>
      </tp>
      <tp>
        <v>1</v>
        <stp/>
        <stp>VOLUME</stp>
        <stp>.QQQ250930P492</stp>
        <tr r="R56" s="2"/>
        <tr r="R56" s="2"/>
      </tp>
      <tp>
        <v>6</v>
        <stp/>
        <stp>VOLUME</stp>
        <stp>.QQQ250930C492</stp>
        <tr r="R56" s="2"/>
        <tr r="R56" s="2"/>
      </tp>
      <tp>
        <v>3</v>
        <stp/>
        <stp>VOLUME</stp>
        <stp>.QQQ250930P493</stp>
        <tr r="R55" s="2"/>
        <tr r="R55" s="2"/>
      </tp>
      <tp t="s">
        <v>N/A</v>
        <stp/>
        <stp>VOLUME</stp>
        <stp>.QQQ250930C493</stp>
        <tr r="R55" s="2"/>
      </tp>
      <tp t="s">
        <v>N/A</v>
        <stp/>
        <stp>VOLUME</stp>
        <stp>.QQQ250930P498</stp>
        <tr r="R50" s="2"/>
      </tp>
      <tp t="s">
        <v>N/A</v>
        <stp/>
        <stp>VOLUME</stp>
        <stp>.QQQ250930C498</stp>
        <tr r="R50" s="2"/>
      </tp>
      <tp t="s">
        <v>N/A</v>
        <stp/>
        <stp>VOLUME</stp>
        <stp>.QQQ250930P499</stp>
        <tr r="R49" s="2"/>
      </tp>
      <tp>
        <v>2</v>
        <stp/>
        <stp>VOLUME</stp>
        <stp>.QQQ250930C499</stp>
        <tr r="R49" s="2"/>
        <tr r="R49" s="2"/>
      </tp>
      <tp t="s">
        <v>N/A</v>
        <stp/>
        <stp>VOLUME</stp>
        <stp>.QQQ250815P501</stp>
        <tr r="O47" s="2"/>
      </tp>
      <tp t="s">
        <v>N/A</v>
        <stp/>
        <stp>VOLUME</stp>
        <stp>.QQQ250815C501</stp>
        <tr r="O47" s="2"/>
      </tp>
      <tp>
        <v>114</v>
        <stp/>
        <stp>VOLUME</stp>
        <stp>.QQQ250815P500</stp>
        <tr r="O48" s="2"/>
        <tr r="O48" s="2"/>
      </tp>
      <tp>
        <v>391</v>
        <stp/>
        <stp>VOLUME</stp>
        <stp>.QQQ250815C500</stp>
        <tr r="O48" s="2"/>
        <tr r="O48" s="2"/>
      </tp>
      <tp t="s">
        <v>N/A</v>
        <stp/>
        <stp>VOLUME</stp>
        <stp>.QQQ250815P502</stp>
        <tr r="O46" s="2"/>
      </tp>
      <tp t="s">
        <v>N/A</v>
        <stp/>
        <stp>VOLUME</stp>
        <stp>.QQQ250815C502</stp>
        <tr r="O46" s="2"/>
      </tp>
      <tp t="s">
        <v>N/A</v>
        <stp/>
        <stp>VOLUME</stp>
        <stp>.QQQ250829P501</stp>
        <tr r="P47" s="2"/>
      </tp>
      <tp t="s">
        <v>N/A</v>
        <stp/>
        <stp>VOLUME</stp>
        <stp>.QQQ250829C501</stp>
        <tr r="P47" s="2"/>
      </tp>
      <tp t="s">
        <v>N/A</v>
        <stp/>
        <stp>VOLUME</stp>
        <stp>.QQQ250829P500</stp>
        <tr r="P48" s="2"/>
      </tp>
      <tp>
        <v>65</v>
        <stp/>
        <stp>VOLUME</stp>
        <stp>.QQQ250829C500</stp>
        <tr r="P48" s="2"/>
        <tr r="P48" s="2"/>
      </tp>
      <tp t="s">
        <v>N/A</v>
        <stp/>
        <stp>VOLUME</stp>
        <stp>.QQQ250829P502</stp>
        <tr r="P46" s="2"/>
      </tp>
      <tp t="s">
        <v>N/A</v>
        <stp/>
        <stp>VOLUME</stp>
        <stp>.QQQ250829C502</stp>
        <tr r="P46" s="2"/>
      </tp>
      <tp>
        <v>5</v>
        <stp/>
        <stp>VOLUME</stp>
        <stp>.SPY251031P567</stp>
        <tr r="T20" s="2"/>
        <tr r="T20" s="2"/>
      </tp>
      <tp>
        <v>3</v>
        <stp/>
        <stp>VOLUME</stp>
        <stp>.SPY251031C567</stp>
        <tr r="T20" s="2"/>
        <tr r="T20" s="2"/>
      </tp>
      <tp>
        <v>3</v>
        <stp/>
        <stp>VOLUME</stp>
        <stp>.SPY251031P566</stp>
        <tr r="T21" s="2"/>
        <tr r="T21" s="2"/>
      </tp>
      <tp>
        <v>3</v>
        <stp/>
        <stp>VOLUME</stp>
        <stp>.SPY251031C566</stp>
        <tr r="T21" s="2"/>
        <tr r="T21" s="2"/>
      </tp>
      <tp>
        <v>70</v>
        <stp/>
        <stp>VOLUME</stp>
        <stp>.SPY251031P565</stp>
        <tr r="T22" s="2"/>
        <tr r="T22" s="2"/>
      </tp>
      <tp>
        <v>34</v>
        <stp/>
        <stp>VOLUME</stp>
        <stp>.SPY251031C565</stp>
        <tr r="T22" s="2"/>
        <tr r="T22" s="2"/>
      </tp>
      <tp>
        <v>112</v>
        <stp/>
        <stp>VOLUME</stp>
        <stp>.SPY251031P564</stp>
        <tr r="T23" s="2"/>
        <tr r="T23" s="2"/>
      </tp>
      <tp>
        <v>11</v>
        <stp/>
        <stp>VOLUME</stp>
        <stp>.SPY251031C564</stp>
        <tr r="T23" s="2"/>
        <tr r="T23" s="2"/>
      </tp>
      <tp>
        <v>2</v>
        <stp/>
        <stp>VOLUME</stp>
        <stp>.SPY251031P563</stp>
        <tr r="T24" s="2"/>
        <tr r="T24" s="2"/>
      </tp>
      <tp t="s">
        <v>N/A</v>
        <stp/>
        <stp>VOLUME</stp>
        <stp>.SPY251031C563</stp>
        <tr r="T24" s="2"/>
      </tp>
      <tp>
        <v>10</v>
        <stp/>
        <stp>VOLUME</stp>
        <stp>.SPY251031P562</stp>
        <tr r="T25" s="2"/>
        <tr r="T25" s="2"/>
      </tp>
      <tp t="s">
        <v>N/A</v>
        <stp/>
        <stp>VOLUME</stp>
        <stp>.SPY251031C562</stp>
        <tr r="T25" s="2"/>
      </tp>
      <tp>
        <v>14</v>
        <stp/>
        <stp>VOLUME</stp>
        <stp>.SPY251031P561</stp>
        <tr r="T26" s="2"/>
        <tr r="T26" s="2"/>
      </tp>
      <tp>
        <v>1</v>
        <stp/>
        <stp>VOLUME</stp>
        <stp>.SPY251031C561</stp>
        <tr r="T26" s="2"/>
        <tr r="T26" s="2"/>
      </tp>
      <tp>
        <v>61</v>
        <stp/>
        <stp>VOLUME</stp>
        <stp>.SPY251031P560</stp>
        <tr r="T27" s="2"/>
        <tr r="T27" s="2"/>
      </tp>
      <tp>
        <v>30</v>
        <stp/>
        <stp>VOLUME</stp>
        <stp>.SPY251031C560</stp>
        <tr r="T27" s="2"/>
        <tr r="T27" s="2"/>
      </tp>
      <tp t="s">
        <v>N/A</v>
        <stp/>
        <stp>VOLUME</stp>
        <stp>.SPY251017P549</stp>
        <tr r="S38" s="2"/>
      </tp>
      <tp t="s">
        <v>N/A</v>
        <stp/>
        <stp>VOLUME</stp>
        <stp>.SPY251017C549</stp>
        <tr r="S38" s="2"/>
      </tp>
      <tp t="s">
        <v>N/A</v>
        <stp/>
        <stp>VOLUME</stp>
        <stp>.SPY251017P548</stp>
        <tr r="S39" s="2"/>
      </tp>
      <tp t="s">
        <v>N/A</v>
        <stp/>
        <stp>VOLUME</stp>
        <stp>.SPY251017C548</stp>
        <tr r="S39" s="2"/>
      </tp>
      <tp t="s">
        <v>N/A</v>
        <stp/>
        <stp>VOLUME</stp>
        <stp>.QQQ250930P468</stp>
        <tr r="R80" s="2"/>
      </tp>
      <tp t="s">
        <v>N/A</v>
        <stp/>
        <stp>VOLUME</stp>
        <stp>.QQQ250930C468</stp>
        <tr r="R80" s="2"/>
      </tp>
      <tp t="s">
        <v>N/A</v>
        <stp/>
        <stp>VOLUME</stp>
        <stp>.QQQ250930P469</stp>
        <tr r="R79" s="2"/>
      </tp>
      <tp t="s">
        <v>N/A</v>
        <stp/>
        <stp>VOLUME</stp>
        <stp>.QQQ250930C469</stp>
        <tr r="R79" s="2"/>
      </tp>
      <tp>
        <v>12</v>
        <stp/>
        <stp>VOLUME</stp>
        <stp>.SPY251031P569</stp>
        <tr r="T18" s="2"/>
        <tr r="T18" s="2"/>
      </tp>
      <tp>
        <v>3</v>
        <stp/>
        <stp>VOLUME</stp>
        <stp>.SPY251031C569</stp>
        <tr r="T18" s="2"/>
        <tr r="T18" s="2"/>
      </tp>
      <tp>
        <v>13</v>
        <stp/>
        <stp>VOLUME</stp>
        <stp>.SPY251031P568</stp>
        <tr r="T19" s="2"/>
        <tr r="T19" s="2"/>
      </tp>
      <tp>
        <v>1</v>
        <stp/>
        <stp>VOLUME</stp>
        <stp>.SPY251031C568</stp>
        <tr r="T19" s="2"/>
        <tr r="T19" s="2"/>
      </tp>
      <tp>
        <v>27</v>
        <stp/>
        <stp>VOLUME</stp>
        <stp>.QQQ250930P474</stp>
        <tr r="R74" s="2"/>
        <tr r="R74" s="2"/>
      </tp>
      <tp t="s">
        <v>N/A</v>
        <stp/>
        <stp>VOLUME</stp>
        <stp>.SPY251017P551</stp>
        <tr r="S36" s="2"/>
      </tp>
      <tp t="s">
        <v>N/A</v>
        <stp/>
        <stp>VOLUME</stp>
        <stp>.SPY251031P577</stp>
        <tr r="T10" s="2"/>
      </tp>
      <tp>
        <v>2</v>
        <stp/>
        <stp>VOLUME</stp>
        <stp>.QQQ250930C474</stp>
        <tr r="R74" s="2"/>
        <tr r="R74" s="2"/>
      </tp>
      <tp t="s">
        <v>N/A</v>
        <stp/>
        <stp>VOLUME</stp>
        <stp>.SPY251017C551</stp>
        <tr r="S36" s="2"/>
      </tp>
      <tp t="s">
        <v>N/A</v>
        <stp/>
        <stp>VOLUME</stp>
        <stp>.SPY251031C577</stp>
        <tr r="T10" s="2"/>
      </tp>
      <tp>
        <v>36</v>
        <stp/>
        <stp>VOLUME</stp>
        <stp>.QQQ250930P475</stp>
        <tr r="R73" s="2"/>
        <tr r="R73" s="2"/>
      </tp>
      <tp t="s">
        <v>N/A</v>
        <stp/>
        <stp>VOLUME</stp>
        <stp>.SPY251017P550</stp>
        <tr r="S37" s="2"/>
      </tp>
      <tp t="s">
        <v>N/A</v>
        <stp/>
        <stp>VOLUME</stp>
        <stp>.SPY251031P576</stp>
        <tr r="T11" s="2"/>
      </tp>
      <tp>
        <v>11</v>
        <stp/>
        <stp>VOLUME</stp>
        <stp>.QQQ250930C475</stp>
        <tr r="R73" s="2"/>
        <tr r="R73" s="2"/>
      </tp>
      <tp t="s">
        <v>N/A</v>
        <stp/>
        <stp>VOLUME</stp>
        <stp>.SPY251017C550</stp>
        <tr r="S37" s="2"/>
      </tp>
      <tp t="s">
        <v>N/A</v>
        <stp/>
        <stp>VOLUME</stp>
        <stp>.SPY251031C576</stp>
        <tr r="T11" s="2"/>
      </tp>
      <tp>
        <v>42</v>
        <stp/>
        <stp>VOLUME</stp>
        <stp>.QQQ250930P476</stp>
        <tr r="R72" s="2"/>
        <tr r="R72" s="2"/>
      </tp>
      <tp t="s">
        <v>N/A</v>
        <stp/>
        <stp>VOLUME</stp>
        <stp>.SPY251017P553</stp>
        <tr r="S34" s="2"/>
      </tp>
      <tp>
        <v>10</v>
        <stp/>
        <stp>VOLUME</stp>
        <stp>.SPY251031P575</stp>
        <tr r="T12" s="2"/>
        <tr r="T12" s="2"/>
      </tp>
      <tp t="s">
        <v>N/A</v>
        <stp/>
        <stp>VOLUME</stp>
        <stp>.QQQ250930C476</stp>
        <tr r="R72" s="2"/>
      </tp>
      <tp t="s">
        <v>N/A</v>
        <stp/>
        <stp>VOLUME</stp>
        <stp>.SPY251017C553</stp>
        <tr r="S34" s="2"/>
      </tp>
      <tp>
        <v>9</v>
        <stp/>
        <stp>VOLUME</stp>
        <stp>.SPY251031C575</stp>
        <tr r="T12" s="2"/>
        <tr r="T12" s="2"/>
      </tp>
      <tp>
        <v>1</v>
        <stp/>
        <stp>VOLUME</stp>
        <stp>.QQQ250930P477</stp>
        <tr r="R71" s="2"/>
        <tr r="R71" s="2"/>
      </tp>
      <tp t="s">
        <v>N/A</v>
        <stp/>
        <stp>VOLUME</stp>
        <stp>.SPY251017P552</stp>
        <tr r="S35" s="2"/>
      </tp>
      <tp t="s">
        <v>N/A</v>
        <stp/>
        <stp>VOLUME</stp>
        <stp>.SPY251031P574</stp>
        <tr r="T13" s="2"/>
      </tp>
      <tp>
        <v>1</v>
        <stp/>
        <stp>VOLUME</stp>
        <stp>.QQQ250930C477</stp>
        <tr r="R71" s="2"/>
        <tr r="R71" s="2"/>
      </tp>
      <tp t="s">
        <v>N/A</v>
        <stp/>
        <stp>VOLUME</stp>
        <stp>.SPY251017C552</stp>
        <tr r="S35" s="2"/>
      </tp>
      <tp t="s">
        <v>N/A</v>
        <stp/>
        <stp>VOLUME</stp>
        <stp>.SPY251031C574</stp>
        <tr r="T13" s="2"/>
      </tp>
      <tp>
        <v>16</v>
        <stp/>
        <stp>VOLUME</stp>
        <stp>.QQQ250930P470</stp>
        <tr r="R78" s="2"/>
        <tr r="R78" s="2"/>
      </tp>
      <tp t="s">
        <v>N/A</v>
        <stp/>
        <stp>VOLUME</stp>
        <stp>.SPY251017P555</stp>
        <tr r="S32" s="2"/>
      </tp>
      <tp t="s">
        <v>N/A</v>
        <stp/>
        <stp>VOLUME</stp>
        <stp>.SPY251031P573</stp>
        <tr r="T14" s="2"/>
      </tp>
      <tp>
        <v>1</v>
        <stp/>
        <stp>VOLUME</stp>
        <stp>.QQQ250930C470</stp>
        <tr r="R78" s="2"/>
        <tr r="R78" s="2"/>
      </tp>
      <tp t="s">
        <v>N/A</v>
        <stp/>
        <stp>VOLUME</stp>
        <stp>.SPY251017C555</stp>
        <tr r="S32" s="2"/>
      </tp>
      <tp t="s">
        <v>N/A</v>
        <stp/>
        <stp>VOLUME</stp>
        <stp>.SPY251031C573</stp>
        <tr r="T14" s="2"/>
      </tp>
      <tp t="s">
        <v>N/A</v>
        <stp/>
        <stp>VOLUME</stp>
        <stp>.QQQ250930P471</stp>
        <tr r="R77" s="2"/>
      </tp>
      <tp t="s">
        <v>N/A</v>
        <stp/>
        <stp>VOLUME</stp>
        <stp>.SPY251017P554</stp>
        <tr r="S33" s="2"/>
      </tp>
      <tp>
        <v>12</v>
        <stp/>
        <stp>VOLUME</stp>
        <stp>.SPY251031P572</stp>
        <tr r="T15" s="2"/>
        <tr r="T15" s="2"/>
      </tp>
      <tp>
        <v>4</v>
        <stp/>
        <stp>VOLUME</stp>
        <stp>.QQQ250930C471</stp>
        <tr r="R77" s="2"/>
        <tr r="R77" s="2"/>
      </tp>
      <tp t="s">
        <v>N/A</v>
        <stp/>
        <stp>VOLUME</stp>
        <stp>.SPY251017C554</stp>
        <tr r="S33" s="2"/>
      </tp>
      <tp t="s">
        <v>N/A</v>
        <stp/>
        <stp>VOLUME</stp>
        <stp>.SPY251031C572</stp>
        <tr r="T15" s="2"/>
      </tp>
      <tp t="s">
        <v>N/A</v>
        <stp/>
        <stp>VOLUME</stp>
        <stp>.QQQ250930P472</stp>
        <tr r="R76" s="2"/>
      </tp>
      <tp t="s">
        <v>N/A</v>
        <stp/>
        <stp>VOLUME</stp>
        <stp>.SPY251017P557</stp>
        <tr r="S30" s="2"/>
      </tp>
      <tp>
        <v>1</v>
        <stp/>
        <stp>VOLUME</stp>
        <stp>.SPY251031P571</stp>
        <tr r="T16" s="2"/>
        <tr r="T16" s="2"/>
      </tp>
      <tp t="s">
        <v>N/A</v>
        <stp/>
        <stp>VOLUME</stp>
        <stp>.QQQ250930C472</stp>
        <tr r="R76" s="2"/>
      </tp>
      <tp t="s">
        <v>N/A</v>
        <stp/>
        <stp>VOLUME</stp>
        <stp>.SPY251017C557</stp>
        <tr r="S30" s="2"/>
      </tp>
      <tp t="s">
        <v>N/A</v>
        <stp/>
        <stp>VOLUME</stp>
        <stp>.SPY251031C571</stp>
        <tr r="T16" s="2"/>
      </tp>
      <tp t="s">
        <v>N/A</v>
        <stp/>
        <stp>VOLUME</stp>
        <stp>.QQQ250930P473</stp>
        <tr r="R75" s="2"/>
      </tp>
      <tp t="s">
        <v>N/A</v>
        <stp/>
        <stp>VOLUME</stp>
        <stp>.SPY251017P556</stp>
        <tr r="S31" s="2"/>
      </tp>
      <tp>
        <v>47</v>
        <stp/>
        <stp>VOLUME</stp>
        <stp>.SPY251031P570</stp>
        <tr r="T17" s="2"/>
        <tr r="T17" s="2"/>
      </tp>
      <tp t="s">
        <v>N/A</v>
        <stp/>
        <stp>VOLUME</stp>
        <stp>.QQQ250930C473</stp>
        <tr r="R75" s="2"/>
      </tp>
      <tp t="s">
        <v>N/A</v>
        <stp/>
        <stp>VOLUME</stp>
        <stp>.SPY251017C556</stp>
        <tr r="S31" s="2"/>
      </tp>
      <tp>
        <v>14</v>
        <stp/>
        <stp>VOLUME</stp>
        <stp>.SPY251031C570</stp>
        <tr r="T17" s="2"/>
        <tr r="T17" s="2"/>
      </tp>
      <tp t="s">
        <v>N/A</v>
        <stp/>
        <stp>VOLUME</stp>
        <stp>.SPY251017P559</stp>
        <tr r="S28" s="2"/>
      </tp>
      <tp t="s">
        <v>N/A</v>
        <stp/>
        <stp>VOLUME</stp>
        <stp>.SPY251017C559</stp>
        <tr r="S28" s="2"/>
      </tp>
      <tp t="s">
        <v>N/A</v>
        <stp/>
        <stp>VOLUME</stp>
        <stp>.SPY251017P558</stp>
        <tr r="S29" s="2"/>
      </tp>
      <tp t="s">
        <v>N/A</v>
        <stp/>
        <stp>VOLUME</stp>
        <stp>.SPY251017C558</stp>
        <tr r="S29" s="2"/>
      </tp>
      <tp>
        <v>14</v>
        <stp/>
        <stp>VOLUME</stp>
        <stp>.QQQ250930P478</stp>
        <tr r="R70" s="2"/>
        <tr r="R70" s="2"/>
      </tp>
      <tp t="s">
        <v>N/A</v>
        <stp/>
        <stp>VOLUME</stp>
        <stp>.QQQ250930C478</stp>
        <tr r="R70" s="2"/>
      </tp>
      <tp>
        <v>1</v>
        <stp/>
        <stp>VOLUME</stp>
        <stp>.QQQ250930P479</stp>
        <tr r="R69" s="2"/>
        <tr r="R69" s="2"/>
      </tp>
      <tp t="s">
        <v>N/A</v>
        <stp/>
        <stp>VOLUME</stp>
        <stp>.QQQ250930C479</stp>
        <tr r="R69" s="2"/>
      </tp>
      <tp t="s">
        <v>N/A</v>
        <stp/>
        <stp>VOLUME</stp>
        <stp>.SPY251031P579</stp>
        <tr r="T8" s="2"/>
      </tp>
      <tp t="s">
        <v>N/A</v>
        <stp/>
        <stp>VOLUME</stp>
        <stp>.SPY251031C579</stp>
        <tr r="T8" s="2"/>
      </tp>
      <tp t="s">
        <v>N/A</v>
        <stp/>
        <stp>VOLUME</stp>
        <stp>.SPY251031P578</stp>
        <tr r="T9" s="2"/>
      </tp>
      <tp t="s">
        <v>N/A</v>
        <stp/>
        <stp>VOLUME</stp>
        <stp>.SPY251031C578</stp>
        <tr r="T9" s="2"/>
      </tp>
      <tp t="s">
        <v>N/A</v>
        <stp/>
        <stp>VOLUME</stp>
        <stp>.SPY251017P561</stp>
        <tr r="S26" s="2"/>
      </tp>
      <tp t="s">
        <v>N/A</v>
        <stp/>
        <stp>VOLUME</stp>
        <stp>.SPY251017C561</stp>
        <tr r="S26" s="2"/>
      </tp>
      <tp t="s">
        <v>N/A</v>
        <stp/>
        <stp>VOLUME</stp>
        <stp>.SPY251017P560</stp>
        <tr r="S27" s="2"/>
      </tp>
      <tp t="s">
        <v>N/A</v>
        <stp/>
        <stp>VOLUME</stp>
        <stp>.SPY251017C560</stp>
        <tr r="S27" s="2"/>
      </tp>
      <tp t="s">
        <v>N/A</v>
        <stp/>
        <stp>VOLUME</stp>
        <stp>.SPY251017P563</stp>
        <tr r="S24" s="2"/>
      </tp>
      <tp t="s">
        <v>N/A</v>
        <stp/>
        <stp>VOLUME</stp>
        <stp>.SPY251017C563</stp>
        <tr r="S24" s="2"/>
      </tp>
      <tp t="s">
        <v>N/A</v>
        <stp/>
        <stp>VOLUME</stp>
        <stp>.SPY251017P562</stp>
        <tr r="S25" s="2"/>
      </tp>
      <tp t="s">
        <v>N/A</v>
        <stp/>
        <stp>VOLUME</stp>
        <stp>.SPY251017C562</stp>
        <tr r="S25" s="2"/>
      </tp>
      <tp t="s">
        <v>N/A</v>
        <stp/>
        <stp>VOLUME</stp>
        <stp>.QQQ250919P469</stp>
        <tr r="Q79" s="2"/>
      </tp>
      <tp t="s">
        <v>N/A</v>
        <stp/>
        <stp>VOLUME</stp>
        <stp>.SPY251017P565</stp>
        <tr r="S22" s="2"/>
      </tp>
      <tp t="s">
        <v>N/A</v>
        <stp/>
        <stp>VOLUME</stp>
        <stp>.QQQ250919C469</stp>
        <tr r="Q79" s="2"/>
      </tp>
      <tp t="s">
        <v>N/A</v>
        <stp/>
        <stp>VOLUME</stp>
        <stp>.SPY251017C565</stp>
        <tr r="S22" s="2"/>
      </tp>
      <tp t="s">
        <v>N/A</v>
        <stp/>
        <stp>VOLUME</stp>
        <stp>.QQQ250919P468</stp>
        <tr r="Q80" s="2"/>
      </tp>
      <tp t="s">
        <v>N/A</v>
        <stp/>
        <stp>VOLUME</stp>
        <stp>.SPY251017P564</stp>
        <tr r="S23" s="2"/>
      </tp>
      <tp t="s">
        <v>N/A</v>
        <stp/>
        <stp>VOLUME</stp>
        <stp>.QQQ250919C468</stp>
        <tr r="Q80" s="2"/>
      </tp>
      <tp t="s">
        <v>N/A</v>
        <stp/>
        <stp>VOLUME</stp>
        <stp>.SPY251017C564</stp>
        <tr r="S23" s="2"/>
      </tp>
      <tp t="s">
        <v>N/A</v>
        <stp/>
        <stp>VOLUME</stp>
        <stp>.SPY251017P567</stp>
        <tr r="S20" s="2"/>
      </tp>
      <tp t="s">
        <v>N/A</v>
        <stp/>
        <stp>VOLUME</stp>
        <stp>.SPY251017C567</stp>
        <tr r="S20" s="2"/>
      </tp>
      <tp t="s">
        <v>N/A</v>
        <stp/>
        <stp>VOLUME</stp>
        <stp>.SPY251017P566</stp>
        <tr r="S21" s="2"/>
      </tp>
      <tp t="s">
        <v>N/A</v>
        <stp/>
        <stp>VOLUME</stp>
        <stp>.SPY251017C566</stp>
        <tr r="S21" s="2"/>
      </tp>
      <tp t="s">
        <v>N/A</v>
        <stp/>
        <stp>VOLUME</stp>
        <stp>.SPY251017P569</stp>
        <tr r="S18" s="2"/>
      </tp>
      <tp t="s">
        <v>N/A</v>
        <stp/>
        <stp>VOLUME</stp>
        <stp>.SPY251017C569</stp>
        <tr r="S18" s="2"/>
      </tp>
      <tp t="s">
        <v>N/A</v>
        <stp/>
        <stp>VOLUME</stp>
        <stp>.SPY251017P568</stp>
        <tr r="S19" s="2"/>
      </tp>
      <tp t="s">
        <v>N/A</v>
        <stp/>
        <stp>VOLUME</stp>
        <stp>.SPY251017C568</stp>
        <tr r="S19" s="2"/>
      </tp>
      <tp>
        <v>3</v>
        <stp/>
        <stp>VOLUME</stp>
        <stp>.SPY251031P549</stp>
        <tr r="T38" s="2"/>
        <tr r="T38" s="2"/>
      </tp>
      <tp t="s">
        <v>N/A</v>
        <stp/>
        <stp>VOLUME</stp>
        <stp>.SPY251031C549</stp>
        <tr r="T38" s="2"/>
      </tp>
      <tp t="s">
        <v>N/A</v>
        <stp/>
        <stp>VOLUME</stp>
        <stp>.SPY251031P548</stp>
        <tr r="T39" s="2"/>
      </tp>
      <tp t="s">
        <v>N/A</v>
        <stp/>
        <stp>VOLUME</stp>
        <stp>.SPY251031C548</stp>
        <tr r="T39" s="2"/>
      </tp>
      <tp t="s">
        <v>N/A</v>
        <stp/>
        <stp>VOLUME</stp>
        <stp>.SPY251017P571</stp>
        <tr r="S16" s="2"/>
      </tp>
      <tp>
        <v>5</v>
        <stp/>
        <stp>VOLUME</stp>
        <stp>.SPY251031P557</stp>
        <tr r="T30" s="2"/>
        <tr r="T30" s="2"/>
      </tp>
      <tp t="s">
        <v>N/A</v>
        <stp/>
        <stp>VOLUME</stp>
        <stp>.SPY251017C571</stp>
        <tr r="S16" s="2"/>
      </tp>
      <tp t="s">
        <v>N/A</v>
        <stp/>
        <stp>VOLUME</stp>
        <stp>.SPY251031C557</stp>
        <tr r="T30" s="2"/>
      </tp>
      <tp t="s">
        <v>N/A</v>
        <stp/>
        <stp>VOLUME</stp>
        <stp>.SPY251017P570</stp>
        <tr r="S17" s="2"/>
      </tp>
      <tp>
        <v>7</v>
        <stp/>
        <stp>VOLUME</stp>
        <stp>.SPY251031P556</stp>
        <tr r="T31" s="2"/>
        <tr r="T31" s="2"/>
      </tp>
      <tp t="s">
        <v>N/A</v>
        <stp/>
        <stp>VOLUME</stp>
        <stp>.SPY251017C570</stp>
        <tr r="S17" s="2"/>
      </tp>
      <tp t="s">
        <v>N/A</v>
        <stp/>
        <stp>VOLUME</stp>
        <stp>.SPY251031C556</stp>
        <tr r="T31" s="2"/>
      </tp>
      <tp t="s">
        <v>N/A</v>
        <stp/>
        <stp>VOLUME</stp>
        <stp>.SPY251017P573</stp>
        <tr r="S14" s="2"/>
      </tp>
      <tp>
        <v>84</v>
        <stp/>
        <stp>VOLUME</stp>
        <stp>.SPY251031P555</stp>
        <tr r="T32" s="2"/>
        <tr r="T32" s="2"/>
      </tp>
      <tp t="s">
        <v>N/A</v>
        <stp/>
        <stp>VOLUME</stp>
        <stp>.SPY251017C573</stp>
        <tr r="S14" s="2"/>
      </tp>
      <tp>
        <v>2</v>
        <stp/>
        <stp>VOLUME</stp>
        <stp>.SPY251031C555</stp>
        <tr r="T32" s="2"/>
        <tr r="T32" s="2"/>
      </tp>
      <tp t="s">
        <v>N/A</v>
        <stp/>
        <stp>VOLUME</stp>
        <stp>.SPY251017P572</stp>
        <tr r="S15" s="2"/>
      </tp>
      <tp>
        <v>6</v>
        <stp/>
        <stp>VOLUME</stp>
        <stp>.SPY251031P554</stp>
        <tr r="T33" s="2"/>
        <tr r="T33" s="2"/>
      </tp>
      <tp t="s">
        <v>N/A</v>
        <stp/>
        <stp>VOLUME</stp>
        <stp>.SPY251017C572</stp>
        <tr r="S15" s="2"/>
      </tp>
      <tp t="s">
        <v>N/A</v>
        <stp/>
        <stp>VOLUME</stp>
        <stp>.SPY251031C554</stp>
        <tr r="T33" s="2"/>
      </tp>
      <tp t="s">
        <v>N/A</v>
        <stp/>
        <stp>VOLUME</stp>
        <stp>.QQQ250919P479</stp>
        <tr r="Q69" s="2"/>
      </tp>
      <tp t="s">
        <v>N/A</v>
        <stp/>
        <stp>VOLUME</stp>
        <stp>.SPY251017P575</stp>
        <tr r="S12" s="2"/>
      </tp>
      <tp>
        <v>3</v>
        <stp/>
        <stp>VOLUME</stp>
        <stp>.SPY251031P553</stp>
        <tr r="T34" s="2"/>
        <tr r="T34" s="2"/>
      </tp>
      <tp t="s">
        <v>N/A</v>
        <stp/>
        <stp>VOLUME</stp>
        <stp>.QQQ250919C479</stp>
        <tr r="Q69" s="2"/>
      </tp>
      <tp t="s">
        <v>N/A</v>
        <stp/>
        <stp>VOLUME</stp>
        <stp>.SPY251017C575</stp>
        <tr r="S12" s="2"/>
      </tp>
      <tp t="s">
        <v>N/A</v>
        <stp/>
        <stp>VOLUME</stp>
        <stp>.SPY251031C553</stp>
        <tr r="T34" s="2"/>
      </tp>
      <tp t="s">
        <v>N/A</v>
        <stp/>
        <stp>VOLUME</stp>
        <stp>.QQQ250919P478</stp>
        <tr r="Q70" s="2"/>
      </tp>
      <tp t="s">
        <v>N/A</v>
        <stp/>
        <stp>VOLUME</stp>
        <stp>.SPY251017P574</stp>
        <tr r="S13" s="2"/>
      </tp>
      <tp>
        <v>2</v>
        <stp/>
        <stp>VOLUME</stp>
        <stp>.SPY251031P552</stp>
        <tr r="T35" s="2"/>
        <tr r="T35" s="2"/>
      </tp>
      <tp t="s">
        <v>N/A</v>
        <stp/>
        <stp>VOLUME</stp>
        <stp>.QQQ250919C478</stp>
        <tr r="Q70" s="2"/>
      </tp>
      <tp t="s">
        <v>N/A</v>
        <stp/>
        <stp>VOLUME</stp>
        <stp>.SPY251017C574</stp>
        <tr r="S13" s="2"/>
      </tp>
      <tp t="s">
        <v>N/A</v>
        <stp/>
        <stp>VOLUME</stp>
        <stp>.SPY251031C552</stp>
        <tr r="T35" s="2"/>
      </tp>
      <tp t="s">
        <v>N/A</v>
        <stp/>
        <stp>VOLUME</stp>
        <stp>.SPY251017P577</stp>
        <tr r="S10" s="2"/>
      </tp>
      <tp>
        <v>4</v>
        <stp/>
        <stp>VOLUME</stp>
        <stp>.SPY251031P551</stp>
        <tr r="T36" s="2"/>
        <tr r="T36" s="2"/>
      </tp>
      <tp t="s">
        <v>N/A</v>
        <stp/>
        <stp>VOLUME</stp>
        <stp>.SPY251017C577</stp>
        <tr r="S10" s="2"/>
      </tp>
      <tp t="s">
        <v>N/A</v>
        <stp/>
        <stp>VOLUME</stp>
        <stp>.SPY251031C551</stp>
        <tr r="T36" s="2"/>
      </tp>
      <tp t="s">
        <v>N/A</v>
        <stp/>
        <stp>VOLUME</stp>
        <stp>.SPY251017P576</stp>
        <tr r="S11" s="2"/>
      </tp>
      <tp>
        <v>96</v>
        <stp/>
        <stp>VOLUME</stp>
        <stp>.SPY251031P550</stp>
        <tr r="T37" s="2"/>
        <tr r="T37" s="2"/>
      </tp>
      <tp t="s">
        <v>N/A</v>
        <stp/>
        <stp>VOLUME</stp>
        <stp>.SPY251017C576</stp>
        <tr r="S11" s="2"/>
      </tp>
      <tp>
        <v>5</v>
        <stp/>
        <stp>VOLUME</stp>
        <stp>.SPY251031C550</stp>
        <tr r="T37" s="2"/>
        <tr r="T37" s="2"/>
      </tp>
      <tp>
        <v>94</v>
        <stp/>
        <stp>VOLUME</stp>
        <stp>.QQQ250919P475</stp>
        <tr r="Q73" s="2"/>
        <tr r="Q73" s="2"/>
      </tp>
      <tp t="s">
        <v>N/A</v>
        <stp/>
        <stp>VOLUME</stp>
        <stp>.SPY251017P579</stp>
        <tr r="S8" s="2"/>
      </tp>
      <tp>
        <v>20</v>
        <stp/>
        <stp>VOLUME</stp>
        <stp>.QQQ250919C475</stp>
        <tr r="Q73" s="2"/>
        <tr r="Q73" s="2"/>
      </tp>
      <tp t="s">
        <v>N/A</v>
        <stp/>
        <stp>VOLUME</stp>
        <stp>.SPY251017C579</stp>
        <tr r="S8" s="2"/>
      </tp>
      <tp t="s">
        <v>N/A</v>
        <stp/>
        <stp>VOLUME</stp>
        <stp>.QQQ250919P474</stp>
        <tr r="Q74" s="2"/>
      </tp>
      <tp t="s">
        <v>N/A</v>
        <stp/>
        <stp>VOLUME</stp>
        <stp>.SPY251017P578</stp>
        <tr r="S9" s="2"/>
      </tp>
      <tp t="s">
        <v>N/A</v>
        <stp/>
        <stp>VOLUME</stp>
        <stp>.QQQ250919C474</stp>
        <tr r="Q74" s="2"/>
      </tp>
      <tp t="s">
        <v>N/A</v>
        <stp/>
        <stp>VOLUME</stp>
        <stp>.SPY251017C578</stp>
        <tr r="S9" s="2"/>
      </tp>
      <tp t="s">
        <v>N/A</v>
        <stp/>
        <stp>VOLUME</stp>
        <stp>.QQQ250919P477</stp>
        <tr r="Q71" s="2"/>
      </tp>
      <tp t="s">
        <v>N/A</v>
        <stp/>
        <stp>VOLUME</stp>
        <stp>.QQQ250919C477</stp>
        <tr r="Q71" s="2"/>
      </tp>
      <tp t="s">
        <v>N/A</v>
        <stp/>
        <stp>VOLUME</stp>
        <stp>.QQQ250919P476</stp>
        <tr r="Q72" s="2"/>
      </tp>
      <tp t="s">
        <v>N/A</v>
        <stp/>
        <stp>VOLUME</stp>
        <stp>.QQQ250919C476</stp>
        <tr r="Q72" s="2"/>
      </tp>
      <tp t="s">
        <v>N/A</v>
        <stp/>
        <stp>VOLUME</stp>
        <stp>.QQQ250919P471</stp>
        <tr r="Q77" s="2"/>
      </tp>
      <tp t="s">
        <v>N/A</v>
        <stp/>
        <stp>VOLUME</stp>
        <stp>.QQQ250919C471</stp>
        <tr r="Q77" s="2"/>
      </tp>
      <tp>
        <v>510</v>
        <stp/>
        <stp>VOLUME</stp>
        <stp>.QQQ250919P470</stp>
        <tr r="Q78" s="2"/>
        <tr r="Q78" s="2"/>
      </tp>
      <tp>
        <v>32</v>
        <stp/>
        <stp>VOLUME</stp>
        <stp>.QQQ250919C470</stp>
        <tr r="Q78" s="2"/>
        <tr r="Q78" s="2"/>
      </tp>
      <tp t="s">
        <v>N/A</v>
        <stp/>
        <stp>VOLUME</stp>
        <stp>.QQQ250919P473</stp>
        <tr r="Q75" s="2"/>
      </tp>
      <tp>
        <v>2</v>
        <stp/>
        <stp>VOLUME</stp>
        <stp>.SPY251031P559</stp>
        <tr r="T28" s="2"/>
        <tr r="T28" s="2"/>
      </tp>
      <tp t="s">
        <v>N/A</v>
        <stp/>
        <stp>VOLUME</stp>
        <stp>.QQQ250919C473</stp>
        <tr r="Q75" s="2"/>
      </tp>
      <tp>
        <v>1</v>
        <stp/>
        <stp>VOLUME</stp>
        <stp>.SPY251031C559</stp>
        <tr r="T28" s="2"/>
        <tr r="T28" s="2"/>
      </tp>
      <tp t="s">
        <v>N/A</v>
        <stp/>
        <stp>VOLUME</stp>
        <stp>.QQQ250919P472</stp>
        <tr r="Q76" s="2"/>
      </tp>
      <tp>
        <v>12</v>
        <stp/>
        <stp>VOLUME</stp>
        <stp>.SPY251031P558</stp>
        <tr r="T29" s="2"/>
        <tr r="T29" s="2"/>
      </tp>
      <tp t="s">
        <v>N/A</v>
        <stp/>
        <stp>VOLUME</stp>
        <stp>.QQQ250919C472</stp>
        <tr r="Q76" s="2"/>
      </tp>
      <tp>
        <v>5</v>
        <stp/>
        <stp>VOLUME</stp>
        <stp>.SPY251031C558</stp>
        <tr r="T29" s="2"/>
        <tr r="T29" s="2"/>
      </tp>
      <tp>
        <v>0</v>
        <stp/>
        <stp>BID</stp>
        <stp>.SPXW250509C5710</stp>
        <tr r="DE101" s="1"/>
        <tr r="DE101" s="1"/>
      </tp>
      <tp>
        <v>48.2</v>
        <stp/>
        <stp>BID</stp>
        <stp>.SPXW250509P5710</stp>
        <tr r="DF101" s="1"/>
        <tr r="DF101" s="1"/>
      </tp>
      <tp>
        <v>0</v>
        <stp/>
        <stp>BID</stp>
        <stp>.SPXW250509C5700</stp>
        <tr r="DE102" s="1"/>
        <tr r="DE102" s="1"/>
      </tp>
      <tp>
        <v>38.200000000000003</v>
        <stp/>
        <stp>BID</stp>
        <stp>.SPXW250509P5700</stp>
        <tr r="DF102" s="1"/>
        <tr r="DF102" s="1"/>
      </tp>
      <tp>
        <v>0</v>
        <stp/>
        <stp>BID</stp>
        <stp>.SPXW250509C5730</stp>
        <tr r="DE99" s="1"/>
        <tr r="DE99" s="1"/>
      </tp>
      <tp>
        <v>68.2</v>
        <stp/>
        <stp>BID</stp>
        <stp>.SPXW250509P5730</stp>
        <tr r="DF99" s="1"/>
        <tr r="DF99" s="1"/>
      </tp>
      <tp t="s">
        <v>N/A</v>
        <stp/>
        <stp>BID</stp>
        <stp>.SPXW250509C5720</stp>
        <tr r="DE100" s="1"/>
      </tp>
      <tp t="s">
        <v>N/A</v>
        <stp/>
        <stp>BID</stp>
        <stp>.SPXW250509P5720</stp>
        <tr r="DF100" s="1"/>
      </tp>
      <tp>
        <v>0</v>
        <stp/>
        <stp>BID</stp>
        <stp>.SPXW250509C5750</stp>
        <tr r="DE97" s="1"/>
        <tr r="DE97" s="1"/>
      </tp>
      <tp>
        <v>88.2</v>
        <stp/>
        <stp>BID</stp>
        <stp>.SPXW250509P5750</stp>
        <tr r="DF97" s="1"/>
        <tr r="DF97" s="1"/>
      </tp>
      <tp>
        <v>0</v>
        <stp/>
        <stp>BID</stp>
        <stp>.SPXW250509C5740</stp>
        <tr r="DE98" s="1"/>
        <tr r="DE98" s="1"/>
      </tp>
      <tp>
        <v>78.2</v>
        <stp/>
        <stp>BID</stp>
        <stp>.SPXW250509P5740</stp>
        <tr r="DF98" s="1"/>
        <tr r="DF98" s="1"/>
      </tp>
      <tp>
        <v>0</v>
        <stp/>
        <stp>BID</stp>
        <stp>.SPXW250509C5770</stp>
        <tr r="DE95" s="1"/>
        <tr r="DE95" s="1"/>
      </tp>
      <tp>
        <v>107.9</v>
        <stp/>
        <stp>BID</stp>
        <stp>.SPXW250509P5770</stp>
        <tr r="DF95" s="1"/>
        <tr r="DF95" s="1"/>
      </tp>
      <tp>
        <v>0</v>
        <stp/>
        <stp>BID</stp>
        <stp>.SPXW250509C5760</stp>
        <tr r="DE96" s="1"/>
        <tr r="DE96" s="1"/>
      </tp>
      <tp>
        <v>98.2</v>
        <stp/>
        <stp>BID</stp>
        <stp>.SPXW250509P5760</stp>
        <tr r="DF96" s="1"/>
        <tr r="DF96" s="1"/>
      </tp>
      <tp>
        <v>0</v>
        <stp/>
        <stp>BID</stp>
        <stp>.SPXW250509C5790</stp>
        <tr r="DE93" s="1"/>
        <tr r="DE93" s="1"/>
      </tp>
      <tp>
        <v>127.5</v>
        <stp/>
        <stp>BID</stp>
        <stp>.SPXW250509P5790</stp>
        <tr r="DF93" s="1"/>
        <tr r="DF93" s="1"/>
      </tp>
      <tp>
        <v>0</v>
        <stp/>
        <stp>BID</stp>
        <stp>.SPXW250509C5780</stp>
        <tr r="DE94" s="1"/>
        <tr r="DE94" s="1"/>
      </tp>
      <tp>
        <v>117.6</v>
        <stp/>
        <stp>BID</stp>
        <stp>.SPXW250509P5780</stp>
        <tr r="DF94" s="1"/>
        <tr r="DF94" s="1"/>
      </tp>
      <tp>
        <v>52</v>
        <stp/>
        <stp>VOLUME</stp>
        <stp>.QQQ250606P492</stp>
        <tr r="J56" s="2"/>
        <tr r="J56" s="2"/>
      </tp>
      <tp>
        <v>170</v>
        <stp/>
        <stp>VOLUME</stp>
        <stp>.QQQ250606C492</stp>
        <tr r="J56" s="2"/>
        <tr r="J56" s="2"/>
      </tp>
      <tp>
        <v>13</v>
        <stp/>
        <stp>VOLUME</stp>
        <stp>.QQQ250606P493</stp>
        <tr r="J55" s="2"/>
        <tr r="J55" s="2"/>
      </tp>
      <tp>
        <v>52</v>
        <stp/>
        <stp>VOLUME</stp>
        <stp>.QQQ250606C493</stp>
        <tr r="J55" s="2"/>
        <tr r="J55" s="2"/>
      </tp>
      <tp>
        <v>380</v>
        <stp/>
        <stp>VOLUME</stp>
        <stp>.QQQ250606P490</stp>
        <tr r="J58" s="2"/>
        <tr r="J58" s="2"/>
      </tp>
      <tp>
        <v>230</v>
        <stp/>
        <stp>VOLUME</stp>
        <stp>.QQQ250606C490</stp>
        <tr r="J58" s="2"/>
        <tr r="J58" s="2"/>
      </tp>
      <tp>
        <v>26</v>
        <stp/>
        <stp>VOLUME</stp>
        <stp>.QQQ250606P491</stp>
        <tr r="J57" s="2"/>
        <tr r="J57" s="2"/>
      </tp>
      <tp>
        <v>124</v>
        <stp/>
        <stp>VOLUME</stp>
        <stp>.QQQ250606C491</stp>
        <tr r="J57" s="2"/>
        <tr r="J57" s="2"/>
      </tp>
      <tp>
        <v>1</v>
        <stp/>
        <stp>VOLUME</stp>
        <stp>.QQQ250606P496</stp>
        <tr r="J52" s="2"/>
        <tr r="J52" s="2"/>
      </tp>
      <tp>
        <v>29</v>
        <stp/>
        <stp>VOLUME</stp>
        <stp>.QQQ250606C496</stp>
        <tr r="J52" s="2"/>
        <tr r="J52" s="2"/>
      </tp>
      <tp t="s">
        <v>N/A</v>
        <stp/>
        <stp>VOLUME</stp>
        <stp>.QQQ250606P497</stp>
        <tr r="J51" s="2"/>
      </tp>
      <tp>
        <v>117</v>
        <stp/>
        <stp>VOLUME</stp>
        <stp>.QQQ250606C497</stp>
        <tr r="J51" s="2"/>
        <tr r="J51" s="2"/>
      </tp>
      <tp>
        <v>24</v>
        <stp/>
        <stp>VOLUME</stp>
        <stp>.QQQ250606P494</stp>
        <tr r="J54" s="2"/>
        <tr r="J54" s="2"/>
      </tp>
      <tp>
        <v>21</v>
        <stp/>
        <stp>VOLUME</stp>
        <stp>.QQQ250606C494</stp>
        <tr r="J54" s="2"/>
        <tr r="J54" s="2"/>
      </tp>
      <tp>
        <v>4</v>
        <stp/>
        <stp>VOLUME</stp>
        <stp>.QQQ250606P495</stp>
        <tr r="J53" s="2"/>
        <tr r="J53" s="2"/>
      </tp>
      <tp>
        <v>118</v>
        <stp/>
        <stp>VOLUME</stp>
        <stp>.QQQ250606C495</stp>
        <tr r="J53" s="2"/>
        <tr r="J53" s="2"/>
      </tp>
      <tp>
        <v>6</v>
        <stp/>
        <stp>VOLUME</stp>
        <stp>.QQQ250606P498</stp>
        <tr r="J50" s="2"/>
        <tr r="J50" s="2"/>
      </tp>
      <tp>
        <v>3</v>
        <stp/>
        <stp>VOLUME</stp>
        <stp>.QQQ250606C498</stp>
        <tr r="J50" s="2"/>
        <tr r="J50" s="2"/>
      </tp>
      <tp>
        <v>3</v>
        <stp/>
        <stp>VOLUME</stp>
        <stp>.QQQ250606P499</stp>
        <tr r="J49" s="2"/>
        <tr r="J49" s="2"/>
      </tp>
      <tp>
        <v>4</v>
        <stp/>
        <stp>VOLUME</stp>
        <stp>.QQQ250606C499</stp>
        <tr r="J49" s="2"/>
        <tr r="J49" s="2"/>
      </tp>
      <tp>
        <v>107</v>
        <stp/>
        <stp>VOLUME</stp>
        <stp>.QQQ250606P482</stp>
        <tr r="J66" s="2"/>
        <tr r="J66" s="2"/>
      </tp>
      <tp>
        <v>8</v>
        <stp/>
        <stp>VOLUME</stp>
        <stp>.QQQ250606C482</stp>
        <tr r="J66" s="2"/>
        <tr r="J66" s="2"/>
      </tp>
      <tp>
        <v>9</v>
        <stp/>
        <stp>VOLUME</stp>
        <stp>.QQQ250606P483</stp>
        <tr r="J65" s="2"/>
        <tr r="J65" s="2"/>
      </tp>
      <tp>
        <v>6</v>
        <stp/>
        <stp>VOLUME</stp>
        <stp>.QQQ250606C483</stp>
        <tr r="J65" s="2"/>
        <tr r="J65" s="2"/>
      </tp>
      <tp>
        <v>386</v>
        <stp/>
        <stp>VOLUME</stp>
        <stp>.QQQ250606P480</stp>
        <tr r="J68" s="2"/>
        <tr r="J68" s="2"/>
      </tp>
      <tp>
        <v>17</v>
        <stp/>
        <stp>VOLUME</stp>
        <stp>.QQQ250606C480</stp>
        <tr r="J68" s="2"/>
        <tr r="J68" s="2"/>
      </tp>
      <tp>
        <v>16</v>
        <stp/>
        <stp>VOLUME</stp>
        <stp>.QQQ250606P481</stp>
        <tr r="J67" s="2"/>
        <tr r="J67" s="2"/>
      </tp>
      <tp>
        <v>8</v>
        <stp/>
        <stp>VOLUME</stp>
        <stp>.QQQ250606C481</stp>
        <tr r="J67" s="2"/>
        <tr r="J67" s="2"/>
      </tp>
      <tp>
        <v>34</v>
        <stp/>
        <stp>VOLUME</stp>
        <stp>.QQQ250606P486</stp>
        <tr r="J62" s="2"/>
        <tr r="J62" s="2"/>
      </tp>
      <tp>
        <v>6</v>
        <stp/>
        <stp>VOLUME</stp>
        <stp>.QQQ250606C486</stp>
        <tr r="J62" s="2"/>
        <tr r="J62" s="2"/>
      </tp>
      <tp>
        <v>177</v>
        <stp/>
        <stp>VOLUME</stp>
        <stp>.QQQ250606P487</stp>
        <tr r="J61" s="2"/>
        <tr r="J61" s="2"/>
      </tp>
      <tp>
        <v>58</v>
        <stp/>
        <stp>VOLUME</stp>
        <stp>.QQQ250606C487</stp>
        <tr r="J61" s="2"/>
        <tr r="J61" s="2"/>
      </tp>
      <tp>
        <v>4</v>
        <stp/>
        <stp>VOLUME</stp>
        <stp>.QQQ250606P484</stp>
        <tr r="J64" s="2"/>
        <tr r="J64" s="2"/>
      </tp>
      <tp>
        <v>2</v>
        <stp/>
        <stp>VOLUME</stp>
        <stp>.QQQ250606C484</stp>
        <tr r="J64" s="2"/>
        <tr r="J64" s="2"/>
      </tp>
      <tp>
        <v>96</v>
        <stp/>
        <stp>VOLUME</stp>
        <stp>.QQQ250606P485</stp>
        <tr r="J63" s="2"/>
        <tr r="J63" s="2"/>
      </tp>
      <tp>
        <v>36</v>
        <stp/>
        <stp>VOLUME</stp>
        <stp>.QQQ250606C485</stp>
        <tr r="J63" s="2"/>
        <tr r="J63" s="2"/>
      </tp>
      <tp>
        <v>115</v>
        <stp/>
        <stp>VOLUME</stp>
        <stp>.QQQ250606P488</stp>
        <tr r="J60" s="2"/>
        <tr r="J60" s="2"/>
      </tp>
      <tp>
        <v>54</v>
        <stp/>
        <stp>VOLUME</stp>
        <stp>.QQQ250606C488</stp>
        <tr r="J60" s="2"/>
        <tr r="J60" s="2"/>
      </tp>
      <tp>
        <v>66</v>
        <stp/>
        <stp>VOLUME</stp>
        <stp>.QQQ250606P489</stp>
        <tr r="J59" s="2"/>
        <tr r="J59" s="2"/>
      </tp>
      <tp>
        <v>24</v>
        <stp/>
        <stp>VOLUME</stp>
        <stp>.QQQ250606C489</stp>
        <tr r="J59" s="2"/>
        <tr r="J59" s="2"/>
      </tp>
      <tp t="s">
        <v>N/A</v>
        <stp/>
        <stp>VOLUME</stp>
        <stp>.QQQ250620P494</stp>
        <tr r="BF53" s="1"/>
      </tp>
      <tp>
        <v>14</v>
        <stp/>
        <stp>VOLUME</stp>
        <stp>.QQQ250630P484</stp>
        <tr r="L64" s="2"/>
        <tr r="L64" s="2"/>
      </tp>
      <tp t="s">
        <v>N/A</v>
        <stp/>
        <stp>VOLUME</stp>
        <stp>.QQQ250620C494</stp>
        <tr r="BE53" s="1"/>
      </tp>
      <tp>
        <v>14</v>
        <stp/>
        <stp>VOLUME</stp>
        <stp>.QQQ250630C484</stp>
        <tr r="L64" s="2"/>
        <tr r="L64" s="2"/>
      </tp>
      <tp>
        <v>459</v>
        <stp/>
        <stp>VOLUME</stp>
        <stp>.QQQ250620P495</stp>
        <tr r="BF52" s="1"/>
        <tr r="BF52" s="1"/>
      </tp>
      <tp>
        <v>24</v>
        <stp/>
        <stp>VOLUME</stp>
        <stp>.QQQ250630P485</stp>
        <tr r="L63" s="2"/>
        <tr r="L63" s="2"/>
      </tp>
      <tp>
        <v>4934</v>
        <stp/>
        <stp>VOLUME</stp>
        <stp>.QQQ250620C495</stp>
        <tr r="BE52" s="1"/>
        <tr r="BE52" s="1"/>
      </tp>
      <tp>
        <v>27</v>
        <stp/>
        <stp>VOLUME</stp>
        <stp>.QQQ250630C485</stp>
        <tr r="L63" s="2"/>
        <tr r="L63" s="2"/>
      </tp>
      <tp t="s">
        <v>N/A</v>
        <stp/>
        <stp>VOLUME</stp>
        <stp>.QQQ250620P496</stp>
        <tr r="BF51" s="1"/>
      </tp>
      <tp>
        <v>59</v>
        <stp/>
        <stp>VOLUME</stp>
        <stp>.QQQ250630P486</stp>
        <tr r="L62" s="2"/>
        <tr r="L62" s="2"/>
      </tp>
      <tp t="s">
        <v>N/A</v>
        <stp/>
        <stp>VOLUME</stp>
        <stp>.QQQ250620C496</stp>
        <tr r="BE51" s="1"/>
      </tp>
      <tp>
        <v>7</v>
        <stp/>
        <stp>VOLUME</stp>
        <stp>.QQQ250630C486</stp>
        <tr r="L62" s="2"/>
        <tr r="L62" s="2"/>
      </tp>
      <tp t="s">
        <v>N/A</v>
        <stp/>
        <stp>VOLUME</stp>
        <stp>.QQQ250620P497</stp>
        <tr r="BF50" s="1"/>
      </tp>
      <tp>
        <v>37</v>
        <stp/>
        <stp>VOLUME</stp>
        <stp>.QQQ250630P487</stp>
        <tr r="L61" s="2"/>
        <tr r="L61" s="2"/>
      </tp>
      <tp t="s">
        <v>N/A</v>
        <stp/>
        <stp>VOLUME</stp>
        <stp>.QQQ250620C497</stp>
        <tr r="BE50" s="1"/>
      </tp>
      <tp>
        <v>21</v>
        <stp/>
        <stp>VOLUME</stp>
        <stp>.QQQ250630C487</stp>
        <tr r="L61" s="2"/>
        <tr r="L61" s="2"/>
      </tp>
      <tp>
        <v>3753</v>
        <stp/>
        <stp>VOLUME</stp>
        <stp>.QQQ250620P490</stp>
        <tr r="BF57" s="1"/>
        <tr r="BF57" s="1"/>
      </tp>
      <tp>
        <v>210</v>
        <stp/>
        <stp>VOLUME</stp>
        <stp>.QQQ250630P480</stp>
        <tr r="L68" s="2"/>
        <tr r="L68" s="2"/>
      </tp>
      <tp>
        <v>4988</v>
        <stp/>
        <stp>VOLUME</stp>
        <stp>.QQQ250620C490</stp>
        <tr r="BE57" s="1"/>
        <tr r="BE57" s="1"/>
      </tp>
      <tp>
        <v>69</v>
        <stp/>
        <stp>VOLUME</stp>
        <stp>.QQQ250630C480</stp>
        <tr r="L68" s="2"/>
        <tr r="L68" s="2"/>
      </tp>
      <tp t="s">
        <v>N/A</v>
        <stp/>
        <stp>VOLUME</stp>
        <stp>.QQQ250620P491</stp>
        <tr r="BF56" s="1"/>
      </tp>
      <tp>
        <v>18</v>
        <stp/>
        <stp>VOLUME</stp>
        <stp>.QQQ250630P481</stp>
        <tr r="L67" s="2"/>
        <tr r="L67" s="2"/>
      </tp>
      <tp t="s">
        <v>N/A</v>
        <stp/>
        <stp>VOLUME</stp>
        <stp>.QQQ250620C491</stp>
        <tr r="BE56" s="1"/>
      </tp>
      <tp>
        <v>8</v>
        <stp/>
        <stp>VOLUME</stp>
        <stp>.QQQ250630C481</stp>
        <tr r="L67" s="2"/>
        <tr r="L67" s="2"/>
      </tp>
      <tp t="s">
        <v>N/A</v>
        <stp/>
        <stp>VOLUME</stp>
        <stp>.QQQ250620P492</stp>
        <tr r="BF55" s="1"/>
      </tp>
      <tp>
        <v>8</v>
        <stp/>
        <stp>VOLUME</stp>
        <stp>.QQQ250630P482</stp>
        <tr r="L66" s="2"/>
        <tr r="L66" s="2"/>
      </tp>
      <tp t="s">
        <v>N/A</v>
        <stp/>
        <stp>VOLUME</stp>
        <stp>.QQQ250620C492</stp>
        <tr r="BE55" s="1"/>
      </tp>
      <tp>
        <v>11</v>
        <stp/>
        <stp>VOLUME</stp>
        <stp>.QQQ250630C482</stp>
        <tr r="L66" s="2"/>
        <tr r="L66" s="2"/>
      </tp>
      <tp t="s">
        <v>N/A</v>
        <stp/>
        <stp>VOLUME</stp>
        <stp>.QQQ250620P493</stp>
        <tr r="BF54" s="1"/>
      </tp>
      <tp>
        <v>4</v>
        <stp/>
        <stp>VOLUME</stp>
        <stp>.QQQ250630P483</stp>
        <tr r="L65" s="2"/>
        <tr r="L65" s="2"/>
      </tp>
      <tp t="s">
        <v>N/A</v>
        <stp/>
        <stp>VOLUME</stp>
        <stp>.QQQ250620C493</stp>
        <tr r="BE54" s="1"/>
      </tp>
      <tp>
        <v>13</v>
        <stp/>
        <stp>VOLUME</stp>
        <stp>.QQQ250630C483</stp>
        <tr r="L65" s="2"/>
        <tr r="L65" s="2"/>
      </tp>
      <tp t="s">
        <v>N/A</v>
        <stp/>
        <stp>VOLUME</stp>
        <stp>.QQQ250620P498</stp>
        <tr r="BF49" s="1"/>
      </tp>
      <tp>
        <v>26</v>
        <stp/>
        <stp>VOLUME</stp>
        <stp>.QQQ250630P488</stp>
        <tr r="L60" s="2"/>
        <tr r="L60" s="2"/>
      </tp>
      <tp t="s">
        <v>N/A</v>
        <stp/>
        <stp>VOLUME</stp>
        <stp>.QQQ250620C498</stp>
        <tr r="BE49" s="1"/>
      </tp>
      <tp>
        <v>25</v>
        <stp/>
        <stp>VOLUME</stp>
        <stp>.QQQ250630C488</stp>
        <tr r="L60" s="2"/>
        <tr r="L60" s="2"/>
      </tp>
      <tp t="s">
        <v>N/A</v>
        <stp/>
        <stp>VOLUME</stp>
        <stp>.QQQ250620P499</stp>
        <tr r="BF48" s="1"/>
      </tp>
      <tp>
        <v>39</v>
        <stp/>
        <stp>VOLUME</stp>
        <stp>.QQQ250630P489</stp>
        <tr r="L59" s="2"/>
        <tr r="L59" s="2"/>
      </tp>
      <tp t="s">
        <v>N/A</v>
        <stp/>
        <stp>VOLUME</stp>
        <stp>.QQQ250620C499</stp>
        <tr r="BE48" s="1"/>
      </tp>
      <tp>
        <v>33</v>
        <stp/>
        <stp>VOLUME</stp>
        <stp>.QQQ250630C489</stp>
        <tr r="L59" s="2"/>
        <tr r="L59" s="2"/>
      </tp>
      <tp t="s">
        <v>N/A</v>
        <stp/>
        <stp>VOLUME</stp>
        <stp>.QQQ250620P484</stp>
        <tr r="BF63" s="1"/>
      </tp>
      <tp>
        <v>4</v>
        <stp/>
        <stp>VOLUME</stp>
        <stp>.QQQ250630P494</stp>
        <tr r="L54" s="2"/>
        <tr r="L54" s="2"/>
      </tp>
      <tp t="s">
        <v>N/A</v>
        <stp/>
        <stp>VOLUME</stp>
        <stp>.QQQ250620C484</stp>
        <tr r="BE63" s="1"/>
      </tp>
      <tp>
        <v>1</v>
        <stp/>
        <stp>VOLUME</stp>
        <stp>.QQQ250630C494</stp>
        <tr r="L54" s="2"/>
        <tr r="L54" s="2"/>
      </tp>
      <tp>
        <v>1988</v>
        <stp/>
        <stp>VOLUME</stp>
        <stp>.QQQ250620P485</stp>
        <tr r="BF62" s="1"/>
        <tr r="BF62" s="1"/>
      </tp>
      <tp>
        <v>8</v>
        <stp/>
        <stp>VOLUME</stp>
        <stp>.QQQ250630P495</stp>
        <tr r="L53" s="2"/>
        <tr r="L53" s="2"/>
      </tp>
      <tp>
        <v>693</v>
        <stp/>
        <stp>VOLUME</stp>
        <stp>.QQQ250620C485</stp>
        <tr r="BE62" s="1"/>
        <tr r="BE62" s="1"/>
      </tp>
      <tp>
        <v>25</v>
        <stp/>
        <stp>VOLUME</stp>
        <stp>.QQQ250630C495</stp>
        <tr r="L53" s="2"/>
        <tr r="L53" s="2"/>
      </tp>
      <tp t="s">
        <v>N/A</v>
        <stp/>
        <stp>VOLUME</stp>
        <stp>.QQQ250620P486</stp>
        <tr r="BF61" s="1"/>
      </tp>
      <tp>
        <v>9</v>
        <stp/>
        <stp>VOLUME</stp>
        <stp>.QQQ250630P496</stp>
        <tr r="L52" s="2"/>
        <tr r="L52" s="2"/>
      </tp>
      <tp t="s">
        <v>N/A</v>
        <stp/>
        <stp>VOLUME</stp>
        <stp>.QQQ250620C486</stp>
        <tr r="BE61" s="1"/>
      </tp>
      <tp>
        <v>1</v>
        <stp/>
        <stp>VOLUME</stp>
        <stp>.QQQ250630C496</stp>
        <tr r="L52" s="2"/>
        <tr r="L52" s="2"/>
      </tp>
      <tp t="s">
        <v>N/A</v>
        <stp/>
        <stp>VOLUME</stp>
        <stp>.QQQ250620P487</stp>
        <tr r="BF60" s="1"/>
      </tp>
      <tp>
        <v>200</v>
        <stp/>
        <stp>VOLUME</stp>
        <stp>.QQQ250630P497</stp>
        <tr r="L51" s="2"/>
        <tr r="L51" s="2"/>
      </tp>
      <tp t="s">
        <v>N/A</v>
        <stp/>
        <stp>VOLUME</stp>
        <stp>.QQQ250620C487</stp>
        <tr r="BE60" s="1"/>
      </tp>
      <tp>
        <v>9</v>
        <stp/>
        <stp>VOLUME</stp>
        <stp>.QQQ250630C497</stp>
        <tr r="L51" s="2"/>
        <tr r="L51" s="2"/>
      </tp>
      <tp>
        <v>4755</v>
        <stp/>
        <stp>VOLUME</stp>
        <stp>.QQQ250620P480</stp>
        <tr r="BF67" s="1"/>
        <tr r="BF67" s="1"/>
      </tp>
      <tp>
        <v>137</v>
        <stp/>
        <stp>VOLUME</stp>
        <stp>.QQQ250630P490</stp>
        <tr r="L58" s="2"/>
        <tr r="L58" s="2"/>
      </tp>
      <tp>
        <v>235</v>
        <stp/>
        <stp>VOLUME</stp>
        <stp>.QQQ250620C480</stp>
        <tr r="BE67" s="1"/>
        <tr r="BE67" s="1"/>
      </tp>
      <tp>
        <v>131</v>
        <stp/>
        <stp>VOLUME</stp>
        <stp>.QQQ250630C490</stp>
        <tr r="L58" s="2"/>
        <tr r="L58" s="2"/>
      </tp>
      <tp t="s">
        <v>N/A</v>
        <stp/>
        <stp>VOLUME</stp>
        <stp>.QQQ250620P481</stp>
        <tr r="BF66" s="1"/>
      </tp>
      <tp>
        <v>21</v>
        <stp/>
        <stp>VOLUME</stp>
        <stp>.QQQ250630P491</stp>
        <tr r="L57" s="2"/>
        <tr r="L57" s="2"/>
      </tp>
      <tp t="s">
        <v>N/A</v>
        <stp/>
        <stp>VOLUME</stp>
        <stp>.QQQ250620C481</stp>
        <tr r="BE66" s="1"/>
      </tp>
      <tp>
        <v>50</v>
        <stp/>
        <stp>VOLUME</stp>
        <stp>.QQQ250630C491</stp>
        <tr r="L57" s="2"/>
        <tr r="L57" s="2"/>
      </tp>
      <tp t="s">
        <v>N/A</v>
        <stp/>
        <stp>VOLUME</stp>
        <stp>.QQQ250620P482</stp>
        <tr r="BF65" s="1"/>
      </tp>
      <tp>
        <v>7</v>
        <stp/>
        <stp>VOLUME</stp>
        <stp>.QQQ250630P492</stp>
        <tr r="L56" s="2"/>
        <tr r="L56" s="2"/>
      </tp>
      <tp t="s">
        <v>N/A</v>
        <stp/>
        <stp>VOLUME</stp>
        <stp>.QQQ250620C482</stp>
        <tr r="BE65" s="1"/>
      </tp>
      <tp>
        <v>20</v>
        <stp/>
        <stp>VOLUME</stp>
        <stp>.QQQ250630C492</stp>
        <tr r="L56" s="2"/>
        <tr r="L56" s="2"/>
      </tp>
      <tp t="s">
        <v>N/A</v>
        <stp/>
        <stp>VOLUME</stp>
        <stp>.QQQ250620P483</stp>
        <tr r="BF64" s="1"/>
      </tp>
      <tp t="s">
        <v>N/A</v>
        <stp/>
        <stp>VOLUME</stp>
        <stp>.QQQ250630P493</stp>
        <tr r="L55" s="2"/>
      </tp>
      <tp t="s">
        <v>N/A</v>
        <stp/>
        <stp>VOLUME</stp>
        <stp>.QQQ250620C483</stp>
        <tr r="BE64" s="1"/>
      </tp>
      <tp>
        <v>10</v>
        <stp/>
        <stp>VOLUME</stp>
        <stp>.QQQ250630C493</stp>
        <tr r="L55" s="2"/>
        <tr r="L55" s="2"/>
      </tp>
      <tp t="s">
        <v>N/A</v>
        <stp/>
        <stp>VOLUME</stp>
        <stp>.QQQ250620P488</stp>
        <tr r="BF59" s="1"/>
      </tp>
      <tp>
        <v>2</v>
        <stp/>
        <stp>VOLUME</stp>
        <stp>.QQQ250630P498</stp>
        <tr r="L50" s="2"/>
        <tr r="L50" s="2"/>
      </tp>
      <tp t="s">
        <v>N/A</v>
        <stp/>
        <stp>VOLUME</stp>
        <stp>.QQQ250620C488</stp>
        <tr r="BE59" s="1"/>
      </tp>
      <tp t="s">
        <v>N/A</v>
        <stp/>
        <stp>VOLUME</stp>
        <stp>.QQQ250630C498</stp>
        <tr r="L50" s="2"/>
      </tp>
      <tp t="s">
        <v>N/A</v>
        <stp/>
        <stp>VOLUME</stp>
        <stp>.QQQ250620P489</stp>
        <tr r="BF58" s="1"/>
      </tp>
      <tp t="s">
        <v>N/A</v>
        <stp/>
        <stp>VOLUME</stp>
        <stp>.QQQ250630P499</stp>
        <tr r="L49" s="2"/>
      </tp>
      <tp t="s">
        <v>N/A</v>
        <stp/>
        <stp>VOLUME</stp>
        <stp>.QQQ250620C489</stp>
        <tr r="BE58" s="1"/>
      </tp>
      <tp>
        <v>10</v>
        <stp/>
        <stp>VOLUME</stp>
        <stp>.QQQ250630C499</stp>
        <tr r="L49" s="2"/>
        <tr r="L49" s="2"/>
      </tp>
      <tp>
        <v>259</v>
        <stp/>
        <stp>VOLUME</stp>
        <stp>.QQQ250718P500</stp>
        <tr r="M48" s="2"/>
        <tr r="M48" s="2"/>
      </tp>
      <tp>
        <v>418</v>
        <stp/>
        <stp>VOLUME</stp>
        <stp>.QQQ250718C500</stp>
        <tr r="M48" s="2"/>
        <tr r="M48" s="2"/>
      </tp>
      <tp t="s">
        <v>N/A</v>
        <stp/>
        <stp>VOLUME</stp>
        <stp>.QQQ250718P501</stp>
        <tr r="M47" s="2"/>
      </tp>
      <tp t="s">
        <v>N/A</v>
        <stp/>
        <stp>VOLUME</stp>
        <stp>.QQQ250718C501</stp>
        <tr r="M47" s="2"/>
      </tp>
      <tp t="s">
        <v>N/A</v>
        <stp/>
        <stp>VOLUME</stp>
        <stp>.QQQ250718P502</stp>
        <tr r="M46" s="2"/>
      </tp>
      <tp t="s">
        <v>N/A</v>
        <stp/>
        <stp>VOLUME</stp>
        <stp>.QQQ250718C502</stp>
        <tr r="M46" s="2"/>
      </tp>
      <tp t="s">
        <v>N/A</v>
        <stp/>
        <stp>VOLUME</stp>
        <stp>.QQQ250731P501</stp>
        <tr r="N47" s="2"/>
      </tp>
      <tp t="s">
        <v>N/A</v>
        <stp/>
        <stp>VOLUME</stp>
        <stp>.QQQ250731C501</stp>
        <tr r="N47" s="2"/>
      </tp>
      <tp>
        <v>4</v>
        <stp/>
        <stp>VOLUME</stp>
        <stp>.QQQ250731P500</stp>
        <tr r="N48" s="2"/>
        <tr r="N48" s="2"/>
      </tp>
      <tp>
        <v>4037</v>
        <stp/>
        <stp>VOLUME</stp>
        <stp>.QQQ250731C500</stp>
        <tr r="N48" s="2"/>
        <tr r="N48" s="2"/>
      </tp>
      <tp t="s">
        <v>N/A</v>
        <stp/>
        <stp>VOLUME</stp>
        <stp>.QQQ250731P502</stp>
        <tr r="N46" s="2"/>
      </tp>
      <tp>
        <v>3</v>
        <stp/>
        <stp>VOLUME</stp>
        <stp>.QQQ250731C502</stp>
        <tr r="N46" s="2"/>
        <tr r="N46" s="2"/>
      </tp>
      <tp t="s">
        <v>N/A</v>
        <stp/>
        <stp>VOLUME</stp>
        <stp>.QQQ250620P474</stp>
        <tr r="BF73" s="1"/>
      </tp>
      <tp t="s">
        <v>N/A</v>
        <stp/>
        <stp>VOLUME</stp>
        <stp>.QQQ250620C474</stp>
        <tr r="BE73" s="1"/>
      </tp>
      <tp>
        <v>1028</v>
        <stp/>
        <stp>VOLUME</stp>
        <stp>.QQQ250620P475</stp>
        <tr r="BF72" s="1"/>
        <tr r="BF72" s="1"/>
      </tp>
      <tp>
        <v>50</v>
        <stp/>
        <stp>VOLUME</stp>
        <stp>.QQQ250620C475</stp>
        <tr r="BE72" s="1"/>
        <tr r="BE72" s="1"/>
      </tp>
      <tp t="s">
        <v>N/A</v>
        <stp/>
        <stp>VOLUME</stp>
        <stp>.QQQ250620P476</stp>
        <tr r="BF71" s="1"/>
      </tp>
      <tp t="s">
        <v>N/A</v>
        <stp/>
        <stp>VOLUME</stp>
        <stp>.QQQ250620C476</stp>
        <tr r="BE71" s="1"/>
      </tp>
      <tp t="s">
        <v>N/A</v>
        <stp/>
        <stp>VOLUME</stp>
        <stp>.QQQ250620P477</stp>
        <tr r="BF70" s="1"/>
      </tp>
      <tp t="s">
        <v>N/A</v>
        <stp/>
        <stp>VOLUME</stp>
        <stp>.QQQ250620C477</stp>
        <tr r="BE70" s="1"/>
      </tp>
      <tp>
        <v>4935</v>
        <stp/>
        <stp>VOLUME</stp>
        <stp>.QQQ250620P470</stp>
        <tr r="BF77" s="1"/>
        <tr r="BF77" s="1"/>
      </tp>
      <tp>
        <v>417</v>
        <stp/>
        <stp>VOLUME</stp>
        <stp>.QQQ250620C470</stp>
        <tr r="BE77" s="1"/>
        <tr r="BE77" s="1"/>
      </tp>
      <tp t="s">
        <v>N/A</v>
        <stp/>
        <stp>VOLUME</stp>
        <stp>.QQQ250620P471</stp>
        <tr r="BF76" s="1"/>
      </tp>
      <tp t="s">
        <v>N/A</v>
        <stp/>
        <stp>VOLUME</stp>
        <stp>.QQQ250620C471</stp>
        <tr r="BE76" s="1"/>
      </tp>
      <tp t="s">
        <v>N/A</v>
        <stp/>
        <stp>VOLUME</stp>
        <stp>.QQQ250620P472</stp>
        <tr r="BF75" s="1"/>
      </tp>
      <tp t="s">
        <v>N/A</v>
        <stp/>
        <stp>VOLUME</stp>
        <stp>.QQQ250620C472</stp>
        <tr r="BE75" s="1"/>
      </tp>
      <tp t="s">
        <v>N/A</v>
        <stp/>
        <stp>VOLUME</stp>
        <stp>.QQQ250620P473</stp>
        <tr r="BF74" s="1"/>
      </tp>
      <tp t="s">
        <v>N/A</v>
        <stp/>
        <stp>VOLUME</stp>
        <stp>.QQQ250620C473</stp>
        <tr r="BE74" s="1"/>
      </tp>
      <tp t="s">
        <v>N/A</v>
        <stp/>
        <stp>VOLUME</stp>
        <stp>.QQQ250620P478</stp>
        <tr r="BF69" s="1"/>
      </tp>
      <tp>
        <v>1</v>
        <stp/>
        <stp>VOLUME</stp>
        <stp>.QQQ250630P468</stp>
        <tr r="L80" s="2"/>
        <tr r="L80" s="2"/>
      </tp>
      <tp t="s">
        <v>N/A</v>
        <stp/>
        <stp>VOLUME</stp>
        <stp>.QQQ250620C478</stp>
        <tr r="BE69" s="1"/>
      </tp>
      <tp>
        <v>3</v>
        <stp/>
        <stp>VOLUME</stp>
        <stp>.QQQ250630C468</stp>
        <tr r="L80" s="2"/>
        <tr r="L80" s="2"/>
      </tp>
      <tp t="s">
        <v>N/A</v>
        <stp/>
        <stp>VOLUME</stp>
        <stp>.QQQ250620P479</stp>
        <tr r="BF68" s="1"/>
      </tp>
      <tp>
        <v>3</v>
        <stp/>
        <stp>VOLUME</stp>
        <stp>.QQQ250630P469</stp>
        <tr r="L79" s="2"/>
        <tr r="L79" s="2"/>
      </tp>
      <tp t="s">
        <v>N/A</v>
        <stp/>
        <stp>VOLUME</stp>
        <stp>.QQQ250620C479</stp>
        <tr r="BE68" s="1"/>
      </tp>
      <tp t="s">
        <v>N/A</v>
        <stp/>
        <stp>VOLUME</stp>
        <stp>.QQQ250630C469</stp>
        <tr r="L79" s="2"/>
      </tp>
      <tp>
        <v>8</v>
        <stp/>
        <stp>VOLUME</stp>
        <stp>.QQQ250630P474</stp>
        <tr r="L74" s="2"/>
        <tr r="L74" s="2"/>
      </tp>
      <tp t="s">
        <v>N/A</v>
        <stp/>
        <stp>VOLUME</stp>
        <stp>.QQQ250630C474</stp>
        <tr r="L74" s="2"/>
      </tp>
      <tp>
        <v>53</v>
        <stp/>
        <stp>VOLUME</stp>
        <stp>.QQQ250630P475</stp>
        <tr r="L73" s="2"/>
        <tr r="L73" s="2"/>
      </tp>
      <tp>
        <v>54</v>
        <stp/>
        <stp>VOLUME</stp>
        <stp>.QQQ250630C475</stp>
        <tr r="L73" s="2"/>
        <tr r="L73" s="2"/>
      </tp>
      <tp>
        <v>11</v>
        <stp/>
        <stp>VOLUME</stp>
        <stp>.QQQ250630P476</stp>
        <tr r="L72" s="2"/>
        <tr r="L72" s="2"/>
      </tp>
      <tp>
        <v>1</v>
        <stp/>
        <stp>VOLUME</stp>
        <stp>.QQQ250630C476</stp>
        <tr r="L72" s="2"/>
        <tr r="L72" s="2"/>
      </tp>
      <tp>
        <v>5</v>
        <stp/>
        <stp>VOLUME</stp>
        <stp>.QQQ250630P477</stp>
        <tr r="L71" s="2"/>
        <tr r="L71" s="2"/>
      </tp>
      <tp t="s">
        <v>N/A</v>
        <stp/>
        <stp>VOLUME</stp>
        <stp>.QQQ250630C477</stp>
        <tr r="L71" s="2"/>
      </tp>
      <tp>
        <v>129</v>
        <stp/>
        <stp>VOLUME</stp>
        <stp>.QQQ250630P470</stp>
        <tr r="L78" s="2"/>
        <tr r="L78" s="2"/>
      </tp>
      <tp>
        <v>3</v>
        <stp/>
        <stp>VOLUME</stp>
        <stp>.QQQ250630C470</stp>
        <tr r="L78" s="2"/>
        <tr r="L78" s="2"/>
      </tp>
      <tp>
        <v>9</v>
        <stp/>
        <stp>VOLUME</stp>
        <stp>.QQQ250630P471</stp>
        <tr r="L77" s="2"/>
        <tr r="L77" s="2"/>
      </tp>
      <tp>
        <v>1</v>
        <stp/>
        <stp>VOLUME</stp>
        <stp>.QQQ250630C471</stp>
        <tr r="L77" s="2"/>
        <tr r="L77" s="2"/>
      </tp>
      <tp>
        <v>11</v>
        <stp/>
        <stp>VOLUME</stp>
        <stp>.QQQ250630P472</stp>
        <tr r="L76" s="2"/>
        <tr r="L76" s="2"/>
      </tp>
      <tp t="s">
        <v>N/A</v>
        <stp/>
        <stp>VOLUME</stp>
        <stp>.QQQ250630C472</stp>
        <tr r="L76" s="2"/>
      </tp>
      <tp>
        <v>8</v>
        <stp/>
        <stp>VOLUME</stp>
        <stp>.QQQ250630P473</stp>
        <tr r="L75" s="2"/>
        <tr r="L75" s="2"/>
      </tp>
      <tp>
        <v>7</v>
        <stp/>
        <stp>VOLUME</stp>
        <stp>.QQQ250630C473</stp>
        <tr r="L75" s="2"/>
        <tr r="L75" s="2"/>
      </tp>
      <tp t="s">
        <v>N/A</v>
        <stp/>
        <stp>VOLUME</stp>
        <stp>.QQQ250620P468</stp>
        <tr r="BF79" s="1"/>
      </tp>
      <tp>
        <v>3</v>
        <stp/>
        <stp>VOLUME</stp>
        <stp>.QQQ250630P478</stp>
        <tr r="L70" s="2"/>
        <tr r="L70" s="2"/>
      </tp>
      <tp t="s">
        <v>N/A</v>
        <stp/>
        <stp>VOLUME</stp>
        <stp>.QQQ250620C468</stp>
        <tr r="BE79" s="1"/>
      </tp>
      <tp t="s">
        <v>N/A</v>
        <stp/>
        <stp>VOLUME</stp>
        <stp>.QQQ250630C478</stp>
        <tr r="L70" s="2"/>
      </tp>
      <tp t="s">
        <v>N/A</v>
        <stp/>
        <stp>VOLUME</stp>
        <stp>.QQQ250620P469</stp>
        <tr r="BF78" s="1"/>
      </tp>
      <tp>
        <v>12</v>
        <stp/>
        <stp>VOLUME</stp>
        <stp>.QQQ250630P479</stp>
        <tr r="L69" s="2"/>
        <tr r="L69" s="2"/>
      </tp>
      <tp t="s">
        <v>N/A</v>
        <stp/>
        <stp>VOLUME</stp>
        <stp>.QQQ250620C469</stp>
        <tr r="BE78" s="1"/>
      </tp>
      <tp>
        <v>4</v>
        <stp/>
        <stp>VOLUME</stp>
        <stp>.QQQ250630C479</stp>
        <tr r="L69" s="2"/>
        <tr r="L69" s="2"/>
      </tp>
      <tp>
        <v>5</v>
        <stp/>
        <stp>VOLUME</stp>
        <stp>.QQQ250606P472</stp>
        <tr r="J76" s="2"/>
        <tr r="J76" s="2"/>
      </tp>
      <tp>
        <v>5</v>
        <stp/>
        <stp>VOLUME</stp>
        <stp>.QQQ250606C472</stp>
        <tr r="J76" s="2"/>
        <tr r="J76" s="2"/>
      </tp>
      <tp>
        <v>16</v>
        <stp/>
        <stp>VOLUME</stp>
        <stp>.QQQ250606P473</stp>
        <tr r="J75" s="2"/>
        <tr r="J75" s="2"/>
      </tp>
      <tp>
        <v>1</v>
        <stp/>
        <stp>VOLUME</stp>
        <stp>.QQQ250606C473</stp>
        <tr r="J75" s="2"/>
        <tr r="J75" s="2"/>
      </tp>
      <tp>
        <v>87</v>
        <stp/>
        <stp>VOLUME</stp>
        <stp>.QQQ250606P470</stp>
        <tr r="J78" s="2"/>
        <tr r="J78" s="2"/>
      </tp>
      <tp>
        <v>120</v>
        <stp/>
        <stp>VOLUME</stp>
        <stp>.QQQ250606C470</stp>
        <tr r="J78" s="2"/>
        <tr r="J78" s="2"/>
      </tp>
      <tp>
        <v>4</v>
        <stp/>
        <stp>VOLUME</stp>
        <stp>.QQQ250606P471</stp>
        <tr r="J77" s="2"/>
        <tr r="J77" s="2"/>
      </tp>
      <tp>
        <v>5</v>
        <stp/>
        <stp>VOLUME</stp>
        <stp>.QQQ250606C471</stp>
        <tr r="J77" s="2"/>
        <tr r="J77" s="2"/>
      </tp>
      <tp>
        <v>26</v>
        <stp/>
        <stp>VOLUME</stp>
        <stp>.QQQ250606P476</stp>
        <tr r="J72" s="2"/>
        <tr r="J72" s="2"/>
      </tp>
      <tp>
        <v>2</v>
        <stp/>
        <stp>VOLUME</stp>
        <stp>.QQQ250606C476</stp>
        <tr r="J72" s="2"/>
        <tr r="J72" s="2"/>
      </tp>
      <tp>
        <v>232</v>
        <stp/>
        <stp>VOLUME</stp>
        <stp>.QQQ250606P477</stp>
        <tr r="J71" s="2"/>
        <tr r="J71" s="2"/>
      </tp>
      <tp>
        <v>5</v>
        <stp/>
        <stp>VOLUME</stp>
        <stp>.QQQ250606C477</stp>
        <tr r="J71" s="2"/>
        <tr r="J71" s="2"/>
      </tp>
      <tp>
        <v>64</v>
        <stp/>
        <stp>VOLUME</stp>
        <stp>.QQQ250606P474</stp>
        <tr r="J74" s="2"/>
        <tr r="J74" s="2"/>
      </tp>
      <tp>
        <v>6</v>
        <stp/>
        <stp>VOLUME</stp>
        <stp>.QQQ250606C474</stp>
        <tr r="J74" s="2"/>
        <tr r="J74" s="2"/>
      </tp>
      <tp>
        <v>87</v>
        <stp/>
        <stp>VOLUME</stp>
        <stp>.QQQ250606P475</stp>
        <tr r="J73" s="2"/>
        <tr r="J73" s="2"/>
      </tp>
      <tp>
        <v>5</v>
        <stp/>
        <stp>VOLUME</stp>
        <stp>.QQQ250606C475</stp>
        <tr r="J73" s="2"/>
        <tr r="J73" s="2"/>
      </tp>
      <tp>
        <v>14</v>
        <stp/>
        <stp>VOLUME</stp>
        <stp>.QQQ250606P478</stp>
        <tr r="J70" s="2"/>
        <tr r="J70" s="2"/>
      </tp>
      <tp t="s">
        <v>N/A</v>
        <stp/>
        <stp>VOLUME</stp>
        <stp>.QQQ250606C478</stp>
        <tr r="J70" s="2"/>
      </tp>
      <tp>
        <v>11</v>
        <stp/>
        <stp>VOLUME</stp>
        <stp>.QQQ250606P479</stp>
        <tr r="J69" s="2"/>
        <tr r="J69" s="2"/>
      </tp>
      <tp>
        <v>6</v>
        <stp/>
        <stp>VOLUME</stp>
        <stp>.QQQ250606C479</stp>
        <tr r="J69" s="2"/>
        <tr r="J69" s="2"/>
      </tp>
      <tp>
        <v>8</v>
        <stp/>
        <stp>VOLUME</stp>
        <stp>.QQQ250606P468</stp>
        <tr r="J80" s="2"/>
        <tr r="J80" s="2"/>
      </tp>
      <tp t="s">
        <v>N/A</v>
        <stp/>
        <stp>VOLUME</stp>
        <stp>.QQQ250606C468</stp>
        <tr r="J80" s="2"/>
      </tp>
      <tp>
        <v>9</v>
        <stp/>
        <stp>VOLUME</stp>
        <stp>.QQQ250606P469</stp>
        <tr r="J79" s="2"/>
        <tr r="J79" s="2"/>
      </tp>
      <tp t="s">
        <v>N/A</v>
        <stp/>
        <stp>VOLUME</stp>
        <stp>.QQQ250606C469</stp>
        <tr r="J79" s="2"/>
      </tp>
      <tp>
        <v>46.9</v>
        <stp/>
        <stp>BID</stp>
        <stp>.SPXW250509C5610</stp>
        <tr r="DE111" s="1"/>
        <tr r="DE111" s="1"/>
      </tp>
      <tp>
        <v>0</v>
        <stp/>
        <stp>BID</stp>
        <stp>.SPXW250509P5610</stp>
        <tr r="DF111" s="1"/>
        <tr r="DF111" s="1"/>
      </tp>
      <tp>
        <v>56.9</v>
        <stp/>
        <stp>BID</stp>
        <stp>.SPXW250509C5600</stp>
        <tr r="DE112" s="1"/>
        <tr r="DE112" s="1"/>
      </tp>
      <tp>
        <v>0</v>
        <stp/>
        <stp>BID</stp>
        <stp>.SPXW250509P5600</stp>
        <tr r="DF112" s="1"/>
        <tr r="DF112" s="1"/>
      </tp>
      <tp>
        <v>26.9</v>
        <stp/>
        <stp>BID</stp>
        <stp>.SPXW250509C5630</stp>
        <tr r="DE109" s="1"/>
        <tr r="DE109" s="1"/>
      </tp>
      <tp>
        <v>0</v>
        <stp/>
        <stp>BID</stp>
        <stp>.SPXW250509P5630</stp>
        <tr r="DF109" s="1"/>
        <tr r="DF109" s="1"/>
      </tp>
      <tp>
        <v>36.9</v>
        <stp/>
        <stp>BID</stp>
        <stp>.SPXW250509C5620</stp>
        <tr r="DE110" s="1"/>
        <tr r="DE110" s="1"/>
      </tp>
      <tp>
        <v>0</v>
        <stp/>
        <stp>BID</stp>
        <stp>.SPXW250509P5620</stp>
        <tr r="DF110" s="1"/>
        <tr r="DF110" s="1"/>
      </tp>
      <tp>
        <v>9.3000000000000007</v>
        <stp/>
        <stp>BID</stp>
        <stp>.SPXW250509C5650</stp>
        <tr r="DE107" s="1"/>
        <tr r="DE107" s="1"/>
      </tp>
      <tp>
        <v>0</v>
        <stp/>
        <stp>BID</stp>
        <stp>.SPXW250509P5650</stp>
        <tr r="DF107" s="1"/>
        <tr r="DF107" s="1"/>
      </tp>
      <tp>
        <v>19.399999999999999</v>
        <stp/>
        <stp>BID</stp>
        <stp>.SPXW250509C5640</stp>
        <tr r="DE108" s="1"/>
        <tr r="DE108" s="1"/>
      </tp>
      <tp>
        <v>0</v>
        <stp/>
        <stp>BID</stp>
        <stp>.SPXW250509P5640</stp>
        <tr r="DF108" s="1"/>
        <tr r="DF108" s="1"/>
      </tp>
      <tp>
        <v>0</v>
        <stp/>
        <stp>BID</stp>
        <stp>.SPXW250509C5670</stp>
        <tr r="DE105" s="1"/>
        <tr r="DE105" s="1"/>
      </tp>
      <tp>
        <v>9.4</v>
        <stp/>
        <stp>BID</stp>
        <stp>.SPXW250509P5670</stp>
        <tr r="DF105" s="1"/>
        <tr r="DF105" s="1"/>
      </tp>
      <tp>
        <v>0.4</v>
        <stp/>
        <stp>BID</stp>
        <stp>.SPXW250509C5660</stp>
        <tr r="DE106" s="1"/>
        <tr r="DE106" s="1"/>
      </tp>
      <tp>
        <v>0.3</v>
        <stp/>
        <stp>BID</stp>
        <stp>.SPXW250509P5660</stp>
        <tr r="DF106" s="1"/>
        <tr r="DF106" s="1"/>
      </tp>
      <tp>
        <v>0</v>
        <stp/>
        <stp>BID</stp>
        <stp>.SPXW250509C5690</stp>
        <tr r="DE103" s="1"/>
        <tr r="DE103" s="1"/>
      </tp>
      <tp>
        <v>28.2</v>
        <stp/>
        <stp>BID</stp>
        <stp>.SPXW250509P5690</stp>
        <tr r="DF103" s="1"/>
        <tr r="DF103" s="1"/>
      </tp>
      <tp>
        <v>0</v>
        <stp/>
        <stp>BID</stp>
        <stp>.SPXW250509C5680</stp>
        <tr r="DE104" s="1"/>
        <tr r="DE104" s="1"/>
      </tp>
      <tp>
        <v>17.899999999999999</v>
        <stp/>
        <stp>BID</stp>
        <stp>.SPXW250509P5680</stp>
        <tr r="DF104" s="1"/>
        <tr r="DF104" s="1"/>
      </tp>
      <tp t="s">
        <v>N/A</v>
        <stp/>
        <stp>VOLUME</stp>
        <stp>.QQQ250718P488</stp>
        <tr r="M60" s="2"/>
      </tp>
      <tp t="s">
        <v>N/A</v>
        <stp/>
        <stp>VOLUME</stp>
        <stp>.QQQ250718C488</stp>
        <tr r="M60" s="2"/>
      </tp>
      <tp t="s">
        <v>N/A</v>
        <stp/>
        <stp>VOLUME</stp>
        <stp>.QQQ250718P489</stp>
        <tr r="M59" s="2"/>
      </tp>
      <tp t="s">
        <v>N/A</v>
        <stp/>
        <stp>VOLUME</stp>
        <stp>.QQQ250718C489</stp>
        <tr r="M59" s="2"/>
      </tp>
      <tp t="s">
        <v>N/A</v>
        <stp/>
        <stp>VOLUME</stp>
        <stp>.QQQ250718P484</stp>
        <tr r="M64" s="2"/>
      </tp>
      <tp t="s">
        <v>N/A</v>
        <stp/>
        <stp>VOLUME</stp>
        <stp>.QQQ250718C484</stp>
        <tr r="M64" s="2"/>
      </tp>
      <tp>
        <v>211</v>
        <stp/>
        <stp>VOLUME</stp>
        <stp>.QQQ250718P485</stp>
        <tr r="M63" s="2"/>
        <tr r="M63" s="2"/>
      </tp>
      <tp>
        <v>147</v>
        <stp/>
        <stp>VOLUME</stp>
        <stp>.QQQ250718C485</stp>
        <tr r="M63" s="2"/>
        <tr r="M63" s="2"/>
      </tp>
      <tp t="s">
        <v>N/A</v>
        <stp/>
        <stp>VOLUME</stp>
        <stp>.QQQ250718P486</stp>
        <tr r="M62" s="2"/>
      </tp>
      <tp t="s">
        <v>N/A</v>
        <stp/>
        <stp>VOLUME</stp>
        <stp>.QQQ250718C486</stp>
        <tr r="M62" s="2"/>
      </tp>
      <tp t="s">
        <v>N/A</v>
        <stp/>
        <stp>VOLUME</stp>
        <stp>.QQQ250718P487</stp>
        <tr r="M61" s="2"/>
      </tp>
      <tp t="s">
        <v>N/A</v>
        <stp/>
        <stp>VOLUME</stp>
        <stp>.QQQ250718C487</stp>
        <tr r="M61" s="2"/>
      </tp>
      <tp>
        <v>621</v>
        <stp/>
        <stp>VOLUME</stp>
        <stp>.QQQ250718P480</stp>
        <tr r="M68" s="2"/>
        <tr r="M68" s="2"/>
      </tp>
      <tp>
        <v>120</v>
        <stp/>
        <stp>VOLUME</stp>
        <stp>.QQQ250718C480</stp>
        <tr r="M68" s="2"/>
        <tr r="M68" s="2"/>
      </tp>
      <tp t="s">
        <v>N/A</v>
        <stp/>
        <stp>VOLUME</stp>
        <stp>.QQQ250718P481</stp>
        <tr r="M67" s="2"/>
      </tp>
      <tp t="s">
        <v>N/A</v>
        <stp/>
        <stp>VOLUME</stp>
        <stp>.QQQ250718C481</stp>
        <tr r="M67" s="2"/>
      </tp>
      <tp t="s">
        <v>N/A</v>
        <stp/>
        <stp>VOLUME</stp>
        <stp>.QQQ250718P482</stp>
        <tr r="M66" s="2"/>
      </tp>
      <tp t="s">
        <v>N/A</v>
        <stp/>
        <stp>VOLUME</stp>
        <stp>.QQQ250718C482</stp>
        <tr r="M66" s="2"/>
      </tp>
      <tp t="s">
        <v>N/A</v>
        <stp/>
        <stp>VOLUME</stp>
        <stp>.QQQ250718P483</stp>
        <tr r="M65" s="2"/>
      </tp>
      <tp t="s">
        <v>N/A</v>
        <stp/>
        <stp>VOLUME</stp>
        <stp>.QQQ250718C483</stp>
        <tr r="M65" s="2"/>
      </tp>
      <tp t="s">
        <v>N/A</v>
        <stp/>
        <stp>VOLUME</stp>
        <stp>.QQQ250718P498</stp>
        <tr r="M50" s="2"/>
      </tp>
      <tp t="s">
        <v>N/A</v>
        <stp/>
        <stp>VOLUME</stp>
        <stp>.QQQ250718C498</stp>
        <tr r="M50" s="2"/>
      </tp>
      <tp t="s">
        <v>N/A</v>
        <stp/>
        <stp>VOLUME</stp>
        <stp>.QQQ250718P499</stp>
        <tr r="M49" s="2"/>
      </tp>
      <tp t="s">
        <v>N/A</v>
        <stp/>
        <stp>VOLUME</stp>
        <stp>.QQQ250718C499</stp>
        <tr r="M49" s="2"/>
      </tp>
      <tp t="s">
        <v>N/A</v>
        <stp/>
        <stp>VOLUME</stp>
        <stp>.QQQ250718P494</stp>
        <tr r="M54" s="2"/>
      </tp>
      <tp t="s">
        <v>N/A</v>
        <stp/>
        <stp>VOLUME</stp>
        <stp>.QQQ250718C494</stp>
        <tr r="M54" s="2"/>
      </tp>
      <tp>
        <v>145</v>
        <stp/>
        <stp>VOLUME</stp>
        <stp>.QQQ250718P495</stp>
        <tr r="M53" s="2"/>
        <tr r="M53" s="2"/>
      </tp>
      <tp>
        <v>242</v>
        <stp/>
        <stp>VOLUME</stp>
        <stp>.QQQ250718C495</stp>
        <tr r="M53" s="2"/>
        <tr r="M53" s="2"/>
      </tp>
      <tp t="s">
        <v>N/A</v>
        <stp/>
        <stp>VOLUME</stp>
        <stp>.QQQ250718P496</stp>
        <tr r="M52" s="2"/>
      </tp>
      <tp t="s">
        <v>N/A</v>
        <stp/>
        <stp>VOLUME</stp>
        <stp>.QQQ250718C496</stp>
        <tr r="M52" s="2"/>
      </tp>
      <tp t="s">
        <v>N/A</v>
        <stp/>
        <stp>VOLUME</stp>
        <stp>.QQQ250718P497</stp>
        <tr r="M51" s="2"/>
      </tp>
      <tp t="s">
        <v>N/A</v>
        <stp/>
        <stp>VOLUME</stp>
        <stp>.QQQ250718C497</stp>
        <tr r="M51" s="2"/>
      </tp>
      <tp>
        <v>496</v>
        <stp/>
        <stp>VOLUME</stp>
        <stp>.QQQ250718P490</stp>
        <tr r="M58" s="2"/>
        <tr r="M58" s="2"/>
      </tp>
      <tp>
        <v>312</v>
        <stp/>
        <stp>VOLUME</stp>
        <stp>.QQQ250718C490</stp>
        <tr r="M58" s="2"/>
        <tr r="M58" s="2"/>
      </tp>
      <tp t="s">
        <v>N/A</v>
        <stp/>
        <stp>VOLUME</stp>
        <stp>.QQQ250718P491</stp>
        <tr r="M57" s="2"/>
      </tp>
      <tp t="s">
        <v>N/A</v>
        <stp/>
        <stp>VOLUME</stp>
        <stp>.QQQ250718C491</stp>
        <tr r="M57" s="2"/>
      </tp>
      <tp t="s">
        <v>N/A</v>
        <stp/>
        <stp>VOLUME</stp>
        <stp>.QQQ250718P492</stp>
        <tr r="M56" s="2"/>
      </tp>
      <tp t="s">
        <v>N/A</v>
        <stp/>
        <stp>VOLUME</stp>
        <stp>.QQQ250718C492</stp>
        <tr r="M56" s="2"/>
      </tp>
      <tp t="s">
        <v>N/A</v>
        <stp/>
        <stp>VOLUME</stp>
        <stp>.QQQ250718P493</stp>
        <tr r="M55" s="2"/>
      </tp>
      <tp t="s">
        <v>N/A</v>
        <stp/>
        <stp>VOLUME</stp>
        <stp>.QQQ250718C493</stp>
        <tr r="M55" s="2"/>
      </tp>
      <tp>
        <v>11</v>
        <stp/>
        <stp>VOLUME</stp>
        <stp>.QQQ250731P485</stp>
        <tr r="N63" s="2"/>
        <tr r="N63" s="2"/>
      </tp>
      <tp>
        <v>8</v>
        <stp/>
        <stp>VOLUME</stp>
        <stp>.QQQ250731C485</stp>
        <tr r="N63" s="2"/>
        <tr r="N63" s="2"/>
      </tp>
      <tp>
        <v>1</v>
        <stp/>
        <stp>VOLUME</stp>
        <stp>.QQQ250731P484</stp>
        <tr r="N64" s="2"/>
        <tr r="N64" s="2"/>
      </tp>
      <tp t="s">
        <v>N/A</v>
        <stp/>
        <stp>VOLUME</stp>
        <stp>.QQQ250731C484</stp>
        <tr r="N64" s="2"/>
      </tp>
      <tp>
        <v>30</v>
        <stp/>
        <stp>VOLUME</stp>
        <stp>.QQQ250731P487</stp>
        <tr r="N61" s="2"/>
        <tr r="N61" s="2"/>
      </tp>
      <tp>
        <v>12</v>
        <stp/>
        <stp>VOLUME</stp>
        <stp>.QQQ250731C487</stp>
        <tr r="N61" s="2"/>
        <tr r="N61" s="2"/>
      </tp>
      <tp>
        <v>3</v>
        <stp/>
        <stp>VOLUME</stp>
        <stp>.QQQ250731P486</stp>
        <tr r="N62" s="2"/>
        <tr r="N62" s="2"/>
      </tp>
      <tp>
        <v>1</v>
        <stp/>
        <stp>VOLUME</stp>
        <stp>.QQQ250731C486</stp>
        <tr r="N62" s="2"/>
        <tr r="N62" s="2"/>
      </tp>
      <tp t="s">
        <v>N/A</v>
        <stp/>
        <stp>VOLUME</stp>
        <stp>.QQQ250731P481</stp>
        <tr r="N67" s="2"/>
      </tp>
      <tp>
        <v>1</v>
        <stp/>
        <stp>VOLUME</stp>
        <stp>.QQQ250731C481</stp>
        <tr r="N67" s="2"/>
        <tr r="N67" s="2"/>
      </tp>
      <tp>
        <v>31</v>
        <stp/>
        <stp>VOLUME</stp>
        <stp>.QQQ250731P480</stp>
        <tr r="N68" s="2"/>
        <tr r="N68" s="2"/>
      </tp>
      <tp>
        <v>97</v>
        <stp/>
        <stp>VOLUME</stp>
        <stp>.QQQ250731C480</stp>
        <tr r="N68" s="2"/>
        <tr r="N68" s="2"/>
      </tp>
      <tp>
        <v>20</v>
        <stp/>
        <stp>VOLUME</stp>
        <stp>.QQQ250731P483</stp>
        <tr r="N65" s="2"/>
        <tr r="N65" s="2"/>
      </tp>
      <tp t="s">
        <v>N/A</v>
        <stp/>
        <stp>VOLUME</stp>
        <stp>.QQQ250731C483</stp>
        <tr r="N65" s="2"/>
      </tp>
      <tp t="s">
        <v>N/A</v>
        <stp/>
        <stp>VOLUME</stp>
        <stp>.QQQ250731P482</stp>
        <tr r="N66" s="2"/>
      </tp>
      <tp t="s">
        <v>N/A</v>
        <stp/>
        <stp>VOLUME</stp>
        <stp>.QQQ250731C482</stp>
        <tr r="N66" s="2"/>
      </tp>
      <tp>
        <v>10</v>
        <stp/>
        <stp>VOLUME</stp>
        <stp>.QQQ250731P489</stp>
        <tr r="N59" s="2"/>
        <tr r="N59" s="2"/>
      </tp>
      <tp t="s">
        <v>N/A</v>
        <stp/>
        <stp>VOLUME</stp>
        <stp>.QQQ250731C489</stp>
        <tr r="N59" s="2"/>
      </tp>
      <tp>
        <v>104</v>
        <stp/>
        <stp>VOLUME</stp>
        <stp>.QQQ250731P488</stp>
        <tr r="N60" s="2"/>
        <tr r="N60" s="2"/>
      </tp>
      <tp>
        <v>2</v>
        <stp/>
        <stp>VOLUME</stp>
        <stp>.QQQ250731C488</stp>
        <tr r="N60" s="2"/>
        <tr r="N60" s="2"/>
      </tp>
      <tp>
        <v>1</v>
        <stp/>
        <stp>VOLUME</stp>
        <stp>.QQQ250731P495</stp>
        <tr r="N53" s="2"/>
        <tr r="N53" s="2"/>
      </tp>
      <tp>
        <v>51</v>
        <stp/>
        <stp>VOLUME</stp>
        <stp>.QQQ250731C495</stp>
        <tr r="N53" s="2"/>
        <tr r="N53" s="2"/>
      </tp>
      <tp>
        <v>3</v>
        <stp/>
        <stp>VOLUME</stp>
        <stp>.QQQ250731P494</stp>
        <tr r="N54" s="2"/>
        <tr r="N54" s="2"/>
      </tp>
      <tp t="s">
        <v>N/A</v>
        <stp/>
        <stp>VOLUME</stp>
        <stp>.QQQ250731C494</stp>
        <tr r="N54" s="2"/>
      </tp>
      <tp t="s">
        <v>N/A</v>
        <stp/>
        <stp>VOLUME</stp>
        <stp>.QQQ250731P497</stp>
        <tr r="N51" s="2"/>
      </tp>
      <tp t="s">
        <v>N/A</v>
        <stp/>
        <stp>VOLUME</stp>
        <stp>.QQQ250731C497</stp>
        <tr r="N51" s="2"/>
      </tp>
      <tp t="s">
        <v>N/A</v>
        <stp/>
        <stp>VOLUME</stp>
        <stp>.QQQ250731P496</stp>
        <tr r="N52" s="2"/>
      </tp>
      <tp>
        <v>1</v>
        <stp/>
        <stp>VOLUME</stp>
        <stp>.QQQ250731C496</stp>
        <tr r="N52" s="2"/>
        <tr r="N52" s="2"/>
      </tp>
      <tp>
        <v>3</v>
        <stp/>
        <stp>VOLUME</stp>
        <stp>.QQQ250731P491</stp>
        <tr r="N57" s="2"/>
        <tr r="N57" s="2"/>
      </tp>
      <tp t="s">
        <v>N/A</v>
        <stp/>
        <stp>VOLUME</stp>
        <stp>.QQQ250731C491</stp>
        <tr r="N57" s="2"/>
      </tp>
      <tp>
        <v>12</v>
        <stp/>
        <stp>VOLUME</stp>
        <stp>.QQQ250731P490</stp>
        <tr r="N58" s="2"/>
        <tr r="N58" s="2"/>
      </tp>
      <tp>
        <v>120</v>
        <stp/>
        <stp>VOLUME</stp>
        <stp>.QQQ250731C490</stp>
        <tr r="N58" s="2"/>
        <tr r="N58" s="2"/>
      </tp>
      <tp t="s">
        <v>N/A</v>
        <stp/>
        <stp>VOLUME</stp>
        <stp>.QQQ250731P493</stp>
        <tr r="N55" s="2"/>
      </tp>
      <tp t="s">
        <v>N/A</v>
        <stp/>
        <stp>VOLUME</stp>
        <stp>.QQQ250731C493</stp>
        <tr r="N55" s="2"/>
      </tp>
      <tp t="s">
        <v>N/A</v>
        <stp/>
        <stp>VOLUME</stp>
        <stp>.QQQ250731P492</stp>
        <tr r="N56" s="2"/>
      </tp>
      <tp>
        <v>18</v>
        <stp/>
        <stp>VOLUME</stp>
        <stp>.QQQ250731C492</stp>
        <tr r="N56" s="2"/>
        <tr r="N56" s="2"/>
      </tp>
      <tp>
        <v>5</v>
        <stp/>
        <stp>VOLUME</stp>
        <stp>.QQQ250731P499</stp>
        <tr r="N49" s="2"/>
        <tr r="N49" s="2"/>
      </tp>
      <tp t="s">
        <v>N/A</v>
        <stp/>
        <stp>VOLUME</stp>
        <stp>.QQQ250731C499</stp>
        <tr r="N49" s="2"/>
      </tp>
      <tp>
        <v>11</v>
        <stp/>
        <stp>VOLUME</stp>
        <stp>.QQQ250731P498</stp>
        <tr r="N50" s="2"/>
        <tr r="N50" s="2"/>
      </tp>
      <tp>
        <v>1</v>
        <stp/>
        <stp>VOLUME</stp>
        <stp>.QQQ250731C498</stp>
        <tr r="N50" s="2"/>
        <tr r="N50" s="2"/>
      </tp>
      <tp t="s">
        <v>N/A</v>
        <stp/>
        <stp>VOLUME</stp>
        <stp>.QQQ250606P502</stp>
        <tr r="J46" s="2"/>
      </tp>
      <tp t="s">
        <v>N/A</v>
        <stp/>
        <stp>VOLUME</stp>
        <stp>.QQQ250606C502</stp>
        <tr r="J46" s="2"/>
      </tp>
      <tp>
        <v>8</v>
        <stp/>
        <stp>VOLUME</stp>
        <stp>.QQQ250606P500</stp>
        <tr r="J48" s="2"/>
        <tr r="J48" s="2"/>
      </tp>
      <tp>
        <v>552</v>
        <stp/>
        <stp>VOLUME</stp>
        <stp>.QQQ250606C500</stp>
        <tr r="J48" s="2"/>
        <tr r="J48" s="2"/>
      </tp>
      <tp t="s">
        <v>N/A</v>
        <stp/>
        <stp>VOLUME</stp>
        <stp>.QQQ250606P501</stp>
        <tr r="J47" s="2"/>
      </tp>
      <tp t="s">
        <v>N/A</v>
        <stp/>
        <stp>VOLUME</stp>
        <stp>.QQQ250606C501</stp>
        <tr r="J47" s="2"/>
      </tp>
      <tp>
        <v>384</v>
        <stp/>
        <stp>VOLUME</stp>
        <stp>.QQQ250630P500</stp>
        <tr r="L48" s="2"/>
        <tr r="L48" s="2"/>
      </tp>
      <tp>
        <v>196</v>
        <stp/>
        <stp>VOLUME</stp>
        <stp>.QQQ250630C500</stp>
        <tr r="L48" s="2"/>
        <tr r="L48" s="2"/>
      </tp>
      <tp t="s">
        <v>N/A</v>
        <stp/>
        <stp>VOLUME</stp>
        <stp>.QQQ250630P501</stp>
        <tr r="L47" s="2"/>
      </tp>
      <tp>
        <v>9</v>
        <stp/>
        <stp>VOLUME</stp>
        <stp>.QQQ250630C501</stp>
        <tr r="L47" s="2"/>
        <tr r="L47" s="2"/>
      </tp>
      <tp>
        <v>2</v>
        <stp/>
        <stp>VOLUME</stp>
        <stp>.QQQ250630P502</stp>
        <tr r="L46" s="2"/>
        <tr r="L46" s="2"/>
      </tp>
      <tp>
        <v>9</v>
        <stp/>
        <stp>VOLUME</stp>
        <stp>.QQQ250630C502</stp>
        <tr r="L46" s="2"/>
        <tr r="L46" s="2"/>
      </tp>
      <tp>
        <v>344</v>
        <stp/>
        <stp>VOLUME</stp>
        <stp>.QQQ250620P500</stp>
        <tr r="BF47" s="1"/>
        <tr r="BF47" s="1"/>
      </tp>
      <tp>
        <v>3695</v>
        <stp/>
        <stp>VOLUME</stp>
        <stp>.QQQ250620C500</stp>
        <tr r="BE47" s="1"/>
        <tr r="BE47" s="1"/>
      </tp>
      <tp t="s">
        <v>N/A</v>
        <stp/>
        <stp>VOLUME</stp>
        <stp>.QQQ250620P501</stp>
        <tr r="BF46" s="1"/>
      </tp>
      <tp t="s">
        <v>N/A</v>
        <stp/>
        <stp>VOLUME</stp>
        <stp>.QQQ250620C501</stp>
        <tr r="BE46" s="1"/>
      </tp>
      <tp t="s">
        <v>N/A</v>
        <stp/>
        <stp>VOLUME</stp>
        <stp>.QQQ250620P502</stp>
        <tr r="BF45" s="1"/>
      </tp>
      <tp t="s">
        <v>N/A</v>
        <stp/>
        <stp>VOLUME</stp>
        <stp>.QQQ250620C502</stp>
        <tr r="BE45" s="1"/>
      </tp>
      <tp t="s">
        <v>N/A</v>
        <stp/>
        <stp>VOLUME</stp>
        <stp>.QQQ250731P469</stp>
        <tr r="N79" s="2"/>
      </tp>
      <tp>
        <v>1</v>
        <stp/>
        <stp>VOLUME</stp>
        <stp>.QQQ250731C469</stp>
        <tr r="N79" s="2"/>
        <tr r="N79" s="2"/>
      </tp>
      <tp>
        <v>12</v>
        <stp/>
        <stp>VOLUME</stp>
        <stp>.QQQ250731P468</stp>
        <tr r="N80" s="2"/>
        <tr r="N80" s="2"/>
      </tp>
      <tp t="s">
        <v>N/A</v>
        <stp/>
        <stp>VOLUME</stp>
        <stp>.QQQ250731C468</stp>
        <tr r="N80" s="2"/>
      </tp>
      <tp>
        <v>4018</v>
        <stp/>
        <stp>VOLUME</stp>
        <stp>.QQQ250731P475</stp>
        <tr r="N73" s="2"/>
        <tr r="N73" s="2"/>
      </tp>
      <tp>
        <v>3</v>
        <stp/>
        <stp>VOLUME</stp>
        <stp>.QQQ250731C475</stp>
        <tr r="N73" s="2"/>
        <tr r="N73" s="2"/>
      </tp>
      <tp>
        <v>6</v>
        <stp/>
        <stp>VOLUME</stp>
        <stp>.QQQ250731P474</stp>
        <tr r="N74" s="2"/>
        <tr r="N74" s="2"/>
      </tp>
      <tp t="s">
        <v>N/A</v>
        <stp/>
        <stp>VOLUME</stp>
        <stp>.QQQ250731C474</stp>
        <tr r="N74" s="2"/>
      </tp>
      <tp>
        <v>3</v>
        <stp/>
        <stp>VOLUME</stp>
        <stp>.QQQ250731P477</stp>
        <tr r="N71" s="2"/>
        <tr r="N71" s="2"/>
      </tp>
      <tp t="s">
        <v>N/A</v>
        <stp/>
        <stp>VOLUME</stp>
        <stp>.QQQ250731C477</stp>
        <tr r="N71" s="2"/>
      </tp>
      <tp>
        <v>12</v>
        <stp/>
        <stp>VOLUME</stp>
        <stp>.QQQ250731P476</stp>
        <tr r="N72" s="2"/>
        <tr r="N72" s="2"/>
      </tp>
      <tp t="s">
        <v>N/A</v>
        <stp/>
        <stp>VOLUME</stp>
        <stp>.QQQ250731C476</stp>
        <tr r="N72" s="2"/>
      </tp>
      <tp t="s">
        <v>N/A</v>
        <stp/>
        <stp>VOLUME</stp>
        <stp>.QQQ250731P471</stp>
        <tr r="N77" s="2"/>
      </tp>
      <tp t="s">
        <v>N/A</v>
        <stp/>
        <stp>VOLUME</stp>
        <stp>.QQQ250731C471</stp>
        <tr r="N77" s="2"/>
      </tp>
      <tp>
        <v>45</v>
        <stp/>
        <stp>VOLUME</stp>
        <stp>.QQQ250731P470</stp>
        <tr r="N78" s="2"/>
        <tr r="N78" s="2"/>
      </tp>
      <tp>
        <v>9</v>
        <stp/>
        <stp>VOLUME</stp>
        <stp>.QQQ250731C470</stp>
        <tr r="N78" s="2"/>
        <tr r="N78" s="2"/>
      </tp>
      <tp>
        <v>1</v>
        <stp/>
        <stp>VOLUME</stp>
        <stp>.QQQ250731P473</stp>
        <tr r="N75" s="2"/>
        <tr r="N75" s="2"/>
      </tp>
      <tp t="s">
        <v>N/A</v>
        <stp/>
        <stp>VOLUME</stp>
        <stp>.QQQ250731C473</stp>
        <tr r="N75" s="2"/>
      </tp>
      <tp t="s">
        <v>N/A</v>
        <stp/>
        <stp>VOLUME</stp>
        <stp>.QQQ250731P472</stp>
        <tr r="N76" s="2"/>
      </tp>
      <tp t="s">
        <v>N/A</v>
        <stp/>
        <stp>VOLUME</stp>
        <stp>.QQQ250731C472</stp>
        <tr r="N76" s="2"/>
      </tp>
      <tp>
        <v>2</v>
        <stp/>
        <stp>VOLUME</stp>
        <stp>.QQQ250731P479</stp>
        <tr r="N69" s="2"/>
        <tr r="N69" s="2"/>
      </tp>
      <tp t="s">
        <v>N/A</v>
        <stp/>
        <stp>VOLUME</stp>
        <stp>.QQQ250731C479</stp>
        <tr r="N69" s="2"/>
      </tp>
      <tp>
        <v>2</v>
        <stp/>
        <stp>VOLUME</stp>
        <stp>.QQQ250731P478</stp>
        <tr r="N70" s="2"/>
        <tr r="N70" s="2"/>
      </tp>
      <tp t="s">
        <v>N/A</v>
        <stp/>
        <stp>VOLUME</stp>
        <stp>.QQQ250731C478</stp>
        <tr r="N70" s="2"/>
      </tp>
      <tp t="s">
        <v>N/A</v>
        <stp/>
        <stp>VOLUME</stp>
        <stp>.QQQ250718P468</stp>
        <tr r="M80" s="2"/>
      </tp>
      <tp t="s">
        <v>N/A</v>
        <stp/>
        <stp>VOLUME</stp>
        <stp>.QQQ250718C468</stp>
        <tr r="M80" s="2"/>
      </tp>
      <tp t="s">
        <v>N/A</v>
        <stp/>
        <stp>VOLUME</stp>
        <stp>.QQQ250718P469</stp>
        <tr r="M79" s="2"/>
      </tp>
      <tp t="s">
        <v>N/A</v>
        <stp/>
        <stp>VOLUME</stp>
        <stp>.QQQ250718C469</stp>
        <tr r="M79" s="2"/>
      </tp>
      <tp t="s">
        <v>N/A</v>
        <stp/>
        <stp>VOLUME</stp>
        <stp>.QQQ250718P478</stp>
        <tr r="M70" s="2"/>
      </tp>
      <tp t="s">
        <v>N/A</v>
        <stp/>
        <stp>VOLUME</stp>
        <stp>.QQQ250718C478</stp>
        <tr r="M70" s="2"/>
      </tp>
      <tp t="s">
        <v>N/A</v>
        <stp/>
        <stp>VOLUME</stp>
        <stp>.QQQ250718P479</stp>
        <tr r="M69" s="2"/>
      </tp>
      <tp t="s">
        <v>N/A</v>
        <stp/>
        <stp>VOLUME</stp>
        <stp>.QQQ250718C479</stp>
        <tr r="M69" s="2"/>
      </tp>
      <tp t="s">
        <v>N/A</v>
        <stp/>
        <stp>VOLUME</stp>
        <stp>.QQQ250718P474</stp>
        <tr r="M74" s="2"/>
      </tp>
      <tp t="s">
        <v>N/A</v>
        <stp/>
        <stp>VOLUME</stp>
        <stp>.QQQ250718C474</stp>
        <tr r="M74" s="2"/>
      </tp>
      <tp>
        <v>322</v>
        <stp/>
        <stp>VOLUME</stp>
        <stp>.QQQ250718P475</stp>
        <tr r="M73" s="2"/>
        <tr r="M73" s="2"/>
      </tp>
      <tp>
        <v>45</v>
        <stp/>
        <stp>VOLUME</stp>
        <stp>.QQQ250718C475</stp>
        <tr r="M73" s="2"/>
        <tr r="M73" s="2"/>
      </tp>
      <tp t="s">
        <v>N/A</v>
        <stp/>
        <stp>VOLUME</stp>
        <stp>.QQQ250718P476</stp>
        <tr r="M72" s="2"/>
      </tp>
      <tp t="s">
        <v>N/A</v>
        <stp/>
        <stp>VOLUME</stp>
        <stp>.QQQ250718C476</stp>
        <tr r="M72" s="2"/>
      </tp>
      <tp t="s">
        <v>N/A</v>
        <stp/>
        <stp>VOLUME</stp>
        <stp>.QQQ250718P477</stp>
        <tr r="M71" s="2"/>
      </tp>
      <tp t="s">
        <v>N/A</v>
        <stp/>
        <stp>VOLUME</stp>
        <stp>.QQQ250718C477</stp>
        <tr r="M71" s="2"/>
      </tp>
      <tp>
        <v>4801</v>
        <stp/>
        <stp>VOLUME</stp>
        <stp>.QQQ250718P470</stp>
        <tr r="M78" s="2"/>
        <tr r="M78" s="2"/>
      </tp>
      <tp>
        <v>7</v>
        <stp/>
        <stp>VOLUME</stp>
        <stp>.QQQ250718C470</stp>
        <tr r="M78" s="2"/>
        <tr r="M78" s="2"/>
      </tp>
      <tp t="s">
        <v>N/A</v>
        <stp/>
        <stp>VOLUME</stp>
        <stp>.QQQ250718P471</stp>
        <tr r="M77" s="2"/>
      </tp>
      <tp t="s">
        <v>N/A</v>
        <stp/>
        <stp>VOLUME</stp>
        <stp>.QQQ250718C471</stp>
        <tr r="M77" s="2"/>
      </tp>
      <tp t="s">
        <v>N/A</v>
        <stp/>
        <stp>VOLUME</stp>
        <stp>.QQQ250718P472</stp>
        <tr r="M76" s="2"/>
      </tp>
      <tp t="s">
        <v>N/A</v>
        <stp/>
        <stp>VOLUME</stp>
        <stp>.QQQ250718C472</stp>
        <tr r="M76" s="2"/>
      </tp>
      <tp t="s">
        <v>N/A</v>
        <stp/>
        <stp>VOLUME</stp>
        <stp>.QQQ250718P473</stp>
        <tr r="M75" s="2"/>
      </tp>
      <tp t="s">
        <v>N/A</v>
        <stp/>
        <stp>VOLUME</stp>
        <stp>.QQQ250718C473</stp>
        <tr r="M75" s="2"/>
      </tp>
      <tp>
        <v>143.4</v>
        <stp/>
        <stp>BID</stp>
        <stp>.SPXW250509C5510</stp>
        <tr r="DE121" s="1"/>
        <tr r="DE121" s="1"/>
      </tp>
      <tp>
        <v>0</v>
        <stp/>
        <stp>BID</stp>
        <stp>.SPXW250509P5510</stp>
        <tr r="DF121" s="1"/>
        <tr r="DF121" s="1"/>
      </tp>
      <tp>
        <v>153.4</v>
        <stp/>
        <stp>BID</stp>
        <stp>.SPXW250509C5500</stp>
        <tr r="DE122" s="1"/>
        <tr r="DE122" s="1"/>
      </tp>
      <tp>
        <v>0</v>
        <stp/>
        <stp>BID</stp>
        <stp>.SPXW250509P5500</stp>
        <tr r="DF122" s="1"/>
        <tr r="DF122" s="1"/>
      </tp>
      <tp>
        <v>123.4</v>
        <stp/>
        <stp>BID</stp>
        <stp>.SPXW250509C5530</stp>
        <tr r="DE119" s="1"/>
        <tr r="DE119" s="1"/>
      </tp>
      <tp>
        <v>0</v>
        <stp/>
        <stp>BID</stp>
        <stp>.SPXW250509P5530</stp>
        <tr r="DF119" s="1"/>
        <tr r="DF119" s="1"/>
      </tp>
      <tp>
        <v>133.4</v>
        <stp/>
        <stp>BID</stp>
        <stp>.SPXW250509C5520</stp>
        <tr r="DE120" s="1"/>
        <tr r="DE120" s="1"/>
      </tp>
      <tp>
        <v>0</v>
        <stp/>
        <stp>BID</stp>
        <stp>.SPXW250509P5520</stp>
        <tr r="DF120" s="1"/>
        <tr r="DF120" s="1"/>
      </tp>
      <tp>
        <v>106.9</v>
        <stp/>
        <stp>BID</stp>
        <stp>.SPXW250509C5550</stp>
        <tr r="DE117" s="1"/>
        <tr r="DE117" s="1"/>
      </tp>
      <tp>
        <v>0</v>
        <stp/>
        <stp>BID</stp>
        <stp>.SPXW250509P5550</stp>
        <tr r="DF117" s="1"/>
        <tr r="DF117" s="1"/>
      </tp>
      <tp>
        <v>116.9</v>
        <stp/>
        <stp>BID</stp>
        <stp>.SPXW250509C5540</stp>
        <tr r="DE118" s="1"/>
        <tr r="DE118" s="1"/>
      </tp>
      <tp>
        <v>0</v>
        <stp/>
        <stp>BID</stp>
        <stp>.SPXW250509P5540</stp>
        <tr r="DF118" s="1"/>
        <tr r="DF118" s="1"/>
      </tp>
      <tp>
        <v>86.9</v>
        <stp/>
        <stp>BID</stp>
        <stp>.SPXW250509C5570</stp>
        <tr r="DE115" s="1"/>
        <tr r="DE115" s="1"/>
      </tp>
      <tp>
        <v>0</v>
        <stp/>
        <stp>BID</stp>
        <stp>.SPXW250509P5570</stp>
        <tr r="DF115" s="1"/>
        <tr r="DF115" s="1"/>
      </tp>
      <tp>
        <v>96.9</v>
        <stp/>
        <stp>BID</stp>
        <stp>.SPXW250509C5560</stp>
        <tr r="DE116" s="1"/>
        <tr r="DE116" s="1"/>
      </tp>
      <tp>
        <v>0</v>
        <stp/>
        <stp>BID</stp>
        <stp>.SPXW250509P5560</stp>
        <tr r="DF116" s="1"/>
        <tr r="DF116" s="1"/>
      </tp>
      <tp>
        <v>66.900000000000006</v>
        <stp/>
        <stp>BID</stp>
        <stp>.SPXW250509C5590</stp>
        <tr r="DE113" s="1"/>
        <tr r="DE113" s="1"/>
      </tp>
      <tp>
        <v>0</v>
        <stp/>
        <stp>BID</stp>
        <stp>.SPXW250509P5590</stp>
        <tr r="DF113" s="1"/>
        <tr r="DF113" s="1"/>
      </tp>
      <tp>
        <v>76.900000000000006</v>
        <stp/>
        <stp>BID</stp>
        <stp>.SPXW250509C5580</stp>
        <tr r="DE114" s="1"/>
        <tr r="DE114" s="1"/>
      </tp>
      <tp>
        <v>0</v>
        <stp/>
        <stp>BID</stp>
        <stp>.SPXW250509P5580</stp>
        <tr r="DF114" s="1"/>
        <tr r="DF114" s="1"/>
      </tp>
      <tp>
        <v>54</v>
        <stp/>
        <stp>VOLUME</stp>
        <stp>.QQQ250516P502</stp>
        <tr r="BD45" s="1"/>
        <tr r="BD45" s="1"/>
      </tp>
      <tp>
        <v>967</v>
        <stp/>
        <stp>VOLUME</stp>
        <stp>.QQQ250516C502</stp>
        <tr r="BC45" s="1"/>
        <tr r="BC45" s="1"/>
      </tp>
      <tp>
        <v>444</v>
        <stp/>
        <stp>VOLUME</stp>
        <stp>.QQQ250516P500</stp>
        <tr r="BD47" s="1"/>
        <tr r="BD47" s="1"/>
      </tp>
      <tp>
        <v>14625</v>
        <stp/>
        <stp>VOLUME</stp>
        <stp>.QQQ250516C500</stp>
        <tr r="BC47" s="1"/>
        <tr r="BC47" s="1"/>
      </tp>
      <tp>
        <v>50</v>
        <stp/>
        <stp>VOLUME</stp>
        <stp>.QQQ250516P501</stp>
        <tr r="BD46" s="1"/>
        <tr r="BD46" s="1"/>
      </tp>
      <tp>
        <v>1256</v>
        <stp/>
        <stp>VOLUME</stp>
        <stp>.QQQ250516C501</stp>
        <tr r="BC46" s="1"/>
        <tr r="BC46" s="1"/>
      </tp>
      <tp>
        <v>19</v>
        <stp/>
        <stp>VOLUME</stp>
        <stp>.QQQ250509P501</stp>
        <tr r="BB46" s="1"/>
        <tr r="BB46" s="1"/>
      </tp>
      <tp>
        <v>3367</v>
        <stp/>
        <stp>VOLUME</stp>
        <stp>.QQQ250509C501</stp>
        <tr r="BA46" s="1"/>
        <tr r="BA46" s="1"/>
      </tp>
      <tp>
        <v>464</v>
        <stp/>
        <stp>VOLUME</stp>
        <stp>.QQQ250509P500</stp>
        <tr r="BB47" s="1"/>
        <tr r="BB47" s="1"/>
      </tp>
      <tp>
        <v>10725</v>
        <stp/>
        <stp>VOLUME</stp>
        <stp>.QQQ250509C500</stp>
        <tr r="BA47" s="1"/>
        <tr r="BA47" s="1"/>
      </tp>
      <tp>
        <v>1</v>
        <stp/>
        <stp>VOLUME</stp>
        <stp>.QQQ250509P502</stp>
        <tr r="BB45" s="1"/>
        <tr r="BB45" s="1"/>
      </tp>
      <tp>
        <v>2333</v>
        <stp/>
        <stp>VOLUME</stp>
        <stp>.QQQ250509C502</stp>
        <tr r="BA45" s="1"/>
        <tr r="BA45" s="1"/>
      </tp>
      <tp>
        <v>212</v>
        <stp/>
        <stp>VOLUME</stp>
        <stp>.QQQ250530P500</stp>
        <tr r="I48" s="2"/>
        <tr r="I48" s="2"/>
      </tp>
      <tp>
        <v>5864</v>
        <stp/>
        <stp>VOLUME</stp>
        <stp>.QQQ250530C500</stp>
        <tr r="I48" s="2"/>
        <tr r="I48" s="2"/>
      </tp>
      <tp>
        <v>100</v>
        <stp/>
        <stp>VOLUME</stp>
        <stp>.QQQ250530P501</stp>
        <tr r="I47" s="2"/>
        <tr r="I47" s="2"/>
      </tp>
      <tp>
        <v>467</v>
        <stp/>
        <stp>VOLUME</stp>
        <stp>.QQQ250530C501</stp>
        <tr r="I47" s="2"/>
        <tr r="I47" s="2"/>
      </tp>
      <tp t="s">
        <v>N/A</v>
        <stp/>
        <stp>VOLUME</stp>
        <stp>.QQQ250530P502</stp>
        <tr r="I46" s="2"/>
      </tp>
      <tp>
        <v>17</v>
        <stp/>
        <stp>VOLUME</stp>
        <stp>.QQQ250530C502</stp>
        <tr r="I46" s="2"/>
        <tr r="I46" s="2"/>
      </tp>
      <tp>
        <v>206</v>
        <stp/>
        <stp>VOLUME</stp>
        <stp>.QQQ250523P502</stp>
        <tr r="H46" s="2"/>
        <tr r="H46" s="2"/>
      </tp>
      <tp>
        <v>42</v>
        <stp/>
        <stp>VOLUME</stp>
        <stp>.QQQ250523C502</stp>
        <tr r="H46" s="2"/>
        <tr r="H46" s="2"/>
      </tp>
      <tp>
        <v>114</v>
        <stp/>
        <stp>VOLUME</stp>
        <stp>.QQQ250523P501</stp>
        <tr r="H47" s="2"/>
        <tr r="H47" s="2"/>
      </tp>
      <tp>
        <v>22</v>
        <stp/>
        <stp>VOLUME</stp>
        <stp>.QQQ250523C501</stp>
        <tr r="H47" s="2"/>
        <tr r="H47" s="2"/>
      </tp>
      <tp>
        <v>329</v>
        <stp/>
        <stp>VOLUME</stp>
        <stp>.QQQ250523P500</stp>
        <tr r="H48" s="2"/>
        <tr r="H48" s="2"/>
      </tp>
      <tp>
        <v>6216</v>
        <stp/>
        <stp>VOLUME</stp>
        <stp>.QQQ250523C500</stp>
        <tr r="H48" s="2"/>
        <tr r="H48" s="2"/>
      </tp>
      <tp>
        <v>221.8</v>
        <stp/>
        <stp>BID</stp>
        <stp>.SPXW250509C5430</stp>
        <tr r="DE129" s="1"/>
        <tr r="DE129" s="1"/>
      </tp>
      <tp>
        <v>0</v>
        <stp/>
        <stp>BID</stp>
        <stp>.SPXW250509P5430</stp>
        <tr r="DF129" s="1"/>
        <tr r="DF129" s="1"/>
      </tp>
      <tp>
        <v>231.8</v>
        <stp/>
        <stp>BID</stp>
        <stp>.SPXW250509C5420</stp>
        <tr r="DE130" s="1"/>
        <tr r="DE130" s="1"/>
      </tp>
      <tp>
        <v>0</v>
        <stp/>
        <stp>BID</stp>
        <stp>.SPXW250509P5420</stp>
        <tr r="DF130" s="1"/>
        <tr r="DF130" s="1"/>
      </tp>
      <tp>
        <v>201.9</v>
        <stp/>
        <stp>BID</stp>
        <stp>.SPXW250509C5450</stp>
        <tr r="DE127" s="1"/>
        <tr r="DE127" s="1"/>
      </tp>
      <tp>
        <v>0</v>
        <stp/>
        <stp>BID</stp>
        <stp>.SPXW250509P5450</stp>
        <tr r="DF127" s="1"/>
        <tr r="DF127" s="1"/>
      </tp>
      <tp>
        <v>211.8</v>
        <stp/>
        <stp>BID</stp>
        <stp>.SPXW250509C5440</stp>
        <tr r="DE128" s="1"/>
        <tr r="DE128" s="1"/>
      </tp>
      <tp>
        <v>0</v>
        <stp/>
        <stp>BID</stp>
        <stp>.SPXW250509P5440</stp>
        <tr r="DF128" s="1"/>
        <tr r="DF128" s="1"/>
      </tp>
      <tp>
        <v>183.4</v>
        <stp/>
        <stp>BID</stp>
        <stp>.SPXW250509C5470</stp>
        <tr r="DE125" s="1"/>
        <tr r="DE125" s="1"/>
      </tp>
      <tp>
        <v>0</v>
        <stp/>
        <stp>BID</stp>
        <stp>.SPXW250509P5470</stp>
        <tr r="DF125" s="1"/>
        <tr r="DF125" s="1"/>
      </tp>
      <tp>
        <v>193.4</v>
        <stp/>
        <stp>BID</stp>
        <stp>.SPXW250509C5460</stp>
        <tr r="DE126" s="1"/>
        <tr r="DE126" s="1"/>
      </tp>
      <tp>
        <v>0</v>
        <stp/>
        <stp>BID</stp>
        <stp>.SPXW250509P5460</stp>
        <tr r="DF126" s="1"/>
        <tr r="DF126" s="1"/>
      </tp>
      <tp>
        <v>163.4</v>
        <stp/>
        <stp>BID</stp>
        <stp>.SPXW250509C5490</stp>
        <tr r="DE123" s="1"/>
        <tr r="DE123" s="1"/>
      </tp>
      <tp>
        <v>0</v>
        <stp/>
        <stp>BID</stp>
        <stp>.SPXW250509P5490</stp>
        <tr r="DF123" s="1"/>
        <tr r="DF123" s="1"/>
      </tp>
      <tp>
        <v>173.4</v>
        <stp/>
        <stp>BID</stp>
        <stp>.SPXW250509C5480</stp>
        <tr r="DE124" s="1"/>
        <tr r="DE124" s="1"/>
      </tp>
      <tp>
        <v>0</v>
        <stp/>
        <stp>BID</stp>
        <stp>.SPXW250509P5480</stp>
        <tr r="DF124" s="1"/>
        <tr r="DF124" s="1"/>
      </tp>
      <tp>
        <v>677</v>
        <stp/>
        <stp>VOLUME</stp>
        <stp>.QQQ250516P482</stp>
        <tr r="BD65" s="1"/>
        <tr r="BD65" s="1"/>
      </tp>
      <tp>
        <v>282</v>
        <stp/>
        <stp>VOLUME</stp>
        <stp>.QQQ250516C482</stp>
        <tr r="BC65" s="1"/>
        <tr r="BC65" s="1"/>
      </tp>
      <tp>
        <v>2102</v>
        <stp/>
        <stp>VOLUME</stp>
        <stp>.QQQ250516P483</stp>
        <tr r="BD64" s="1"/>
        <tr r="BD64" s="1"/>
      </tp>
      <tp>
        <v>121</v>
        <stp/>
        <stp>VOLUME</stp>
        <stp>.QQQ250516C483</stp>
        <tr r="BC64" s="1"/>
        <tr r="BC64" s="1"/>
      </tp>
      <tp>
        <v>12274</v>
        <stp/>
        <stp>VOLUME</stp>
        <stp>.QQQ250516P480</stp>
        <tr r="BD67" s="1"/>
        <tr r="BD67" s="1"/>
      </tp>
      <tp>
        <v>2188</v>
        <stp/>
        <stp>VOLUME</stp>
        <stp>.QQQ250516C480</stp>
        <tr r="BC67" s="1"/>
        <tr r="BC67" s="1"/>
      </tp>
      <tp>
        <v>367</v>
        <stp/>
        <stp>VOLUME</stp>
        <stp>.QQQ250516P481</stp>
        <tr r="BD66" s="1"/>
        <tr r="BD66" s="1"/>
      </tp>
      <tp>
        <v>70</v>
        <stp/>
        <stp>VOLUME</stp>
        <stp>.QQQ250516C481</stp>
        <tr r="BC66" s="1"/>
        <tr r="BC66" s="1"/>
      </tp>
      <tp>
        <v>50</v>
        <stp/>
        <stp>VOLUME</stp>
        <stp>.QQQ250509P499</stp>
        <tr r="BB48" s="1"/>
        <tr r="BB48" s="1"/>
      </tp>
      <tp>
        <v>1925</v>
        <stp/>
        <stp>VOLUME</stp>
        <stp>.QQQ250516P486</stp>
        <tr r="BD61" s="1"/>
        <tr r="BD61" s="1"/>
      </tp>
      <tp>
        <v>3314</v>
        <stp/>
        <stp>VOLUME</stp>
        <stp>.QQQ250509C499</stp>
        <tr r="BA48" s="1"/>
        <tr r="BA48" s="1"/>
      </tp>
      <tp>
        <v>1695</v>
        <stp/>
        <stp>VOLUME</stp>
        <stp>.QQQ250516C486</stp>
        <tr r="BC61" s="1"/>
        <tr r="BC61" s="1"/>
      </tp>
      <tp>
        <v>209</v>
        <stp/>
        <stp>VOLUME</stp>
        <stp>.QQQ250509P498</stp>
        <tr r="BB49" s="1"/>
        <tr r="BB49" s="1"/>
      </tp>
      <tp>
        <v>3102</v>
        <stp/>
        <stp>VOLUME</stp>
        <stp>.QQQ250516P487</stp>
        <tr r="BD60" s="1"/>
        <tr r="BD60" s="1"/>
      </tp>
      <tp>
        <v>10702</v>
        <stp/>
        <stp>VOLUME</stp>
        <stp>.QQQ250509C498</stp>
        <tr r="BA49" s="1"/>
        <tr r="BA49" s="1"/>
      </tp>
      <tp>
        <v>1238</v>
        <stp/>
        <stp>VOLUME</stp>
        <stp>.QQQ250516C487</stp>
        <tr r="BC60" s="1"/>
        <tr r="BC60" s="1"/>
      </tp>
      <tp>
        <v>1556</v>
        <stp/>
        <stp>VOLUME</stp>
        <stp>.QQQ250516P484</stp>
        <tr r="BD63" s="1"/>
        <tr r="BD63" s="1"/>
      </tp>
      <tp>
        <v>115</v>
        <stp/>
        <stp>VOLUME</stp>
        <stp>.QQQ250516C484</stp>
        <tr r="BC63" s="1"/>
        <tr r="BC63" s="1"/>
      </tp>
      <tp>
        <v>13735</v>
        <stp/>
        <stp>VOLUME</stp>
        <stp>.QQQ250516P485</stp>
        <tr r="BD62" s="1"/>
        <tr r="BD62" s="1"/>
      </tp>
      <tp>
        <v>2375</v>
        <stp/>
        <stp>VOLUME</stp>
        <stp>.QQQ250516C485</stp>
        <tr r="BC62" s="1"/>
        <tr r="BC62" s="1"/>
      </tp>
      <tp>
        <v>4253</v>
        <stp/>
        <stp>VOLUME</stp>
        <stp>.QQQ250509P495</stp>
        <tr r="BB52" s="1"/>
        <tr r="BB52" s="1"/>
      </tp>
      <tp>
        <v>71389</v>
        <stp/>
        <stp>VOLUME</stp>
        <stp>.QQQ250509C495</stp>
        <tr r="BA52" s="1"/>
        <tr r="BA52" s="1"/>
      </tp>
      <tp>
        <v>783</v>
        <stp/>
        <stp>VOLUME</stp>
        <stp>.QQQ250509P494</stp>
        <tr r="BB53" s="1"/>
        <tr r="BB53" s="1"/>
      </tp>
      <tp>
        <v>36320</v>
        <stp/>
        <stp>VOLUME</stp>
        <stp>.QQQ250509C494</stp>
        <tr r="BA53" s="1"/>
        <tr r="BA53" s="1"/>
      </tp>
      <tp>
        <v>191</v>
        <stp/>
        <stp>VOLUME</stp>
        <stp>.QQQ250509P497</stp>
        <tr r="BB50" s="1"/>
        <tr r="BB50" s="1"/>
      </tp>
      <tp>
        <v>2184</v>
        <stp/>
        <stp>VOLUME</stp>
        <stp>.QQQ250516P488</stp>
        <tr r="BD59" s="1"/>
        <tr r="BD59" s="1"/>
      </tp>
      <tp>
        <v>12075</v>
        <stp/>
        <stp>VOLUME</stp>
        <stp>.QQQ250509C497</stp>
        <tr r="BA50" s="1"/>
        <tr r="BA50" s="1"/>
      </tp>
      <tp>
        <v>1844</v>
        <stp/>
        <stp>VOLUME</stp>
        <stp>.QQQ250516C488</stp>
        <tr r="BC59" s="1"/>
        <tr r="BC59" s="1"/>
      </tp>
      <tp>
        <v>414</v>
        <stp/>
        <stp>VOLUME</stp>
        <stp>.QQQ250509P496</stp>
        <tr r="BB51" s="1"/>
        <tr r="BB51" s="1"/>
      </tp>
      <tp>
        <v>2013</v>
        <stp/>
        <stp>VOLUME</stp>
        <stp>.QQQ250516P489</stp>
        <tr r="BD58" s="1"/>
        <tr r="BD58" s="1"/>
      </tp>
      <tp>
        <v>17493</v>
        <stp/>
        <stp>VOLUME</stp>
        <stp>.QQQ250509C496</stp>
        <tr r="BA51" s="1"/>
        <tr r="BA51" s="1"/>
      </tp>
      <tp>
        <v>2745</v>
        <stp/>
        <stp>VOLUME</stp>
        <stp>.QQQ250516C489</stp>
        <tr r="BC58" s="1"/>
        <tr r="BC58" s="1"/>
      </tp>
      <tp>
        <v>28296</v>
        <stp/>
        <stp>VOLUME</stp>
        <stp>.QQQ250509P491</stp>
        <tr r="BB56" s="1"/>
        <tr r="BB56" s="1"/>
      </tp>
      <tp>
        <v>125611</v>
        <stp/>
        <stp>VOLUME</stp>
        <stp>.QQQ250509C491</stp>
        <tr r="BA56" s="1"/>
        <tr r="BA56" s="1"/>
      </tp>
      <tp>
        <v>80050</v>
        <stp/>
        <stp>VOLUME</stp>
        <stp>.QQQ250509P490</stp>
        <tr r="BB57" s="1"/>
        <tr r="BB57" s="1"/>
      </tp>
      <tp>
        <v>172339</v>
        <stp/>
        <stp>VOLUME</stp>
        <stp>.QQQ250509C490</stp>
        <tr r="BA57" s="1"/>
        <tr r="BA57" s="1"/>
      </tp>
      <tp>
        <v>3069</v>
        <stp/>
        <stp>VOLUME</stp>
        <stp>.QQQ250509P493</stp>
        <tr r="BB54" s="1"/>
        <tr r="BB54" s="1"/>
      </tp>
      <tp>
        <v>74644</v>
        <stp/>
        <stp>VOLUME</stp>
        <stp>.QQQ250509C493</stp>
        <tr r="BA54" s="1"/>
        <tr r="BA54" s="1"/>
      </tp>
      <tp>
        <v>11255</v>
        <stp/>
        <stp>VOLUME</stp>
        <stp>.QQQ250509P492</stp>
        <tr r="BB55" s="1"/>
        <tr r="BB55" s="1"/>
      </tp>
      <tp>
        <v>97017</v>
        <stp/>
        <stp>VOLUME</stp>
        <stp>.QQQ250509C492</stp>
        <tr r="BA55" s="1"/>
        <tr r="BA55" s="1"/>
      </tp>
      <tp>
        <v>521</v>
        <stp/>
        <stp>VOLUME</stp>
        <stp>.QQQ250516P492</stp>
        <tr r="BD55" s="1"/>
        <tr r="BD55" s="1"/>
      </tp>
      <tp>
        <v>2465</v>
        <stp/>
        <stp>VOLUME</stp>
        <stp>.QQQ250516C492</stp>
        <tr r="BC55" s="1"/>
        <tr r="BC55" s="1"/>
      </tp>
      <tp>
        <v>285</v>
        <stp/>
        <stp>VOLUME</stp>
        <stp>.QQQ250516P493</stp>
        <tr r="BD54" s="1"/>
        <tr r="BD54" s="1"/>
      </tp>
      <tp>
        <v>1576</v>
        <stp/>
        <stp>VOLUME</stp>
        <stp>.QQQ250516C493</stp>
        <tr r="BC54" s="1"/>
        <tr r="BC54" s="1"/>
      </tp>
      <tp>
        <v>10614</v>
        <stp/>
        <stp>VOLUME</stp>
        <stp>.QQQ250516P490</stp>
        <tr r="BD57" s="1"/>
        <tr r="BD57" s="1"/>
      </tp>
      <tp>
        <v>16143</v>
        <stp/>
        <stp>VOLUME</stp>
        <stp>.QQQ250516C490</stp>
        <tr r="BC57" s="1"/>
        <tr r="BC57" s="1"/>
      </tp>
      <tp>
        <v>1071</v>
        <stp/>
        <stp>VOLUME</stp>
        <stp>.QQQ250516P491</stp>
        <tr r="BD56" s="1"/>
        <tr r="BD56" s="1"/>
      </tp>
      <tp>
        <v>2095</v>
        <stp/>
        <stp>VOLUME</stp>
        <stp>.QQQ250516C491</stp>
        <tr r="BC56" s="1"/>
        <tr r="BC56" s="1"/>
      </tp>
      <tp>
        <v>77159</v>
        <stp/>
        <stp>VOLUME</stp>
        <stp>.QQQ250509P489</stp>
        <tr r="BB58" s="1"/>
        <tr r="BB58" s="1"/>
      </tp>
      <tp>
        <v>40</v>
        <stp/>
        <stp>VOLUME</stp>
        <stp>.QQQ250516P496</stp>
        <tr r="BD51" s="1"/>
        <tr r="BD51" s="1"/>
      </tp>
      <tp>
        <v>147460</v>
        <stp/>
        <stp>VOLUME</stp>
        <stp>.QQQ250509C489</stp>
        <tr r="BA58" s="1"/>
        <tr r="BA58" s="1"/>
      </tp>
      <tp>
        <v>1114</v>
        <stp/>
        <stp>VOLUME</stp>
        <stp>.QQQ250516C496</stp>
        <tr r="BC51" s="1"/>
        <tr r="BC51" s="1"/>
      </tp>
      <tp>
        <v>167184</v>
        <stp/>
        <stp>VOLUME</stp>
        <stp>.QQQ250509P488</stp>
        <tr r="BB59" s="1"/>
        <tr r="BB59" s="1"/>
      </tp>
      <tp>
        <v>30</v>
        <stp/>
        <stp>VOLUME</stp>
        <stp>.QQQ250516P497</stp>
        <tr r="BD50" s="1"/>
        <tr r="BD50" s="1"/>
      </tp>
      <tp>
        <v>134820</v>
        <stp/>
        <stp>VOLUME</stp>
        <stp>.QQQ250509C488</stp>
        <tr r="BA59" s="1"/>
        <tr r="BA59" s="1"/>
      </tp>
      <tp>
        <v>779</v>
        <stp/>
        <stp>VOLUME</stp>
        <stp>.QQQ250516C497</stp>
        <tr r="BC50" s="1"/>
        <tr r="BC50" s="1"/>
      </tp>
      <tp>
        <v>316</v>
        <stp/>
        <stp>VOLUME</stp>
        <stp>.QQQ250516P494</stp>
        <tr r="BD53" s="1"/>
        <tr r="BD53" s="1"/>
      </tp>
      <tp>
        <v>1093</v>
        <stp/>
        <stp>VOLUME</stp>
        <stp>.QQQ250516C494</stp>
        <tr r="BC53" s="1"/>
        <tr r="BC53" s="1"/>
      </tp>
      <tp>
        <v>952</v>
        <stp/>
        <stp>VOLUME</stp>
        <stp>.QQQ250516P495</stp>
        <tr r="BD52" s="1"/>
        <tr r="BD52" s="1"/>
      </tp>
      <tp>
        <v>5633</v>
        <stp/>
        <stp>VOLUME</stp>
        <stp>.QQQ250516C495</stp>
        <tr r="BC52" s="1"/>
        <tr r="BC52" s="1"/>
      </tp>
      <tp>
        <v>100444</v>
        <stp/>
        <stp>VOLUME</stp>
        <stp>.QQQ250509P485</stp>
        <tr r="BB62" s="1"/>
        <tr r="BB62" s="1"/>
      </tp>
      <tp>
        <v>16198</v>
        <stp/>
        <stp>VOLUME</stp>
        <stp>.QQQ250509C485</stp>
        <tr r="BA62" s="1"/>
        <tr r="BA62" s="1"/>
      </tp>
      <tp>
        <v>48368</v>
        <stp/>
        <stp>VOLUME</stp>
        <stp>.QQQ250509P484</stp>
        <tr r="BB63" s="1"/>
        <tr r="BB63" s="1"/>
      </tp>
      <tp>
        <v>4274</v>
        <stp/>
        <stp>VOLUME</stp>
        <stp>.QQQ250509C484</stp>
        <tr r="BA63" s="1"/>
        <tr r="BA63" s="1"/>
      </tp>
      <tp>
        <v>110290</v>
        <stp/>
        <stp>VOLUME</stp>
        <stp>.QQQ250509P487</stp>
        <tr r="BB60" s="1"/>
        <tr r="BB60" s="1"/>
      </tp>
      <tp>
        <v>17</v>
        <stp/>
        <stp>VOLUME</stp>
        <stp>.QQQ250516P498</stp>
        <tr r="BD49" s="1"/>
        <tr r="BD49" s="1"/>
      </tp>
      <tp>
        <v>57949</v>
        <stp/>
        <stp>VOLUME</stp>
        <stp>.QQQ250509C487</stp>
        <tr r="BA60" s="1"/>
        <tr r="BA60" s="1"/>
      </tp>
      <tp>
        <v>948</v>
        <stp/>
        <stp>VOLUME</stp>
        <stp>.QQQ250516C498</stp>
        <tr r="BC49" s="1"/>
        <tr r="BC49" s="1"/>
      </tp>
      <tp>
        <v>109390</v>
        <stp/>
        <stp>VOLUME</stp>
        <stp>.QQQ250509P486</stp>
        <tr r="BB61" s="1"/>
        <tr r="BB61" s="1"/>
      </tp>
      <tp>
        <v>50</v>
        <stp/>
        <stp>VOLUME</stp>
        <stp>.QQQ250516P499</stp>
        <tr r="BD48" s="1"/>
        <tr r="BD48" s="1"/>
      </tp>
      <tp>
        <v>17501</v>
        <stp/>
        <stp>VOLUME</stp>
        <stp>.QQQ250509C486</stp>
        <tr r="BA61" s="1"/>
        <tr r="BA61" s="1"/>
      </tp>
      <tp>
        <v>666</v>
        <stp/>
        <stp>VOLUME</stp>
        <stp>.QQQ250516C499</stp>
        <tr r="BC48" s="1"/>
        <tr r="BC48" s="1"/>
      </tp>
      <tp>
        <v>9331</v>
        <stp/>
        <stp>VOLUME</stp>
        <stp>.QQQ250509P481</stp>
        <tr r="BB66" s="1"/>
        <tr r="BB66" s="1"/>
      </tp>
      <tp>
        <v>559</v>
        <stp/>
        <stp>VOLUME</stp>
        <stp>.QQQ250509C481</stp>
        <tr r="BA66" s="1"/>
        <tr r="BA66" s="1"/>
      </tp>
      <tp>
        <v>29076</v>
        <stp/>
        <stp>VOLUME</stp>
        <stp>.QQQ250509P480</stp>
        <tr r="BB67" s="1"/>
        <tr r="BB67" s="1"/>
      </tp>
      <tp>
        <v>2151</v>
        <stp/>
        <stp>VOLUME</stp>
        <stp>.QQQ250509C480</stp>
        <tr r="BA67" s="1"/>
        <tr r="BA67" s="1"/>
      </tp>
      <tp>
        <v>33256</v>
        <stp/>
        <stp>VOLUME</stp>
        <stp>.QQQ250509P483</stp>
        <tr r="BB64" s="1"/>
        <tr r="BB64" s="1"/>
      </tp>
      <tp>
        <v>3086</v>
        <stp/>
        <stp>VOLUME</stp>
        <stp>.QQQ250509C483</stp>
        <tr r="BA64" s="1"/>
        <tr r="BA64" s="1"/>
      </tp>
      <tp>
        <v>16319</v>
        <stp/>
        <stp>VOLUME</stp>
        <stp>.QQQ250509P482</stp>
        <tr r="BB65" s="1"/>
        <tr r="BB65" s="1"/>
      </tp>
      <tp>
        <v>1244</v>
        <stp/>
        <stp>VOLUME</stp>
        <stp>.QQQ250509C482</stp>
        <tr r="BA65" s="1"/>
        <tr r="BA65" s="1"/>
      </tp>
      <tp>
        <v>121</v>
        <stp/>
        <stp>VOLUME</stp>
        <stp>.QQQ250523P497</stp>
        <tr r="H51" s="2"/>
        <tr r="H51" s="2"/>
      </tp>
      <tp>
        <v>1785</v>
        <stp/>
        <stp>VOLUME</stp>
        <stp>.QQQ250530P484</stp>
        <tr r="I64" s="2"/>
        <tr r="I64" s="2"/>
      </tp>
      <tp>
        <v>303</v>
        <stp/>
        <stp>VOLUME</stp>
        <stp>.QQQ250523C497</stp>
        <tr r="H51" s="2"/>
        <tr r="H51" s="2"/>
      </tp>
      <tp>
        <v>19</v>
        <stp/>
        <stp>VOLUME</stp>
        <stp>.QQQ250530C484</stp>
        <tr r="I64" s="2"/>
        <tr r="I64" s="2"/>
      </tp>
      <tp>
        <v>80</v>
        <stp/>
        <stp>VOLUME</stp>
        <stp>.QQQ250523P496</stp>
        <tr r="H52" s="2"/>
        <tr r="H52" s="2"/>
      </tp>
      <tp>
        <v>1007</v>
        <stp/>
        <stp>VOLUME</stp>
        <stp>.QQQ250530P485</stp>
        <tr r="I63" s="2"/>
        <tr r="I63" s="2"/>
      </tp>
      <tp>
        <v>92</v>
        <stp/>
        <stp>VOLUME</stp>
        <stp>.QQQ250523C496</stp>
        <tr r="H52" s="2"/>
        <tr r="H52" s="2"/>
      </tp>
      <tp>
        <v>745</v>
        <stp/>
        <stp>VOLUME</stp>
        <stp>.QQQ250530C485</stp>
        <tr r="I63" s="2"/>
        <tr r="I63" s="2"/>
      </tp>
      <tp>
        <v>38</v>
        <stp/>
        <stp>VOLUME</stp>
        <stp>.QQQ250523P495</stp>
        <tr r="H53" s="2"/>
        <tr r="H53" s="2"/>
      </tp>
      <tp>
        <v>314</v>
        <stp/>
        <stp>VOLUME</stp>
        <stp>.QQQ250530P486</stp>
        <tr r="I62" s="2"/>
        <tr r="I62" s="2"/>
      </tp>
      <tp>
        <v>622</v>
        <stp/>
        <stp>VOLUME</stp>
        <stp>.QQQ250523C495</stp>
        <tr r="H53" s="2"/>
        <tr r="H53" s="2"/>
      </tp>
      <tp>
        <v>77</v>
        <stp/>
        <stp>VOLUME</stp>
        <stp>.QQQ250530C486</stp>
        <tr r="I62" s="2"/>
        <tr r="I62" s="2"/>
      </tp>
      <tp>
        <v>5</v>
        <stp/>
        <stp>VOLUME</stp>
        <stp>.QQQ250523P494</stp>
        <tr r="H54" s="2"/>
        <tr r="H54" s="2"/>
      </tp>
      <tp>
        <v>338</v>
        <stp/>
        <stp>VOLUME</stp>
        <stp>.QQQ250530P487</stp>
        <tr r="I61" s="2"/>
        <tr r="I61" s="2"/>
      </tp>
      <tp>
        <v>140</v>
        <stp/>
        <stp>VOLUME</stp>
        <stp>.QQQ250523C494</stp>
        <tr r="H54" s="2"/>
        <tr r="H54" s="2"/>
      </tp>
      <tp>
        <v>143</v>
        <stp/>
        <stp>VOLUME</stp>
        <stp>.QQQ250530C487</stp>
        <tr r="I61" s="2"/>
        <tr r="I61" s="2"/>
      </tp>
      <tp>
        <v>39</v>
        <stp/>
        <stp>VOLUME</stp>
        <stp>.QQQ250523P493</stp>
        <tr r="H55" s="2"/>
        <tr r="H55" s="2"/>
      </tp>
      <tp>
        <v>5294</v>
        <stp/>
        <stp>VOLUME</stp>
        <stp>.QQQ250530P480</stp>
        <tr r="I68" s="2"/>
        <tr r="I68" s="2"/>
      </tp>
      <tp>
        <v>66</v>
        <stp/>
        <stp>VOLUME</stp>
        <stp>.QQQ250523C493</stp>
        <tr r="H55" s="2"/>
        <tr r="H55" s="2"/>
      </tp>
      <tp>
        <v>113</v>
        <stp/>
        <stp>VOLUME</stp>
        <stp>.QQQ250530C480</stp>
        <tr r="I68" s="2"/>
        <tr r="I68" s="2"/>
      </tp>
      <tp>
        <v>43</v>
        <stp/>
        <stp>VOLUME</stp>
        <stp>.QQQ250523P492</stp>
        <tr r="H56" s="2"/>
        <tr r="H56" s="2"/>
      </tp>
      <tp>
        <v>15</v>
        <stp/>
        <stp>VOLUME</stp>
        <stp>.QQQ250530P481</stp>
        <tr r="I67" s="2"/>
        <tr r="I67" s="2"/>
      </tp>
      <tp>
        <v>498</v>
        <stp/>
        <stp>VOLUME</stp>
        <stp>.QQQ250523C492</stp>
        <tr r="H56" s="2"/>
        <tr r="H56" s="2"/>
      </tp>
      <tp>
        <v>68</v>
        <stp/>
        <stp>VOLUME</stp>
        <stp>.QQQ250530C481</stp>
        <tr r="I67" s="2"/>
        <tr r="I67" s="2"/>
      </tp>
      <tp>
        <v>317</v>
        <stp/>
        <stp>VOLUME</stp>
        <stp>.QQQ250523P491</stp>
        <tr r="H57" s="2"/>
        <tr r="H57" s="2"/>
      </tp>
      <tp>
        <v>108</v>
        <stp/>
        <stp>VOLUME</stp>
        <stp>.QQQ250530P482</stp>
        <tr r="I66" s="2"/>
        <tr r="I66" s="2"/>
      </tp>
      <tp>
        <v>1581</v>
        <stp/>
        <stp>VOLUME</stp>
        <stp>.QQQ250523C491</stp>
        <tr r="H57" s="2"/>
        <tr r="H57" s="2"/>
      </tp>
      <tp>
        <v>203</v>
        <stp/>
        <stp>VOLUME</stp>
        <stp>.QQQ250530C482</stp>
        <tr r="I66" s="2"/>
        <tr r="I66" s="2"/>
      </tp>
      <tp>
        <v>2250</v>
        <stp/>
        <stp>VOLUME</stp>
        <stp>.QQQ250523P490</stp>
        <tr r="H58" s="2"/>
        <tr r="H58" s="2"/>
      </tp>
      <tp>
        <v>123</v>
        <stp/>
        <stp>VOLUME</stp>
        <stp>.QQQ250530P483</stp>
        <tr r="I65" s="2"/>
        <tr r="I65" s="2"/>
      </tp>
      <tp>
        <v>2274</v>
        <stp/>
        <stp>VOLUME</stp>
        <stp>.QQQ250523C490</stp>
        <tr r="H58" s="2"/>
        <tr r="H58" s="2"/>
      </tp>
      <tp>
        <v>5</v>
        <stp/>
        <stp>VOLUME</stp>
        <stp>.QQQ250530C483</stp>
        <tr r="I65" s="2"/>
        <tr r="I65" s="2"/>
      </tp>
      <tp>
        <v>495</v>
        <stp/>
        <stp>VOLUME</stp>
        <stp>.QQQ250530P488</stp>
        <tr r="I60" s="2"/>
        <tr r="I60" s="2"/>
      </tp>
      <tp>
        <v>221</v>
        <stp/>
        <stp>VOLUME</stp>
        <stp>.QQQ250530C488</stp>
        <tr r="I60" s="2"/>
        <tr r="I60" s="2"/>
      </tp>
      <tp>
        <v>224</v>
        <stp/>
        <stp>VOLUME</stp>
        <stp>.QQQ250530P489</stp>
        <tr r="I59" s="2"/>
        <tr r="I59" s="2"/>
      </tp>
      <tp>
        <v>87</v>
        <stp/>
        <stp>VOLUME</stp>
        <stp>.QQQ250530C489</stp>
        <tr r="I59" s="2"/>
        <tr r="I59" s="2"/>
      </tp>
      <tp>
        <v>248</v>
        <stp/>
        <stp>VOLUME</stp>
        <stp>.QQQ250523P499</stp>
        <tr r="H49" s="2"/>
        <tr r="H49" s="2"/>
      </tp>
      <tp>
        <v>20</v>
        <stp/>
        <stp>VOLUME</stp>
        <stp>.QQQ250523C499</stp>
        <tr r="H49" s="2"/>
        <tr r="H49" s="2"/>
      </tp>
      <tp>
        <v>4</v>
        <stp/>
        <stp>VOLUME</stp>
        <stp>.QQQ250523P498</stp>
        <tr r="H50" s="2"/>
        <tr r="H50" s="2"/>
      </tp>
      <tp>
        <v>66</v>
        <stp/>
        <stp>VOLUME</stp>
        <stp>.QQQ250523C498</stp>
        <tr r="H50" s="2"/>
        <tr r="H50" s="2"/>
      </tp>
      <tp>
        <v>408</v>
        <stp/>
        <stp>VOLUME</stp>
        <stp>.QQQ250523P487</stp>
        <tr r="H61" s="2"/>
        <tr r="H61" s="2"/>
      </tp>
      <tp>
        <v>3</v>
        <stp/>
        <stp>VOLUME</stp>
        <stp>.QQQ250530P494</stp>
        <tr r="I54" s="2"/>
        <tr r="I54" s="2"/>
      </tp>
      <tp>
        <v>124</v>
        <stp/>
        <stp>VOLUME</stp>
        <stp>.QQQ250523C487</stp>
        <tr r="H61" s="2"/>
        <tr r="H61" s="2"/>
      </tp>
      <tp>
        <v>26</v>
        <stp/>
        <stp>VOLUME</stp>
        <stp>.QQQ250530C494</stp>
        <tr r="I54" s="2"/>
        <tr r="I54" s="2"/>
      </tp>
      <tp>
        <v>349</v>
        <stp/>
        <stp>VOLUME</stp>
        <stp>.QQQ250523P486</stp>
        <tr r="H62" s="2"/>
        <tr r="H62" s="2"/>
      </tp>
      <tp>
        <v>64</v>
        <stp/>
        <stp>VOLUME</stp>
        <stp>.QQQ250530P495</stp>
        <tr r="I53" s="2"/>
        <tr r="I53" s="2"/>
      </tp>
      <tp>
        <v>59</v>
        <stp/>
        <stp>VOLUME</stp>
        <stp>.QQQ250523C486</stp>
        <tr r="H62" s="2"/>
        <tr r="H62" s="2"/>
      </tp>
      <tp>
        <v>709</v>
        <stp/>
        <stp>VOLUME</stp>
        <stp>.QQQ250530C495</stp>
        <tr r="I53" s="2"/>
        <tr r="I53" s="2"/>
      </tp>
      <tp>
        <v>2484</v>
        <stp/>
        <stp>VOLUME</stp>
        <stp>.QQQ250523P485</stp>
        <tr r="H63" s="2"/>
        <tr r="H63" s="2"/>
      </tp>
      <tp>
        <v>2</v>
        <stp/>
        <stp>VOLUME</stp>
        <stp>.QQQ250530P496</stp>
        <tr r="I52" s="2"/>
        <tr r="I52" s="2"/>
      </tp>
      <tp>
        <v>415</v>
        <stp/>
        <stp>VOLUME</stp>
        <stp>.QQQ250523C485</stp>
        <tr r="H63" s="2"/>
        <tr r="H63" s="2"/>
      </tp>
      <tp>
        <v>59</v>
        <stp/>
        <stp>VOLUME</stp>
        <stp>.QQQ250530C496</stp>
        <tr r="I52" s="2"/>
        <tr r="I52" s="2"/>
      </tp>
      <tp>
        <v>107</v>
        <stp/>
        <stp>VOLUME</stp>
        <stp>.QQQ250523P484</stp>
        <tr r="H64" s="2"/>
        <tr r="H64" s="2"/>
      </tp>
      <tp>
        <v>7</v>
        <stp/>
        <stp>VOLUME</stp>
        <stp>.QQQ250530P497</stp>
        <tr r="I51" s="2"/>
        <tr r="I51" s="2"/>
      </tp>
      <tp>
        <v>1</v>
        <stp/>
        <stp>VOLUME</stp>
        <stp>.QQQ250523C484</stp>
        <tr r="H64" s="2"/>
        <tr r="H64" s="2"/>
      </tp>
      <tp>
        <v>230</v>
        <stp/>
        <stp>VOLUME</stp>
        <stp>.QQQ250530C497</stp>
        <tr r="I51" s="2"/>
        <tr r="I51" s="2"/>
      </tp>
      <tp>
        <v>250</v>
        <stp/>
        <stp>VOLUME</stp>
        <stp>.QQQ250523P483</stp>
        <tr r="H65" s="2"/>
        <tr r="H65" s="2"/>
      </tp>
      <tp>
        <v>1560</v>
        <stp/>
        <stp>VOLUME</stp>
        <stp>.QQQ250530P490</stp>
        <tr r="I58" s="2"/>
        <tr r="I58" s="2"/>
      </tp>
      <tp>
        <v>20</v>
        <stp/>
        <stp>VOLUME</stp>
        <stp>.QQQ250523C483</stp>
        <tr r="H65" s="2"/>
        <tr r="H65" s="2"/>
      </tp>
      <tp>
        <v>1160</v>
        <stp/>
        <stp>VOLUME</stp>
        <stp>.QQQ250530C490</stp>
        <tr r="I58" s="2"/>
        <tr r="I58" s="2"/>
      </tp>
      <tp>
        <v>38</v>
        <stp/>
        <stp>VOLUME</stp>
        <stp>.QQQ250523P482</stp>
        <tr r="H66" s="2"/>
        <tr r="H66" s="2"/>
      </tp>
      <tp>
        <v>509</v>
        <stp/>
        <stp>VOLUME</stp>
        <stp>.QQQ250530P491</stp>
        <tr r="I57" s="2"/>
        <tr r="I57" s="2"/>
      </tp>
      <tp>
        <v>7</v>
        <stp/>
        <stp>VOLUME</stp>
        <stp>.QQQ250523C482</stp>
        <tr r="H66" s="2"/>
        <tr r="H66" s="2"/>
      </tp>
      <tp>
        <v>153</v>
        <stp/>
        <stp>VOLUME</stp>
        <stp>.QQQ250530C491</stp>
        <tr r="I57" s="2"/>
        <tr r="I57" s="2"/>
      </tp>
      <tp>
        <v>300</v>
        <stp/>
        <stp>VOLUME</stp>
        <stp>.QQQ250523P481</stp>
        <tr r="H67" s="2"/>
        <tr r="H67" s="2"/>
      </tp>
      <tp>
        <v>203</v>
        <stp/>
        <stp>VOLUME</stp>
        <stp>.QQQ250530P492</stp>
        <tr r="I56" s="2"/>
        <tr r="I56" s="2"/>
      </tp>
      <tp>
        <v>1</v>
        <stp/>
        <stp>VOLUME</stp>
        <stp>.QQQ250523C481</stp>
        <tr r="H67" s="2"/>
        <tr r="H67" s="2"/>
      </tp>
      <tp>
        <v>117</v>
        <stp/>
        <stp>VOLUME</stp>
        <stp>.QQQ250530C492</stp>
        <tr r="I56" s="2"/>
        <tr r="I56" s="2"/>
      </tp>
      <tp>
        <v>5534</v>
        <stp/>
        <stp>VOLUME</stp>
        <stp>.QQQ250523P480</stp>
        <tr r="H68" s="2"/>
        <tr r="H68" s="2"/>
      </tp>
      <tp>
        <v>69</v>
        <stp/>
        <stp>VOLUME</stp>
        <stp>.QQQ250530P493</stp>
        <tr r="I55" s="2"/>
        <tr r="I55" s="2"/>
      </tp>
      <tp>
        <v>75</v>
        <stp/>
        <stp>VOLUME</stp>
        <stp>.QQQ250523C480</stp>
        <tr r="H68" s="2"/>
        <tr r="H68" s="2"/>
      </tp>
      <tp>
        <v>373</v>
        <stp/>
        <stp>VOLUME</stp>
        <stp>.QQQ250530C493</stp>
        <tr r="I55" s="2"/>
        <tr r="I55" s="2"/>
      </tp>
      <tp>
        <v>2</v>
        <stp/>
        <stp>VOLUME</stp>
        <stp>.QQQ250530P498</stp>
        <tr r="I50" s="2"/>
        <tr r="I50" s="2"/>
      </tp>
      <tp>
        <v>58</v>
        <stp/>
        <stp>VOLUME</stp>
        <stp>.QQQ250530C498</stp>
        <tr r="I50" s="2"/>
        <tr r="I50" s="2"/>
      </tp>
      <tp>
        <v>24</v>
        <stp/>
        <stp>VOLUME</stp>
        <stp>.QQQ250530P499</stp>
        <tr r="I49" s="2"/>
        <tr r="I49" s="2"/>
      </tp>
      <tp>
        <v>18</v>
        <stp/>
        <stp>VOLUME</stp>
        <stp>.QQQ250530C499</stp>
        <tr r="I49" s="2"/>
        <tr r="I49" s="2"/>
      </tp>
      <tp>
        <v>227</v>
        <stp/>
        <stp>VOLUME</stp>
        <stp>.QQQ250523P489</stp>
        <tr r="H59" s="2"/>
        <tr r="H59" s="2"/>
      </tp>
      <tp>
        <v>210</v>
        <stp/>
        <stp>VOLUME</stp>
        <stp>.QQQ250523C489</stp>
        <tr r="H59" s="2"/>
        <tr r="H59" s="2"/>
      </tp>
      <tp>
        <v>317</v>
        <stp/>
        <stp>VOLUME</stp>
        <stp>.QQQ250523P488</stp>
        <tr r="H60" s="2"/>
        <tr r="H60" s="2"/>
      </tp>
      <tp>
        <v>510</v>
        <stp/>
        <stp>VOLUME</stp>
        <stp>.QQQ250523C488</stp>
        <tr r="H60" s="2"/>
        <tr r="H60" s="2"/>
      </tp>
      <tp>
        <v>104</v>
        <stp/>
        <stp>VOLUME</stp>
        <stp>.QQQ250523P477</stp>
        <tr r="H71" s="2"/>
        <tr r="H71" s="2"/>
      </tp>
      <tp>
        <v>1</v>
        <stp/>
        <stp>VOLUME</stp>
        <stp>.QQQ250523C477</stp>
        <tr r="H71" s="2"/>
        <tr r="H71" s="2"/>
      </tp>
      <tp>
        <v>161</v>
        <stp/>
        <stp>VOLUME</stp>
        <stp>.QQQ250523P476</stp>
        <tr r="H72" s="2"/>
        <tr r="H72" s="2"/>
      </tp>
      <tp>
        <v>13</v>
        <stp/>
        <stp>VOLUME</stp>
        <stp>.QQQ250523C476</stp>
        <tr r="H72" s="2"/>
        <tr r="H72" s="2"/>
      </tp>
      <tp>
        <v>6948</v>
        <stp/>
        <stp>VOLUME</stp>
        <stp>.QQQ250523P475</stp>
        <tr r="H73" s="2"/>
        <tr r="H73" s="2"/>
      </tp>
      <tp>
        <v>74</v>
        <stp/>
        <stp>VOLUME</stp>
        <stp>.QQQ250523C475</stp>
        <tr r="H73" s="2"/>
        <tr r="H73" s="2"/>
      </tp>
      <tp>
        <v>59</v>
        <stp/>
        <stp>VOLUME</stp>
        <stp>.QQQ250523P474</stp>
        <tr r="H74" s="2"/>
        <tr r="H74" s="2"/>
      </tp>
      <tp>
        <v>6</v>
        <stp/>
        <stp>VOLUME</stp>
        <stp>.QQQ250523C474</stp>
        <tr r="H74" s="2"/>
        <tr r="H74" s="2"/>
      </tp>
      <tp>
        <v>139</v>
        <stp/>
        <stp>VOLUME</stp>
        <stp>.QQQ250523P473</stp>
        <tr r="H75" s="2"/>
        <tr r="H75" s="2"/>
      </tp>
      <tp>
        <v>5</v>
        <stp/>
        <stp>VOLUME</stp>
        <stp>.QQQ250523C473</stp>
        <tr r="H75" s="2"/>
        <tr r="H75" s="2"/>
      </tp>
      <tp>
        <v>677</v>
        <stp/>
        <stp>VOLUME</stp>
        <stp>.QQQ250523P472</stp>
        <tr r="H76" s="2"/>
        <tr r="H76" s="2"/>
      </tp>
      <tp>
        <v>1</v>
        <stp/>
        <stp>VOLUME</stp>
        <stp>.QQQ250523C472</stp>
        <tr r="H76" s="2"/>
        <tr r="H76" s="2"/>
      </tp>
      <tp>
        <v>92</v>
        <stp/>
        <stp>VOLUME</stp>
        <stp>.QQQ250523P471</stp>
        <tr r="H77" s="2"/>
        <tr r="H77" s="2"/>
      </tp>
      <tp>
        <v>6</v>
        <stp/>
        <stp>VOLUME</stp>
        <stp>.QQQ250523C471</stp>
        <tr r="H77" s="2"/>
        <tr r="H77" s="2"/>
      </tp>
      <tp>
        <v>1618</v>
        <stp/>
        <stp>VOLUME</stp>
        <stp>.QQQ250523P470</stp>
        <tr r="H78" s="2"/>
        <tr r="H78" s="2"/>
      </tp>
      <tp>
        <v>21</v>
        <stp/>
        <stp>VOLUME</stp>
        <stp>.QQQ250523C470</stp>
        <tr r="H78" s="2"/>
        <tr r="H78" s="2"/>
      </tp>
      <tp>
        <v>47</v>
        <stp/>
        <stp>VOLUME</stp>
        <stp>.QQQ250530P468</stp>
        <tr r="I80" s="2"/>
        <tr r="I80" s="2"/>
      </tp>
      <tp>
        <v>5</v>
        <stp/>
        <stp>VOLUME</stp>
        <stp>.QQQ250530C468</stp>
        <tr r="I80" s="2"/>
        <tr r="I80" s="2"/>
      </tp>
      <tp>
        <v>128</v>
        <stp/>
        <stp>VOLUME</stp>
        <stp>.QQQ250530P469</stp>
        <tr r="I79" s="2"/>
        <tr r="I79" s="2"/>
      </tp>
      <tp>
        <v>1</v>
        <stp/>
        <stp>VOLUME</stp>
        <stp>.QQQ250530C469</stp>
        <tr r="I79" s="2"/>
        <tr r="I79" s="2"/>
      </tp>
      <tp>
        <v>61</v>
        <stp/>
        <stp>VOLUME</stp>
        <stp>.QQQ250523P479</stp>
        <tr r="H69" s="2"/>
        <tr r="H69" s="2"/>
      </tp>
      <tp>
        <v>42</v>
        <stp/>
        <stp>VOLUME</stp>
        <stp>.QQQ250523C479</stp>
        <tr r="H69" s="2"/>
        <tr r="H69" s="2"/>
      </tp>
      <tp>
        <v>113</v>
        <stp/>
        <stp>VOLUME</stp>
        <stp>.QQQ250523P478</stp>
        <tr r="H70" s="2"/>
        <tr r="H70" s="2"/>
      </tp>
      <tp t="s">
        <v>N/A</v>
        <stp/>
        <stp>VOLUME</stp>
        <stp>.QQQ250523C478</stp>
        <tr r="H70" s="2"/>
      </tp>
      <tp>
        <v>83</v>
        <stp/>
        <stp>VOLUME</stp>
        <stp>.QQQ250530P474</stp>
        <tr r="I74" s="2"/>
        <tr r="I74" s="2"/>
      </tp>
      <tp>
        <v>2</v>
        <stp/>
        <stp>VOLUME</stp>
        <stp>.QQQ250530C474</stp>
        <tr r="I74" s="2"/>
        <tr r="I74" s="2"/>
      </tp>
      <tp>
        <v>2976</v>
        <stp/>
        <stp>VOLUME</stp>
        <stp>.QQQ250530P475</stp>
        <tr r="I73" s="2"/>
        <tr r="I73" s="2"/>
      </tp>
      <tp>
        <v>94</v>
        <stp/>
        <stp>VOLUME</stp>
        <stp>.QQQ250530C475</stp>
        <tr r="I73" s="2"/>
        <tr r="I73" s="2"/>
      </tp>
      <tp>
        <v>117</v>
        <stp/>
        <stp>VOLUME</stp>
        <stp>.QQQ250530P476</stp>
        <tr r="I72" s="2"/>
        <tr r="I72" s="2"/>
      </tp>
      <tp>
        <v>5</v>
        <stp/>
        <stp>VOLUME</stp>
        <stp>.QQQ250530C476</stp>
        <tr r="I72" s="2"/>
        <tr r="I72" s="2"/>
      </tp>
      <tp>
        <v>36</v>
        <stp/>
        <stp>VOLUME</stp>
        <stp>.QQQ250530P477</stp>
        <tr r="I71" s="2"/>
        <tr r="I71" s="2"/>
      </tp>
      <tp>
        <v>3</v>
        <stp/>
        <stp>VOLUME</stp>
        <stp>.QQQ250530C477</stp>
        <tr r="I71" s="2"/>
        <tr r="I71" s="2"/>
      </tp>
      <tp>
        <v>2310</v>
        <stp/>
        <stp>VOLUME</stp>
        <stp>.QQQ250530P470</stp>
        <tr r="I78" s="2"/>
        <tr r="I78" s="2"/>
      </tp>
      <tp>
        <v>19</v>
        <stp/>
        <stp>VOLUME</stp>
        <stp>.QQQ250530C470</stp>
        <tr r="I78" s="2"/>
        <tr r="I78" s="2"/>
      </tp>
      <tp>
        <v>104</v>
        <stp/>
        <stp>VOLUME</stp>
        <stp>.QQQ250530P471</stp>
        <tr r="I77" s="2"/>
        <tr r="I77" s="2"/>
      </tp>
      <tp>
        <v>20</v>
        <stp/>
        <stp>VOLUME</stp>
        <stp>.QQQ250530C471</stp>
        <tr r="I77" s="2"/>
        <tr r="I77" s="2"/>
      </tp>
      <tp>
        <v>134</v>
        <stp/>
        <stp>VOLUME</stp>
        <stp>.QQQ250530P472</stp>
        <tr r="I76" s="2"/>
        <tr r="I76" s="2"/>
      </tp>
      <tp>
        <v>5</v>
        <stp/>
        <stp>VOLUME</stp>
        <stp>.QQQ250530C472</stp>
        <tr r="I76" s="2"/>
        <tr r="I76" s="2"/>
      </tp>
      <tp>
        <v>38</v>
        <stp/>
        <stp>VOLUME</stp>
        <stp>.QQQ250530P473</stp>
        <tr r="I75" s="2"/>
        <tr r="I75" s="2"/>
      </tp>
      <tp>
        <v>31</v>
        <stp/>
        <stp>VOLUME</stp>
        <stp>.QQQ250530C473</stp>
        <tr r="I75" s="2"/>
        <tr r="I75" s="2"/>
      </tp>
      <tp>
        <v>52</v>
        <stp/>
        <stp>VOLUME</stp>
        <stp>.QQQ250530P478</stp>
        <tr r="I70" s="2"/>
        <tr r="I70" s="2"/>
      </tp>
      <tp>
        <v>16</v>
        <stp/>
        <stp>VOLUME</stp>
        <stp>.QQQ250530C478</stp>
        <tr r="I70" s="2"/>
        <tr r="I70" s="2"/>
      </tp>
      <tp>
        <v>57</v>
        <stp/>
        <stp>VOLUME</stp>
        <stp>.QQQ250530P479</stp>
        <tr r="I69" s="2"/>
        <tr r="I69" s="2"/>
      </tp>
      <tp>
        <v>2</v>
        <stp/>
        <stp>VOLUME</stp>
        <stp>.QQQ250530C479</stp>
        <tr r="I69" s="2"/>
        <tr r="I69" s="2"/>
      </tp>
      <tp>
        <v>54</v>
        <stp/>
        <stp>VOLUME</stp>
        <stp>.QQQ250523P469</stp>
        <tr r="H79" s="2"/>
        <tr r="H79" s="2"/>
      </tp>
      <tp t="s">
        <v>N/A</v>
        <stp/>
        <stp>VOLUME</stp>
        <stp>.QQQ250523C469</stp>
        <tr r="H79" s="2"/>
      </tp>
      <tp>
        <v>320</v>
        <stp/>
        <stp>VOLUME</stp>
        <stp>.QQQ250523P468</stp>
        <tr r="H80" s="2"/>
        <tr r="H80" s="2"/>
      </tp>
      <tp>
        <v>1</v>
        <stp/>
        <stp>VOLUME</stp>
        <stp>.QQQ250523C468</stp>
        <tr r="H80" s="2"/>
        <tr r="H80" s="2"/>
      </tp>
      <tp>
        <v>6476</v>
        <stp/>
        <stp>VOLUME</stp>
        <stp>.QQQ250509P479</stp>
        <tr r="BB68" s="1"/>
        <tr r="BB68" s="1"/>
      </tp>
      <tp>
        <v>427</v>
        <stp/>
        <stp>VOLUME</stp>
        <stp>.QQQ250509C479</stp>
        <tr r="BA68" s="1"/>
        <tr r="BA68" s="1"/>
      </tp>
      <tp>
        <v>5660</v>
        <stp/>
        <stp>VOLUME</stp>
        <stp>.QQQ250509P478</stp>
        <tr r="BB69" s="1"/>
        <tr r="BB69" s="1"/>
      </tp>
      <tp>
        <v>458</v>
        <stp/>
        <stp>VOLUME</stp>
        <stp>.QQQ250509C478</stp>
        <tr r="BA69" s="1"/>
        <tr r="BA69" s="1"/>
      </tp>
      <tp>
        <v>5526</v>
        <stp/>
        <stp>VOLUME</stp>
        <stp>.QQQ250509P475</stp>
        <tr r="BB72" s="1"/>
        <tr r="BB72" s="1"/>
      </tp>
      <tp>
        <v>481</v>
        <stp/>
        <stp>VOLUME</stp>
        <stp>.QQQ250509C475</stp>
        <tr r="BA72" s="1"/>
        <tr r="BA72" s="1"/>
      </tp>
      <tp>
        <v>3131</v>
        <stp/>
        <stp>VOLUME</stp>
        <stp>.QQQ250509P474</stp>
        <tr r="BB73" s="1"/>
        <tr r="BB73" s="1"/>
      </tp>
      <tp>
        <v>71</v>
        <stp/>
        <stp>VOLUME</stp>
        <stp>.QQQ250509C474</stp>
        <tr r="BA73" s="1"/>
        <tr r="BA73" s="1"/>
      </tp>
      <tp>
        <v>3207</v>
        <stp/>
        <stp>VOLUME</stp>
        <stp>.QQQ250509P477</stp>
        <tr r="BB70" s="1"/>
        <tr r="BB70" s="1"/>
      </tp>
      <tp>
        <v>1220</v>
        <stp/>
        <stp>VOLUME</stp>
        <stp>.QQQ250516P468</stp>
        <tr r="BD79" s="1"/>
        <tr r="BD79" s="1"/>
      </tp>
      <tp>
        <v>162</v>
        <stp/>
        <stp>VOLUME</stp>
        <stp>.QQQ250509C477</stp>
        <tr r="BA70" s="1"/>
        <tr r="BA70" s="1"/>
      </tp>
      <tp>
        <v>29</v>
        <stp/>
        <stp>VOLUME</stp>
        <stp>.QQQ250516C468</stp>
        <tr r="BC79" s="1"/>
        <tr r="BC79" s="1"/>
      </tp>
      <tp>
        <v>2702</v>
        <stp/>
        <stp>VOLUME</stp>
        <stp>.QQQ250509P476</stp>
        <tr r="BB71" s="1"/>
        <tr r="BB71" s="1"/>
      </tp>
      <tp>
        <v>2335</v>
        <stp/>
        <stp>VOLUME</stp>
        <stp>.QQQ250516P469</stp>
        <tr r="BD78" s="1"/>
        <tr r="BD78" s="1"/>
      </tp>
      <tp>
        <v>148</v>
        <stp/>
        <stp>VOLUME</stp>
        <stp>.QQQ250509C476</stp>
        <tr r="BA71" s="1"/>
        <tr r="BA71" s="1"/>
      </tp>
      <tp>
        <v>168</v>
        <stp/>
        <stp>VOLUME</stp>
        <stp>.QQQ250516C469</stp>
        <tr r="BC78" s="1"/>
        <tr r="BC78" s="1"/>
      </tp>
      <tp>
        <v>2303</v>
        <stp/>
        <stp>VOLUME</stp>
        <stp>.QQQ250509P471</stp>
        <tr r="BB76" s="1"/>
        <tr r="BB76" s="1"/>
      </tp>
      <tp>
        <v>244</v>
        <stp/>
        <stp>VOLUME</stp>
        <stp>.QQQ250509C471</stp>
        <tr r="BA76" s="1"/>
        <tr r="BA76" s="1"/>
      </tp>
      <tp>
        <v>6582</v>
        <stp/>
        <stp>VOLUME</stp>
        <stp>.QQQ250509P470</stp>
        <tr r="BB77" s="1"/>
        <tr r="BB77" s="1"/>
      </tp>
      <tp>
        <v>494</v>
        <stp/>
        <stp>VOLUME</stp>
        <stp>.QQQ250509C470</stp>
        <tr r="BA77" s="1"/>
        <tr r="BA77" s="1"/>
      </tp>
      <tp>
        <v>2788</v>
        <stp/>
        <stp>VOLUME</stp>
        <stp>.QQQ250509P473</stp>
        <tr r="BB74" s="1"/>
        <tr r="BB74" s="1"/>
      </tp>
      <tp>
        <v>198</v>
        <stp/>
        <stp>VOLUME</stp>
        <stp>.QQQ250509C473</stp>
        <tr r="BA74" s="1"/>
        <tr r="BA74" s="1"/>
      </tp>
      <tp>
        <v>601</v>
        <stp/>
        <stp>VOLUME</stp>
        <stp>.QQQ250509P472</stp>
        <tr r="BB75" s="1"/>
        <tr r="BB75" s="1"/>
      </tp>
      <tp>
        <v>291</v>
        <stp/>
        <stp>VOLUME</stp>
        <stp>.QQQ250509C472</stp>
        <tr r="BA75" s="1"/>
        <tr r="BA75" s="1"/>
      </tp>
      <tp>
        <v>487</v>
        <stp/>
        <stp>VOLUME</stp>
        <stp>.QQQ250516P472</stp>
        <tr r="BD75" s="1"/>
        <tr r="BD75" s="1"/>
      </tp>
      <tp>
        <v>18</v>
        <stp/>
        <stp>VOLUME</stp>
        <stp>.QQQ250516C472</stp>
        <tr r="BC75" s="1"/>
        <tr r="BC75" s="1"/>
      </tp>
      <tp>
        <v>1917</v>
        <stp/>
        <stp>VOLUME</stp>
        <stp>.QQQ250516P473</stp>
        <tr r="BD74" s="1"/>
        <tr r="BD74" s="1"/>
      </tp>
      <tp>
        <v>45</v>
        <stp/>
        <stp>VOLUME</stp>
        <stp>.QQQ250516C473</stp>
        <tr r="BC74" s="1"/>
        <tr r="BC74" s="1"/>
      </tp>
      <tp>
        <v>6592</v>
        <stp/>
        <stp>VOLUME</stp>
        <stp>.QQQ250516P470</stp>
        <tr r="BD77" s="1"/>
        <tr r="BD77" s="1"/>
      </tp>
      <tp>
        <v>430</v>
        <stp/>
        <stp>VOLUME</stp>
        <stp>.QQQ250516C470</stp>
        <tr r="BC77" s="1"/>
        <tr r="BC77" s="1"/>
      </tp>
      <tp>
        <v>906</v>
        <stp/>
        <stp>VOLUME</stp>
        <stp>.QQQ250516P471</stp>
        <tr r="BD76" s="1"/>
        <tr r="BD76" s="1"/>
      </tp>
      <tp>
        <v>19</v>
        <stp/>
        <stp>VOLUME</stp>
        <stp>.QQQ250516C471</stp>
        <tr r="BC76" s="1"/>
        <tr r="BC76" s="1"/>
      </tp>
      <tp>
        <v>2200</v>
        <stp/>
        <stp>VOLUME</stp>
        <stp>.QQQ250509P469</stp>
        <tr r="BB78" s="1"/>
        <tr r="BB78" s="1"/>
      </tp>
      <tp>
        <v>1741</v>
        <stp/>
        <stp>VOLUME</stp>
        <stp>.QQQ250516P476</stp>
        <tr r="BD71" s="1"/>
        <tr r="BD71" s="1"/>
      </tp>
      <tp>
        <v>155</v>
        <stp/>
        <stp>VOLUME</stp>
        <stp>.QQQ250509C469</stp>
        <tr r="BA78" s="1"/>
        <tr r="BA78" s="1"/>
      </tp>
      <tp>
        <v>63</v>
        <stp/>
        <stp>VOLUME</stp>
        <stp>.QQQ250516C476</stp>
        <tr r="BC71" s="1"/>
        <tr r="BC71" s="1"/>
      </tp>
      <tp>
        <v>1290</v>
        <stp/>
        <stp>VOLUME</stp>
        <stp>.QQQ250509P468</stp>
        <tr r="BB79" s="1"/>
        <tr r="BB79" s="1"/>
      </tp>
      <tp>
        <v>2327</v>
        <stp/>
        <stp>VOLUME</stp>
        <stp>.QQQ250516P477</stp>
        <tr r="BD70" s="1"/>
        <tr r="BD70" s="1"/>
      </tp>
      <tp>
        <v>164</v>
        <stp/>
        <stp>VOLUME</stp>
        <stp>.QQQ250509C468</stp>
        <tr r="BA79" s="1"/>
        <tr r="BA79" s="1"/>
      </tp>
      <tp>
        <v>113</v>
        <stp/>
        <stp>VOLUME</stp>
        <stp>.QQQ250516C477</stp>
        <tr r="BC70" s="1"/>
        <tr r="BC70" s="1"/>
      </tp>
      <tp>
        <v>4010</v>
        <stp/>
        <stp>VOLUME</stp>
        <stp>.QQQ250516P474</stp>
        <tr r="BD73" s="1"/>
        <tr r="BD73" s="1"/>
      </tp>
      <tp>
        <v>18</v>
        <stp/>
        <stp>VOLUME</stp>
        <stp>.QQQ250516C474</stp>
        <tr r="BC73" s="1"/>
        <tr r="BC73" s="1"/>
      </tp>
      <tp>
        <v>12613</v>
        <stp/>
        <stp>VOLUME</stp>
        <stp>.QQQ250516P475</stp>
        <tr r="BD72" s="1"/>
        <tr r="BD72" s="1"/>
      </tp>
      <tp>
        <v>2178</v>
        <stp/>
        <stp>VOLUME</stp>
        <stp>.QQQ250516C475</stp>
        <tr r="BC72" s="1"/>
        <tr r="BC72" s="1"/>
      </tp>
      <tp>
        <v>1870</v>
        <stp/>
        <stp>VOLUME</stp>
        <stp>.QQQ250516P478</stp>
        <tr r="BD69" s="1"/>
        <tr r="BD69" s="1"/>
      </tp>
      <tp>
        <v>62</v>
        <stp/>
        <stp>VOLUME</stp>
        <stp>.QQQ250516C478</stp>
        <tr r="BC69" s="1"/>
        <tr r="BC69" s="1"/>
      </tp>
      <tp>
        <v>1096</v>
        <stp/>
        <stp>VOLUME</stp>
        <stp>.QQQ250516P479</stp>
        <tr r="BD68" s="1"/>
        <tr r="BD68" s="1"/>
      </tp>
      <tp>
        <v>62</v>
        <stp/>
        <stp>VOLUME</stp>
        <stp>.QQQ250516C479</stp>
        <tr r="BC68" s="1"/>
        <tr r="BC68" s="1"/>
      </tp>
      <tp t="s">
        <v>N/A</v>
        <stp/>
        <stp>VOLUME</stp>
        <stp>.QQQ251219P489</stp>
        <tr r="W59" s="2"/>
      </tp>
      <tp t="s">
        <v>N/A</v>
        <stp/>
        <stp>VOLUME</stp>
        <stp>.QQQ251219C489</stp>
        <tr r="W59" s="2"/>
      </tp>
      <tp t="s">
        <v>N/A</v>
        <stp/>
        <stp>VOLUME</stp>
        <stp>.QQQ251219P488</stp>
        <tr r="W60" s="2"/>
      </tp>
      <tp t="s">
        <v>N/A</v>
        <stp/>
        <stp>VOLUME</stp>
        <stp>.QQQ251219C488</stp>
        <tr r="W60" s="2"/>
      </tp>
      <tp t="s">
        <v>N/A</v>
        <stp/>
        <stp>VOLUME</stp>
        <stp>.QQQ251219P485</stp>
        <tr r="W63" s="2"/>
      </tp>
      <tp t="s">
        <v>N/A</v>
        <stp/>
        <stp>VOLUME</stp>
        <stp>.QQQ251219C485</stp>
        <tr r="W63" s="2"/>
      </tp>
      <tp t="s">
        <v>N/A</v>
        <stp/>
        <stp>VOLUME</stp>
        <stp>.QQQ251219P484</stp>
        <tr r="W64" s="2"/>
      </tp>
      <tp t="s">
        <v>N/A</v>
        <stp/>
        <stp>VOLUME</stp>
        <stp>.QQQ251219C484</stp>
        <tr r="W64" s="2"/>
      </tp>
      <tp t="s">
        <v>N/A</v>
        <stp/>
        <stp>VOLUME</stp>
        <stp>.QQQ251219P487</stp>
        <tr r="W61" s="2"/>
      </tp>
      <tp t="s">
        <v>N/A</v>
        <stp/>
        <stp>VOLUME</stp>
        <stp>.QQQ251219C487</stp>
        <tr r="W61" s="2"/>
      </tp>
      <tp t="s">
        <v>N/A</v>
        <stp/>
        <stp>VOLUME</stp>
        <stp>.QQQ251219P486</stp>
        <tr r="W62" s="2"/>
      </tp>
      <tp t="s">
        <v>N/A</v>
        <stp/>
        <stp>VOLUME</stp>
        <stp>.QQQ251219C486</stp>
        <tr r="W62" s="2"/>
      </tp>
      <tp t="s">
        <v>N/A</v>
        <stp/>
        <stp>VOLUME</stp>
        <stp>.QQQ251219P481</stp>
        <tr r="W67" s="2"/>
      </tp>
      <tp t="s">
        <v>N/A</v>
        <stp/>
        <stp>VOLUME</stp>
        <stp>.QQQ251219C481</stp>
        <tr r="W67" s="2"/>
      </tp>
      <tp>
        <v>18</v>
        <stp/>
        <stp>VOLUME</stp>
        <stp>.QQQ251219P480</stp>
        <tr r="W68" s="2"/>
        <tr r="W68" s="2"/>
      </tp>
      <tp>
        <v>3</v>
        <stp/>
        <stp>VOLUME</stp>
        <stp>.QQQ251219C480</stp>
        <tr r="W68" s="2"/>
        <tr r="W68" s="2"/>
      </tp>
      <tp t="s">
        <v>N/A</v>
        <stp/>
        <stp>VOLUME</stp>
        <stp>.QQQ251219P483</stp>
        <tr r="W65" s="2"/>
      </tp>
      <tp t="s">
        <v>N/A</v>
        <stp/>
        <stp>VOLUME</stp>
        <stp>.QQQ251219C483</stp>
        <tr r="W65" s="2"/>
      </tp>
      <tp t="s">
        <v>N/A</v>
        <stp/>
        <stp>VOLUME</stp>
        <stp>.QQQ251219P482</stp>
        <tr r="W66" s="2"/>
      </tp>
      <tp t="s">
        <v>N/A</v>
        <stp/>
        <stp>VOLUME</stp>
        <stp>.QQQ251219C482</stp>
        <tr r="W66" s="2"/>
      </tp>
      <tp t="s">
        <v>N/A</v>
        <stp/>
        <stp>VOLUME</stp>
        <stp>.QQQ251219P499</stp>
        <tr r="W49" s="2"/>
      </tp>
      <tp t="s">
        <v>N/A</v>
        <stp/>
        <stp>VOLUME</stp>
        <stp>.QQQ251219C499</stp>
        <tr r="W49" s="2"/>
      </tp>
      <tp t="s">
        <v>N/A</v>
        <stp/>
        <stp>VOLUME</stp>
        <stp>.QQQ251219P498</stp>
        <tr r="W50" s="2"/>
      </tp>
      <tp t="s">
        <v>N/A</v>
        <stp/>
        <stp>VOLUME</stp>
        <stp>.QQQ251219C498</stp>
        <tr r="W50" s="2"/>
      </tp>
      <tp t="s">
        <v>N/A</v>
        <stp/>
        <stp>VOLUME</stp>
        <stp>.QQQ251219P495</stp>
        <tr r="W53" s="2"/>
      </tp>
      <tp t="s">
        <v>N/A</v>
        <stp/>
        <stp>VOLUME</stp>
        <stp>.QQQ251219C495</stp>
        <tr r="W53" s="2"/>
      </tp>
      <tp t="s">
        <v>N/A</v>
        <stp/>
        <stp>VOLUME</stp>
        <stp>.QQQ251219P494</stp>
        <tr r="W54" s="2"/>
      </tp>
      <tp t="s">
        <v>N/A</v>
        <stp/>
        <stp>VOLUME</stp>
        <stp>.QQQ251219C494</stp>
        <tr r="W54" s="2"/>
      </tp>
      <tp t="s">
        <v>N/A</v>
        <stp/>
        <stp>VOLUME</stp>
        <stp>.QQQ251219P497</stp>
        <tr r="W51" s="2"/>
      </tp>
      <tp t="s">
        <v>N/A</v>
        <stp/>
        <stp>VOLUME</stp>
        <stp>.QQQ251219C497</stp>
        <tr r="W51" s="2"/>
      </tp>
      <tp t="s">
        <v>N/A</v>
        <stp/>
        <stp>VOLUME</stp>
        <stp>.QQQ251219P496</stp>
        <tr r="W52" s="2"/>
      </tp>
      <tp t="s">
        <v>N/A</v>
        <stp/>
        <stp>VOLUME</stp>
        <stp>.QQQ251219C496</stp>
        <tr r="W52" s="2"/>
      </tp>
      <tp t="s">
        <v>N/A</v>
        <stp/>
        <stp>VOLUME</stp>
        <stp>.QQQ251219P491</stp>
        <tr r="W57" s="2"/>
      </tp>
      <tp t="s">
        <v>N/A</v>
        <stp/>
        <stp>VOLUME</stp>
        <stp>.QQQ251219C491</stp>
        <tr r="W57" s="2"/>
      </tp>
      <tp>
        <v>28</v>
        <stp/>
        <stp>VOLUME</stp>
        <stp>.QQQ251219P490</stp>
        <tr r="W58" s="2"/>
        <tr r="W58" s="2"/>
      </tp>
      <tp>
        <v>42</v>
        <stp/>
        <stp>VOLUME</stp>
        <stp>.QQQ251219C490</stp>
        <tr r="W58" s="2"/>
        <tr r="W58" s="2"/>
      </tp>
      <tp t="s">
        <v>N/A</v>
        <stp/>
        <stp>VOLUME</stp>
        <stp>.QQQ251219P493</stp>
        <tr r="W55" s="2"/>
      </tp>
      <tp t="s">
        <v>N/A</v>
        <stp/>
        <stp>VOLUME</stp>
        <stp>.QQQ251219C493</stp>
        <tr r="W55" s="2"/>
      </tp>
      <tp t="s">
        <v>N/A</v>
        <stp/>
        <stp>VOLUME</stp>
        <stp>.QQQ251219P492</stp>
        <tr r="W56" s="2"/>
      </tp>
      <tp t="s">
        <v>N/A</v>
        <stp/>
        <stp>VOLUME</stp>
        <stp>.QQQ251219C492</stp>
        <tr r="W56" s="2"/>
      </tp>
      <tp>
        <v>14</v>
        <stp/>
        <stp>VOLUME</stp>
        <stp>.QQQ251231P485</stp>
        <tr r="X63" s="2"/>
        <tr r="X63" s="2"/>
      </tp>
      <tp>
        <v>3</v>
        <stp/>
        <stp>VOLUME</stp>
        <stp>.QQQ251231C485</stp>
        <tr r="X63" s="2"/>
        <tr r="X63" s="2"/>
      </tp>
      <tp t="s">
        <v>N/A</v>
        <stp/>
        <stp>VOLUME</stp>
        <stp>.QQQ251231P484</stp>
        <tr r="X64" s="2"/>
      </tp>
      <tp>
        <v>9</v>
        <stp/>
        <stp>VOLUME</stp>
        <stp>.QQQ251231C484</stp>
        <tr r="X64" s="2"/>
        <tr r="X64" s="2"/>
      </tp>
      <tp t="s">
        <v>N/A</v>
        <stp/>
        <stp>VOLUME</stp>
        <stp>.QQQ251231P487</stp>
        <tr r="X61" s="2"/>
      </tp>
      <tp>
        <v>19</v>
        <stp/>
        <stp>VOLUME</stp>
        <stp>.QQQ251231C487</stp>
        <tr r="X61" s="2"/>
        <tr r="X61" s="2"/>
      </tp>
      <tp t="s">
        <v>N/A</v>
        <stp/>
        <stp>VOLUME</stp>
        <stp>.QQQ251231P486</stp>
        <tr r="X62" s="2"/>
      </tp>
      <tp t="s">
        <v>N/A</v>
        <stp/>
        <stp>VOLUME</stp>
        <stp>.QQQ251231C486</stp>
        <tr r="X62" s="2"/>
      </tp>
      <tp t="s">
        <v>N/A</v>
        <stp/>
        <stp>VOLUME</stp>
        <stp>.QQQ251231P481</stp>
        <tr r="X67" s="2"/>
      </tp>
      <tp t="s">
        <v>N/A</v>
        <stp/>
        <stp>VOLUME</stp>
        <stp>.QQQ251231C481</stp>
        <tr r="X67" s="2"/>
      </tp>
      <tp>
        <v>5</v>
        <stp/>
        <stp>VOLUME</stp>
        <stp>.QQQ251231P480</stp>
        <tr r="X68" s="2"/>
        <tr r="X68" s="2"/>
      </tp>
      <tp>
        <v>8</v>
        <stp/>
        <stp>VOLUME</stp>
        <stp>.QQQ251231C480</stp>
        <tr r="X68" s="2"/>
        <tr r="X68" s="2"/>
      </tp>
      <tp>
        <v>2</v>
        <stp/>
        <stp>VOLUME</stp>
        <stp>.QQQ251231P483</stp>
        <tr r="X65" s="2"/>
        <tr r="X65" s="2"/>
      </tp>
      <tp t="s">
        <v>N/A</v>
        <stp/>
        <stp>VOLUME</stp>
        <stp>.QQQ251231C483</stp>
        <tr r="X65" s="2"/>
      </tp>
      <tp t="s">
        <v>N/A</v>
        <stp/>
        <stp>VOLUME</stp>
        <stp>.QQQ251231P482</stp>
        <tr r="X66" s="2"/>
      </tp>
      <tp t="s">
        <v>N/A</v>
        <stp/>
        <stp>VOLUME</stp>
        <stp>.QQQ251231C482</stp>
        <tr r="X66" s="2"/>
      </tp>
      <tp t="s">
        <v>N/A</v>
        <stp/>
        <stp>VOLUME</stp>
        <stp>.QQQ251231P489</stp>
        <tr r="X59" s="2"/>
      </tp>
      <tp>
        <v>3</v>
        <stp/>
        <stp>VOLUME</stp>
        <stp>.QQQ251231C489</stp>
        <tr r="X59" s="2"/>
        <tr r="X59" s="2"/>
      </tp>
      <tp>
        <v>13</v>
        <stp/>
        <stp>VOLUME</stp>
        <stp>.QQQ251231P488</stp>
        <tr r="X60" s="2"/>
        <tr r="X60" s="2"/>
      </tp>
      <tp>
        <v>5</v>
        <stp/>
        <stp>VOLUME</stp>
        <stp>.QQQ251231C488</stp>
        <tr r="X60" s="2"/>
        <tr r="X60" s="2"/>
      </tp>
      <tp t="s">
        <v>N/A</v>
        <stp/>
        <stp>VOLUME</stp>
        <stp>.QQQ251231P495</stp>
        <tr r="X53" s="2"/>
      </tp>
      <tp>
        <v>4</v>
        <stp/>
        <stp>VOLUME</stp>
        <stp>.QQQ251231C495</stp>
        <tr r="X53" s="2"/>
        <tr r="X53" s="2"/>
      </tp>
      <tp t="s">
        <v>N/A</v>
        <stp/>
        <stp>VOLUME</stp>
        <stp>.QQQ251231P494</stp>
        <tr r="X54" s="2"/>
      </tp>
      <tp t="s">
        <v>N/A</v>
        <stp/>
        <stp>VOLUME</stp>
        <stp>.QQQ251231C494</stp>
        <tr r="X54" s="2"/>
      </tp>
      <tp t="s">
        <v>N/A</v>
        <stp/>
        <stp>VOLUME</stp>
        <stp>.QQQ251231P497</stp>
        <tr r="X51" s="2"/>
      </tp>
      <tp>
        <v>1</v>
        <stp/>
        <stp>VOLUME</stp>
        <stp>.QQQ251231C497</stp>
        <tr r="X51" s="2"/>
        <tr r="X51" s="2"/>
      </tp>
      <tp t="s">
        <v>N/A</v>
        <stp/>
        <stp>VOLUME</stp>
        <stp>.QQQ251231P496</stp>
        <tr r="X52" s="2"/>
      </tp>
      <tp>
        <v>1</v>
        <stp/>
        <stp>VOLUME</stp>
        <stp>.QQQ251231C496</stp>
        <tr r="X52" s="2"/>
        <tr r="X52" s="2"/>
      </tp>
      <tp t="s">
        <v>N/A</v>
        <stp/>
        <stp>VOLUME</stp>
        <stp>.QQQ251231P491</stp>
        <tr r="X57" s="2"/>
      </tp>
      <tp t="s">
        <v>N/A</v>
        <stp/>
        <stp>VOLUME</stp>
        <stp>.QQQ251231C491</stp>
        <tr r="X57" s="2"/>
      </tp>
      <tp>
        <v>6</v>
        <stp/>
        <stp>VOLUME</stp>
        <stp>.QQQ251231P490</stp>
        <tr r="X58" s="2"/>
        <tr r="X58" s="2"/>
      </tp>
      <tp>
        <v>14</v>
        <stp/>
        <stp>VOLUME</stp>
        <stp>.QQQ251231C490</stp>
        <tr r="X58" s="2"/>
        <tr r="X58" s="2"/>
      </tp>
      <tp t="s">
        <v>N/A</v>
        <stp/>
        <stp>VOLUME</stp>
        <stp>.QQQ251231P493</stp>
        <tr r="X55" s="2"/>
      </tp>
      <tp t="s">
        <v>N/A</v>
        <stp/>
        <stp>VOLUME</stp>
        <stp>.QQQ251231C493</stp>
        <tr r="X55" s="2"/>
      </tp>
      <tp t="s">
        <v>N/A</v>
        <stp/>
        <stp>VOLUME</stp>
        <stp>.QQQ251231P492</stp>
        <tr r="X56" s="2"/>
      </tp>
      <tp t="s">
        <v>N/A</v>
        <stp/>
        <stp>VOLUME</stp>
        <stp>.QQQ251231C492</stp>
        <tr r="X56" s="2"/>
      </tp>
      <tp t="s">
        <v>N/A</v>
        <stp/>
        <stp>VOLUME</stp>
        <stp>.QQQ251231P499</stp>
        <tr r="X49" s="2"/>
      </tp>
      <tp t="s">
        <v>N/A</v>
        <stp/>
        <stp>VOLUME</stp>
        <stp>.QQQ251231C499</stp>
        <tr r="X49" s="2"/>
      </tp>
      <tp t="s">
        <v>N/A</v>
        <stp/>
        <stp>VOLUME</stp>
        <stp>.QQQ251231P498</stp>
        <tr r="X50" s="2"/>
      </tp>
      <tp t="s">
        <v>N/A</v>
        <stp/>
        <stp>VOLUME</stp>
        <stp>.QQQ251231C498</stp>
        <tr r="X50" s="2"/>
      </tp>
      <tp>
        <v>2</v>
        <stp/>
        <stp>VOLUME</stp>
        <stp>.QQQ251231P469</stp>
        <tr r="X79" s="2"/>
        <tr r="X79" s="2"/>
      </tp>
      <tp t="s">
        <v>N/A</v>
        <stp/>
        <stp>VOLUME</stp>
        <stp>.QQQ251231C469</stp>
        <tr r="X79" s="2"/>
      </tp>
      <tp t="s">
        <v>N/A</v>
        <stp/>
        <stp>VOLUME</stp>
        <stp>.QQQ251231P468</stp>
        <tr r="X80" s="2"/>
      </tp>
      <tp t="s">
        <v>N/A</v>
        <stp/>
        <stp>VOLUME</stp>
        <stp>.QQQ251231C468</stp>
        <tr r="X80" s="2"/>
      </tp>
      <tp>
        <v>1</v>
        <stp/>
        <stp>VOLUME</stp>
        <stp>.QQQ251231P475</stp>
        <tr r="X73" s="2"/>
        <tr r="X73" s="2"/>
      </tp>
      <tp t="s">
        <v>N/A</v>
        <stp/>
        <stp>VOLUME</stp>
        <stp>.QQQ251231C475</stp>
        <tr r="X73" s="2"/>
      </tp>
      <tp t="s">
        <v>N/A</v>
        <stp/>
        <stp>VOLUME</stp>
        <stp>.QQQ251231P474</stp>
        <tr r="X74" s="2"/>
      </tp>
      <tp t="s">
        <v>N/A</v>
        <stp/>
        <stp>VOLUME</stp>
        <stp>.QQQ251231C474</stp>
        <tr r="X74" s="2"/>
      </tp>
      <tp>
        <v>1</v>
        <stp/>
        <stp>VOLUME</stp>
        <stp>.QQQ251231P477</stp>
        <tr r="X71" s="2"/>
        <tr r="X71" s="2"/>
      </tp>
      <tp t="s">
        <v>N/A</v>
        <stp/>
        <stp>VOLUME</stp>
        <stp>.QQQ251231C477</stp>
        <tr r="X71" s="2"/>
      </tp>
      <tp t="s">
        <v>N/A</v>
        <stp/>
        <stp>VOLUME</stp>
        <stp>.QQQ251231P476</stp>
        <tr r="X72" s="2"/>
      </tp>
      <tp t="s">
        <v>N/A</v>
        <stp/>
        <stp>VOLUME</stp>
        <stp>.QQQ251231C476</stp>
        <tr r="X72" s="2"/>
      </tp>
      <tp t="s">
        <v>N/A</v>
        <stp/>
        <stp>VOLUME</stp>
        <stp>.QQQ251231P471</stp>
        <tr r="X77" s="2"/>
      </tp>
      <tp t="s">
        <v>N/A</v>
        <stp/>
        <stp>VOLUME</stp>
        <stp>.QQQ251231C471</stp>
        <tr r="X77" s="2"/>
      </tp>
      <tp>
        <v>3</v>
        <stp/>
        <stp>VOLUME</stp>
        <stp>.QQQ251231P470</stp>
        <tr r="X78" s="2"/>
        <tr r="X78" s="2"/>
      </tp>
      <tp>
        <v>3</v>
        <stp/>
        <stp>VOLUME</stp>
        <stp>.QQQ251231C470</stp>
        <tr r="X78" s="2"/>
        <tr r="X78" s="2"/>
      </tp>
      <tp t="s">
        <v>N/A</v>
        <stp/>
        <stp>VOLUME</stp>
        <stp>.QQQ251231P473</stp>
        <tr r="X75" s="2"/>
      </tp>
      <tp t="s">
        <v>N/A</v>
        <stp/>
        <stp>VOLUME</stp>
        <stp>.QQQ251231C473</stp>
        <tr r="X75" s="2"/>
      </tp>
      <tp>
        <v>1</v>
        <stp/>
        <stp>VOLUME</stp>
        <stp>.QQQ251231P472</stp>
        <tr r="X76" s="2"/>
        <tr r="X76" s="2"/>
      </tp>
      <tp t="s">
        <v>N/A</v>
        <stp/>
        <stp>VOLUME</stp>
        <stp>.QQQ251231C472</stp>
        <tr r="X76" s="2"/>
      </tp>
      <tp t="s">
        <v>N/A</v>
        <stp/>
        <stp>VOLUME</stp>
        <stp>.QQQ251231P479</stp>
        <tr r="X69" s="2"/>
      </tp>
      <tp>
        <v>3</v>
        <stp/>
        <stp>VOLUME</stp>
        <stp>.QQQ251231C479</stp>
        <tr r="X69" s="2"/>
        <tr r="X69" s="2"/>
      </tp>
      <tp>
        <v>1</v>
        <stp/>
        <stp>VOLUME</stp>
        <stp>.QQQ251231P478</stp>
        <tr r="X70" s="2"/>
        <tr r="X70" s="2"/>
      </tp>
      <tp>
        <v>2</v>
        <stp/>
        <stp>VOLUME</stp>
        <stp>.QQQ251231C478</stp>
        <tr r="X70" s="2"/>
        <tr r="X70" s="2"/>
      </tp>
      <tp t="s">
        <v>N/A</v>
        <stp/>
        <stp>VOLUME</stp>
        <stp>.QQQ251219P469</stp>
        <tr r="W79" s="2"/>
      </tp>
      <tp t="s">
        <v>N/A</v>
        <stp/>
        <stp>VOLUME</stp>
        <stp>.QQQ251219C469</stp>
        <tr r="W79" s="2"/>
      </tp>
      <tp t="s">
        <v>N/A</v>
        <stp/>
        <stp>VOLUME</stp>
        <stp>.QQQ251219P468</stp>
        <tr r="W80" s="2"/>
      </tp>
      <tp t="s">
        <v>N/A</v>
        <stp/>
        <stp>VOLUME</stp>
        <stp>.QQQ251219C468</stp>
        <tr r="W80" s="2"/>
      </tp>
      <tp t="s">
        <v>N/A</v>
        <stp/>
        <stp>VOLUME</stp>
        <stp>.QQQ251219P479</stp>
        <tr r="W69" s="2"/>
      </tp>
      <tp t="s">
        <v>N/A</v>
        <stp/>
        <stp>VOLUME</stp>
        <stp>.QQQ251219C479</stp>
        <tr r="W69" s="2"/>
      </tp>
      <tp t="s">
        <v>N/A</v>
        <stp/>
        <stp>VOLUME</stp>
        <stp>.QQQ251219P478</stp>
        <tr r="W70" s="2"/>
      </tp>
      <tp t="s">
        <v>N/A</v>
        <stp/>
        <stp>VOLUME</stp>
        <stp>.QQQ251219C478</stp>
        <tr r="W70" s="2"/>
      </tp>
      <tp t="s">
        <v>N/A</v>
        <stp/>
        <stp>VOLUME</stp>
        <stp>.QQQ251219P475</stp>
        <tr r="W73" s="2"/>
      </tp>
      <tp t="s">
        <v>N/A</v>
        <stp/>
        <stp>VOLUME</stp>
        <stp>.QQQ251219C475</stp>
        <tr r="W73" s="2"/>
      </tp>
      <tp t="s">
        <v>N/A</v>
        <stp/>
        <stp>VOLUME</stp>
        <stp>.QQQ251219P474</stp>
        <tr r="W74" s="2"/>
      </tp>
      <tp t="s">
        <v>N/A</v>
        <stp/>
        <stp>VOLUME</stp>
        <stp>.QQQ251219C474</stp>
        <tr r="W74" s="2"/>
      </tp>
      <tp t="s">
        <v>N/A</v>
        <stp/>
        <stp>VOLUME</stp>
        <stp>.QQQ251219P477</stp>
        <tr r="W71" s="2"/>
      </tp>
      <tp t="s">
        <v>N/A</v>
        <stp/>
        <stp>VOLUME</stp>
        <stp>.QQQ251219C477</stp>
        <tr r="W71" s="2"/>
      </tp>
      <tp t="s">
        <v>N/A</v>
        <stp/>
        <stp>VOLUME</stp>
        <stp>.QQQ251219P476</stp>
        <tr r="W72" s="2"/>
      </tp>
      <tp t="s">
        <v>N/A</v>
        <stp/>
        <stp>VOLUME</stp>
        <stp>.QQQ251219C476</stp>
        <tr r="W72" s="2"/>
      </tp>
      <tp t="s">
        <v>N/A</v>
        <stp/>
        <stp>VOLUME</stp>
        <stp>.QQQ251219P471</stp>
        <tr r="W77" s="2"/>
      </tp>
      <tp t="s">
        <v>N/A</v>
        <stp/>
        <stp>VOLUME</stp>
        <stp>.QQQ251219C471</stp>
        <tr r="W77" s="2"/>
      </tp>
      <tp>
        <v>9</v>
        <stp/>
        <stp>VOLUME</stp>
        <stp>.QQQ251219P470</stp>
        <tr r="W78" s="2"/>
        <tr r="W78" s="2"/>
      </tp>
      <tp>
        <v>2</v>
        <stp/>
        <stp>VOLUME</stp>
        <stp>.QQQ251219C470</stp>
        <tr r="W78" s="2"/>
        <tr r="W78" s="2"/>
      </tp>
      <tp t="s">
        <v>N/A</v>
        <stp/>
        <stp>VOLUME</stp>
        <stp>.QQQ251219P473</stp>
        <tr r="W75" s="2"/>
      </tp>
      <tp t="s">
        <v>N/A</v>
        <stp/>
        <stp>VOLUME</stp>
        <stp>.QQQ251219C473</stp>
        <tr r="W75" s="2"/>
      </tp>
      <tp t="s">
        <v>N/A</v>
        <stp/>
        <stp>VOLUME</stp>
        <stp>.QQQ251219P472</stp>
        <tr r="W76" s="2"/>
      </tp>
      <tp t="s">
        <v>N/A</v>
        <stp/>
        <stp>VOLUME</stp>
        <stp>.QQQ251219C472</stp>
        <tr r="W76" s="2"/>
      </tp>
      <tp t="s">
        <v>N/A</v>
        <stp/>
        <stp>VOLUME</stp>
        <stp>.QQQ251219P501</stp>
        <tr r="W47" s="2"/>
      </tp>
      <tp t="s">
        <v>N/A</v>
        <stp/>
        <stp>VOLUME</stp>
        <stp>.QQQ251219C501</stp>
        <tr r="W47" s="2"/>
      </tp>
      <tp>
        <v>38</v>
        <stp/>
        <stp>VOLUME</stp>
        <stp>.QQQ251219P500</stp>
        <tr r="W48" s="2"/>
        <tr r="W48" s="2"/>
      </tp>
      <tp>
        <v>70</v>
        <stp/>
        <stp>VOLUME</stp>
        <stp>.QQQ251219C500</stp>
        <tr r="W48" s="2"/>
        <tr r="W48" s="2"/>
      </tp>
      <tp t="s">
        <v>N/A</v>
        <stp/>
        <stp>VOLUME</stp>
        <stp>.QQQ251219P502</stp>
        <tr r="W46" s="2"/>
      </tp>
      <tp t="s">
        <v>N/A</v>
        <stp/>
        <stp>VOLUME</stp>
        <stp>.QQQ251219C502</stp>
        <tr r="W46" s="2"/>
      </tp>
      <tp t="s">
        <v>N/A</v>
        <stp/>
        <stp>VOLUME</stp>
        <stp>.QQQ251231P501</stp>
        <tr r="X47" s="2"/>
      </tp>
      <tp t="s">
        <v>N/A</v>
        <stp/>
        <stp>VOLUME</stp>
        <stp>.QQQ251231C501</stp>
        <tr r="X47" s="2"/>
      </tp>
      <tp>
        <v>12</v>
        <stp/>
        <stp>VOLUME</stp>
        <stp>.QQQ251231P500</stp>
        <tr r="X48" s="2"/>
        <tr r="X48" s="2"/>
      </tp>
      <tp>
        <v>6</v>
        <stp/>
        <stp>VOLUME</stp>
        <stp>.QQQ251231C500</stp>
        <tr r="X48" s="2"/>
        <tr r="X48" s="2"/>
      </tp>
      <tp t="s">
        <v>N/A</v>
        <stp/>
        <stp>VOLUME</stp>
        <stp>.QQQ251231P502</stp>
        <tr r="X46" s="2"/>
      </tp>
      <tp t="s">
        <v>N/A</v>
        <stp/>
        <stp>VOLUME</stp>
        <stp>.QQQ251231C502</stp>
        <tr r="X46" s="2"/>
      </tp>
      <tp t="s">
        <v>N/A</v>
        <stp/>
        <stp>VOLUME</stp>
        <stp>.QQQ251017P483</stp>
        <tr r="S65" s="2"/>
      </tp>
      <tp t="s">
        <v>N/A</v>
        <stp/>
        <stp>VOLUME</stp>
        <stp>.QQQ251017C483</stp>
        <tr r="S65" s="2"/>
      </tp>
      <tp t="s">
        <v>N/A</v>
        <stp/>
        <stp>VOLUME</stp>
        <stp>.QQQ251017P482</stp>
        <tr r="S66" s="2"/>
      </tp>
      <tp t="s">
        <v>N/A</v>
        <stp/>
        <stp>VOLUME</stp>
        <stp>.QQQ251017C482</stp>
        <tr r="S66" s="2"/>
      </tp>
      <tp t="s">
        <v>N/A</v>
        <stp/>
        <stp>VOLUME</stp>
        <stp>.QQQ251017P481</stp>
        <tr r="S67" s="2"/>
      </tp>
      <tp t="s">
        <v>N/A</v>
        <stp/>
        <stp>VOLUME</stp>
        <stp>.QQQ251017C481</stp>
        <tr r="S67" s="2"/>
      </tp>
      <tp t="s">
        <v>N/A</v>
        <stp/>
        <stp>VOLUME</stp>
        <stp>.QQQ251017P480</stp>
        <tr r="S68" s="2"/>
      </tp>
      <tp t="s">
        <v>N/A</v>
        <stp/>
        <stp>VOLUME</stp>
        <stp>.QQQ251017C480</stp>
        <tr r="S68" s="2"/>
      </tp>
      <tp t="s">
        <v>N/A</v>
        <stp/>
        <stp>VOLUME</stp>
        <stp>.QQQ251017P487</stp>
        <tr r="S61" s="2"/>
      </tp>
      <tp t="s">
        <v>N/A</v>
        <stp/>
        <stp>VOLUME</stp>
        <stp>.QQQ251017C487</stp>
        <tr r="S61" s="2"/>
      </tp>
      <tp t="s">
        <v>N/A</v>
        <stp/>
        <stp>VOLUME</stp>
        <stp>.QQQ251017P486</stp>
        <tr r="S62" s="2"/>
      </tp>
      <tp t="s">
        <v>N/A</v>
        <stp/>
        <stp>VOLUME</stp>
        <stp>.QQQ251017C486</stp>
        <tr r="S62" s="2"/>
      </tp>
      <tp t="s">
        <v>N/A</v>
        <stp/>
        <stp>VOLUME</stp>
        <stp>.QQQ251017P485</stp>
        <tr r="S63" s="2"/>
      </tp>
      <tp t="s">
        <v>N/A</v>
        <stp/>
        <stp>VOLUME</stp>
        <stp>.QQQ251017C485</stp>
        <tr r="S63" s="2"/>
      </tp>
      <tp t="s">
        <v>N/A</v>
        <stp/>
        <stp>VOLUME</stp>
        <stp>.QQQ251017P484</stp>
        <tr r="S64" s="2"/>
      </tp>
      <tp t="s">
        <v>N/A</v>
        <stp/>
        <stp>VOLUME</stp>
        <stp>.QQQ251017C484</stp>
        <tr r="S64" s="2"/>
      </tp>
      <tp t="s">
        <v>N/A</v>
        <stp/>
        <stp>VOLUME</stp>
        <stp>.QQQ251017P489</stp>
        <tr r="S59" s="2"/>
      </tp>
      <tp t="s">
        <v>N/A</v>
        <stp/>
        <stp>VOLUME</stp>
        <stp>.QQQ251017C489</stp>
        <tr r="S59" s="2"/>
      </tp>
      <tp t="s">
        <v>N/A</v>
        <stp/>
        <stp>VOLUME</stp>
        <stp>.QQQ251017P488</stp>
        <tr r="S60" s="2"/>
      </tp>
      <tp t="s">
        <v>N/A</v>
        <stp/>
        <stp>VOLUME</stp>
        <stp>.QQQ251017C488</stp>
        <tr r="S60" s="2"/>
      </tp>
      <tp t="s">
        <v>N/A</v>
        <stp/>
        <stp>VOLUME</stp>
        <stp>.SPY250919P582</stp>
        <tr r="Q5" s="2"/>
      </tp>
      <tp t="s">
        <v>N/A</v>
        <stp/>
        <stp>VOLUME</stp>
        <stp>.SPY250919C582</stp>
        <tr r="Q5" s="2"/>
      </tp>
      <tp t="s">
        <v>N/A</v>
        <stp/>
        <stp>VOLUME</stp>
        <stp>.SPY250919P581</stp>
        <tr r="Q6" s="2"/>
      </tp>
      <tp t="s">
        <v>N/A</v>
        <stp/>
        <stp>VOLUME</stp>
        <stp>.SPY250919C581</stp>
        <tr r="Q6" s="2"/>
      </tp>
      <tp>
        <v>742</v>
        <stp/>
        <stp>VOLUME</stp>
        <stp>.SPY250919P580</stp>
        <tr r="Q7" s="2"/>
        <tr r="Q7" s="2"/>
      </tp>
      <tp>
        <v>95</v>
        <stp/>
        <stp>VOLUME</stp>
        <stp>.SPY250919C580</stp>
        <tr r="Q7" s="2"/>
        <tr r="Q7" s="2"/>
      </tp>
      <tp t="s">
        <v>N/A</v>
        <stp/>
        <stp>VOLUME</stp>
        <stp>.QQQ251017P493</stp>
        <tr r="S55" s="2"/>
      </tp>
      <tp t="s">
        <v>N/A</v>
        <stp/>
        <stp>VOLUME</stp>
        <stp>.QQQ251017C493</stp>
        <tr r="S55" s="2"/>
      </tp>
      <tp t="s">
        <v>N/A</v>
        <stp/>
        <stp>VOLUME</stp>
        <stp>.QQQ251017P492</stp>
        <tr r="S56" s="2"/>
      </tp>
      <tp t="s">
        <v>N/A</v>
        <stp/>
        <stp>VOLUME</stp>
        <stp>.QQQ251017C492</stp>
        <tr r="S56" s="2"/>
      </tp>
      <tp t="s">
        <v>N/A</v>
        <stp/>
        <stp>VOLUME</stp>
        <stp>.QQQ251017P491</stp>
        <tr r="S57" s="2"/>
      </tp>
      <tp t="s">
        <v>N/A</v>
        <stp/>
        <stp>VOLUME</stp>
        <stp>.QQQ251017C491</stp>
        <tr r="S57" s="2"/>
      </tp>
      <tp t="s">
        <v>N/A</v>
        <stp/>
        <stp>VOLUME</stp>
        <stp>.QQQ251017P490</stp>
        <tr r="S58" s="2"/>
      </tp>
      <tp t="s">
        <v>N/A</v>
        <stp/>
        <stp>VOLUME</stp>
        <stp>.QQQ251017C490</stp>
        <tr r="S58" s="2"/>
      </tp>
      <tp t="s">
        <v>N/A</v>
        <stp/>
        <stp>VOLUME</stp>
        <stp>.QQQ251017P497</stp>
        <tr r="S51" s="2"/>
      </tp>
      <tp t="s">
        <v>N/A</v>
        <stp/>
        <stp>VOLUME</stp>
        <stp>.QQQ251017C497</stp>
        <tr r="S51" s="2"/>
      </tp>
      <tp t="s">
        <v>N/A</v>
        <stp/>
        <stp>VOLUME</stp>
        <stp>.QQQ251017P496</stp>
        <tr r="S52" s="2"/>
      </tp>
      <tp t="s">
        <v>N/A</v>
        <stp/>
        <stp>VOLUME</stp>
        <stp>.QQQ251017C496</stp>
        <tr r="S52" s="2"/>
      </tp>
      <tp t="s">
        <v>N/A</v>
        <stp/>
        <stp>VOLUME</stp>
        <stp>.QQQ251017P495</stp>
        <tr r="S53" s="2"/>
      </tp>
      <tp t="s">
        <v>N/A</v>
        <stp/>
        <stp>VOLUME</stp>
        <stp>.QQQ251017C495</stp>
        <tr r="S53" s="2"/>
      </tp>
      <tp t="s">
        <v>N/A</v>
        <stp/>
        <stp>VOLUME</stp>
        <stp>.QQQ251017P494</stp>
        <tr r="S54" s="2"/>
      </tp>
      <tp t="s">
        <v>N/A</v>
        <stp/>
        <stp>VOLUME</stp>
        <stp>.QQQ251017C494</stp>
        <tr r="S54" s="2"/>
      </tp>
      <tp t="s">
        <v>N/A</v>
        <stp/>
        <stp>VOLUME</stp>
        <stp>.QQQ251017P499</stp>
        <tr r="S49" s="2"/>
      </tp>
      <tp t="s">
        <v>N/A</v>
        <stp/>
        <stp>VOLUME</stp>
        <stp>.QQQ251017C499</stp>
        <tr r="S49" s="2"/>
      </tp>
      <tp t="s">
        <v>N/A</v>
        <stp/>
        <stp>VOLUME</stp>
        <stp>.QQQ251017P498</stp>
        <tr r="S50" s="2"/>
      </tp>
      <tp t="s">
        <v>N/A</v>
        <stp/>
        <stp>VOLUME</stp>
        <stp>.QQQ251017C498</stp>
        <tr r="S50" s="2"/>
      </tp>
      <tp t="s">
        <v>N/A</v>
        <stp/>
        <stp>VOLUME</stp>
        <stp>.QQQ251031P485</stp>
        <tr r="T63" s="2"/>
      </tp>
      <tp t="s">
        <v>N/A</v>
        <stp/>
        <stp>VOLUME</stp>
        <stp>.QQQ251031C485</stp>
        <tr r="T63" s="2"/>
      </tp>
      <tp t="s">
        <v>N/A</v>
        <stp/>
        <stp>VOLUME</stp>
        <stp>.QQQ251031P484</stp>
        <tr r="T64" s="2"/>
      </tp>
      <tp t="s">
        <v>N/A</v>
        <stp/>
        <stp>VOLUME</stp>
        <stp>.QQQ251031C484</stp>
        <tr r="T64" s="2"/>
      </tp>
      <tp t="s">
        <v>N/A</v>
        <stp/>
        <stp>VOLUME</stp>
        <stp>.QQQ251031P487</stp>
        <tr r="T61" s="2"/>
      </tp>
      <tp t="s">
        <v>N/A</v>
        <stp/>
        <stp>VOLUME</stp>
        <stp>.QQQ251031C487</stp>
        <tr r="T61" s="2"/>
      </tp>
      <tp t="s">
        <v>N/A</v>
        <stp/>
        <stp>VOLUME</stp>
        <stp>.QQQ251031P486</stp>
        <tr r="T62" s="2"/>
      </tp>
      <tp t="s">
        <v>N/A</v>
        <stp/>
        <stp>VOLUME</stp>
        <stp>.QQQ251031C486</stp>
        <tr r="T62" s="2"/>
      </tp>
      <tp t="s">
        <v>N/A</v>
        <stp/>
        <stp>VOLUME</stp>
        <stp>.QQQ251031P481</stp>
        <tr r="T67" s="2"/>
      </tp>
      <tp t="s">
        <v>N/A</v>
        <stp/>
        <stp>VOLUME</stp>
        <stp>.SPY250930P582</stp>
        <tr r="R5" s="2"/>
      </tp>
      <tp t="s">
        <v>N/A</v>
        <stp/>
        <stp>VOLUME</stp>
        <stp>.QQQ251031C481</stp>
        <tr r="T67" s="2"/>
      </tp>
      <tp t="s">
        <v>N/A</v>
        <stp/>
        <stp>VOLUME</stp>
        <stp>.SPY250930C582</stp>
        <tr r="R5" s="2"/>
      </tp>
      <tp t="s">
        <v>N/A</v>
        <stp/>
        <stp>VOLUME</stp>
        <stp>.QQQ251031P480</stp>
        <tr r="T68" s="2"/>
      </tp>
      <tp t="s">
        <v>N/A</v>
        <stp/>
        <stp>VOLUME</stp>
        <stp>.QQQ251031C480</stp>
        <tr r="T68" s="2"/>
      </tp>
      <tp t="s">
        <v>N/A</v>
        <stp/>
        <stp>VOLUME</stp>
        <stp>.QQQ251031P483</stp>
        <tr r="T65" s="2"/>
      </tp>
      <tp>
        <v>34</v>
        <stp/>
        <stp>VOLUME</stp>
        <stp>.SPY250930P580</stp>
        <tr r="R7" s="2"/>
        <tr r="R7" s="2"/>
      </tp>
      <tp t="s">
        <v>N/A</v>
        <stp/>
        <stp>VOLUME</stp>
        <stp>.QQQ251031C483</stp>
        <tr r="T65" s="2"/>
      </tp>
      <tp>
        <v>21</v>
        <stp/>
        <stp>VOLUME</stp>
        <stp>.SPY250930C580</stp>
        <tr r="R7" s="2"/>
        <tr r="R7" s="2"/>
      </tp>
      <tp t="s">
        <v>N/A</v>
        <stp/>
        <stp>VOLUME</stp>
        <stp>.QQQ251031P482</stp>
        <tr r="T66" s="2"/>
      </tp>
      <tp t="s">
        <v>N/A</v>
        <stp/>
        <stp>VOLUME</stp>
        <stp>.SPY250930P581</stp>
        <tr r="R6" s="2"/>
      </tp>
      <tp t="s">
        <v>N/A</v>
        <stp/>
        <stp>VOLUME</stp>
        <stp>.QQQ251031C482</stp>
        <tr r="T66" s="2"/>
      </tp>
      <tp t="s">
        <v>N/A</v>
        <stp/>
        <stp>VOLUME</stp>
        <stp>.SPY250930C581</stp>
        <tr r="R6" s="2"/>
      </tp>
      <tp t="s">
        <v>N/A</v>
        <stp/>
        <stp>VOLUME</stp>
        <stp>.QQQ251031P489</stp>
        <tr r="T59" s="2"/>
      </tp>
      <tp t="s">
        <v>N/A</v>
        <stp/>
        <stp>VOLUME</stp>
        <stp>.QQQ251031C489</stp>
        <tr r="T59" s="2"/>
      </tp>
      <tp t="s">
        <v>N/A</v>
        <stp/>
        <stp>VOLUME</stp>
        <stp>.QQQ251031P488</stp>
        <tr r="T60" s="2"/>
      </tp>
      <tp t="s">
        <v>N/A</v>
        <stp/>
        <stp>VOLUME</stp>
        <stp>.QQQ251031C488</stp>
        <tr r="T60" s="2"/>
      </tp>
      <tp t="s">
        <v>N/A</v>
        <stp/>
        <stp>VOLUME</stp>
        <stp>.QQQ251031P495</stp>
        <tr r="T53" s="2"/>
      </tp>
      <tp t="s">
        <v>N/A</v>
        <stp/>
        <stp>VOLUME</stp>
        <stp>.QQQ251031C495</stp>
        <tr r="T53" s="2"/>
      </tp>
      <tp t="s">
        <v>N/A</v>
        <stp/>
        <stp>VOLUME</stp>
        <stp>.QQQ251031P494</stp>
        <tr r="T54" s="2"/>
      </tp>
      <tp t="s">
        <v>N/A</v>
        <stp/>
        <stp>VOLUME</stp>
        <stp>.QQQ251031C494</stp>
        <tr r="T54" s="2"/>
      </tp>
      <tp t="s">
        <v>N/A</v>
        <stp/>
        <stp>VOLUME</stp>
        <stp>.QQQ251031P497</stp>
        <tr r="T51" s="2"/>
      </tp>
      <tp t="s">
        <v>N/A</v>
        <stp/>
        <stp>VOLUME</stp>
        <stp>.QQQ251031C497</stp>
        <tr r="T51" s="2"/>
      </tp>
      <tp t="s">
        <v>N/A</v>
        <stp/>
        <stp>VOLUME</stp>
        <stp>.QQQ251031P496</stp>
        <tr r="T52" s="2"/>
      </tp>
      <tp t="s">
        <v>N/A</v>
        <stp/>
        <stp>VOLUME</stp>
        <stp>.QQQ251031C496</stp>
        <tr r="T52" s="2"/>
      </tp>
      <tp t="s">
        <v>N/A</v>
        <stp/>
        <stp>VOLUME</stp>
        <stp>.QQQ251031P491</stp>
        <tr r="T57" s="2"/>
      </tp>
      <tp t="s">
        <v>N/A</v>
        <stp/>
        <stp>VOLUME</stp>
        <stp>.QQQ251031C491</stp>
        <tr r="T57" s="2"/>
      </tp>
      <tp t="s">
        <v>N/A</v>
        <stp/>
        <stp>VOLUME</stp>
        <stp>.QQQ251031P490</stp>
        <tr r="T58" s="2"/>
      </tp>
      <tp t="s">
        <v>N/A</v>
        <stp/>
        <stp>VOLUME</stp>
        <stp>.QQQ251031C490</stp>
        <tr r="T58" s="2"/>
      </tp>
      <tp t="s">
        <v>N/A</v>
        <stp/>
        <stp>VOLUME</stp>
        <stp>.QQQ251031P493</stp>
        <tr r="T55" s="2"/>
      </tp>
      <tp t="s">
        <v>N/A</v>
        <stp/>
        <stp>VOLUME</stp>
        <stp>.QQQ251031C493</stp>
        <tr r="T55" s="2"/>
      </tp>
      <tp t="s">
        <v>N/A</v>
        <stp/>
        <stp>VOLUME</stp>
        <stp>.QQQ251031P492</stp>
        <tr r="T56" s="2"/>
      </tp>
      <tp t="s">
        <v>N/A</v>
        <stp/>
        <stp>VOLUME</stp>
        <stp>.QQQ251031C492</stp>
        <tr r="T56" s="2"/>
      </tp>
      <tp t="s">
        <v>N/A</v>
        <stp/>
        <stp>VOLUME</stp>
        <stp>.QQQ251031P499</stp>
        <tr r="T49" s="2"/>
      </tp>
      <tp t="s">
        <v>N/A</v>
        <stp/>
        <stp>VOLUME</stp>
        <stp>.QQQ251031C499</stp>
        <tr r="T49" s="2"/>
      </tp>
      <tp t="s">
        <v>N/A</v>
        <stp/>
        <stp>VOLUME</stp>
        <stp>.QQQ251031P498</stp>
        <tr r="T50" s="2"/>
      </tp>
      <tp t="s">
        <v>N/A</v>
        <stp/>
        <stp>VOLUME</stp>
        <stp>.QQQ251031C498</stp>
        <tr r="T50" s="2"/>
      </tp>
      <tp t="s">
        <v>N/A</v>
        <stp/>
        <stp>VOLUME</stp>
        <stp>.QQQ251121P501</stp>
        <tr r="U47" s="2"/>
      </tp>
      <tp t="s">
        <v>N/A</v>
        <stp/>
        <stp>VOLUME</stp>
        <stp>.QQQ251121C501</stp>
        <tr r="U47" s="2"/>
      </tp>
      <tp>
        <v>3</v>
        <stp/>
        <stp>VOLUME</stp>
        <stp>.QQQ251121P500</stp>
        <tr r="U48" s="2"/>
        <tr r="U48" s="2"/>
      </tp>
      <tp>
        <v>118</v>
        <stp/>
        <stp>VOLUME</stp>
        <stp>.QQQ251121C500</stp>
        <tr r="U48" s="2"/>
        <tr r="U48" s="2"/>
      </tp>
      <tp t="s">
        <v>N/A</v>
        <stp/>
        <stp>VOLUME</stp>
        <stp>.QQQ251121P502</stp>
        <tr r="U46" s="2"/>
      </tp>
      <tp t="s">
        <v>N/A</v>
        <stp/>
        <stp>VOLUME</stp>
        <stp>.QQQ251121C502</stp>
        <tr r="U46" s="2"/>
      </tp>
      <tp t="s">
        <v>N/A</v>
        <stp/>
        <stp>VOLUME</stp>
        <stp>.QQQ251128P500</stp>
        <tr r="V48" s="2"/>
      </tp>
      <tp t="s">
        <v>N/A</v>
        <stp/>
        <stp>VOLUME</stp>
        <stp>.QQQ251128C500</stp>
        <tr r="V48" s="2"/>
      </tp>
      <tp t="s">
        <v>N/A</v>
        <stp/>
        <stp>VOLUME</stp>
        <stp>.QQQ251128P501</stp>
        <tr r="V47" s="2"/>
      </tp>
      <tp t="s">
        <v>N/A</v>
        <stp/>
        <stp>VOLUME</stp>
        <stp>.QQQ251128C501</stp>
        <tr r="V47" s="2"/>
      </tp>
      <tp t="s">
        <v>N/A</v>
        <stp/>
        <stp>VOLUME</stp>
        <stp>.QQQ251128P502</stp>
        <tr r="V46" s="2"/>
      </tp>
      <tp t="s">
        <v>N/A</v>
        <stp/>
        <stp>VOLUME</stp>
        <stp>.QQQ251128C502</stp>
        <tr r="V46" s="2"/>
      </tp>
      <tp>
        <v>4</v>
        <stp/>
        <stp>VOLUME</stp>
        <stp>.SPY250930P566</stp>
        <tr r="R21" s="2"/>
        <tr r="R21" s="2"/>
      </tp>
      <tp>
        <v>2</v>
        <stp/>
        <stp>VOLUME</stp>
        <stp>.SPY250930C566</stp>
        <tr r="R21" s="2"/>
        <tr r="R21" s="2"/>
      </tp>
      <tp>
        <v>12</v>
        <stp/>
        <stp>VOLUME</stp>
        <stp>.SPY250930P567</stp>
        <tr r="R20" s="2"/>
        <tr r="R20" s="2"/>
      </tp>
      <tp>
        <v>9</v>
        <stp/>
        <stp>VOLUME</stp>
        <stp>.SPY250930C567</stp>
        <tr r="R20" s="2"/>
        <tr r="R20" s="2"/>
      </tp>
      <tp>
        <v>27</v>
        <stp/>
        <stp>VOLUME</stp>
        <stp>.SPY250930P564</stp>
        <tr r="R23" s="2"/>
        <tr r="R23" s="2"/>
      </tp>
      <tp>
        <v>43</v>
        <stp/>
        <stp>VOLUME</stp>
        <stp>.SPY250930C564</stp>
        <tr r="R23" s="2"/>
        <tr r="R23" s="2"/>
      </tp>
      <tp>
        <v>132</v>
        <stp/>
        <stp>VOLUME</stp>
        <stp>.SPY250930P565</stp>
        <tr r="R22" s="2"/>
        <tr r="R22" s="2"/>
      </tp>
      <tp>
        <v>32</v>
        <stp/>
        <stp>VOLUME</stp>
        <stp>.SPY250930C565</stp>
        <tr r="R22" s="2"/>
        <tr r="R22" s="2"/>
      </tp>
      <tp>
        <v>11</v>
        <stp/>
        <stp>VOLUME</stp>
        <stp>.SPY250930P562</stp>
        <tr r="R25" s="2"/>
        <tr r="R25" s="2"/>
      </tp>
      <tp t="s">
        <v>N/A</v>
        <stp/>
        <stp>VOLUME</stp>
        <stp>.SPY250930C562</stp>
        <tr r="R25" s="2"/>
      </tp>
      <tp>
        <v>1</v>
        <stp/>
        <stp>VOLUME</stp>
        <stp>.SPY250930P563</stp>
        <tr r="R24" s="2"/>
        <tr r="R24" s="2"/>
      </tp>
      <tp>
        <v>3</v>
        <stp/>
        <stp>VOLUME</stp>
        <stp>.SPY250930C563</stp>
        <tr r="R24" s="2"/>
        <tr r="R24" s="2"/>
      </tp>
      <tp t="s">
        <v>N/A</v>
        <stp/>
        <stp>VOLUME</stp>
        <stp>.SPY250919P549</stp>
        <tr r="Q38" s="2"/>
      </tp>
      <tp>
        <v>12</v>
        <stp/>
        <stp>VOLUME</stp>
        <stp>.SPY250930P560</stp>
        <tr r="R27" s="2"/>
        <tr r="R27" s="2"/>
      </tp>
      <tp t="s">
        <v>N/A</v>
        <stp/>
        <stp>VOLUME</stp>
        <stp>.SPY250919C549</stp>
        <tr r="Q38" s="2"/>
      </tp>
      <tp>
        <v>5</v>
        <stp/>
        <stp>VOLUME</stp>
        <stp>.SPY250930C560</stp>
        <tr r="R27" s="2"/>
        <tr r="R27" s="2"/>
      </tp>
      <tp t="s">
        <v>N/A</v>
        <stp/>
        <stp>VOLUME</stp>
        <stp>.SPY250919P548</stp>
        <tr r="Q39" s="2"/>
      </tp>
      <tp>
        <v>3</v>
        <stp/>
        <stp>VOLUME</stp>
        <stp>.SPY250930P561</stp>
        <tr r="R26" s="2"/>
        <tr r="R26" s="2"/>
      </tp>
      <tp t="s">
        <v>N/A</v>
        <stp/>
        <stp>VOLUME</stp>
        <stp>.SPY250919C548</stp>
        <tr r="Q39" s="2"/>
      </tp>
      <tp t="s">
        <v>N/A</v>
        <stp/>
        <stp>VOLUME</stp>
        <stp>.SPY250930C561</stp>
        <tr r="R26" s="2"/>
      </tp>
      <tp t="s">
        <v>N/A</v>
        <stp/>
        <stp>VOLUME</stp>
        <stp>.QQQ251031P469</stp>
        <tr r="T79" s="2"/>
      </tp>
      <tp t="s">
        <v>N/A</v>
        <stp/>
        <stp>VOLUME</stp>
        <stp>.QQQ251031C469</stp>
        <tr r="T79" s="2"/>
      </tp>
      <tp t="s">
        <v>N/A</v>
        <stp/>
        <stp>VOLUME</stp>
        <stp>.QQQ251031P468</stp>
        <tr r="T80" s="2"/>
      </tp>
      <tp t="s">
        <v>N/A</v>
        <stp/>
        <stp>VOLUME</stp>
        <stp>.QQQ251031C468</stp>
        <tr r="T80" s="2"/>
      </tp>
      <tp>
        <v>1</v>
        <stp/>
        <stp>VOLUME</stp>
        <stp>.SPY250930P568</stp>
        <tr r="R19" s="2"/>
        <tr r="R19" s="2"/>
      </tp>
      <tp>
        <v>4</v>
        <stp/>
        <stp>VOLUME</stp>
        <stp>.SPY250930C568</stp>
        <tr r="R19" s="2"/>
        <tr r="R19" s="2"/>
      </tp>
      <tp>
        <v>7</v>
        <stp/>
        <stp>VOLUME</stp>
        <stp>.SPY250930P569</stp>
        <tr r="R18" s="2"/>
        <tr r="R18" s="2"/>
      </tp>
      <tp>
        <v>13</v>
        <stp/>
        <stp>VOLUME</stp>
        <stp>.SPY250930C569</stp>
        <tr r="R18" s="2"/>
        <tr r="R18" s="2"/>
      </tp>
      <tp t="s">
        <v>N/A</v>
        <stp/>
        <stp>VOLUME</stp>
        <stp>.QQQ251031P475</stp>
        <tr r="T73" s="2"/>
      </tp>
      <tp t="s">
        <v>N/A</v>
        <stp/>
        <stp>VOLUME</stp>
        <stp>.SPY250930P576</stp>
        <tr r="R11" s="2"/>
      </tp>
      <tp t="s">
        <v>N/A</v>
        <stp/>
        <stp>VOLUME</stp>
        <stp>.QQQ251031C475</stp>
        <tr r="T73" s="2"/>
      </tp>
      <tp t="s">
        <v>N/A</v>
        <stp/>
        <stp>VOLUME</stp>
        <stp>.SPY250930C576</stp>
        <tr r="R11" s="2"/>
      </tp>
      <tp t="s">
        <v>N/A</v>
        <stp/>
        <stp>VOLUME</stp>
        <stp>.QQQ251031P474</stp>
        <tr r="T74" s="2"/>
      </tp>
      <tp>
        <v>1</v>
        <stp/>
        <stp>VOLUME</stp>
        <stp>.SPY250930P577</stp>
        <tr r="R10" s="2"/>
        <tr r="R10" s="2"/>
      </tp>
      <tp t="s">
        <v>N/A</v>
        <stp/>
        <stp>VOLUME</stp>
        <stp>.QQQ251031C474</stp>
        <tr r="T74" s="2"/>
      </tp>
      <tp>
        <v>4</v>
        <stp/>
        <stp>VOLUME</stp>
        <stp>.SPY250930C577</stp>
        <tr r="R10" s="2"/>
        <tr r="R10" s="2"/>
      </tp>
      <tp t="s">
        <v>N/A</v>
        <stp/>
        <stp>VOLUME</stp>
        <stp>.QQQ251031P477</stp>
        <tr r="T71" s="2"/>
      </tp>
      <tp>
        <v>1</v>
        <stp/>
        <stp>VOLUME</stp>
        <stp>.SPY250930P574</stp>
        <tr r="R13" s="2"/>
        <tr r="R13" s="2"/>
      </tp>
      <tp t="s">
        <v>N/A</v>
        <stp/>
        <stp>VOLUME</stp>
        <stp>.QQQ251031C477</stp>
        <tr r="T71" s="2"/>
      </tp>
      <tp t="s">
        <v>N/A</v>
        <stp/>
        <stp>VOLUME</stp>
        <stp>.SPY250930C574</stp>
        <tr r="R13" s="2"/>
      </tp>
      <tp t="s">
        <v>N/A</v>
        <stp/>
        <stp>VOLUME</stp>
        <stp>.QQQ251031P476</stp>
        <tr r="T72" s="2"/>
      </tp>
      <tp t="s">
        <v>N/A</v>
        <stp/>
        <stp>VOLUME</stp>
        <stp>.SPY250930P575</stp>
        <tr r="R12" s="2"/>
      </tp>
      <tp t="s">
        <v>N/A</v>
        <stp/>
        <stp>VOLUME</stp>
        <stp>.QQQ251031C476</stp>
        <tr r="T72" s="2"/>
      </tp>
      <tp>
        <v>24</v>
        <stp/>
        <stp>VOLUME</stp>
        <stp>.SPY250930C575</stp>
        <tr r="R12" s="2"/>
        <tr r="R12" s="2"/>
      </tp>
      <tp t="s">
        <v>N/A</v>
        <stp/>
        <stp>VOLUME</stp>
        <stp>.QQQ251031P471</stp>
        <tr r="T77" s="2"/>
      </tp>
      <tp t="s">
        <v>N/A</v>
        <stp/>
        <stp>VOLUME</stp>
        <stp>.SPY250930P572</stp>
        <tr r="R15" s="2"/>
      </tp>
      <tp t="s">
        <v>N/A</v>
        <stp/>
        <stp>VOLUME</stp>
        <stp>.QQQ251031C471</stp>
        <tr r="T77" s="2"/>
      </tp>
      <tp t="s">
        <v>N/A</v>
        <stp/>
        <stp>VOLUME</stp>
        <stp>.SPY250930C572</stp>
        <tr r="R15" s="2"/>
      </tp>
      <tp t="s">
        <v>N/A</v>
        <stp/>
        <stp>VOLUME</stp>
        <stp>.QQQ251031P470</stp>
        <tr r="T78" s="2"/>
      </tp>
      <tp t="s">
        <v>N/A</v>
        <stp/>
        <stp>VOLUME</stp>
        <stp>.SPY250930P573</stp>
        <tr r="R14" s="2"/>
      </tp>
      <tp t="s">
        <v>N/A</v>
        <stp/>
        <stp>VOLUME</stp>
        <stp>.QQQ251031C470</stp>
        <tr r="T78" s="2"/>
      </tp>
      <tp t="s">
        <v>N/A</v>
        <stp/>
        <stp>VOLUME</stp>
        <stp>.SPY250930C573</stp>
        <tr r="R14" s="2"/>
      </tp>
      <tp t="s">
        <v>N/A</v>
        <stp/>
        <stp>VOLUME</stp>
        <stp>.QQQ251031P473</stp>
        <tr r="T75" s="2"/>
      </tp>
      <tp t="s">
        <v>N/A</v>
        <stp/>
        <stp>VOLUME</stp>
        <stp>.SPY250919P559</stp>
        <tr r="Q28" s="2"/>
      </tp>
      <tp>
        <v>53</v>
        <stp/>
        <stp>VOLUME</stp>
        <stp>.SPY250930P570</stp>
        <tr r="R17" s="2"/>
        <tr r="R17" s="2"/>
      </tp>
      <tp t="s">
        <v>N/A</v>
        <stp/>
        <stp>VOLUME</stp>
        <stp>.QQQ251031C473</stp>
        <tr r="T75" s="2"/>
      </tp>
      <tp t="s">
        <v>N/A</v>
        <stp/>
        <stp>VOLUME</stp>
        <stp>.SPY250919C559</stp>
        <tr r="Q28" s="2"/>
      </tp>
      <tp>
        <v>13</v>
        <stp/>
        <stp>VOLUME</stp>
        <stp>.SPY250930C570</stp>
        <tr r="R17" s="2"/>
        <tr r="R17" s="2"/>
      </tp>
      <tp t="s">
        <v>N/A</v>
        <stp/>
        <stp>VOLUME</stp>
        <stp>.QQQ251031P472</stp>
        <tr r="T76" s="2"/>
      </tp>
      <tp t="s">
        <v>N/A</v>
        <stp/>
        <stp>VOLUME</stp>
        <stp>.SPY250919P558</stp>
        <tr r="Q29" s="2"/>
      </tp>
      <tp t="s">
        <v>N/A</v>
        <stp/>
        <stp>VOLUME</stp>
        <stp>.SPY250930P571</stp>
        <tr r="R16" s="2"/>
      </tp>
      <tp t="s">
        <v>N/A</v>
        <stp/>
        <stp>VOLUME</stp>
        <stp>.QQQ251031C472</stp>
        <tr r="T76" s="2"/>
      </tp>
      <tp t="s">
        <v>N/A</v>
        <stp/>
        <stp>VOLUME</stp>
        <stp>.SPY250919C558</stp>
        <tr r="Q29" s="2"/>
      </tp>
      <tp t="s">
        <v>N/A</v>
        <stp/>
        <stp>VOLUME</stp>
        <stp>.SPY250930C571</stp>
        <tr r="R16" s="2"/>
      </tp>
      <tp t="s">
        <v>N/A</v>
        <stp/>
        <stp>VOLUME</stp>
        <stp>.SPY250919P557</stp>
        <tr r="Q30" s="2"/>
      </tp>
      <tp t="s">
        <v>N/A</v>
        <stp/>
        <stp>VOLUME</stp>
        <stp>.SPY250919C557</stp>
        <tr r="Q30" s="2"/>
      </tp>
      <tp t="s">
        <v>N/A</v>
        <stp/>
        <stp>VOLUME</stp>
        <stp>.SPY250919P556</stp>
        <tr r="Q31" s="2"/>
      </tp>
      <tp t="s">
        <v>N/A</v>
        <stp/>
        <stp>VOLUME</stp>
        <stp>.SPY250919C556</stp>
        <tr r="Q31" s="2"/>
      </tp>
      <tp>
        <v>83</v>
        <stp/>
        <stp>VOLUME</stp>
        <stp>.SPY250919P555</stp>
        <tr r="Q32" s="2"/>
        <tr r="Q32" s="2"/>
      </tp>
      <tp>
        <v>4</v>
        <stp/>
        <stp>VOLUME</stp>
        <stp>.SPY250919C555</stp>
        <tr r="Q32" s="2"/>
        <tr r="Q32" s="2"/>
      </tp>
      <tp t="s">
        <v>N/A</v>
        <stp/>
        <stp>VOLUME</stp>
        <stp>.SPY250919P554</stp>
        <tr r="Q33" s="2"/>
      </tp>
      <tp t="s">
        <v>N/A</v>
        <stp/>
        <stp>VOLUME</stp>
        <stp>.SPY250919C554</stp>
        <tr r="Q33" s="2"/>
      </tp>
      <tp t="s">
        <v>N/A</v>
        <stp/>
        <stp>VOLUME</stp>
        <stp>.QQQ251031P479</stp>
        <tr r="T69" s="2"/>
      </tp>
      <tp t="s">
        <v>N/A</v>
        <stp/>
        <stp>VOLUME</stp>
        <stp>.SPY250919P553</stp>
        <tr r="Q34" s="2"/>
      </tp>
      <tp t="s">
        <v>N/A</v>
        <stp/>
        <stp>VOLUME</stp>
        <stp>.QQQ251031C479</stp>
        <tr r="T69" s="2"/>
      </tp>
      <tp t="s">
        <v>N/A</v>
        <stp/>
        <stp>VOLUME</stp>
        <stp>.SPY250919C553</stp>
        <tr r="Q34" s="2"/>
      </tp>
      <tp t="s">
        <v>N/A</v>
        <stp/>
        <stp>VOLUME</stp>
        <stp>.QQQ251031P478</stp>
        <tr r="T70" s="2"/>
      </tp>
      <tp t="s">
        <v>N/A</v>
        <stp/>
        <stp>VOLUME</stp>
        <stp>.SPY250919P552</stp>
        <tr r="Q35" s="2"/>
      </tp>
      <tp t="s">
        <v>N/A</v>
        <stp/>
        <stp>VOLUME</stp>
        <stp>.QQQ251031C478</stp>
        <tr r="T70" s="2"/>
      </tp>
      <tp t="s">
        <v>N/A</v>
        <stp/>
        <stp>VOLUME</stp>
        <stp>.SPY250919C552</stp>
        <tr r="Q35" s="2"/>
      </tp>
      <tp t="s">
        <v>N/A</v>
        <stp/>
        <stp>VOLUME</stp>
        <stp>.SPY250919P551</stp>
        <tr r="Q36" s="2"/>
      </tp>
      <tp>
        <v>20</v>
        <stp/>
        <stp>VOLUME</stp>
        <stp>.SPY250930P578</stp>
        <tr r="R9" s="2"/>
        <tr r="R9" s="2"/>
      </tp>
      <tp t="s">
        <v>N/A</v>
        <stp/>
        <stp>VOLUME</stp>
        <stp>.SPY250919C551</stp>
        <tr r="Q36" s="2"/>
      </tp>
      <tp t="s">
        <v>N/A</v>
        <stp/>
        <stp>VOLUME</stp>
        <stp>.SPY250930C578</stp>
        <tr r="R9" s="2"/>
      </tp>
      <tp>
        <v>1349</v>
        <stp/>
        <stp>VOLUME</stp>
        <stp>.SPY250919P550</stp>
        <tr r="Q37" s="2"/>
        <tr r="Q37" s="2"/>
      </tp>
      <tp t="s">
        <v>N/A</v>
        <stp/>
        <stp>VOLUME</stp>
        <stp>.SPY250930P579</stp>
        <tr r="R8" s="2"/>
      </tp>
      <tp>
        <v>48</v>
        <stp/>
        <stp>VOLUME</stp>
        <stp>.SPY250919C550</stp>
        <tr r="Q37" s="2"/>
        <tr r="Q37" s="2"/>
      </tp>
      <tp t="s">
        <v>N/A</v>
        <stp/>
        <stp>VOLUME</stp>
        <stp>.SPY250930C579</stp>
        <tr r="R8" s="2"/>
      </tp>
      <tp t="s">
        <v>N/A</v>
        <stp/>
        <stp>VOLUME</stp>
        <stp>.SPY250919P569</stp>
        <tr r="Q18" s="2"/>
      </tp>
      <tp t="s">
        <v>N/A</v>
        <stp/>
        <stp>VOLUME</stp>
        <stp>.SPY250919C569</stp>
        <tr r="Q18" s="2"/>
      </tp>
      <tp t="s">
        <v>N/A</v>
        <stp/>
        <stp>VOLUME</stp>
        <stp>.SPY250919P568</stp>
        <tr r="Q19" s="2"/>
      </tp>
      <tp t="s">
        <v>N/A</v>
        <stp/>
        <stp>VOLUME</stp>
        <stp>.SPY250919C568</stp>
        <tr r="Q19" s="2"/>
      </tp>
      <tp t="s">
        <v>N/A</v>
        <stp/>
        <stp>VOLUME</stp>
        <stp>.SPY250919P567</stp>
        <tr r="Q20" s="2"/>
      </tp>
      <tp t="s">
        <v>N/A</v>
        <stp/>
        <stp>VOLUME</stp>
        <stp>.SPY250919C567</stp>
        <tr r="Q20" s="2"/>
      </tp>
      <tp t="s">
        <v>N/A</v>
        <stp/>
        <stp>VOLUME</stp>
        <stp>.SPY250919P566</stp>
        <tr r="Q21" s="2"/>
      </tp>
      <tp t="s">
        <v>N/A</v>
        <stp/>
        <stp>VOLUME</stp>
        <stp>.SPY250919C566</stp>
        <tr r="Q21" s="2"/>
      </tp>
      <tp t="s">
        <v>N/A</v>
        <stp/>
        <stp>VOLUME</stp>
        <stp>.QQQ251017P469</stp>
        <tr r="S79" s="2"/>
      </tp>
      <tp>
        <v>497</v>
        <stp/>
        <stp>VOLUME</stp>
        <stp>.SPY250919P565</stp>
        <tr r="Q22" s="2"/>
        <tr r="Q22" s="2"/>
      </tp>
      <tp t="s">
        <v>N/A</v>
        <stp/>
        <stp>VOLUME</stp>
        <stp>.QQQ251017C469</stp>
        <tr r="S79" s="2"/>
      </tp>
      <tp>
        <v>148</v>
        <stp/>
        <stp>VOLUME</stp>
        <stp>.SPY250919C565</stp>
        <tr r="Q22" s="2"/>
        <tr r="Q22" s="2"/>
      </tp>
      <tp t="s">
        <v>N/A</v>
        <stp/>
        <stp>VOLUME</stp>
        <stp>.QQQ251017P468</stp>
        <tr r="S80" s="2"/>
      </tp>
      <tp t="s">
        <v>N/A</v>
        <stp/>
        <stp>VOLUME</stp>
        <stp>.SPY250919P564</stp>
        <tr r="Q23" s="2"/>
      </tp>
      <tp t="s">
        <v>N/A</v>
        <stp/>
        <stp>VOLUME</stp>
        <stp>.QQQ251017C468</stp>
        <tr r="S80" s="2"/>
      </tp>
      <tp t="s">
        <v>N/A</v>
        <stp/>
        <stp>VOLUME</stp>
        <stp>.SPY250919C564</stp>
        <tr r="Q23" s="2"/>
      </tp>
      <tp t="s">
        <v>N/A</v>
        <stp/>
        <stp>VOLUME</stp>
        <stp>.SPY250919P563</stp>
        <tr r="Q24" s="2"/>
      </tp>
      <tp t="s">
        <v>N/A</v>
        <stp/>
        <stp>VOLUME</stp>
        <stp>.SPY250919C563</stp>
        <tr r="Q24" s="2"/>
      </tp>
      <tp t="s">
        <v>N/A</v>
        <stp/>
        <stp>VOLUME</stp>
        <stp>.SPY250919P562</stp>
        <tr r="Q25" s="2"/>
      </tp>
      <tp t="s">
        <v>N/A</v>
        <stp/>
        <stp>VOLUME</stp>
        <stp>.SPY250919C562</stp>
        <tr r="Q25" s="2"/>
      </tp>
      <tp t="s">
        <v>N/A</v>
        <stp/>
        <stp>VOLUME</stp>
        <stp>.SPY250919P561</stp>
        <tr r="Q26" s="2"/>
      </tp>
      <tp>
        <v>1</v>
        <stp/>
        <stp>VOLUME</stp>
        <stp>.SPY250930P548</stp>
        <tr r="R39" s="2"/>
        <tr r="R39" s="2"/>
      </tp>
      <tp t="s">
        <v>N/A</v>
        <stp/>
        <stp>VOLUME</stp>
        <stp>.SPY250919C561</stp>
        <tr r="Q26" s="2"/>
      </tp>
      <tp t="s">
        <v>N/A</v>
        <stp/>
        <stp>VOLUME</stp>
        <stp>.SPY250930C548</stp>
        <tr r="R39" s="2"/>
      </tp>
      <tp>
        <v>233</v>
        <stp/>
        <stp>VOLUME</stp>
        <stp>.SPY250919P560</stp>
        <tr r="Q27" s="2"/>
        <tr r="Q27" s="2"/>
      </tp>
      <tp>
        <v>1</v>
        <stp/>
        <stp>VOLUME</stp>
        <stp>.SPY250930P549</stp>
        <tr r="R38" s="2"/>
        <tr r="R38" s="2"/>
      </tp>
      <tp>
        <v>39</v>
        <stp/>
        <stp>VOLUME</stp>
        <stp>.SPY250919C560</stp>
        <tr r="Q27" s="2"/>
        <tr r="Q27" s="2"/>
      </tp>
      <tp t="s">
        <v>N/A</v>
        <stp/>
        <stp>VOLUME</stp>
        <stp>.SPY250930C549</stp>
        <tr r="R38" s="2"/>
      </tp>
      <tp t="s">
        <v>N/A</v>
        <stp/>
        <stp>VOLUME</stp>
        <stp>.QQQ251017P473</stp>
        <tr r="S75" s="2"/>
      </tp>
      <tp>
        <v>2</v>
        <stp/>
        <stp>VOLUME</stp>
        <stp>.SPY250930P556</stp>
        <tr r="R31" s="2"/>
        <tr r="R31" s="2"/>
      </tp>
      <tp t="s">
        <v>N/A</v>
        <stp/>
        <stp>VOLUME</stp>
        <stp>.QQQ251017C473</stp>
        <tr r="S75" s="2"/>
      </tp>
      <tp t="s">
        <v>N/A</v>
        <stp/>
        <stp>VOLUME</stp>
        <stp>.SPY250930C556</stp>
        <tr r="R31" s="2"/>
      </tp>
      <tp t="s">
        <v>N/A</v>
        <stp/>
        <stp>VOLUME</stp>
        <stp>.QQQ251017P472</stp>
        <tr r="S76" s="2"/>
      </tp>
      <tp>
        <v>5</v>
        <stp/>
        <stp>VOLUME</stp>
        <stp>.SPY250930P557</stp>
        <tr r="R30" s="2"/>
        <tr r="R30" s="2"/>
      </tp>
      <tp t="s">
        <v>N/A</v>
        <stp/>
        <stp>VOLUME</stp>
        <stp>.QQQ251017C472</stp>
        <tr r="S76" s="2"/>
      </tp>
      <tp t="s">
        <v>N/A</v>
        <stp/>
        <stp>VOLUME</stp>
        <stp>.SPY250930C557</stp>
        <tr r="R30" s="2"/>
      </tp>
      <tp t="s">
        <v>N/A</v>
        <stp/>
        <stp>VOLUME</stp>
        <stp>.QQQ251017P471</stp>
        <tr r="S77" s="2"/>
      </tp>
      <tp t="s">
        <v>N/A</v>
        <stp/>
        <stp>VOLUME</stp>
        <stp>.SPY250930P554</stp>
        <tr r="R33" s="2"/>
      </tp>
      <tp t="s">
        <v>N/A</v>
        <stp/>
        <stp>VOLUME</stp>
        <stp>.QQQ251017C471</stp>
        <tr r="S77" s="2"/>
      </tp>
      <tp t="s">
        <v>N/A</v>
        <stp/>
        <stp>VOLUME</stp>
        <stp>.SPY250930C554</stp>
        <tr r="R33" s="2"/>
      </tp>
      <tp t="s">
        <v>N/A</v>
        <stp/>
        <stp>VOLUME</stp>
        <stp>.QQQ251017P470</stp>
        <tr r="S78" s="2"/>
      </tp>
      <tp>
        <v>6</v>
        <stp/>
        <stp>VOLUME</stp>
        <stp>.SPY250930P555</stp>
        <tr r="R32" s="2"/>
        <tr r="R32" s="2"/>
      </tp>
      <tp t="s">
        <v>N/A</v>
        <stp/>
        <stp>VOLUME</stp>
        <stp>.QQQ251017C470</stp>
        <tr r="S78" s="2"/>
      </tp>
      <tp>
        <v>3</v>
        <stp/>
        <stp>VOLUME</stp>
        <stp>.SPY250930C555</stp>
        <tr r="R32" s="2"/>
        <tr r="R32" s="2"/>
      </tp>
      <tp t="s">
        <v>N/A</v>
        <stp/>
        <stp>VOLUME</stp>
        <stp>.QQQ251017P477</stp>
        <tr r="S71" s="2"/>
      </tp>
      <tp t="s">
        <v>N/A</v>
        <stp/>
        <stp>VOLUME</stp>
        <stp>.SPY250930P552</stp>
        <tr r="R35" s="2"/>
      </tp>
      <tp t="s">
        <v>N/A</v>
        <stp/>
        <stp>VOLUME</stp>
        <stp>.QQQ251017C477</stp>
        <tr r="S71" s="2"/>
      </tp>
      <tp t="s">
        <v>N/A</v>
        <stp/>
        <stp>VOLUME</stp>
        <stp>.SPY250930C552</stp>
        <tr r="R35" s="2"/>
      </tp>
      <tp t="s">
        <v>N/A</v>
        <stp/>
        <stp>VOLUME</stp>
        <stp>.QQQ251017P476</stp>
        <tr r="S72" s="2"/>
      </tp>
      <tp>
        <v>1</v>
        <stp/>
        <stp>VOLUME</stp>
        <stp>.SPY250930P553</stp>
        <tr r="R34" s="2"/>
        <tr r="R34" s="2"/>
      </tp>
      <tp t="s">
        <v>N/A</v>
        <stp/>
        <stp>VOLUME</stp>
        <stp>.QQQ251017C476</stp>
        <tr r="S72" s="2"/>
      </tp>
      <tp>
        <v>18</v>
        <stp/>
        <stp>VOLUME</stp>
        <stp>.SPY250930C553</stp>
        <tr r="R34" s="2"/>
        <tr r="R34" s="2"/>
      </tp>
      <tp t="s">
        <v>N/A</v>
        <stp/>
        <stp>VOLUME</stp>
        <stp>.QQQ251017P475</stp>
        <tr r="S73" s="2"/>
      </tp>
      <tp t="s">
        <v>N/A</v>
        <stp/>
        <stp>VOLUME</stp>
        <stp>.SPY250919P579</stp>
        <tr r="Q8" s="2"/>
      </tp>
      <tp>
        <v>107</v>
        <stp/>
        <stp>VOLUME</stp>
        <stp>.SPY250930P550</stp>
        <tr r="R37" s="2"/>
        <tr r="R37" s="2"/>
      </tp>
      <tp t="s">
        <v>N/A</v>
        <stp/>
        <stp>VOLUME</stp>
        <stp>.QQQ251017C475</stp>
        <tr r="S73" s="2"/>
      </tp>
      <tp t="s">
        <v>N/A</v>
        <stp/>
        <stp>VOLUME</stp>
        <stp>.SPY250919C579</stp>
        <tr r="Q8" s="2"/>
      </tp>
      <tp t="s">
        <v>N/A</v>
        <stp/>
        <stp>VOLUME</stp>
        <stp>.SPY250930C550</stp>
        <tr r="R37" s="2"/>
      </tp>
      <tp t="s">
        <v>N/A</v>
        <stp/>
        <stp>VOLUME</stp>
        <stp>.QQQ251017P474</stp>
        <tr r="S74" s="2"/>
      </tp>
      <tp t="s">
        <v>N/A</v>
        <stp/>
        <stp>VOLUME</stp>
        <stp>.SPY250919P578</stp>
        <tr r="Q9" s="2"/>
      </tp>
      <tp t="s">
        <v>N/A</v>
        <stp/>
        <stp>VOLUME</stp>
        <stp>.SPY250930P551</stp>
        <tr r="R36" s="2"/>
      </tp>
      <tp t="s">
        <v>N/A</v>
        <stp/>
        <stp>VOLUME</stp>
        <stp>.QQQ251017C474</stp>
        <tr r="S74" s="2"/>
      </tp>
      <tp t="s">
        <v>N/A</v>
        <stp/>
        <stp>VOLUME</stp>
        <stp>.SPY250919C578</stp>
        <tr r="Q9" s="2"/>
      </tp>
      <tp t="s">
        <v>N/A</v>
        <stp/>
        <stp>VOLUME</stp>
        <stp>.SPY250930C551</stp>
        <tr r="R36" s="2"/>
      </tp>
      <tp t="s">
        <v>N/A</v>
        <stp/>
        <stp>VOLUME</stp>
        <stp>.SPY250919P577</stp>
        <tr r="Q10" s="2"/>
      </tp>
      <tp t="s">
        <v>N/A</v>
        <stp/>
        <stp>VOLUME</stp>
        <stp>.SPY250919C577</stp>
        <tr r="Q10" s="2"/>
      </tp>
      <tp t="s">
        <v>N/A</v>
        <stp/>
        <stp>VOLUME</stp>
        <stp>.SPY250919P576</stp>
        <tr r="Q11" s="2"/>
      </tp>
      <tp t="s">
        <v>N/A</v>
        <stp/>
        <stp>VOLUME</stp>
        <stp>.SPY250919C576</stp>
        <tr r="Q11" s="2"/>
      </tp>
      <tp t="s">
        <v>N/A</v>
        <stp/>
        <stp>VOLUME</stp>
        <stp>.QQQ251017P479</stp>
        <tr r="S69" s="2"/>
      </tp>
      <tp>
        <v>72</v>
        <stp/>
        <stp>VOLUME</stp>
        <stp>.SPY250919P575</stp>
        <tr r="Q12" s="2"/>
        <tr r="Q12" s="2"/>
      </tp>
      <tp t="s">
        <v>N/A</v>
        <stp/>
        <stp>VOLUME</stp>
        <stp>.QQQ251017C479</stp>
        <tr r="S69" s="2"/>
      </tp>
      <tp>
        <v>175</v>
        <stp/>
        <stp>VOLUME</stp>
        <stp>.SPY250919C575</stp>
        <tr r="Q12" s="2"/>
        <tr r="Q12" s="2"/>
      </tp>
      <tp t="s">
        <v>N/A</v>
        <stp/>
        <stp>VOLUME</stp>
        <stp>.QQQ251017P478</stp>
        <tr r="S70" s="2"/>
      </tp>
      <tp t="s">
        <v>N/A</v>
        <stp/>
        <stp>VOLUME</stp>
        <stp>.SPY250919P574</stp>
        <tr r="Q13" s="2"/>
      </tp>
      <tp t="s">
        <v>N/A</v>
        <stp/>
        <stp>VOLUME</stp>
        <stp>.QQQ251017C478</stp>
        <tr r="S70" s="2"/>
      </tp>
      <tp t="s">
        <v>N/A</v>
        <stp/>
        <stp>VOLUME</stp>
        <stp>.SPY250919C574</stp>
        <tr r="Q13" s="2"/>
      </tp>
      <tp t="s">
        <v>N/A</v>
        <stp/>
        <stp>VOLUME</stp>
        <stp>.SPY250919P573</stp>
        <tr r="Q14" s="2"/>
      </tp>
      <tp t="s">
        <v>N/A</v>
        <stp/>
        <stp>VOLUME</stp>
        <stp>.SPY250919C573</stp>
        <tr r="Q14" s="2"/>
      </tp>
      <tp t="s">
        <v>N/A</v>
        <stp/>
        <stp>VOLUME</stp>
        <stp>.SPY250919P572</stp>
        <tr r="Q15" s="2"/>
      </tp>
      <tp t="s">
        <v>N/A</v>
        <stp/>
        <stp>VOLUME</stp>
        <stp>.SPY250919C572</stp>
        <tr r="Q15" s="2"/>
      </tp>
      <tp t="s">
        <v>N/A</v>
        <stp/>
        <stp>VOLUME</stp>
        <stp>.SPY250919P571</stp>
        <tr r="Q16" s="2"/>
      </tp>
      <tp>
        <v>1</v>
        <stp/>
        <stp>VOLUME</stp>
        <stp>.SPY250930P558</stp>
        <tr r="R29" s="2"/>
        <tr r="R29" s="2"/>
      </tp>
      <tp t="s">
        <v>N/A</v>
        <stp/>
        <stp>VOLUME</stp>
        <stp>.SPY250919C571</stp>
        <tr r="Q16" s="2"/>
      </tp>
      <tp t="s">
        <v>N/A</v>
        <stp/>
        <stp>VOLUME</stp>
        <stp>.SPY250930C558</stp>
        <tr r="R29" s="2"/>
      </tp>
      <tp>
        <v>279</v>
        <stp/>
        <stp>VOLUME</stp>
        <stp>.SPY250919P570</stp>
        <tr r="Q17" s="2"/>
        <tr r="Q17" s="2"/>
      </tp>
      <tp t="s">
        <v>N/A</v>
        <stp/>
        <stp>VOLUME</stp>
        <stp>.SPY250930P559</stp>
        <tr r="R28" s="2"/>
      </tp>
      <tp>
        <v>101</v>
        <stp/>
        <stp>VOLUME</stp>
        <stp>.SPY250919C570</stp>
        <tr r="Q17" s="2"/>
        <tr r="Q17" s="2"/>
      </tp>
      <tp t="s">
        <v>N/A</v>
        <stp/>
        <stp>VOLUME</stp>
        <stp>.SPY250930C559</stp>
        <tr r="R28" s="2"/>
      </tp>
      <tp>
        <v>-1</v>
        <stp/>
        <stp>DELTA</stp>
        <stp>.SPXW250509P5820</stp>
        <tr r="CE90" s="1"/>
        <tr r="CE90" s="1"/>
      </tp>
      <tp>
        <v>0</v>
        <stp/>
        <stp>DELTA</stp>
        <stp>.SPXW250509C5820</stp>
        <tr r="CD90" s="1"/>
        <tr r="CD90" s="1"/>
      </tp>
      <tp>
        <v>-1</v>
        <stp/>
        <stp>DELTA</stp>
        <stp>.SPXW250509P5830</stp>
        <tr r="CE89" s="1"/>
        <tr r="CE89" s="1"/>
      </tp>
      <tp>
        <v>0</v>
        <stp/>
        <stp>DELTA</stp>
        <stp>.SPXW250509C5830</stp>
        <tr r="CD89" s="1"/>
        <tr r="CD89" s="1"/>
      </tp>
      <tp>
        <v>-0.99</v>
        <stp/>
        <stp>DELTA</stp>
        <stp>.SPXW250509P5800</stp>
        <tr r="CE92" s="1"/>
        <tr r="CE92" s="1"/>
      </tp>
      <tp>
        <v>0</v>
        <stp/>
        <stp>DELTA</stp>
        <stp>.SPXW250509C5800</stp>
        <tr r="CD92" s="1"/>
        <tr r="CD92" s="1"/>
      </tp>
      <tp>
        <v>-1</v>
        <stp/>
        <stp>DELTA</stp>
        <stp>.SPXW250509P5810</stp>
        <tr r="CE91" s="1"/>
        <tr r="CE91" s="1"/>
      </tp>
      <tp>
        <v>0</v>
        <stp/>
        <stp>DELTA</stp>
        <stp>.SPXW250509C5810</stp>
        <tr r="CD91" s="1"/>
        <tr r="CD91" s="1"/>
      </tp>
      <tp>
        <v>-0.98</v>
        <stp/>
        <stp>DELTA</stp>
        <stp>.SPXW250509P5860</stp>
        <tr r="CE86" s="1"/>
        <tr r="CE86" s="1"/>
      </tp>
      <tp>
        <v>0</v>
        <stp/>
        <stp>DELTA</stp>
        <stp>.SPXW250509C5860</stp>
        <tr r="CD86" s="1"/>
        <tr r="CD86" s="1"/>
      </tp>
      <tp>
        <v>-0.98</v>
        <stp/>
        <stp>DELTA</stp>
        <stp>.SPXW250509P5870</stp>
        <tr r="CE85" s="1"/>
        <tr r="CE85" s="1"/>
      </tp>
      <tp>
        <v>0</v>
        <stp/>
        <stp>DELTA</stp>
        <stp>.SPXW250509C5870</stp>
        <tr r="CD85" s="1"/>
        <tr r="CD85" s="1"/>
      </tp>
      <tp>
        <v>-0.98</v>
        <stp/>
        <stp>DELTA</stp>
        <stp>.SPXW250509P5840</stp>
        <tr r="CE88" s="1"/>
        <tr r="CE88" s="1"/>
      </tp>
      <tp>
        <v>0</v>
        <stp/>
        <stp>DELTA</stp>
        <stp>.SPXW250509C5840</stp>
        <tr r="CD88" s="1"/>
        <tr r="CD88" s="1"/>
      </tp>
      <tp>
        <v>-0.98</v>
        <stp/>
        <stp>DELTA</stp>
        <stp>.SPXW250509P5850</stp>
        <tr r="CE87" s="1"/>
        <tr r="CE87" s="1"/>
      </tp>
      <tp>
        <v>0</v>
        <stp/>
        <stp>DELTA</stp>
        <stp>.SPXW250509C5850</stp>
        <tr r="CD87" s="1"/>
        <tr r="CD87" s="1"/>
      </tp>
      <tp t="s">
        <v>N/A</v>
        <stp/>
        <stp>VOLUME</stp>
        <stp>.SPY250815P582</stp>
        <tr r="O5" s="2"/>
      </tp>
      <tp t="s">
        <v>N/A</v>
        <stp/>
        <stp>VOLUME</stp>
        <stp>.SPY250815C582</stp>
        <tr r="O5" s="2"/>
      </tp>
      <tp t="s">
        <v>N/A</v>
        <stp/>
        <stp>VOLUME</stp>
        <stp>.SPY250815P581</stp>
        <tr r="O6" s="2"/>
      </tp>
      <tp t="s">
        <v>N/A</v>
        <stp/>
        <stp>VOLUME</stp>
        <stp>.SPY250815C581</stp>
        <tr r="O6" s="2"/>
      </tp>
      <tp>
        <v>17</v>
        <stp/>
        <stp>VOLUME</stp>
        <stp>.SPY250815P580</stp>
        <tr r="O7" s="2"/>
        <tr r="O7" s="2"/>
      </tp>
      <tp>
        <v>133</v>
        <stp/>
        <stp>VOLUME</stp>
        <stp>.SPY250815C580</stp>
        <tr r="O7" s="2"/>
        <tr r="O7" s="2"/>
      </tp>
      <tp>
        <v>2</v>
        <stp/>
        <stp>VOLUME</stp>
        <stp>.QQQ251121P495</stp>
        <tr r="U53" s="2"/>
        <tr r="U53" s="2"/>
      </tp>
      <tp>
        <v>98</v>
        <stp/>
        <stp>VOLUME</stp>
        <stp>.QQQ251121C495</stp>
        <tr r="U53" s="2"/>
        <tr r="U53" s="2"/>
      </tp>
      <tp t="s">
        <v>N/A</v>
        <stp/>
        <stp>VOLUME</stp>
        <stp>.QQQ251121P494</stp>
        <tr r="U54" s="2"/>
      </tp>
      <tp t="s">
        <v>N/A</v>
        <stp/>
        <stp>VOLUME</stp>
        <stp>.QQQ251121C494</stp>
        <tr r="U54" s="2"/>
      </tp>
      <tp t="s">
        <v>N/A</v>
        <stp/>
        <stp>VOLUME</stp>
        <stp>.QQQ251121P497</stp>
        <tr r="U51" s="2"/>
      </tp>
      <tp t="s">
        <v>N/A</v>
        <stp/>
        <stp>VOLUME</stp>
        <stp>.QQQ251121C497</stp>
        <tr r="U51" s="2"/>
      </tp>
      <tp t="s">
        <v>N/A</v>
        <stp/>
        <stp>VOLUME</stp>
        <stp>.QQQ251121P496</stp>
        <tr r="U52" s="2"/>
      </tp>
      <tp t="s">
        <v>N/A</v>
        <stp/>
        <stp>VOLUME</stp>
        <stp>.QQQ251121C496</stp>
        <tr r="U52" s="2"/>
      </tp>
      <tp t="s">
        <v>N/A</v>
        <stp/>
        <stp>VOLUME</stp>
        <stp>.QQQ251121P491</stp>
        <tr r="U57" s="2"/>
      </tp>
      <tp t="s">
        <v>N/A</v>
        <stp/>
        <stp>VOLUME</stp>
        <stp>.QQQ251128P498</stp>
        <tr r="V50" s="2"/>
      </tp>
      <tp t="s">
        <v>N/A</v>
        <stp/>
        <stp>VOLUME</stp>
        <stp>.QQQ251121C491</stp>
        <tr r="U57" s="2"/>
      </tp>
      <tp t="s">
        <v>N/A</v>
        <stp/>
        <stp>VOLUME</stp>
        <stp>.QQQ251128C498</stp>
        <tr r="V50" s="2"/>
      </tp>
      <tp>
        <v>219</v>
        <stp/>
        <stp>VOLUME</stp>
        <stp>.QQQ251121P490</stp>
        <tr r="U58" s="2"/>
        <tr r="U58" s="2"/>
      </tp>
      <tp t="s">
        <v>N/A</v>
        <stp/>
        <stp>VOLUME</stp>
        <stp>.QQQ251128P499</stp>
        <tr r="V49" s="2"/>
      </tp>
      <tp>
        <v>118</v>
        <stp/>
        <stp>VOLUME</stp>
        <stp>.QQQ251121C490</stp>
        <tr r="U58" s="2"/>
        <tr r="U58" s="2"/>
      </tp>
      <tp t="s">
        <v>N/A</v>
        <stp/>
        <stp>VOLUME</stp>
        <stp>.QQQ251128C499</stp>
        <tr r="V49" s="2"/>
      </tp>
      <tp t="s">
        <v>N/A</v>
        <stp/>
        <stp>VOLUME</stp>
        <stp>.QQQ251121P493</stp>
        <tr r="U55" s="2"/>
      </tp>
      <tp t="s">
        <v>N/A</v>
        <stp/>
        <stp>VOLUME</stp>
        <stp>.QQQ251121C493</stp>
        <tr r="U55" s="2"/>
      </tp>
      <tp t="s">
        <v>N/A</v>
        <stp/>
        <stp>VOLUME</stp>
        <stp>.QQQ251121P492</stp>
        <tr r="U56" s="2"/>
      </tp>
      <tp t="s">
        <v>N/A</v>
        <stp/>
        <stp>VOLUME</stp>
        <stp>.QQQ251121C492</stp>
        <tr r="U56" s="2"/>
      </tp>
      <tp t="s">
        <v>N/A</v>
        <stp/>
        <stp>VOLUME</stp>
        <stp>.QQQ251128P494</stp>
        <tr r="V54" s="2"/>
      </tp>
      <tp t="s">
        <v>N/A</v>
        <stp/>
        <stp>VOLUME</stp>
        <stp>.QQQ251128C494</stp>
        <tr r="V54" s="2"/>
      </tp>
      <tp t="s">
        <v>N/A</v>
        <stp/>
        <stp>VOLUME</stp>
        <stp>.QQQ251128P495</stp>
        <tr r="V53" s="2"/>
      </tp>
      <tp t="s">
        <v>N/A</v>
        <stp/>
        <stp>VOLUME</stp>
        <stp>.QQQ251128C495</stp>
        <tr r="V53" s="2"/>
      </tp>
      <tp t="s">
        <v>N/A</v>
        <stp/>
        <stp>VOLUME</stp>
        <stp>.QQQ251128P496</stp>
        <tr r="V52" s="2"/>
      </tp>
      <tp t="s">
        <v>N/A</v>
        <stp/>
        <stp>VOLUME</stp>
        <stp>.QQQ251128C496</stp>
        <tr r="V52" s="2"/>
      </tp>
      <tp t="s">
        <v>N/A</v>
        <stp/>
        <stp>VOLUME</stp>
        <stp>.QQQ251128P497</stp>
        <tr r="V51" s="2"/>
      </tp>
      <tp t="s">
        <v>N/A</v>
        <stp/>
        <stp>VOLUME</stp>
        <stp>.QQQ251128C497</stp>
        <tr r="V51" s="2"/>
      </tp>
      <tp t="s">
        <v>N/A</v>
        <stp/>
        <stp>VOLUME</stp>
        <stp>.QQQ251121P499</stp>
        <tr r="U49" s="2"/>
      </tp>
      <tp t="s">
        <v>N/A</v>
        <stp/>
        <stp>VOLUME</stp>
        <stp>.QQQ251128P490</stp>
        <tr r="V58" s="2"/>
      </tp>
      <tp t="s">
        <v>N/A</v>
        <stp/>
        <stp>VOLUME</stp>
        <stp>.QQQ251121C499</stp>
        <tr r="U49" s="2"/>
      </tp>
      <tp t="s">
        <v>N/A</v>
        <stp/>
        <stp>VOLUME</stp>
        <stp>.QQQ251128C490</stp>
        <tr r="V58" s="2"/>
      </tp>
      <tp t="s">
        <v>N/A</v>
        <stp/>
        <stp>VOLUME</stp>
        <stp>.QQQ251121P498</stp>
        <tr r="U50" s="2"/>
      </tp>
      <tp t="s">
        <v>N/A</v>
        <stp/>
        <stp>VOLUME</stp>
        <stp>.QQQ251128P491</stp>
        <tr r="V57" s="2"/>
      </tp>
      <tp t="s">
        <v>N/A</v>
        <stp/>
        <stp>VOLUME</stp>
        <stp>.QQQ251121C498</stp>
        <tr r="U50" s="2"/>
      </tp>
      <tp t="s">
        <v>N/A</v>
        <stp/>
        <stp>VOLUME</stp>
        <stp>.QQQ251128C491</stp>
        <tr r="V57" s="2"/>
      </tp>
      <tp t="s">
        <v>N/A</v>
        <stp/>
        <stp>VOLUME</stp>
        <stp>.QQQ251128P492</stp>
        <tr r="V56" s="2"/>
      </tp>
      <tp t="s">
        <v>N/A</v>
        <stp/>
        <stp>VOLUME</stp>
        <stp>.QQQ251128C492</stp>
        <tr r="V56" s="2"/>
      </tp>
      <tp t="s">
        <v>N/A</v>
        <stp/>
        <stp>VOLUME</stp>
        <stp>.QQQ251128P493</stp>
        <tr r="V55" s="2"/>
      </tp>
      <tp t="s">
        <v>N/A</v>
        <stp/>
        <stp>VOLUME</stp>
        <stp>.QQQ251128C493</stp>
        <tr r="V55" s="2"/>
      </tp>
      <tp>
        <v>7</v>
        <stp/>
        <stp>VOLUME</stp>
        <stp>.QQQ251121P485</stp>
        <tr r="U63" s="2"/>
        <tr r="U63" s="2"/>
      </tp>
      <tp>
        <v>109</v>
        <stp/>
        <stp>VOLUME</stp>
        <stp>.QQQ251121C485</stp>
        <tr r="U63" s="2"/>
        <tr r="U63" s="2"/>
      </tp>
      <tp t="s">
        <v>N/A</v>
        <stp/>
        <stp>VOLUME</stp>
        <stp>.QQQ251121P484</stp>
        <tr r="U64" s="2"/>
      </tp>
      <tp t="s">
        <v>N/A</v>
        <stp/>
        <stp>VOLUME</stp>
        <stp>.QQQ251121C484</stp>
        <tr r="U64" s="2"/>
      </tp>
      <tp t="s">
        <v>N/A</v>
        <stp/>
        <stp>VOLUME</stp>
        <stp>.QQQ251121P487</stp>
        <tr r="U61" s="2"/>
      </tp>
      <tp t="s">
        <v>N/A</v>
        <stp/>
        <stp>VOLUME</stp>
        <stp>.QQQ251121C487</stp>
        <tr r="U61" s="2"/>
      </tp>
      <tp t="s">
        <v>N/A</v>
        <stp/>
        <stp>VOLUME</stp>
        <stp>.QQQ251121P486</stp>
        <tr r="U62" s="2"/>
      </tp>
      <tp t="s">
        <v>N/A</v>
        <stp/>
        <stp>VOLUME</stp>
        <stp>.QQQ251121C486</stp>
        <tr r="U62" s="2"/>
      </tp>
      <tp t="s">
        <v>N/A</v>
        <stp/>
        <stp>VOLUME</stp>
        <stp>.QQQ251121P481</stp>
        <tr r="U67" s="2"/>
      </tp>
      <tp t="s">
        <v>N/A</v>
        <stp/>
        <stp>VOLUME</stp>
        <stp>.QQQ251128P488</stp>
        <tr r="V60" s="2"/>
      </tp>
      <tp t="s">
        <v>N/A</v>
        <stp/>
        <stp>VOLUME</stp>
        <stp>.QQQ251121C481</stp>
        <tr r="U67" s="2"/>
      </tp>
      <tp t="s">
        <v>N/A</v>
        <stp/>
        <stp>VOLUME</stp>
        <stp>.QQQ251128C488</stp>
        <tr r="V60" s="2"/>
      </tp>
      <tp>
        <v>8</v>
        <stp/>
        <stp>VOLUME</stp>
        <stp>.QQQ251121P480</stp>
        <tr r="U68" s="2"/>
        <tr r="U68" s="2"/>
      </tp>
      <tp t="s">
        <v>N/A</v>
        <stp/>
        <stp>VOLUME</stp>
        <stp>.QQQ251128P489</stp>
        <tr r="V59" s="2"/>
      </tp>
      <tp>
        <v>5</v>
        <stp/>
        <stp>VOLUME</stp>
        <stp>.QQQ251121C480</stp>
        <tr r="U68" s="2"/>
        <tr r="U68" s="2"/>
      </tp>
      <tp t="s">
        <v>N/A</v>
        <stp/>
        <stp>VOLUME</stp>
        <stp>.QQQ251128C489</stp>
        <tr r="V59" s="2"/>
      </tp>
      <tp t="s">
        <v>N/A</v>
        <stp/>
        <stp>VOLUME</stp>
        <stp>.QQQ251121P483</stp>
        <tr r="U65" s="2"/>
      </tp>
      <tp t="s">
        <v>N/A</v>
        <stp/>
        <stp>VOLUME</stp>
        <stp>.QQQ251121C483</stp>
        <tr r="U65" s="2"/>
      </tp>
      <tp t="s">
        <v>N/A</v>
        <stp/>
        <stp>VOLUME</stp>
        <stp>.QQQ251121P482</stp>
        <tr r="U66" s="2"/>
      </tp>
      <tp t="s">
        <v>N/A</v>
        <stp/>
        <stp>VOLUME</stp>
        <stp>.QQQ251121C482</stp>
        <tr r="U66" s="2"/>
      </tp>
      <tp t="s">
        <v>N/A</v>
        <stp/>
        <stp>VOLUME</stp>
        <stp>.QQQ251128P484</stp>
        <tr r="V64" s="2"/>
      </tp>
      <tp t="s">
        <v>N/A</v>
        <stp/>
        <stp>VOLUME</stp>
        <stp>.QQQ251128C484</stp>
        <tr r="V64" s="2"/>
      </tp>
      <tp t="s">
        <v>N/A</v>
        <stp/>
        <stp>VOLUME</stp>
        <stp>.QQQ251128P485</stp>
        <tr r="V63" s="2"/>
      </tp>
      <tp t="s">
        <v>N/A</v>
        <stp/>
        <stp>VOLUME</stp>
        <stp>.QQQ251128C485</stp>
        <tr r="V63" s="2"/>
      </tp>
      <tp t="s">
        <v>N/A</v>
        <stp/>
        <stp>VOLUME</stp>
        <stp>.QQQ251128P486</stp>
        <tr r="V62" s="2"/>
      </tp>
      <tp t="s">
        <v>N/A</v>
        <stp/>
        <stp>VOLUME</stp>
        <stp>.QQQ251128C486</stp>
        <tr r="V62" s="2"/>
      </tp>
      <tp t="s">
        <v>N/A</v>
        <stp/>
        <stp>VOLUME</stp>
        <stp>.QQQ251128P487</stp>
        <tr r="V61" s="2"/>
      </tp>
      <tp t="s">
        <v>N/A</v>
        <stp/>
        <stp>VOLUME</stp>
        <stp>.QQQ251128C487</stp>
        <tr r="V61" s="2"/>
      </tp>
      <tp t="s">
        <v>N/A</v>
        <stp/>
        <stp>VOLUME</stp>
        <stp>.QQQ251121P489</stp>
        <tr r="U59" s="2"/>
      </tp>
      <tp t="s">
        <v>N/A</v>
        <stp/>
        <stp>VOLUME</stp>
        <stp>.QQQ251128P480</stp>
        <tr r="V68" s="2"/>
      </tp>
      <tp t="s">
        <v>N/A</v>
        <stp/>
        <stp>VOLUME</stp>
        <stp>.QQQ251121C489</stp>
        <tr r="U59" s="2"/>
      </tp>
      <tp t="s">
        <v>N/A</v>
        <stp/>
        <stp>VOLUME</stp>
        <stp>.QQQ251128C480</stp>
        <tr r="V68" s="2"/>
      </tp>
      <tp t="s">
        <v>N/A</v>
        <stp/>
        <stp>VOLUME</stp>
        <stp>.QQQ251121P488</stp>
        <tr r="U60" s="2"/>
      </tp>
      <tp t="s">
        <v>N/A</v>
        <stp/>
        <stp>VOLUME</stp>
        <stp>.QQQ251128P481</stp>
        <tr r="V67" s="2"/>
      </tp>
      <tp t="s">
        <v>N/A</v>
        <stp/>
        <stp>VOLUME</stp>
        <stp>.SPY250829P582</stp>
        <tr r="P5" s="2"/>
      </tp>
      <tp t="s">
        <v>N/A</v>
        <stp/>
        <stp>VOLUME</stp>
        <stp>.QQQ251121C488</stp>
        <tr r="U60" s="2"/>
      </tp>
      <tp t="s">
        <v>N/A</v>
        <stp/>
        <stp>VOLUME</stp>
        <stp>.QQQ251128C481</stp>
        <tr r="V67" s="2"/>
      </tp>
      <tp>
        <v>34</v>
        <stp/>
        <stp>VOLUME</stp>
        <stp>.SPY250829C582</stp>
        <tr r="P5" s="2"/>
        <tr r="P5" s="2"/>
      </tp>
      <tp t="s">
        <v>N/A</v>
        <stp/>
        <stp>VOLUME</stp>
        <stp>.QQQ251128P482</stp>
        <tr r="V66" s="2"/>
      </tp>
      <tp t="s">
        <v>N/A</v>
        <stp/>
        <stp>VOLUME</stp>
        <stp>.SPY250829P581</stp>
        <tr r="P6" s="2"/>
      </tp>
      <tp t="s">
        <v>N/A</v>
        <stp/>
        <stp>VOLUME</stp>
        <stp>.QQQ251128C482</stp>
        <tr r="V66" s="2"/>
      </tp>
      <tp>
        <v>2</v>
        <stp/>
        <stp>VOLUME</stp>
        <stp>.SPY250829C581</stp>
        <tr r="P6" s="2"/>
        <tr r="P6" s="2"/>
      </tp>
      <tp t="s">
        <v>N/A</v>
        <stp/>
        <stp>VOLUME</stp>
        <stp>.QQQ251128P483</stp>
        <tr r="V65" s="2"/>
      </tp>
      <tp>
        <v>3</v>
        <stp/>
        <stp>VOLUME</stp>
        <stp>.SPY250829P580</stp>
        <tr r="P7" s="2"/>
        <tr r="P7" s="2"/>
      </tp>
      <tp t="s">
        <v>N/A</v>
        <stp/>
        <stp>VOLUME</stp>
        <stp>.QQQ251128C483</stp>
        <tr r="V65" s="2"/>
      </tp>
      <tp>
        <v>6</v>
        <stp/>
        <stp>VOLUME</stp>
        <stp>.SPY250829C580</stp>
        <tr r="P7" s="2"/>
        <tr r="P7" s="2"/>
      </tp>
      <tp t="s">
        <v>N/A</v>
        <stp/>
        <stp>VOLUME</stp>
        <stp>.QQQ251017P502</stp>
        <tr r="S46" s="2"/>
      </tp>
      <tp t="s">
        <v>N/A</v>
        <stp/>
        <stp>VOLUME</stp>
        <stp>.QQQ251017C502</stp>
        <tr r="S46" s="2"/>
      </tp>
      <tp t="s">
        <v>N/A</v>
        <stp/>
        <stp>VOLUME</stp>
        <stp>.QQQ251017P501</stp>
        <tr r="S47" s="2"/>
      </tp>
      <tp t="s">
        <v>N/A</v>
        <stp/>
        <stp>VOLUME</stp>
        <stp>.QQQ251017C501</stp>
        <tr r="S47" s="2"/>
      </tp>
      <tp t="s">
        <v>N/A</v>
        <stp/>
        <stp>VOLUME</stp>
        <stp>.QQQ251017P500</stp>
        <tr r="S48" s="2"/>
      </tp>
      <tp t="s">
        <v>N/A</v>
        <stp/>
        <stp>VOLUME</stp>
        <stp>.QQQ251017C500</stp>
        <tr r="S48" s="2"/>
      </tp>
      <tp t="s">
        <v>N/A</v>
        <stp/>
        <stp>VOLUME</stp>
        <stp>.QQQ251031P501</stp>
        <tr r="T47" s="2"/>
      </tp>
      <tp t="s">
        <v>N/A</v>
        <stp/>
        <stp>VOLUME</stp>
        <stp>.QQQ251031C501</stp>
        <tr r="T47" s="2"/>
      </tp>
      <tp t="s">
        <v>N/A</v>
        <stp/>
        <stp>VOLUME</stp>
        <stp>.QQQ251031P500</stp>
        <tr r="T48" s="2"/>
      </tp>
      <tp t="s">
        <v>N/A</v>
        <stp/>
        <stp>VOLUME</stp>
        <stp>.QQQ251031C500</stp>
        <tr r="T48" s="2"/>
      </tp>
      <tp t="s">
        <v>N/A</v>
        <stp/>
        <stp>VOLUME</stp>
        <stp>.QQQ251031P502</stp>
        <tr r="T46" s="2"/>
      </tp>
      <tp t="s">
        <v>N/A</v>
        <stp/>
        <stp>VOLUME</stp>
        <stp>.QQQ251031C502</stp>
        <tr r="T46" s="2"/>
      </tp>
      <tp>
        <v>31</v>
        <stp/>
        <stp>VOLUME</stp>
        <stp>.QQQ251121P475</stp>
        <tr r="U73" s="2"/>
        <tr r="U73" s="2"/>
      </tp>
      <tp>
        <v>1</v>
        <stp/>
        <stp>VOLUME</stp>
        <stp>.QQQ251121C475</stp>
        <tr r="U73" s="2"/>
        <tr r="U73" s="2"/>
      </tp>
      <tp t="s">
        <v>N/A</v>
        <stp/>
        <stp>VOLUME</stp>
        <stp>.QQQ251121P474</stp>
        <tr r="U74" s="2"/>
      </tp>
      <tp t="s">
        <v>N/A</v>
        <stp/>
        <stp>VOLUME</stp>
        <stp>.QQQ251121C474</stp>
        <tr r="U74" s="2"/>
      </tp>
      <tp t="s">
        <v>N/A</v>
        <stp/>
        <stp>VOLUME</stp>
        <stp>.QQQ251121P477</stp>
        <tr r="U71" s="2"/>
      </tp>
      <tp t="s">
        <v>N/A</v>
        <stp/>
        <stp>VOLUME</stp>
        <stp>.QQQ251121C477</stp>
        <tr r="U71" s="2"/>
      </tp>
      <tp t="s">
        <v>N/A</v>
        <stp/>
        <stp>VOLUME</stp>
        <stp>.QQQ251121P476</stp>
        <tr r="U72" s="2"/>
      </tp>
      <tp t="s">
        <v>N/A</v>
        <stp/>
        <stp>VOLUME</stp>
        <stp>.QQQ251121C476</stp>
        <tr r="U72" s="2"/>
      </tp>
      <tp t="s">
        <v>N/A</v>
        <stp/>
        <stp>VOLUME</stp>
        <stp>.QQQ251121P471</stp>
        <tr r="U77" s="2"/>
      </tp>
      <tp t="s">
        <v>N/A</v>
        <stp/>
        <stp>VOLUME</stp>
        <stp>.QQQ251128P478</stp>
        <tr r="V70" s="2"/>
      </tp>
      <tp t="s">
        <v>N/A</v>
        <stp/>
        <stp>VOLUME</stp>
        <stp>.QQQ251121C471</stp>
        <tr r="U77" s="2"/>
      </tp>
      <tp t="s">
        <v>N/A</v>
        <stp/>
        <stp>VOLUME</stp>
        <stp>.QQQ251128C478</stp>
        <tr r="V70" s="2"/>
      </tp>
      <tp>
        <v>38</v>
        <stp/>
        <stp>VOLUME</stp>
        <stp>.QQQ251121P470</stp>
        <tr r="U78" s="2"/>
        <tr r="U78" s="2"/>
      </tp>
      <tp t="s">
        <v>N/A</v>
        <stp/>
        <stp>VOLUME</stp>
        <stp>.QQQ251128P479</stp>
        <tr r="V69" s="2"/>
      </tp>
      <tp>
        <v>9</v>
        <stp/>
        <stp>VOLUME</stp>
        <stp>.QQQ251121C470</stp>
        <tr r="U78" s="2"/>
        <tr r="U78" s="2"/>
      </tp>
      <tp t="s">
        <v>N/A</v>
        <stp/>
        <stp>VOLUME</stp>
        <stp>.QQQ251128C479</stp>
        <tr r="V69" s="2"/>
      </tp>
      <tp t="s">
        <v>N/A</v>
        <stp/>
        <stp>VOLUME</stp>
        <stp>.QQQ251121P473</stp>
        <tr r="U75" s="2"/>
      </tp>
      <tp t="s">
        <v>N/A</v>
        <stp/>
        <stp>VOLUME</stp>
        <stp>.SPY250829P579</stp>
        <tr r="P8" s="2"/>
      </tp>
      <tp t="s">
        <v>N/A</v>
        <stp/>
        <stp>VOLUME</stp>
        <stp>.QQQ251121C473</stp>
        <tr r="U75" s="2"/>
      </tp>
      <tp t="s">
        <v>N/A</v>
        <stp/>
        <stp>VOLUME</stp>
        <stp>.SPY250829C579</stp>
        <tr r="P8" s="2"/>
      </tp>
      <tp t="s">
        <v>N/A</v>
        <stp/>
        <stp>VOLUME</stp>
        <stp>.QQQ251121P472</stp>
        <tr r="U76" s="2"/>
      </tp>
      <tp>
        <v>21</v>
        <stp/>
        <stp>VOLUME</stp>
        <stp>.SPY250829P578</stp>
        <tr r="P9" s="2"/>
        <tr r="P9" s="2"/>
      </tp>
      <tp t="s">
        <v>N/A</v>
        <stp/>
        <stp>VOLUME</stp>
        <stp>.QQQ251121C472</stp>
        <tr r="U76" s="2"/>
      </tp>
      <tp t="s">
        <v>N/A</v>
        <stp/>
        <stp>VOLUME</stp>
        <stp>.SPY250829C578</stp>
        <tr r="P9" s="2"/>
      </tp>
      <tp t="s">
        <v>N/A</v>
        <stp/>
        <stp>VOLUME</stp>
        <stp>.QQQ251128P474</stp>
        <tr r="V74" s="2"/>
      </tp>
      <tp t="s">
        <v>N/A</v>
        <stp/>
        <stp>VOLUME</stp>
        <stp>.SPY250829P577</stp>
        <tr r="P10" s="2"/>
      </tp>
      <tp t="s">
        <v>N/A</v>
        <stp/>
        <stp>VOLUME</stp>
        <stp>.QQQ251128C474</stp>
        <tr r="V74" s="2"/>
      </tp>
      <tp t="s">
        <v>N/A</v>
        <stp/>
        <stp>VOLUME</stp>
        <stp>.SPY250829C577</stp>
        <tr r="P10" s="2"/>
      </tp>
      <tp t="s">
        <v>N/A</v>
        <stp/>
        <stp>VOLUME</stp>
        <stp>.QQQ251128P475</stp>
        <tr r="V73" s="2"/>
      </tp>
      <tp t="s">
        <v>N/A</v>
        <stp/>
        <stp>VOLUME</stp>
        <stp>.SPY250829P576</stp>
        <tr r="P11" s="2"/>
      </tp>
      <tp t="s">
        <v>N/A</v>
        <stp/>
        <stp>VOLUME</stp>
        <stp>.QQQ251128C475</stp>
        <tr r="V73" s="2"/>
      </tp>
      <tp t="s">
        <v>N/A</v>
        <stp/>
        <stp>VOLUME</stp>
        <stp>.SPY250829C576</stp>
        <tr r="P11" s="2"/>
      </tp>
      <tp t="s">
        <v>N/A</v>
        <stp/>
        <stp>VOLUME</stp>
        <stp>.QQQ251128P476</stp>
        <tr r="V72" s="2"/>
      </tp>
      <tp>
        <v>10</v>
        <stp/>
        <stp>VOLUME</stp>
        <stp>.SPY250815P549</stp>
        <tr r="O38" s="2"/>
        <tr r="O38" s="2"/>
      </tp>
      <tp>
        <v>2</v>
        <stp/>
        <stp>VOLUME</stp>
        <stp>.SPY250829P575</stp>
        <tr r="P12" s="2"/>
        <tr r="P12" s="2"/>
      </tp>
      <tp t="s">
        <v>N/A</v>
        <stp/>
        <stp>VOLUME</stp>
        <stp>.QQQ251128C476</stp>
        <tr r="V72" s="2"/>
      </tp>
      <tp t="s">
        <v>N/A</v>
        <stp/>
        <stp>VOLUME</stp>
        <stp>.SPY250815C549</stp>
        <tr r="O38" s="2"/>
      </tp>
      <tp t="s">
        <v>N/A</v>
        <stp/>
        <stp>VOLUME</stp>
        <stp>.SPY250829C575</stp>
        <tr r="P12" s="2"/>
      </tp>
      <tp t="s">
        <v>N/A</v>
        <stp/>
        <stp>VOLUME</stp>
        <stp>.QQQ251128P477</stp>
        <tr r="V71" s="2"/>
      </tp>
      <tp>
        <v>53</v>
        <stp/>
        <stp>VOLUME</stp>
        <stp>.SPY250815P548</stp>
        <tr r="O39" s="2"/>
        <tr r="O39" s="2"/>
      </tp>
      <tp>
        <v>5</v>
        <stp/>
        <stp>VOLUME</stp>
        <stp>.SPY250829P574</stp>
        <tr r="P13" s="2"/>
        <tr r="P13" s="2"/>
      </tp>
      <tp t="s">
        <v>N/A</v>
        <stp/>
        <stp>VOLUME</stp>
        <stp>.QQQ251128C477</stp>
        <tr r="V71" s="2"/>
      </tp>
      <tp>
        <v>1</v>
        <stp/>
        <stp>VOLUME</stp>
        <stp>.SPY250815C548</stp>
        <tr r="O39" s="2"/>
        <tr r="O39" s="2"/>
      </tp>
      <tp>
        <v>1</v>
        <stp/>
        <stp>VOLUME</stp>
        <stp>.SPY250829C574</stp>
        <tr r="P13" s="2"/>
        <tr r="P13" s="2"/>
      </tp>
      <tp t="s">
        <v>N/A</v>
        <stp/>
        <stp>VOLUME</stp>
        <stp>.QQQ251121P479</stp>
        <tr r="U69" s="2"/>
      </tp>
      <tp t="s">
        <v>N/A</v>
        <stp/>
        <stp>VOLUME</stp>
        <stp>.QQQ251128P470</stp>
        <tr r="V78" s="2"/>
      </tp>
      <tp t="s">
        <v>N/A</v>
        <stp/>
        <stp>VOLUME</stp>
        <stp>.SPY250829P573</stp>
        <tr r="P14" s="2"/>
      </tp>
      <tp t="s">
        <v>N/A</v>
        <stp/>
        <stp>VOLUME</stp>
        <stp>.QQQ251121C479</stp>
        <tr r="U69" s="2"/>
      </tp>
      <tp t="s">
        <v>N/A</v>
        <stp/>
        <stp>VOLUME</stp>
        <stp>.QQQ251128C470</stp>
        <tr r="V78" s="2"/>
      </tp>
      <tp>
        <v>6</v>
        <stp/>
        <stp>VOLUME</stp>
        <stp>.SPY250829C573</stp>
        <tr r="P14" s="2"/>
        <tr r="P14" s="2"/>
      </tp>
      <tp t="s">
        <v>N/A</v>
        <stp/>
        <stp>VOLUME</stp>
        <stp>.QQQ251121P478</stp>
        <tr r="U70" s="2"/>
      </tp>
      <tp t="s">
        <v>N/A</v>
        <stp/>
        <stp>VOLUME</stp>
        <stp>.QQQ251128P471</stp>
        <tr r="V77" s="2"/>
      </tp>
      <tp t="s">
        <v>N/A</v>
        <stp/>
        <stp>VOLUME</stp>
        <stp>.SPY250829P572</stp>
        <tr r="P15" s="2"/>
      </tp>
      <tp t="s">
        <v>N/A</v>
        <stp/>
        <stp>VOLUME</stp>
        <stp>.QQQ251121C478</stp>
        <tr r="U70" s="2"/>
      </tp>
      <tp t="s">
        <v>N/A</v>
        <stp/>
        <stp>VOLUME</stp>
        <stp>.QQQ251128C471</stp>
        <tr r="V77" s="2"/>
      </tp>
      <tp t="s">
        <v>N/A</v>
        <stp/>
        <stp>VOLUME</stp>
        <stp>.SPY250829C572</stp>
        <tr r="P15" s="2"/>
      </tp>
      <tp t="s">
        <v>N/A</v>
        <stp/>
        <stp>VOLUME</stp>
        <stp>.QQQ251128P472</stp>
        <tr r="V76" s="2"/>
      </tp>
      <tp>
        <v>1</v>
        <stp/>
        <stp>VOLUME</stp>
        <stp>.SPY250829P571</stp>
        <tr r="P16" s="2"/>
        <tr r="P16" s="2"/>
      </tp>
      <tp t="s">
        <v>N/A</v>
        <stp/>
        <stp>VOLUME</stp>
        <stp>.QQQ251128C472</stp>
        <tr r="V76" s="2"/>
      </tp>
      <tp t="s">
        <v>N/A</v>
        <stp/>
        <stp>VOLUME</stp>
        <stp>.SPY250829C571</stp>
        <tr r="P16" s="2"/>
      </tp>
      <tp t="s">
        <v>N/A</v>
        <stp/>
        <stp>VOLUME</stp>
        <stp>.QQQ251128P473</stp>
        <tr r="V75" s="2"/>
      </tp>
      <tp>
        <v>28</v>
        <stp/>
        <stp>VOLUME</stp>
        <stp>.SPY250829P570</stp>
        <tr r="P17" s="2"/>
        <tr r="P17" s="2"/>
      </tp>
      <tp t="s">
        <v>N/A</v>
        <stp/>
        <stp>VOLUME</stp>
        <stp>.QQQ251128C473</stp>
        <tr r="V75" s="2"/>
      </tp>
      <tp>
        <v>13</v>
        <stp/>
        <stp>VOLUME</stp>
        <stp>.SPY250829C570</stp>
        <tr r="P17" s="2"/>
        <tr r="P17" s="2"/>
      </tp>
      <tp>
        <v>123</v>
        <stp/>
        <stp>VOLUME</stp>
        <stp>.SPY250815P553</stp>
        <tr r="O34" s="2"/>
        <tr r="O34" s="2"/>
      </tp>
      <tp>
        <v>1</v>
        <stp/>
        <stp>VOLUME</stp>
        <stp>.SPY250815C553</stp>
        <tr r="O34" s="2"/>
        <tr r="O34" s="2"/>
      </tp>
      <tp>
        <v>5</v>
        <stp/>
        <stp>VOLUME</stp>
        <stp>.SPY250815P552</stp>
        <tr r="O35" s="2"/>
        <tr r="O35" s="2"/>
      </tp>
      <tp t="s">
        <v>N/A</v>
        <stp/>
        <stp>VOLUME</stp>
        <stp>.SPY250815C552</stp>
        <tr r="O35" s="2"/>
      </tp>
      <tp>
        <v>2</v>
        <stp/>
        <stp>VOLUME</stp>
        <stp>.SPY250815P551</stp>
        <tr r="O36" s="2"/>
        <tr r="O36" s="2"/>
      </tp>
      <tp>
        <v>1</v>
        <stp/>
        <stp>VOLUME</stp>
        <stp>.SPY250815C551</stp>
        <tr r="O36" s="2"/>
        <tr r="O36" s="2"/>
      </tp>
      <tp>
        <v>390</v>
        <stp/>
        <stp>VOLUME</stp>
        <stp>.SPY250815P550</stp>
        <tr r="O37" s="2"/>
        <tr r="O37" s="2"/>
      </tp>
      <tp>
        <v>37</v>
        <stp/>
        <stp>VOLUME</stp>
        <stp>.SPY250815C550</stp>
        <tr r="O37" s="2"/>
        <tr r="O37" s="2"/>
      </tp>
      <tp t="s">
        <v>N/A</v>
        <stp/>
        <stp>VOLUME</stp>
        <stp>.QQQ251128P468</stp>
        <tr r="V80" s="2"/>
      </tp>
      <tp>
        <v>10</v>
        <stp/>
        <stp>VOLUME</stp>
        <stp>.SPY250815P557</stp>
        <tr r="O30" s="2"/>
        <tr r="O30" s="2"/>
      </tp>
      <tp t="s">
        <v>N/A</v>
        <stp/>
        <stp>VOLUME</stp>
        <stp>.QQQ251128C468</stp>
        <tr r="V80" s="2"/>
      </tp>
      <tp>
        <v>1</v>
        <stp/>
        <stp>VOLUME</stp>
        <stp>.SPY250815C557</stp>
        <tr r="O30" s="2"/>
        <tr r="O30" s="2"/>
      </tp>
      <tp t="s">
        <v>N/A</v>
        <stp/>
        <stp>VOLUME</stp>
        <stp>.QQQ251128P469</stp>
        <tr r="V79" s="2"/>
      </tp>
      <tp>
        <v>11</v>
        <stp/>
        <stp>VOLUME</stp>
        <stp>.SPY250815P556</stp>
        <tr r="O31" s="2"/>
        <tr r="O31" s="2"/>
      </tp>
      <tp t="s">
        <v>N/A</v>
        <stp/>
        <stp>VOLUME</stp>
        <stp>.QQQ251128C469</stp>
        <tr r="V79" s="2"/>
      </tp>
      <tp>
        <v>10</v>
        <stp/>
        <stp>VOLUME</stp>
        <stp>.SPY250815C556</stp>
        <tr r="O31" s="2"/>
        <tr r="O31" s="2"/>
      </tp>
      <tp>
        <v>180</v>
        <stp/>
        <stp>VOLUME</stp>
        <stp>.SPY250815P555</stp>
        <tr r="O32" s="2"/>
        <tr r="O32" s="2"/>
      </tp>
      <tp t="s">
        <v>N/A</v>
        <stp/>
        <stp>VOLUME</stp>
        <stp>.SPY250829P569</stp>
        <tr r="P18" s="2"/>
      </tp>
      <tp>
        <v>3</v>
        <stp/>
        <stp>VOLUME</stp>
        <stp>.SPY250815C555</stp>
        <tr r="O32" s="2"/>
        <tr r="O32" s="2"/>
      </tp>
      <tp>
        <v>4</v>
        <stp/>
        <stp>VOLUME</stp>
        <stp>.SPY250829C569</stp>
        <tr r="P18" s="2"/>
        <tr r="P18" s="2"/>
      </tp>
      <tp>
        <v>11</v>
        <stp/>
        <stp>VOLUME</stp>
        <stp>.SPY250815P554</stp>
        <tr r="O33" s="2"/>
        <tr r="O33" s="2"/>
      </tp>
      <tp>
        <v>6</v>
        <stp/>
        <stp>VOLUME</stp>
        <stp>.SPY250829P568</stp>
        <tr r="P19" s="2"/>
        <tr r="P19" s="2"/>
      </tp>
      <tp>
        <v>1</v>
        <stp/>
        <stp>VOLUME</stp>
        <stp>.SPY250815C554</stp>
        <tr r="O33" s="2"/>
        <tr r="O33" s="2"/>
      </tp>
      <tp>
        <v>11</v>
        <stp/>
        <stp>VOLUME</stp>
        <stp>.SPY250829C568</stp>
        <tr r="P19" s="2"/>
        <tr r="P19" s="2"/>
      </tp>
      <tp>
        <v>40</v>
        <stp/>
        <stp>VOLUME</stp>
        <stp>.SPY250829P567</stp>
        <tr r="P20" s="2"/>
        <tr r="P20" s="2"/>
      </tp>
      <tp>
        <v>11</v>
        <stp/>
        <stp>VOLUME</stp>
        <stp>.SPY250829C567</stp>
        <tr r="P20" s="2"/>
        <tr r="P20" s="2"/>
      </tp>
      <tp t="s">
        <v>N/A</v>
        <stp/>
        <stp>VOLUME</stp>
        <stp>.SPY250829P566</stp>
        <tr r="P21" s="2"/>
      </tp>
      <tp>
        <v>23</v>
        <stp/>
        <stp>VOLUME</stp>
        <stp>.SPY250829C566</stp>
        <tr r="P21" s="2"/>
        <tr r="P21" s="2"/>
      </tp>
      <tp>
        <v>2</v>
        <stp/>
        <stp>VOLUME</stp>
        <stp>.SPY250815P559</stp>
        <tr r="O28" s="2"/>
        <tr r="O28" s="2"/>
      </tp>
      <tp>
        <v>69</v>
        <stp/>
        <stp>VOLUME</stp>
        <stp>.SPY250829P565</stp>
        <tr r="P22" s="2"/>
        <tr r="P22" s="2"/>
      </tp>
      <tp t="s">
        <v>N/A</v>
        <stp/>
        <stp>VOLUME</stp>
        <stp>.SPY250815C559</stp>
        <tr r="O28" s="2"/>
      </tp>
      <tp>
        <v>17</v>
        <stp/>
        <stp>VOLUME</stp>
        <stp>.SPY250829C565</stp>
        <tr r="P22" s="2"/>
        <tr r="P22" s="2"/>
      </tp>
      <tp>
        <v>4</v>
        <stp/>
        <stp>VOLUME</stp>
        <stp>.SPY250815P558</stp>
        <tr r="O29" s="2"/>
        <tr r="O29" s="2"/>
      </tp>
      <tp>
        <v>16</v>
        <stp/>
        <stp>VOLUME</stp>
        <stp>.SPY250829P564</stp>
        <tr r="P23" s="2"/>
        <tr r="P23" s="2"/>
      </tp>
      <tp>
        <v>10</v>
        <stp/>
        <stp>VOLUME</stp>
        <stp>.SPY250815C558</stp>
        <tr r="O29" s="2"/>
        <tr r="O29" s="2"/>
      </tp>
      <tp>
        <v>3</v>
        <stp/>
        <stp>VOLUME</stp>
        <stp>.SPY250829C564</stp>
        <tr r="P23" s="2"/>
        <tr r="P23" s="2"/>
      </tp>
      <tp t="s">
        <v>N/A</v>
        <stp/>
        <stp>VOLUME</stp>
        <stp>.QQQ251121P469</stp>
        <tr r="U79" s="2"/>
      </tp>
      <tp>
        <v>2</v>
        <stp/>
        <stp>VOLUME</stp>
        <stp>.SPY250829P563</stp>
        <tr r="P24" s="2"/>
        <tr r="P24" s="2"/>
      </tp>
      <tp t="s">
        <v>N/A</v>
        <stp/>
        <stp>VOLUME</stp>
        <stp>.QQQ251121C469</stp>
        <tr r="U79" s="2"/>
      </tp>
      <tp>
        <v>11</v>
        <stp/>
        <stp>VOLUME</stp>
        <stp>.SPY250829C563</stp>
        <tr r="P24" s="2"/>
        <tr r="P24" s="2"/>
      </tp>
      <tp t="s">
        <v>N/A</v>
        <stp/>
        <stp>VOLUME</stp>
        <stp>.QQQ251121P468</stp>
        <tr r="U80" s="2"/>
      </tp>
      <tp t="s">
        <v>N/A</v>
        <stp/>
        <stp>VOLUME</stp>
        <stp>.SPY250829P562</stp>
        <tr r="P25" s="2"/>
      </tp>
      <tp t="s">
        <v>N/A</v>
        <stp/>
        <stp>VOLUME</stp>
        <stp>.QQQ251121C468</stp>
        <tr r="U80" s="2"/>
      </tp>
      <tp t="s">
        <v>N/A</v>
        <stp/>
        <stp>VOLUME</stp>
        <stp>.SPY250829C562</stp>
        <tr r="P25" s="2"/>
      </tp>
      <tp t="s">
        <v>N/A</v>
        <stp/>
        <stp>VOLUME</stp>
        <stp>.SPY250829P561</stp>
        <tr r="P26" s="2"/>
      </tp>
      <tp t="s">
        <v>N/A</v>
        <stp/>
        <stp>VOLUME</stp>
        <stp>.SPY250829C561</stp>
        <tr r="P26" s="2"/>
      </tp>
      <tp>
        <v>10</v>
        <stp/>
        <stp>VOLUME</stp>
        <stp>.SPY250829P560</stp>
        <tr r="P27" s="2"/>
        <tr r="P27" s="2"/>
      </tp>
      <tp>
        <v>1</v>
        <stp/>
        <stp>VOLUME</stp>
        <stp>.SPY250829C560</stp>
        <tr r="P27" s="2"/>
        <tr r="P27" s="2"/>
      </tp>
      <tp>
        <v>143</v>
        <stp/>
        <stp>VOLUME</stp>
        <stp>.SPY250815P563</stp>
        <tr r="O24" s="2"/>
        <tr r="O24" s="2"/>
      </tp>
      <tp>
        <v>13</v>
        <stp/>
        <stp>VOLUME</stp>
        <stp>.SPY250815C563</stp>
        <tr r="O24" s="2"/>
        <tr r="O24" s="2"/>
      </tp>
      <tp>
        <v>111</v>
        <stp/>
        <stp>VOLUME</stp>
        <stp>.SPY250815P562</stp>
        <tr r="O25" s="2"/>
        <tr r="O25" s="2"/>
      </tp>
      <tp>
        <v>1</v>
        <stp/>
        <stp>VOLUME</stp>
        <stp>.SPY250815C562</stp>
        <tr r="O25" s="2"/>
        <tr r="O25" s="2"/>
      </tp>
      <tp>
        <v>146</v>
        <stp/>
        <stp>VOLUME</stp>
        <stp>.SPY250815P561</stp>
        <tr r="O26" s="2"/>
        <tr r="O26" s="2"/>
      </tp>
      <tp t="s">
        <v>N/A</v>
        <stp/>
        <stp>VOLUME</stp>
        <stp>.SPY250815C561</stp>
        <tr r="O26" s="2"/>
      </tp>
      <tp>
        <v>593</v>
        <stp/>
        <stp>VOLUME</stp>
        <stp>.SPY250815P560</stp>
        <tr r="O27" s="2"/>
        <tr r="O27" s="2"/>
      </tp>
      <tp>
        <v>54</v>
        <stp/>
        <stp>VOLUME</stp>
        <stp>.SPY250815C560</stp>
        <tr r="O27" s="2"/>
        <tr r="O27" s="2"/>
      </tp>
      <tp>
        <v>26</v>
        <stp/>
        <stp>VOLUME</stp>
        <stp>.SPY250815P567</stp>
        <tr r="O20" s="2"/>
        <tr r="O20" s="2"/>
      </tp>
      <tp>
        <v>40</v>
        <stp/>
        <stp>VOLUME</stp>
        <stp>.SPY250815C567</stp>
        <tr r="O20" s="2"/>
        <tr r="O20" s="2"/>
      </tp>
      <tp>
        <v>47</v>
        <stp/>
        <stp>VOLUME</stp>
        <stp>.SPY250815P566</stp>
        <tr r="O21" s="2"/>
        <tr r="O21" s="2"/>
      </tp>
      <tp>
        <v>23</v>
        <stp/>
        <stp>VOLUME</stp>
        <stp>.SPY250815C566</stp>
        <tr r="O21" s="2"/>
        <tr r="O21" s="2"/>
      </tp>
      <tp>
        <v>239</v>
        <stp/>
        <stp>VOLUME</stp>
        <stp>.SPY250815P565</stp>
        <tr r="O22" s="2"/>
        <tr r="O22" s="2"/>
      </tp>
      <tp t="s">
        <v>N/A</v>
        <stp/>
        <stp>VOLUME</stp>
        <stp>.SPY250829P559</stp>
        <tr r="P28" s="2"/>
      </tp>
      <tp>
        <v>95</v>
        <stp/>
        <stp>VOLUME</stp>
        <stp>.SPY250815C565</stp>
        <tr r="O22" s="2"/>
        <tr r="O22" s="2"/>
      </tp>
      <tp t="s">
        <v>N/A</v>
        <stp/>
        <stp>VOLUME</stp>
        <stp>.SPY250829C559</stp>
        <tr r="P28" s="2"/>
      </tp>
      <tp>
        <v>177</v>
        <stp/>
        <stp>VOLUME</stp>
        <stp>.SPY250815P564</stp>
        <tr r="O23" s="2"/>
        <tr r="O23" s="2"/>
      </tp>
      <tp>
        <v>7</v>
        <stp/>
        <stp>VOLUME</stp>
        <stp>.SPY250829P558</stp>
        <tr r="P29" s="2"/>
        <tr r="P29" s="2"/>
      </tp>
      <tp>
        <v>40</v>
        <stp/>
        <stp>VOLUME</stp>
        <stp>.SPY250815C564</stp>
        <tr r="O23" s="2"/>
        <tr r="O23" s="2"/>
      </tp>
      <tp t="s">
        <v>N/A</v>
        <stp/>
        <stp>VOLUME</stp>
        <stp>.SPY250829C558</stp>
        <tr r="P29" s="2"/>
      </tp>
      <tp t="s">
        <v>N/A</v>
        <stp/>
        <stp>VOLUME</stp>
        <stp>.SPY250829P557</stp>
        <tr r="P30" s="2"/>
      </tp>
      <tp t="s">
        <v>N/A</v>
        <stp/>
        <stp>VOLUME</stp>
        <stp>.SPY250829C557</stp>
        <tr r="P30" s="2"/>
      </tp>
      <tp>
        <v>1</v>
        <stp/>
        <stp>VOLUME</stp>
        <stp>.SPY250829P556</stp>
        <tr r="P31" s="2"/>
        <tr r="P31" s="2"/>
      </tp>
      <tp t="s">
        <v>N/A</v>
        <stp/>
        <stp>VOLUME</stp>
        <stp>.SPY250829C556</stp>
        <tr r="P31" s="2"/>
      </tp>
      <tp>
        <v>28</v>
        <stp/>
        <stp>VOLUME</stp>
        <stp>.SPY250815P569</stp>
        <tr r="O18" s="2"/>
        <tr r="O18" s="2"/>
      </tp>
      <tp>
        <v>24</v>
        <stp/>
        <stp>VOLUME</stp>
        <stp>.SPY250829P555</stp>
        <tr r="P32" s="2"/>
        <tr r="P32" s="2"/>
      </tp>
      <tp>
        <v>18</v>
        <stp/>
        <stp>VOLUME</stp>
        <stp>.SPY250815C569</stp>
        <tr r="O18" s="2"/>
        <tr r="O18" s="2"/>
      </tp>
      <tp>
        <v>1</v>
        <stp/>
        <stp>VOLUME</stp>
        <stp>.SPY250829C555</stp>
        <tr r="P32" s="2"/>
        <tr r="P32" s="2"/>
      </tp>
      <tp>
        <v>98</v>
        <stp/>
        <stp>VOLUME</stp>
        <stp>.SPY250815P568</stp>
        <tr r="O19" s="2"/>
        <tr r="O19" s="2"/>
      </tp>
      <tp>
        <v>3</v>
        <stp/>
        <stp>VOLUME</stp>
        <stp>.SPY250829P554</stp>
        <tr r="P33" s="2"/>
        <tr r="P33" s="2"/>
      </tp>
      <tp>
        <v>202</v>
        <stp/>
        <stp>VOLUME</stp>
        <stp>.SPY250815C568</stp>
        <tr r="O19" s="2"/>
        <tr r="O19" s="2"/>
      </tp>
      <tp t="s">
        <v>N/A</v>
        <stp/>
        <stp>VOLUME</stp>
        <stp>.SPY250829C554</stp>
        <tr r="P33" s="2"/>
      </tp>
      <tp>
        <v>3</v>
        <stp/>
        <stp>VOLUME</stp>
        <stp>.SPY250829P553</stp>
        <tr r="P34" s="2"/>
        <tr r="P34" s="2"/>
      </tp>
      <tp t="s">
        <v>N/A</v>
        <stp/>
        <stp>VOLUME</stp>
        <stp>.SPY250829C553</stp>
        <tr r="P34" s="2"/>
      </tp>
      <tp t="s">
        <v>N/A</v>
        <stp/>
        <stp>VOLUME</stp>
        <stp>.SPY250829P552</stp>
        <tr r="P35" s="2"/>
      </tp>
      <tp t="s">
        <v>N/A</v>
        <stp/>
        <stp>VOLUME</stp>
        <stp>.SPY250829C552</stp>
        <tr r="P35" s="2"/>
      </tp>
      <tp>
        <v>2</v>
        <stp/>
        <stp>VOLUME</stp>
        <stp>.SPY250829P551</stp>
        <tr r="P36" s="2"/>
        <tr r="P36" s="2"/>
      </tp>
      <tp t="s">
        <v>N/A</v>
        <stp/>
        <stp>VOLUME</stp>
        <stp>.SPY250829C551</stp>
        <tr r="P36" s="2"/>
      </tp>
      <tp>
        <v>36</v>
        <stp/>
        <stp>VOLUME</stp>
        <stp>.SPY250829P550</stp>
        <tr r="P37" s="2"/>
        <tr r="P37" s="2"/>
      </tp>
      <tp>
        <v>15</v>
        <stp/>
        <stp>VOLUME</stp>
        <stp>.SPY250829C550</stp>
        <tr r="P37" s="2"/>
        <tr r="P37" s="2"/>
      </tp>
      <tp>
        <v>1</v>
        <stp/>
        <stp>VOLUME</stp>
        <stp>.SPY250815P573</stp>
        <tr r="O14" s="2"/>
        <tr r="O14" s="2"/>
      </tp>
      <tp>
        <v>10</v>
        <stp/>
        <stp>VOLUME</stp>
        <stp>.SPY250815C573</stp>
        <tr r="O14" s="2"/>
        <tr r="O14" s="2"/>
      </tp>
      <tp>
        <v>64</v>
        <stp/>
        <stp>VOLUME</stp>
        <stp>.SPY250815P572</stp>
        <tr r="O15" s="2"/>
        <tr r="O15" s="2"/>
      </tp>
      <tp>
        <v>58</v>
        <stp/>
        <stp>VOLUME</stp>
        <stp>.SPY250815C572</stp>
        <tr r="O15" s="2"/>
        <tr r="O15" s="2"/>
      </tp>
      <tp>
        <v>3</v>
        <stp/>
        <stp>VOLUME</stp>
        <stp>.SPY250815P571</stp>
        <tr r="O16" s="2"/>
        <tr r="O16" s="2"/>
      </tp>
      <tp>
        <v>124</v>
        <stp/>
        <stp>VOLUME</stp>
        <stp>.SPY250815C571</stp>
        <tr r="O16" s="2"/>
        <tr r="O16" s="2"/>
      </tp>
      <tp>
        <v>104</v>
        <stp/>
        <stp>VOLUME</stp>
        <stp>.SPY250815P570</stp>
        <tr r="O17" s="2"/>
        <tr r="O17" s="2"/>
      </tp>
      <tp>
        <v>64</v>
        <stp/>
        <stp>VOLUME</stp>
        <stp>.SPY250815C570</stp>
        <tr r="O17" s="2"/>
        <tr r="O17" s="2"/>
      </tp>
      <tp>
        <v>34</v>
        <stp/>
        <stp>VOLUME</stp>
        <stp>.SPY250815P577</stp>
        <tr r="O10" s="2"/>
        <tr r="O10" s="2"/>
      </tp>
      <tp>
        <v>63</v>
        <stp/>
        <stp>VOLUME</stp>
        <stp>.SPY250815C577</stp>
        <tr r="O10" s="2"/>
        <tr r="O10" s="2"/>
      </tp>
      <tp>
        <v>2</v>
        <stp/>
        <stp>VOLUME</stp>
        <stp>.SPY250815P576</stp>
        <tr r="O11" s="2"/>
        <tr r="O11" s="2"/>
      </tp>
      <tp>
        <v>97</v>
        <stp/>
        <stp>VOLUME</stp>
        <stp>.SPY250815C576</stp>
        <tr r="O11" s="2"/>
        <tr r="O11" s="2"/>
      </tp>
      <tp>
        <v>5</v>
        <stp/>
        <stp>VOLUME</stp>
        <stp>.SPY250815P575</stp>
        <tr r="O12" s="2"/>
        <tr r="O12" s="2"/>
      </tp>
      <tp t="s">
        <v>N/A</v>
        <stp/>
        <stp>VOLUME</stp>
        <stp>.SPY250829P549</stp>
        <tr r="P38" s="2"/>
      </tp>
      <tp>
        <v>160</v>
        <stp/>
        <stp>VOLUME</stp>
        <stp>.SPY250815C575</stp>
        <tr r="O12" s="2"/>
        <tr r="O12" s="2"/>
      </tp>
      <tp t="s">
        <v>N/A</v>
        <stp/>
        <stp>VOLUME</stp>
        <stp>.SPY250829C549</stp>
        <tr r="P38" s="2"/>
      </tp>
      <tp>
        <v>20</v>
        <stp/>
        <stp>VOLUME</stp>
        <stp>.SPY250815P574</stp>
        <tr r="O13" s="2"/>
        <tr r="O13" s="2"/>
      </tp>
      <tp t="s">
        <v>N/A</v>
        <stp/>
        <stp>VOLUME</stp>
        <stp>.SPY250829P548</stp>
        <tr r="P39" s="2"/>
      </tp>
      <tp>
        <v>29</v>
        <stp/>
        <stp>VOLUME</stp>
        <stp>.SPY250815C574</stp>
        <tr r="O13" s="2"/>
        <tr r="O13" s="2"/>
      </tp>
      <tp t="s">
        <v>N/A</v>
        <stp/>
        <stp>VOLUME</stp>
        <stp>.SPY250829C548</stp>
        <tr r="P39" s="2"/>
      </tp>
      <tp>
        <v>35</v>
        <stp/>
        <stp>VOLUME</stp>
        <stp>.SPY250815P579</stp>
        <tr r="O8" s="2"/>
        <tr r="O8" s="2"/>
      </tp>
      <tp>
        <v>53</v>
        <stp/>
        <stp>VOLUME</stp>
        <stp>.SPY250815C579</stp>
        <tr r="O8" s="2"/>
        <tr r="O8" s="2"/>
      </tp>
      <tp>
        <v>34</v>
        <stp/>
        <stp>VOLUME</stp>
        <stp>.SPY250815P578</stp>
        <tr r="O9" s="2"/>
        <tr r="O9" s="2"/>
      </tp>
      <tp>
        <v>101</v>
        <stp/>
        <stp>VOLUME</stp>
        <stp>.SPY250815C578</stp>
        <tr r="O9" s="2"/>
        <tr r="O9" s="2"/>
      </tp>
      <tp t="s">
        <v>N/A</v>
        <stp/>
        <stp>VOLUME</stp>
        <stp>.SPX250516C5800</stp>
        <tr r="BC92" s="1"/>
      </tp>
      <tp t="s">
        <v>N/A</v>
        <stp/>
        <stp>VOLUME</stp>
        <stp>.SPX250815C5830</stp>
        <tr r="O90" s="2"/>
      </tp>
      <tp t="s">
        <v>N/A</v>
        <stp/>
        <stp>VOLUME</stp>
        <stp>.SPX251017C5810</stp>
        <tr r="S92" s="2"/>
      </tp>
      <tp t="s">
        <v>N/A</v>
        <stp/>
        <stp>VOLUME</stp>
        <stp>.SPX251017P5810</stp>
        <tr r="S92" s="2"/>
      </tp>
      <tp t="s">
        <v>N/A</v>
        <stp/>
        <stp>VOLUME</stp>
        <stp>.SPX250516P5800</stp>
        <tr r="BD92" s="1"/>
      </tp>
      <tp t="s">
        <v>N/A</v>
        <stp/>
        <stp>VOLUME</stp>
        <stp>.SPX250815P5830</stp>
        <tr r="O90" s="2"/>
      </tp>
      <tp t="s">
        <v>N/A</v>
        <stp/>
        <stp>VOLUME</stp>
        <stp>.SPX250516C5810</stp>
        <tr r="BC91" s="1"/>
      </tp>
      <tp t="s">
        <v>N/A</v>
        <stp/>
        <stp>VOLUME</stp>
        <stp>.SPX250815C5820</stp>
        <tr r="O91" s="2"/>
      </tp>
      <tp t="s">
        <v>N/A</v>
        <stp/>
        <stp>VOLUME</stp>
        <stp>.SPX251017C5800</stp>
        <tr r="S93" s="2"/>
      </tp>
      <tp t="s">
        <v>N/A</v>
        <stp/>
        <stp>VOLUME</stp>
        <stp>.SPX251017P5800</stp>
        <tr r="S93" s="2"/>
      </tp>
      <tp t="s">
        <v>N/A</v>
        <stp/>
        <stp>VOLUME</stp>
        <stp>.SPX250516P5810</stp>
        <tr r="BD91" s="1"/>
      </tp>
      <tp t="s">
        <v>N/A</v>
        <stp/>
        <stp>VOLUME</stp>
        <stp>.SPX250815P5820</stp>
        <tr r="O91" s="2"/>
      </tp>
      <tp t="s">
        <v>N/A</v>
        <stp/>
        <stp>VOLUME</stp>
        <stp>.SPX250516C5820</stp>
        <tr r="BC90" s="1"/>
      </tp>
      <tp t="s">
        <v>N/A</v>
        <stp/>
        <stp>VOLUME</stp>
        <stp>.SPX250815C5810</stp>
        <tr r="O92" s="2"/>
      </tp>
      <tp t="s">
        <v>N/A</v>
        <stp/>
        <stp>VOLUME</stp>
        <stp>.SPX251017C5830</stp>
        <tr r="S90" s="2"/>
      </tp>
      <tp t="s">
        <v>N/A</v>
        <stp/>
        <stp>VOLUME</stp>
        <stp>.SPX251017P5830</stp>
        <tr r="S90" s="2"/>
      </tp>
      <tp t="s">
        <v>N/A</v>
        <stp/>
        <stp>VOLUME</stp>
        <stp>.SPX250516P5820</stp>
        <tr r="BD90" s="1"/>
      </tp>
      <tp t="s">
        <v>N/A</v>
        <stp/>
        <stp>VOLUME</stp>
        <stp>.SPX250815P5810</stp>
        <tr r="O92" s="2"/>
      </tp>
      <tp t="s">
        <v>N/A</v>
        <stp/>
        <stp>VOLUME</stp>
        <stp>.SPX250516C5830</stp>
        <tr r="BC89" s="1"/>
      </tp>
      <tp>
        <v>1</v>
        <stp/>
        <stp>VOLUME</stp>
        <stp>.SPX250815C5800</stp>
        <tr r="O93" s="2"/>
        <tr r="O93" s="2"/>
      </tp>
      <tp t="s">
        <v>N/A</v>
        <stp/>
        <stp>VOLUME</stp>
        <stp>.SPX251017C5820</stp>
        <tr r="S91" s="2"/>
      </tp>
      <tp t="s">
        <v>N/A</v>
        <stp/>
        <stp>VOLUME</stp>
        <stp>.SPX251017P5820</stp>
        <tr r="S91" s="2"/>
      </tp>
      <tp t="s">
        <v>N/A</v>
        <stp/>
        <stp>VOLUME</stp>
        <stp>.SPX250516P5830</stp>
        <tr r="BD89" s="1"/>
      </tp>
      <tp t="s">
        <v>N/A</v>
        <stp/>
        <stp>VOLUME</stp>
        <stp>.SPX250815P5800</stp>
        <tr r="O93" s="2"/>
      </tp>
      <tp t="s">
        <v>N/A</v>
        <stp/>
        <stp>VOLUME</stp>
        <stp>.SPX250516C5840</stp>
        <tr r="BC88" s="1"/>
      </tp>
      <tp t="s">
        <v>N/A</v>
        <stp/>
        <stp>VOLUME</stp>
        <stp>.SPX250815C5870</stp>
        <tr r="O86" s="2"/>
      </tp>
      <tp t="s">
        <v>N/A</v>
        <stp/>
        <stp>VOLUME</stp>
        <stp>.SPX251017C5850</stp>
        <tr r="S88" s="2"/>
      </tp>
      <tp t="s">
        <v>N/A</v>
        <stp/>
        <stp>VOLUME</stp>
        <stp>.SPX251017P5850</stp>
        <tr r="S88" s="2"/>
      </tp>
      <tp t="s">
        <v>N/A</v>
        <stp/>
        <stp>VOLUME</stp>
        <stp>.SPX250516P5840</stp>
        <tr r="BD88" s="1"/>
      </tp>
      <tp t="s">
        <v>N/A</v>
        <stp/>
        <stp>VOLUME</stp>
        <stp>.SPX250815P5870</stp>
        <tr r="O86" s="2"/>
      </tp>
      <tp t="s">
        <v>N/A</v>
        <stp/>
        <stp>VOLUME</stp>
        <stp>.SPX250516C5850</stp>
        <tr r="BC87" s="1"/>
      </tp>
      <tp t="s">
        <v>N/A</v>
        <stp/>
        <stp>VOLUME</stp>
        <stp>.SPX250815C5860</stp>
        <tr r="O87" s="2"/>
      </tp>
      <tp t="s">
        <v>N/A</v>
        <stp/>
        <stp>VOLUME</stp>
        <stp>.SPX251017C5840</stp>
        <tr r="S89" s="2"/>
      </tp>
      <tp t="s">
        <v>N/A</v>
        <stp/>
        <stp>VOLUME</stp>
        <stp>.SPX251017P5840</stp>
        <tr r="S89" s="2"/>
      </tp>
      <tp t="s">
        <v>N/A</v>
        <stp/>
        <stp>VOLUME</stp>
        <stp>.SPX250516P5850</stp>
        <tr r="BD87" s="1"/>
      </tp>
      <tp t="s">
        <v>N/A</v>
        <stp/>
        <stp>VOLUME</stp>
        <stp>.SPX250815P5860</stp>
        <tr r="O87" s="2"/>
      </tp>
      <tp t="s">
        <v>N/A</v>
        <stp/>
        <stp>VOLUME</stp>
        <stp>.SPX250516C5860</stp>
        <tr r="BC86" s="1"/>
      </tp>
      <tp t="s">
        <v>N/A</v>
        <stp/>
        <stp>VOLUME</stp>
        <stp>.SPX250815C5850</stp>
        <tr r="O88" s="2"/>
      </tp>
      <tp t="s">
        <v>N/A</v>
        <stp/>
        <stp>VOLUME</stp>
        <stp>.SPX251017C5870</stp>
        <tr r="S86" s="2"/>
      </tp>
      <tp t="s">
        <v>N/A</v>
        <stp/>
        <stp>VOLUME</stp>
        <stp>.SPX251017P5870</stp>
        <tr r="S86" s="2"/>
      </tp>
      <tp t="s">
        <v>N/A</v>
        <stp/>
        <stp>VOLUME</stp>
        <stp>.SPX250516P5860</stp>
        <tr r="BD86" s="1"/>
      </tp>
      <tp t="s">
        <v>N/A</v>
        <stp/>
        <stp>VOLUME</stp>
        <stp>.SPX250815P5850</stp>
        <tr r="O88" s="2"/>
      </tp>
      <tp t="s">
        <v>N/A</v>
        <stp/>
        <stp>VOLUME</stp>
        <stp>.SPX250516C5870</stp>
        <tr r="BC85" s="1"/>
      </tp>
      <tp t="s">
        <v>N/A</v>
        <stp/>
        <stp>VOLUME</stp>
        <stp>.SPX250815C5840</stp>
        <tr r="O89" s="2"/>
      </tp>
      <tp t="s">
        <v>N/A</v>
        <stp/>
        <stp>VOLUME</stp>
        <stp>.SPX251017C5860</stp>
        <tr r="S87" s="2"/>
      </tp>
      <tp t="s">
        <v>N/A</v>
        <stp/>
        <stp>VOLUME</stp>
        <stp>.SPX251017P5860</stp>
        <tr r="S87" s="2"/>
      </tp>
      <tp t="s">
        <v>N/A</v>
        <stp/>
        <stp>VOLUME</stp>
        <stp>.SPX250516P5870</stp>
        <tr r="BD85" s="1"/>
      </tp>
      <tp t="s">
        <v>N/A</v>
        <stp/>
        <stp>VOLUME</stp>
        <stp>.SPX250815P5840</stp>
        <tr r="O89" s="2"/>
      </tp>
      <tp t="s">
        <v>N/A</v>
        <stp/>
        <stp>VOLUME</stp>
        <stp>.SPX250718C5860</stp>
        <tr r="M87" s="2"/>
      </tp>
      <tp t="s">
        <v>N/A</v>
        <stp/>
        <stp>VOLUME</stp>
        <stp>.SPX250919C5870</stp>
        <tr r="Q86" s="2"/>
      </tp>
      <tp t="s">
        <v>N/A</v>
        <stp/>
        <stp>VOLUME</stp>
        <stp>.SPX251219C5870</stp>
        <tr r="W86" s="2"/>
      </tp>
      <tp t="s">
        <v>N/A</v>
        <stp/>
        <stp>VOLUME</stp>
        <stp>.SPX251219P5870</stp>
        <tr r="W86" s="2"/>
      </tp>
      <tp t="s">
        <v>N/A</v>
        <stp/>
        <stp>VOLUME</stp>
        <stp>.SPX250718P5860</stp>
        <tr r="M87" s="2"/>
      </tp>
      <tp t="s">
        <v>N/A</v>
        <stp/>
        <stp>VOLUME</stp>
        <stp>.SPX250919P5870</stp>
        <tr r="Q86" s="2"/>
      </tp>
      <tp t="s">
        <v>N/A</v>
        <stp/>
        <stp>VOLUME</stp>
        <stp>.SPX250718C5870</stp>
        <tr r="M86" s="2"/>
      </tp>
      <tp t="s">
        <v>N/A</v>
        <stp/>
        <stp>VOLUME</stp>
        <stp>.SPX250919C5860</stp>
        <tr r="Q87" s="2"/>
      </tp>
      <tp t="s">
        <v>N/A</v>
        <stp/>
        <stp>VOLUME</stp>
        <stp>.SPX251219C5860</stp>
        <tr r="W87" s="2"/>
      </tp>
      <tp t="s">
        <v>N/A</v>
        <stp/>
        <stp>VOLUME</stp>
        <stp>.SPX251219P5860</stp>
        <tr r="W87" s="2"/>
      </tp>
      <tp t="s">
        <v>N/A</v>
        <stp/>
        <stp>VOLUME</stp>
        <stp>.SPX250718P5870</stp>
        <tr r="M86" s="2"/>
      </tp>
      <tp t="s">
        <v>N/A</v>
        <stp/>
        <stp>VOLUME</stp>
        <stp>.SPX250919P5860</stp>
        <tr r="Q87" s="2"/>
      </tp>
      <tp t="s">
        <v>N/A</v>
        <stp/>
        <stp>VOLUME</stp>
        <stp>.SPX250718C5840</stp>
        <tr r="M89" s="2"/>
      </tp>
      <tp>
        <v>5</v>
        <stp/>
        <stp>VOLUME</stp>
        <stp>.SPX250919C5850</stp>
        <tr r="Q88" s="2"/>
        <tr r="Q88" s="2"/>
      </tp>
      <tp t="s">
        <v>N/A</v>
        <stp/>
        <stp>VOLUME</stp>
        <stp>.SPX251219C5850</stp>
        <tr r="W88" s="2"/>
      </tp>
      <tp t="s">
        <v>N/A</v>
        <stp/>
        <stp>VOLUME</stp>
        <stp>.SPX251219P5850</stp>
        <tr r="W88" s="2"/>
      </tp>
      <tp t="s">
        <v>N/A</v>
        <stp/>
        <stp>VOLUME</stp>
        <stp>.SPX250718P5840</stp>
        <tr r="M89" s="2"/>
      </tp>
      <tp t="s">
        <v>N/A</v>
        <stp/>
        <stp>VOLUME</stp>
        <stp>.SPX250919P5850</stp>
        <tr r="Q88" s="2"/>
      </tp>
      <tp t="s">
        <v>N/A</v>
        <stp/>
        <stp>VOLUME</stp>
        <stp>.SPX250718C5850</stp>
        <tr r="M88" s="2"/>
      </tp>
      <tp t="s">
        <v>N/A</v>
        <stp/>
        <stp>VOLUME</stp>
        <stp>.SPX250919C5840</stp>
        <tr r="Q89" s="2"/>
      </tp>
      <tp t="s">
        <v>N/A</v>
        <stp/>
        <stp>VOLUME</stp>
        <stp>.SPX251219C5840</stp>
        <tr r="W89" s="2"/>
      </tp>
      <tp t="s">
        <v>N/A</v>
        <stp/>
        <stp>VOLUME</stp>
        <stp>.SPX251219P5840</stp>
        <tr r="W89" s="2"/>
      </tp>
      <tp t="s">
        <v>N/A</v>
        <stp/>
        <stp>VOLUME</stp>
        <stp>.SPX250718P5850</stp>
        <tr r="M88" s="2"/>
      </tp>
      <tp t="s">
        <v>N/A</v>
        <stp/>
        <stp>VOLUME</stp>
        <stp>.SPX250919P5840</stp>
        <tr r="Q89" s="2"/>
      </tp>
      <tp t="s">
        <v>N/A</v>
        <stp/>
        <stp>VOLUME</stp>
        <stp>.SPX250718C5820</stp>
        <tr r="M91" s="2"/>
      </tp>
      <tp t="s">
        <v>N/A</v>
        <stp/>
        <stp>VOLUME</stp>
        <stp>.SPX250919C5830</stp>
        <tr r="Q90" s="2"/>
      </tp>
      <tp t="s">
        <v>N/A</v>
        <stp/>
        <stp>VOLUME</stp>
        <stp>.SPX251219C5830</stp>
        <tr r="W90" s="2"/>
      </tp>
      <tp t="s">
        <v>N/A</v>
        <stp/>
        <stp>VOLUME</stp>
        <stp>.SPX251219P5830</stp>
        <tr r="W90" s="2"/>
      </tp>
      <tp t="s">
        <v>N/A</v>
        <stp/>
        <stp>VOLUME</stp>
        <stp>.SPX250718P5820</stp>
        <tr r="M91" s="2"/>
      </tp>
      <tp t="s">
        <v>N/A</v>
        <stp/>
        <stp>VOLUME</stp>
        <stp>.SPX250919P5830</stp>
        <tr r="Q90" s="2"/>
      </tp>
      <tp t="s">
        <v>N/A</v>
        <stp/>
        <stp>VOLUME</stp>
        <stp>.SPX250718C5830</stp>
        <tr r="M90" s="2"/>
      </tp>
      <tp t="s">
        <v>N/A</v>
        <stp/>
        <stp>VOLUME</stp>
        <stp>.SPX250919C5820</stp>
        <tr r="Q91" s="2"/>
      </tp>
      <tp t="s">
        <v>N/A</v>
        <stp/>
        <stp>VOLUME</stp>
        <stp>.SPX251219C5820</stp>
        <tr r="W91" s="2"/>
      </tp>
      <tp t="s">
        <v>N/A</v>
        <stp/>
        <stp>VOLUME</stp>
        <stp>.SPX251219P5820</stp>
        <tr r="W91" s="2"/>
      </tp>
      <tp t="s">
        <v>N/A</v>
        <stp/>
        <stp>VOLUME</stp>
        <stp>.SPX250718P5830</stp>
        <tr r="M90" s="2"/>
      </tp>
      <tp t="s">
        <v>N/A</v>
        <stp/>
        <stp>VOLUME</stp>
        <stp>.SPX250919P5820</stp>
        <tr r="Q91" s="2"/>
      </tp>
      <tp t="s">
        <v>N/A</v>
        <stp/>
        <stp>VOLUME</stp>
        <stp>.SPX250718C5800</stp>
        <tr r="M93" s="2"/>
      </tp>
      <tp t="s">
        <v>N/A</v>
        <stp/>
        <stp>VOLUME</stp>
        <stp>.SPX250919C5810</stp>
        <tr r="Q92" s="2"/>
      </tp>
      <tp t="s">
        <v>N/A</v>
        <stp/>
        <stp>VOLUME</stp>
        <stp>.SPX251219C5810</stp>
        <tr r="W92" s="2"/>
      </tp>
      <tp t="s">
        <v>N/A</v>
        <stp/>
        <stp>VOLUME</stp>
        <stp>.SPX251219P5810</stp>
        <tr r="W92" s="2"/>
      </tp>
      <tp t="s">
        <v>N/A</v>
        <stp/>
        <stp>VOLUME</stp>
        <stp>.SPX250718P5800</stp>
        <tr r="M93" s="2"/>
      </tp>
      <tp t="s">
        <v>N/A</v>
        <stp/>
        <stp>VOLUME</stp>
        <stp>.SPX250919P5810</stp>
        <tr r="Q92" s="2"/>
      </tp>
      <tp t="s">
        <v>N/A</v>
        <stp/>
        <stp>VOLUME</stp>
        <stp>.SPX250718C5810</stp>
        <tr r="M92" s="2"/>
      </tp>
      <tp t="s">
        <v>N/A</v>
        <stp/>
        <stp>VOLUME</stp>
        <stp>.SPX250919C5800</stp>
        <tr r="Q93" s="2"/>
      </tp>
      <tp t="s">
        <v>N/A</v>
        <stp/>
        <stp>VOLUME</stp>
        <stp>.SPX251219C5800</stp>
        <tr r="W93" s="2"/>
      </tp>
      <tp t="s">
        <v>N/A</v>
        <stp/>
        <stp>VOLUME</stp>
        <stp>.SPX251219P5800</stp>
        <tr r="W93" s="2"/>
      </tp>
      <tp t="s">
        <v>N/A</v>
        <stp/>
        <stp>VOLUME</stp>
        <stp>.SPX250718P5810</stp>
        <tr r="M92" s="2"/>
      </tp>
      <tp t="s">
        <v>N/A</v>
        <stp/>
        <stp>VOLUME</stp>
        <stp>.SPX250919P5800</stp>
        <tr r="Q93" s="2"/>
      </tp>
      <tp t="s">
        <v>27.83%</v>
        <stp/>
        <stp>IMPL_VOL</stp>
        <stp>.NDX250516C19900</stp>
        <tr r="EN163" s="1"/>
      </tp>
      <tp t="s">
        <v>27.80%</v>
        <stp/>
        <stp>IMPL_VOL</stp>
        <stp>.NDX250516C19925</stp>
        <tr r="EN162" s="1"/>
      </tp>
      <tp t="s">
        <v>27.72%</v>
        <stp/>
        <stp>IMPL_VOL</stp>
        <stp>.NDX250516C19950</stp>
        <tr r="EN161" s="1"/>
      </tp>
      <tp t="s">
        <v>27.62%</v>
        <stp/>
        <stp>IMPL_VOL</stp>
        <stp>.NDX250516C19975</stp>
        <tr r="EN160" s="1"/>
      </tp>
      <tp t="s">
        <v>29.47%</v>
        <stp/>
        <stp>IMPL_VOL</stp>
        <stp>.NDX250516P19925</stp>
        <tr r="EO162" s="1"/>
      </tp>
      <tp t="s">
        <v>29.55%</v>
        <stp/>
        <stp>IMPL_VOL</stp>
        <stp>.NDX250516P19900</stp>
        <tr r="EO163" s="1"/>
      </tp>
      <tp t="s">
        <v>29.34%</v>
        <stp/>
        <stp>IMPL_VOL</stp>
        <stp>.NDX250516P19975</stp>
        <tr r="EO160" s="1"/>
      </tp>
      <tp t="s">
        <v>29.43%</v>
        <stp/>
        <stp>IMPL_VOL</stp>
        <stp>.NDX250516P19950</stp>
        <tr r="EO161" s="1"/>
      </tp>
      <tp t="s">
        <v>28.00%</v>
        <stp/>
        <stp>IMPL_VOL</stp>
        <stp>.NDX250516C19800</stp>
        <tr r="EN167" s="1"/>
      </tp>
      <tp t="s">
        <v>28.13%</v>
        <stp/>
        <stp>IMPL_VOL</stp>
        <stp>.NDX250516C19825</stp>
        <tr r="EN166" s="1"/>
      </tp>
      <tp t="s">
        <v>27.95%</v>
        <stp/>
        <stp>IMPL_VOL</stp>
        <stp>.NDX250516C19850</stp>
        <tr r="EN165" s="1"/>
      </tp>
      <tp t="s">
        <v>28.04%</v>
        <stp/>
        <stp>IMPL_VOL</stp>
        <stp>.NDX250516C19875</stp>
        <tr r="EN164" s="1"/>
      </tp>
      <tp t="s">
        <v>29.76%</v>
        <stp/>
        <stp>IMPL_VOL</stp>
        <stp>.NDX250516P19825</stp>
        <tr r="EO166" s="1"/>
      </tp>
      <tp t="s">
        <v>29.85%</v>
        <stp/>
        <stp>IMPL_VOL</stp>
        <stp>.NDX250516P19800</stp>
        <tr r="EO167" s="1"/>
      </tp>
      <tp t="s">
        <v>29.66%</v>
        <stp/>
        <stp>IMPL_VOL</stp>
        <stp>.NDX250516P19875</stp>
        <tr r="EO164" s="1"/>
      </tp>
      <tp t="s">
        <v>29.72%</v>
        <stp/>
        <stp>IMPL_VOL</stp>
        <stp>.NDX250516P19850</stp>
        <tr r="EO165" s="1"/>
      </tp>
      <tp t="s">
        <v>N/A</v>
        <stp/>
        <stp>VOLUME</stp>
        <stp>.SPX250620C5860</stp>
        <tr r="BE86" s="1"/>
      </tp>
      <tp t="s">
        <v>N/A</v>
        <stp/>
        <stp>VOLUME</stp>
        <stp>.SPX250523C5850</stp>
        <tr r="H88" s="2"/>
      </tp>
      <tp t="s">
        <v>N/A</v>
        <stp/>
        <stp>VOLUME</stp>
        <stp>.SPX251121C5870</stp>
        <tr r="U86" s="2"/>
      </tp>
      <tp t="s">
        <v>N/A</v>
        <stp/>
        <stp>VOLUME</stp>
        <stp>.SPX251121P5870</stp>
        <tr r="U86" s="2"/>
      </tp>
      <tp t="s">
        <v>N/A</v>
        <stp/>
        <stp>VOLUME</stp>
        <stp>.SPX250620P5860</stp>
        <tr r="BF86" s="1"/>
      </tp>
      <tp t="s">
        <v>N/A</v>
        <stp/>
        <stp>VOLUME</stp>
        <stp>.SPX250523P5850</stp>
        <tr r="H88" s="2"/>
      </tp>
      <tp t="s">
        <v>N/A</v>
        <stp/>
        <stp>VOLUME</stp>
        <stp>.SPX250620C5870</stp>
        <tr r="BE85" s="1"/>
      </tp>
      <tp t="s">
        <v>N/A</v>
        <stp/>
        <stp>VOLUME</stp>
        <stp>.SPX250523C5840</stp>
        <tr r="H89" s="2"/>
      </tp>
      <tp t="s">
        <v>N/A</v>
        <stp/>
        <stp>VOLUME</stp>
        <stp>.SPX251121C5860</stp>
        <tr r="U87" s="2"/>
      </tp>
      <tp t="s">
        <v>N/A</v>
        <stp/>
        <stp>VOLUME</stp>
        <stp>.SPX251121P5860</stp>
        <tr r="U87" s="2"/>
      </tp>
      <tp t="s">
        <v>N/A</v>
        <stp/>
        <stp>VOLUME</stp>
        <stp>.SPX250620P5870</stp>
        <tr r="BF85" s="1"/>
      </tp>
      <tp t="s">
        <v>N/A</v>
        <stp/>
        <stp>VOLUME</stp>
        <stp>.SPX250523P5840</stp>
        <tr r="H89" s="2"/>
      </tp>
      <tp t="s">
        <v>N/A</v>
        <stp/>
        <stp>VOLUME</stp>
        <stp>.SPX250620C5840</stp>
        <tr r="BE88" s="1"/>
      </tp>
      <tp t="s">
        <v>N/A</v>
        <stp/>
        <stp>VOLUME</stp>
        <stp>.SPX250523C5870</stp>
        <tr r="H86" s="2"/>
      </tp>
      <tp t="s">
        <v>N/A</v>
        <stp/>
        <stp>VOLUME</stp>
        <stp>.SPX251121C5850</stp>
        <tr r="U88" s="2"/>
      </tp>
      <tp t="s">
        <v>N/A</v>
        <stp/>
        <stp>VOLUME</stp>
        <stp>.SPX251121P5850</stp>
        <tr r="U88" s="2"/>
      </tp>
      <tp t="s">
        <v>N/A</v>
        <stp/>
        <stp>VOLUME</stp>
        <stp>.SPX250620P5840</stp>
        <tr r="BF88" s="1"/>
      </tp>
      <tp t="s">
        <v>N/A</v>
        <stp/>
        <stp>VOLUME</stp>
        <stp>.SPX250523P5870</stp>
        <tr r="H86" s="2"/>
      </tp>
      <tp t="s">
        <v>N/A</v>
        <stp/>
        <stp>VOLUME</stp>
        <stp>.SPX250620C5850</stp>
        <tr r="BE87" s="1"/>
      </tp>
      <tp t="s">
        <v>N/A</v>
        <stp/>
        <stp>VOLUME</stp>
        <stp>.SPX250523C5860</stp>
        <tr r="H87" s="2"/>
      </tp>
      <tp t="s">
        <v>N/A</v>
        <stp/>
        <stp>VOLUME</stp>
        <stp>.SPX251121C5840</stp>
        <tr r="U89" s="2"/>
      </tp>
      <tp t="s">
        <v>N/A</v>
        <stp/>
        <stp>VOLUME</stp>
        <stp>.SPX251121P5840</stp>
        <tr r="U89" s="2"/>
      </tp>
      <tp t="s">
        <v>N/A</v>
        <stp/>
        <stp>VOLUME</stp>
        <stp>.SPX250620P5850</stp>
        <tr r="BF87" s="1"/>
      </tp>
      <tp t="s">
        <v>N/A</v>
        <stp/>
        <stp>VOLUME</stp>
        <stp>.SPX250523P5860</stp>
        <tr r="H87" s="2"/>
      </tp>
      <tp t="s">
        <v>N/A</v>
        <stp/>
        <stp>VOLUME</stp>
        <stp>.SPX250620C5820</stp>
        <tr r="BE90" s="1"/>
      </tp>
      <tp t="s">
        <v>N/A</v>
        <stp/>
        <stp>VOLUME</stp>
        <stp>.SPX250523C5810</stp>
        <tr r="H92" s="2"/>
      </tp>
      <tp t="s">
        <v>N/A</v>
        <stp/>
        <stp>VOLUME</stp>
        <stp>.SPX251121C5830</stp>
        <tr r="U90" s="2"/>
      </tp>
      <tp t="s">
        <v>N/A</v>
        <stp/>
        <stp>VOLUME</stp>
        <stp>.SPX251121P5830</stp>
        <tr r="U90" s="2"/>
      </tp>
      <tp t="s">
        <v>N/A</v>
        <stp/>
        <stp>VOLUME</stp>
        <stp>.SPX250620P5820</stp>
        <tr r="BF90" s="1"/>
      </tp>
      <tp t="s">
        <v>N/A</v>
        <stp/>
        <stp>VOLUME</stp>
        <stp>.SPX250523P5810</stp>
        <tr r="H92" s="2"/>
      </tp>
      <tp t="s">
        <v>N/A</v>
        <stp/>
        <stp>VOLUME</stp>
        <stp>.SPX250620C5830</stp>
        <tr r="BE89" s="1"/>
      </tp>
      <tp t="s">
        <v>N/A</v>
        <stp/>
        <stp>VOLUME</stp>
        <stp>.SPX250523C5800</stp>
        <tr r="H93" s="2"/>
      </tp>
      <tp t="s">
        <v>N/A</v>
        <stp/>
        <stp>VOLUME</stp>
        <stp>.SPX251121C5820</stp>
        <tr r="U91" s="2"/>
      </tp>
      <tp t="s">
        <v>N/A</v>
        <stp/>
        <stp>VOLUME</stp>
        <stp>.SPX251121P5820</stp>
        <tr r="U91" s="2"/>
      </tp>
      <tp t="s">
        <v>N/A</v>
        <stp/>
        <stp>VOLUME</stp>
        <stp>.SPX250620P5830</stp>
        <tr r="BF89" s="1"/>
      </tp>
      <tp t="s">
        <v>N/A</v>
        <stp/>
        <stp>VOLUME</stp>
        <stp>.SPX250523P5800</stp>
        <tr r="H93" s="2"/>
      </tp>
      <tp t="s">
        <v>N/A</v>
        <stp/>
        <stp>VOLUME</stp>
        <stp>.SPX250620C5800</stp>
        <tr r="BE92" s="1"/>
      </tp>
      <tp t="s">
        <v>N/A</v>
        <stp/>
        <stp>VOLUME</stp>
        <stp>.SPX250523C5830</stp>
        <tr r="H90" s="2"/>
      </tp>
      <tp t="s">
        <v>N/A</v>
        <stp/>
        <stp>VOLUME</stp>
        <stp>.SPX251121C5810</stp>
        <tr r="U92" s="2"/>
      </tp>
      <tp t="s">
        <v>N/A</v>
        <stp/>
        <stp>VOLUME</stp>
        <stp>.SPX251121P5810</stp>
        <tr r="U92" s="2"/>
      </tp>
      <tp t="s">
        <v>N/A</v>
        <stp/>
        <stp>VOLUME</stp>
        <stp>.SPX250620P5800</stp>
        <tr r="BF92" s="1"/>
      </tp>
      <tp t="s">
        <v>N/A</v>
        <stp/>
        <stp>VOLUME</stp>
        <stp>.SPX250523P5830</stp>
        <tr r="H90" s="2"/>
      </tp>
      <tp t="s">
        <v>N/A</v>
        <stp/>
        <stp>VOLUME</stp>
        <stp>.SPX250620C5810</stp>
        <tr r="BE91" s="1"/>
      </tp>
      <tp t="s">
        <v>N/A</v>
        <stp/>
        <stp>VOLUME</stp>
        <stp>.SPX250523C5820</stp>
        <tr r="H91" s="2"/>
      </tp>
      <tp t="s">
        <v>N/A</v>
        <stp/>
        <stp>VOLUME</stp>
        <stp>.SPX251121C5800</stp>
        <tr r="U93" s="2"/>
      </tp>
      <tp t="s">
        <v>N/A</v>
        <stp/>
        <stp>VOLUME</stp>
        <stp>.SPX251121P5800</stp>
        <tr r="U93" s="2"/>
      </tp>
      <tp t="s">
        <v>N/A</v>
        <stp/>
        <stp>VOLUME</stp>
        <stp>.SPX250620P5810</stp>
        <tr r="BF91" s="1"/>
      </tp>
      <tp t="s">
        <v>N/A</v>
        <stp/>
        <stp>VOLUME</stp>
        <stp>.SPX250523P5820</stp>
        <tr r="H91" s="2"/>
      </tp>
      <tp t="s">
        <v>23.60%</v>
        <stp/>
        <stp>IMPL_VOL</stp>
        <stp>.NDX250620C19900</stp>
        <tr r="EP163" s="1"/>
      </tp>
      <tp t="s">
        <v>23.53%</v>
        <stp/>
        <stp>IMPL_VOL</stp>
        <stp>.NDX250620C19925</stp>
        <tr r="EP162" s="1"/>
      </tp>
      <tp t="s">
        <v>23.43%</v>
        <stp/>
        <stp>IMPL_VOL</stp>
        <stp>.NDX250620C19950</stp>
        <tr r="EP161" s="1"/>
      </tp>
      <tp t="s">
        <v>23.37%</v>
        <stp/>
        <stp>IMPL_VOL</stp>
        <stp>.NDX250620C19975</stp>
        <tr r="EP160" s="1"/>
      </tp>
      <tp t="s">
        <v>24.57%</v>
        <stp/>
        <stp>IMPL_VOL</stp>
        <stp>.NDX250620P19925</stp>
        <tr r="EQ162" s="1"/>
      </tp>
      <tp t="s">
        <v>24.66%</v>
        <stp/>
        <stp>IMPL_VOL</stp>
        <stp>.NDX250620P19900</stp>
        <tr r="EQ163" s="1"/>
      </tp>
      <tp t="s">
        <v>24.41%</v>
        <stp/>
        <stp>IMPL_VOL</stp>
        <stp>.NDX250620P19975</stp>
        <tr r="EQ160" s="1"/>
      </tp>
      <tp t="s">
        <v>24.49%</v>
        <stp/>
        <stp>IMPL_VOL</stp>
        <stp>.NDX250620P19950</stp>
        <tr r="EQ161" s="1"/>
      </tp>
      <tp>
        <v>1006</v>
        <stp/>
        <stp>OPEN_INT</stp>
        <stp>.SPXW250509C5780</stp>
        <tr r="AS94" s="1"/>
        <tr r="AS94" s="1"/>
      </tp>
      <tp>
        <v>86</v>
        <stp/>
        <stp>OPEN_INT</stp>
        <stp>.SPXW250509P5780</stp>
        <tr r="AT94" s="1"/>
        <tr r="AT94" s="1"/>
      </tp>
      <tp>
        <v>1853</v>
        <stp/>
        <stp>OPEN_INT</stp>
        <stp>.SPXW250509C5790</stp>
        <tr r="AS93" s="1"/>
        <tr r="AS93" s="1"/>
      </tp>
      <tp>
        <v>562</v>
        <stp/>
        <stp>OPEN_INT</stp>
        <stp>.SPXW250509P5790</stp>
        <tr r="AT93" s="1"/>
        <tr r="AT93" s="1"/>
      </tp>
      <tp>
        <v>3989</v>
        <stp/>
        <stp>OPEN_INT</stp>
        <stp>.SPXW250509C5700</stp>
        <tr r="AS102" s="1"/>
        <tr r="AS102" s="1"/>
      </tp>
      <tp>
        <v>1922</v>
        <stp/>
        <stp>OPEN_INT</stp>
        <stp>.SPXW250509P5700</stp>
        <tr r="AT102" s="1"/>
        <tr r="AT102" s="1"/>
      </tp>
      <tp>
        <v>2369</v>
        <stp/>
        <stp>OPEN_INT</stp>
        <stp>.SPXW250509C5710</stp>
        <tr r="AS101" s="1"/>
        <tr r="AS101" s="1"/>
      </tp>
      <tp>
        <v>813</v>
        <stp/>
        <stp>OPEN_INT</stp>
        <stp>.SPXW250509P5710</stp>
        <tr r="AT101" s="1"/>
        <tr r="AT101" s="1"/>
      </tp>
      <tp t="s">
        <v>N/A</v>
        <stp/>
        <stp>OPEN_INT</stp>
        <stp>.SPXW250509C5720</stp>
        <tr r="AS100" s="1"/>
      </tp>
      <tp t="s">
        <v>N/A</v>
        <stp/>
        <stp>OPEN_INT</stp>
        <stp>.SPXW250509P5720</stp>
        <tr r="AT100" s="1"/>
      </tp>
      <tp>
        <v>1117</v>
        <stp/>
        <stp>OPEN_INT</stp>
        <stp>.SPXW250509C5730</stp>
        <tr r="AS99" s="1"/>
        <tr r="AS99" s="1"/>
      </tp>
      <tp>
        <v>202</v>
        <stp/>
        <stp>OPEN_INT</stp>
        <stp>.SPXW250509P5730</stp>
        <tr r="AT99" s="1"/>
        <tr r="AT99" s="1"/>
      </tp>
      <tp>
        <v>1602</v>
        <stp/>
        <stp>OPEN_INT</stp>
        <stp>.SPXW250509C5740</stp>
        <tr r="AS98" s="1"/>
        <tr r="AS98" s="1"/>
      </tp>
      <tp>
        <v>139</v>
        <stp/>
        <stp>OPEN_INT</stp>
        <stp>.SPXW250509P5740</stp>
        <tr r="AT98" s="1"/>
        <tr r="AT98" s="1"/>
      </tp>
      <tp>
        <v>3846</v>
        <stp/>
        <stp>OPEN_INT</stp>
        <stp>.SPXW250509C5750</stp>
        <tr r="AS97" s="1"/>
        <tr r="AS97" s="1"/>
      </tp>
      <tp>
        <v>496</v>
        <stp/>
        <stp>OPEN_INT</stp>
        <stp>.SPXW250509P5750</stp>
        <tr r="AT97" s="1"/>
        <tr r="AT97" s="1"/>
      </tp>
      <tp>
        <v>2655</v>
        <stp/>
        <stp>OPEN_INT</stp>
        <stp>.SPXW250509C5760</stp>
        <tr r="AS96" s="1"/>
        <tr r="AS96" s="1"/>
      </tp>
      <tp>
        <v>310</v>
        <stp/>
        <stp>OPEN_INT</stp>
        <stp>.SPXW250509P5760</stp>
        <tr r="AT96" s="1"/>
        <tr r="AT96" s="1"/>
      </tp>
      <tp>
        <v>1391</v>
        <stp/>
        <stp>OPEN_INT</stp>
        <stp>.SPXW250509C5770</stp>
        <tr r="AS95" s="1"/>
        <tr r="AS95" s="1"/>
      </tp>
      <tp>
        <v>369</v>
        <stp/>
        <stp>OPEN_INT</stp>
        <stp>.SPXW250509P5770</stp>
        <tr r="AT95" s="1"/>
        <tr r="AT95" s="1"/>
      </tp>
      <tp t="s">
        <v>23.93%</v>
        <stp/>
        <stp>IMPL_VOL</stp>
        <stp>.NDX250620C19800</stp>
        <tr r="EP167" s="1"/>
      </tp>
      <tp t="s">
        <v>23.85%</v>
        <stp/>
        <stp>IMPL_VOL</stp>
        <stp>.NDX250620C19825</stp>
        <tr r="EP166" s="1"/>
      </tp>
      <tp t="s">
        <v>23.77%</v>
        <stp/>
        <stp>IMPL_VOL</stp>
        <stp>.NDX250620C19850</stp>
        <tr r="EP165" s="1"/>
      </tp>
      <tp t="s">
        <v>23.68%</v>
        <stp/>
        <stp>IMPL_VOL</stp>
        <stp>.NDX250620C19875</stp>
        <tr r="EP164" s="1"/>
      </tp>
      <tp t="s">
        <v>24.91%</v>
        <stp/>
        <stp>IMPL_VOL</stp>
        <stp>.NDX250620P19825</stp>
        <tr r="EQ166" s="1"/>
      </tp>
      <tp t="s">
        <v>25.00%</v>
        <stp/>
        <stp>IMPL_VOL</stp>
        <stp>.NDX250620P19800</stp>
        <tr r="EQ167" s="1"/>
      </tp>
      <tp t="s">
        <v>24.75%</v>
        <stp/>
        <stp>IMPL_VOL</stp>
        <stp>.NDX250620P19875</stp>
        <tr r="EQ164" s="1"/>
      </tp>
      <tp t="s">
        <v>24.82%</v>
        <stp/>
        <stp>IMPL_VOL</stp>
        <stp>.NDX250620P19850</stp>
        <tr r="EQ165" s="1"/>
      </tp>
      <tp>
        <v>3536</v>
        <stp/>
        <stp>OPEN_INT</stp>
        <stp>.SPXW250509C5680</stp>
        <tr r="AS104" s="1"/>
        <tr r="AS104" s="1"/>
      </tp>
      <tp>
        <v>581</v>
        <stp/>
        <stp>OPEN_INT</stp>
        <stp>.SPXW250509P5680</stp>
        <tr r="AT104" s="1"/>
        <tr r="AT104" s="1"/>
      </tp>
      <tp>
        <v>1409</v>
        <stp/>
        <stp>OPEN_INT</stp>
        <stp>.SPXW250509C5690</stp>
        <tr r="AS103" s="1"/>
        <tr r="AS103" s="1"/>
      </tp>
      <tp>
        <v>492</v>
        <stp/>
        <stp>OPEN_INT</stp>
        <stp>.SPXW250509P5690</stp>
        <tr r="AT103" s="1"/>
        <tr r="AT103" s="1"/>
      </tp>
      <tp>
        <v>2808</v>
        <stp/>
        <stp>OPEN_INT</stp>
        <stp>.SPXW250509C5600</stp>
        <tr r="AS112" s="1"/>
        <tr r="AS112" s="1"/>
      </tp>
      <tp>
        <v>4717</v>
        <stp/>
        <stp>OPEN_INT</stp>
        <stp>.SPXW250509P5600</stp>
        <tr r="AT112" s="1"/>
        <tr r="AT112" s="1"/>
      </tp>
      <tp>
        <v>675</v>
        <stp/>
        <stp>OPEN_INT</stp>
        <stp>.SPXW250509C5610</stp>
        <tr r="AS111" s="1"/>
        <tr r="AS111" s="1"/>
      </tp>
      <tp>
        <v>1105</v>
        <stp/>
        <stp>OPEN_INT</stp>
        <stp>.SPXW250509P5610</stp>
        <tr r="AT111" s="1"/>
        <tr r="AT111" s="1"/>
      </tp>
      <tp>
        <v>1685</v>
        <stp/>
        <stp>OPEN_INT</stp>
        <stp>.SPXW250509C5620</stp>
        <tr r="AS110" s="1"/>
        <tr r="AS110" s="1"/>
      </tp>
      <tp>
        <v>2334</v>
        <stp/>
        <stp>OPEN_INT</stp>
        <stp>.SPXW250509P5620</stp>
        <tr r="AT110" s="1"/>
        <tr r="AT110" s="1"/>
      </tp>
      <tp>
        <v>1052</v>
        <stp/>
        <stp>OPEN_INT</stp>
        <stp>.SPXW250509C5630</stp>
        <tr r="AS109" s="1"/>
        <tr r="AS109" s="1"/>
      </tp>
      <tp>
        <v>1204</v>
        <stp/>
        <stp>OPEN_INT</stp>
        <stp>.SPXW250509P5630</stp>
        <tr r="AT109" s="1"/>
        <tr r="AT109" s="1"/>
      </tp>
      <tp>
        <v>1190</v>
        <stp/>
        <stp>OPEN_INT</stp>
        <stp>.SPXW250509C5640</stp>
        <tr r="AS108" s="1"/>
        <tr r="AS108" s="1"/>
      </tp>
      <tp>
        <v>844</v>
        <stp/>
        <stp>OPEN_INT</stp>
        <stp>.SPXW250509P5640</stp>
        <tr r="AT108" s="1"/>
        <tr r="AT108" s="1"/>
      </tp>
      <tp>
        <v>3508</v>
        <stp/>
        <stp>OPEN_INT</stp>
        <stp>.SPXW250509C5650</stp>
        <tr r="AS107" s="1"/>
        <tr r="AS107" s="1"/>
      </tp>
      <tp>
        <v>3195</v>
        <stp/>
        <stp>OPEN_INT</stp>
        <stp>.SPXW250509P5650</stp>
        <tr r="AT107" s="1"/>
        <tr r="AT107" s="1"/>
      </tp>
      <tp>
        <v>1391</v>
        <stp/>
        <stp>OPEN_INT</stp>
        <stp>.SPXW250509C5660</stp>
        <tr r="AS106" s="1"/>
        <tr r="AS106" s="1"/>
      </tp>
      <tp>
        <v>1440</v>
        <stp/>
        <stp>OPEN_INT</stp>
        <stp>.SPXW250509P5660</stp>
        <tr r="AT106" s="1"/>
        <tr r="AT106" s="1"/>
      </tp>
      <tp>
        <v>897</v>
        <stp/>
        <stp>OPEN_INT</stp>
        <stp>.SPXW250509C5670</stp>
        <tr r="AS105" s="1"/>
        <tr r="AS105" s="1"/>
      </tp>
      <tp>
        <v>865</v>
        <stp/>
        <stp>OPEN_INT</stp>
        <stp>.SPXW250509P5670</stp>
        <tr r="AT105" s="1"/>
        <tr r="AT105" s="1"/>
      </tp>
      <tp>
        <v>404</v>
        <stp/>
        <stp>OPEN_INT</stp>
        <stp>.SPXW250509C5580</stp>
        <tr r="AS114" s="1"/>
        <tr r="AS114" s="1"/>
      </tp>
      <tp>
        <v>1701</v>
        <stp/>
        <stp>OPEN_INT</stp>
        <stp>.SPXW250509P5580</stp>
        <tr r="AT114" s="1"/>
        <tr r="AT114" s="1"/>
      </tp>
      <tp>
        <v>728</v>
        <stp/>
        <stp>OPEN_INT</stp>
        <stp>.SPXW250509C5590</stp>
        <tr r="AS113" s="1"/>
        <tr r="AS113" s="1"/>
      </tp>
      <tp>
        <v>1155</v>
        <stp/>
        <stp>OPEN_INT</stp>
        <stp>.SPXW250509P5590</stp>
        <tr r="AT113" s="1"/>
        <tr r="AT113" s="1"/>
      </tp>
      <tp>
        <v>1677</v>
        <stp/>
        <stp>OPEN_INT</stp>
        <stp>.SPXW250509C5500</stp>
        <tr r="AS122" s="1"/>
        <tr r="AS122" s="1"/>
      </tp>
      <tp>
        <v>5547</v>
        <stp/>
        <stp>OPEN_INT</stp>
        <stp>.SPXW250509P5500</stp>
        <tr r="AT122" s="1"/>
        <tr r="AT122" s="1"/>
      </tp>
      <tp>
        <v>377</v>
        <stp/>
        <stp>OPEN_INT</stp>
        <stp>.SPXW250509C5510</stp>
        <tr r="AS121" s="1"/>
        <tr r="AS121" s="1"/>
      </tp>
      <tp>
        <v>844</v>
        <stp/>
        <stp>OPEN_INT</stp>
        <stp>.SPXW250509P5510</stp>
        <tr r="AT121" s="1"/>
        <tr r="AT121" s="1"/>
      </tp>
      <tp>
        <v>341</v>
        <stp/>
        <stp>OPEN_INT</stp>
        <stp>.SPXW250509C5520</stp>
        <tr r="AS120" s="1"/>
        <tr r="AS120" s="1"/>
      </tp>
      <tp>
        <v>651</v>
        <stp/>
        <stp>OPEN_INT</stp>
        <stp>.SPXW250509P5520</stp>
        <tr r="AT120" s="1"/>
        <tr r="AT120" s="1"/>
      </tp>
      <tp>
        <v>134</v>
        <stp/>
        <stp>OPEN_INT</stp>
        <stp>.SPXW250509C5530</stp>
        <tr r="AS119" s="1"/>
        <tr r="AS119" s="1"/>
      </tp>
      <tp>
        <v>669</v>
        <stp/>
        <stp>OPEN_INT</stp>
        <stp>.SPXW250509P5530</stp>
        <tr r="AT119" s="1"/>
        <tr r="AT119" s="1"/>
      </tp>
      <tp>
        <v>751</v>
        <stp/>
        <stp>OPEN_INT</stp>
        <stp>.SPXW250509C5540</stp>
        <tr r="AS118" s="1"/>
        <tr r="AS118" s="1"/>
      </tp>
      <tp>
        <v>4411</v>
        <stp/>
        <stp>OPEN_INT</stp>
        <stp>.SPXW250509P5540</stp>
        <tr r="AT118" s="1"/>
        <tr r="AT118" s="1"/>
      </tp>
      <tp>
        <v>1234</v>
        <stp/>
        <stp>OPEN_INT</stp>
        <stp>.SPXW250509C5550</stp>
        <tr r="AS117" s="1"/>
        <tr r="AS117" s="1"/>
      </tp>
      <tp>
        <v>4838</v>
        <stp/>
        <stp>OPEN_INT</stp>
        <stp>.SPXW250509P5550</stp>
        <tr r="AT117" s="1"/>
        <tr r="AT117" s="1"/>
      </tp>
      <tp>
        <v>244</v>
        <stp/>
        <stp>OPEN_INT</stp>
        <stp>.SPXW250509C5560</stp>
        <tr r="AS116" s="1"/>
        <tr r="AS116" s="1"/>
      </tp>
      <tp>
        <v>842</v>
        <stp/>
        <stp>OPEN_INT</stp>
        <stp>.SPXW250509P5560</stp>
        <tr r="AT116" s="1"/>
        <tr r="AT116" s="1"/>
      </tp>
      <tp>
        <v>192</v>
        <stp/>
        <stp>OPEN_INT</stp>
        <stp>.SPXW250509C5570</stp>
        <tr r="AS115" s="1"/>
        <tr r="AS115" s="1"/>
      </tp>
      <tp>
        <v>2685</v>
        <stp/>
        <stp>OPEN_INT</stp>
        <stp>.SPXW250509P5570</stp>
        <tr r="AT115" s="1"/>
        <tr r="AT115" s="1"/>
      </tp>
      <tp>
        <v>766</v>
        <stp/>
        <stp>OPEN_INT</stp>
        <stp>.SPXW250509C5480</stp>
        <tr r="AS124" s="1"/>
        <tr r="AS124" s="1"/>
      </tp>
      <tp>
        <v>1127</v>
        <stp/>
        <stp>OPEN_INT</stp>
        <stp>.SPXW250509P5480</stp>
        <tr r="AT124" s="1"/>
        <tr r="AT124" s="1"/>
      </tp>
      <tp>
        <v>352</v>
        <stp/>
        <stp>OPEN_INT</stp>
        <stp>.SPXW250509C5490</stp>
        <tr r="AS123" s="1"/>
        <tr r="AS123" s="1"/>
      </tp>
      <tp>
        <v>846</v>
        <stp/>
        <stp>OPEN_INT</stp>
        <stp>.SPXW250509P5490</stp>
        <tr r="AT123" s="1"/>
        <tr r="AT123" s="1"/>
      </tp>
      <tp>
        <v>147</v>
        <stp/>
        <stp>OPEN_INT</stp>
        <stp>.SPXW250509C5420</stp>
        <tr r="AS130" s="1"/>
        <tr r="AS130" s="1"/>
      </tp>
      <tp>
        <v>1753</v>
        <stp/>
        <stp>OPEN_INT</stp>
        <stp>.SPXW250509P5420</stp>
        <tr r="AT130" s="1"/>
        <tr r="AT130" s="1"/>
      </tp>
      <tp>
        <v>1100</v>
        <stp/>
        <stp>OPEN_INT</stp>
        <stp>.SPXW250509C5430</stp>
        <tr r="AS129" s="1"/>
        <tr r="AS129" s="1"/>
      </tp>
      <tp>
        <v>890</v>
        <stp/>
        <stp>OPEN_INT</stp>
        <stp>.SPXW250509P5430</stp>
        <tr r="AT129" s="1"/>
        <tr r="AT129" s="1"/>
      </tp>
      <tp>
        <v>287</v>
        <stp/>
        <stp>OPEN_INT</stp>
        <stp>.SPXW250509C5440</stp>
        <tr r="AS128" s="1"/>
        <tr r="AS128" s="1"/>
      </tp>
      <tp>
        <v>2623</v>
        <stp/>
        <stp>OPEN_INT</stp>
        <stp>.SPXW250509P5440</stp>
        <tr r="AT128" s="1"/>
        <tr r="AT128" s="1"/>
      </tp>
      <tp>
        <v>983</v>
        <stp/>
        <stp>OPEN_INT</stp>
        <stp>.SPXW250509C5450</stp>
        <tr r="AS127" s="1"/>
        <tr r="AS127" s="1"/>
      </tp>
      <tp>
        <v>6960</v>
        <stp/>
        <stp>OPEN_INT</stp>
        <stp>.SPXW250509P5450</stp>
        <tr r="AT127" s="1"/>
        <tr r="AT127" s="1"/>
      </tp>
      <tp>
        <v>318</v>
        <stp/>
        <stp>OPEN_INT</stp>
        <stp>.SPXW250509C5460</stp>
        <tr r="AS126" s="1"/>
        <tr r="AS126" s="1"/>
      </tp>
      <tp>
        <v>1202</v>
        <stp/>
        <stp>OPEN_INT</stp>
        <stp>.SPXW250509P5460</stp>
        <tr r="AT126" s="1"/>
        <tr r="AT126" s="1"/>
      </tp>
      <tp>
        <v>128</v>
        <stp/>
        <stp>OPEN_INT</stp>
        <stp>.SPXW250509C5470</stp>
        <tr r="AS125" s="1"/>
        <tr r="AS125" s="1"/>
      </tp>
      <tp>
        <v>645</v>
        <stp/>
        <stp>OPEN_INT</stp>
        <stp>.SPXW250509P5470</stp>
        <tr r="AT125" s="1"/>
        <tr r="AT125" s="1"/>
      </tp>
      <tp t="s">
        <v>21.70%</v>
        <stp/>
        <stp>IMPL_VOL</stp>
        <stp>.NDX250620C20500</stp>
        <tr r="EP139" s="1"/>
      </tp>
      <tp t="s">
        <v>28.32%</v>
        <stp/>
        <stp>IMPL_VOL</stp>
        <stp>.NDX250516C19300</stp>
        <tr r="EN187" s="1"/>
      </tp>
      <tp t="s">
        <v>26.70%</v>
        <stp/>
        <stp>IMPL_VOL</stp>
        <stp>.NDX250516C20300</stp>
        <tr r="EN147" s="1"/>
      </tp>
      <tp t="s">
        <v>24.89%</v>
        <stp/>
        <stp>IMPL_VOL</stp>
        <stp>.NDX250620C19500</stp>
        <tr r="EP179" s="1"/>
      </tp>
      <tp t="s">
        <v>21.63%</v>
        <stp/>
        <stp>IMPL_VOL</stp>
        <stp>.NDX250620C20525</stp>
        <tr r="EP138" s="1"/>
      </tp>
      <tp t="s">
        <v>28.39%</v>
        <stp/>
        <stp>IMPL_VOL</stp>
        <stp>.NDX250516C19325</stp>
        <tr r="EN186" s="1"/>
      </tp>
      <tp t="s">
        <v>26.63%</v>
        <stp/>
        <stp>IMPL_VOL</stp>
        <stp>.NDX250516C20325</stp>
        <tr r="EN146" s="1"/>
      </tp>
      <tp t="s">
        <v>24.78%</v>
        <stp/>
        <stp>IMPL_VOL</stp>
        <stp>.NDX250620C19525</stp>
        <tr r="EP178" s="1"/>
      </tp>
      <tp t="s">
        <v>21.57%</v>
        <stp/>
        <stp>IMPL_VOL</stp>
        <stp>.NDX250620C20550</stp>
        <tr r="EP137" s="1"/>
      </tp>
      <tp t="s">
        <v>28.43%</v>
        <stp/>
        <stp>IMPL_VOL</stp>
        <stp>.NDX250516C19350</stp>
        <tr r="EN185" s="1"/>
      </tp>
      <tp t="s">
        <v>26.54%</v>
        <stp/>
        <stp>IMPL_VOL</stp>
        <stp>.NDX250516C20350</stp>
        <tr r="EN145" s="1"/>
      </tp>
      <tp t="s">
        <v>24.74%</v>
        <stp/>
        <stp>IMPL_VOL</stp>
        <stp>.NDX250620C19550</stp>
        <tr r="EP177" s="1"/>
      </tp>
      <tp t="s">
        <v>28.46%</v>
        <stp/>
        <stp>IMPL_VOL</stp>
        <stp>.NDX250516C19375</stp>
        <tr r="EN184" s="1"/>
      </tp>
      <tp t="s">
        <v>26.48%</v>
        <stp/>
        <stp>IMPL_VOL</stp>
        <stp>.NDX250516C20375</stp>
        <tr r="EN144" s="1"/>
      </tp>
      <tp t="s">
        <v>24.62%</v>
        <stp/>
        <stp>IMPL_VOL</stp>
        <stp>.NDX250620C19575</stp>
        <tr r="EP176" s="1"/>
      </tp>
      <tp t="s">
        <v>22.68%</v>
        <stp/>
        <stp>IMPL_VOL</stp>
        <stp>.NDX250620P20525</stp>
        <tr r="EQ138" s="1"/>
      </tp>
      <tp t="s">
        <v>31.13%</v>
        <stp/>
        <stp>IMPL_VOL</stp>
        <stp>.NDX250516P19325</stp>
        <tr r="EO186" s="1"/>
      </tp>
      <tp t="s">
        <v>28.52%</v>
        <stp/>
        <stp>IMPL_VOL</stp>
        <stp>.NDX250516P20325</stp>
        <tr r="EO146" s="1"/>
      </tp>
      <tp t="s">
        <v>25.93%</v>
        <stp/>
        <stp>IMPL_VOL</stp>
        <stp>.NDX250620P19525</stp>
        <tr r="EQ178" s="1"/>
      </tp>
      <tp t="s">
        <v>22.76%</v>
        <stp/>
        <stp>IMPL_VOL</stp>
        <stp>.NDX250620P20500</stp>
        <tr r="EQ139" s="1"/>
      </tp>
      <tp t="s">
        <v>31.20%</v>
        <stp/>
        <stp>IMPL_VOL</stp>
        <stp>.NDX250516P19300</stp>
        <tr r="EO187" s="1"/>
      </tp>
      <tp t="s">
        <v>28.49%</v>
        <stp/>
        <stp>IMPL_VOL</stp>
        <stp>.NDX250516P20300</stp>
        <tr r="EO147" s="1"/>
      </tp>
      <tp t="s">
        <v>26.02%</v>
        <stp/>
        <stp>IMPL_VOL</stp>
        <stp>.NDX250620P19500</stp>
        <tr r="EQ179" s="1"/>
      </tp>
      <tp t="s">
        <v>30.93%</v>
        <stp/>
        <stp>IMPL_VOL</stp>
        <stp>.NDX250516P19375</stp>
        <tr r="EO184" s="1"/>
      </tp>
      <tp t="s">
        <v>28.62%</v>
        <stp/>
        <stp>IMPL_VOL</stp>
        <stp>.NDX250516P20375</stp>
        <tr r="EO144" s="1"/>
      </tp>
      <tp t="s">
        <v>25.76%</v>
        <stp/>
        <stp>IMPL_VOL</stp>
        <stp>.NDX250620P19575</stp>
        <tr r="EQ176" s="1"/>
      </tp>
      <tp t="s">
        <v>22.61%</v>
        <stp/>
        <stp>IMPL_VOL</stp>
        <stp>.NDX250620P20550</stp>
        <tr r="EQ137" s="1"/>
      </tp>
      <tp t="s">
        <v>31.00%</v>
        <stp/>
        <stp>IMPL_VOL</stp>
        <stp>.NDX250516P19350</stp>
        <tr r="EO185" s="1"/>
      </tp>
      <tp t="s">
        <v>28.36%</v>
        <stp/>
        <stp>IMPL_VOL</stp>
        <stp>.NDX250516P20350</stp>
        <tr r="EO145" s="1"/>
      </tp>
      <tp t="s">
        <v>25.84%</v>
        <stp/>
        <stp>IMPL_VOL</stp>
        <stp>.NDX250620P19550</stp>
        <tr r="EQ177" s="1"/>
      </tp>
      <tp t="s">
        <v>22.01%</v>
        <stp/>
        <stp>IMPL_VOL</stp>
        <stp>.NDX250620C20400</stp>
        <tr r="EP143" s="1"/>
      </tp>
      <tp t="s">
        <v>27.01%</v>
        <stp/>
        <stp>IMPL_VOL</stp>
        <stp>.NDX250516C20200</stp>
        <tr r="EN151" s="1"/>
      </tp>
      <tp t="s">
        <v>25.20%</v>
        <stp/>
        <stp>IMPL_VOL</stp>
        <stp>.NDX250620C19400</stp>
        <tr r="EP183" s="1"/>
      </tp>
      <tp t="s">
        <v>21.95%</v>
        <stp/>
        <stp>IMPL_VOL</stp>
        <stp>.NDX250620C20425</stp>
        <tr r="EP142" s="1"/>
      </tp>
      <tp t="s">
        <v>26.93%</v>
        <stp/>
        <stp>IMPL_VOL</stp>
        <stp>.NDX250516C20225</stp>
        <tr r="EN150" s="1"/>
      </tp>
      <tp t="s">
        <v>25.10%</v>
        <stp/>
        <stp>IMPL_VOL</stp>
        <stp>.NDX250620C19425</stp>
        <tr r="EP182" s="1"/>
      </tp>
      <tp t="s">
        <v>21.88%</v>
        <stp/>
        <stp>IMPL_VOL</stp>
        <stp>.NDX250620C20450</stp>
        <tr r="EP141" s="1"/>
      </tp>
      <tp t="s">
        <v>29.14%</v>
        <stp/>
        <stp>IMPL_VOL</stp>
        <stp>.NDX250516C19250</stp>
        <tr r="EN189" s="1"/>
      </tp>
      <tp t="s">
        <v>26.86%</v>
        <stp/>
        <stp>IMPL_VOL</stp>
        <stp>.NDX250516C20250</stp>
        <tr r="EN149" s="1"/>
      </tp>
      <tp t="s">
        <v>25.05%</v>
        <stp/>
        <stp>IMPL_VOL</stp>
        <stp>.NDX250620C19450</stp>
        <tr r="EP181" s="1"/>
      </tp>
      <tp t="s">
        <v>21.80%</v>
        <stp/>
        <stp>IMPL_VOL</stp>
        <stp>.NDX250620C20475</stp>
        <tr r="EP140" s="1"/>
      </tp>
      <tp t="s">
        <v>28.25%</v>
        <stp/>
        <stp>IMPL_VOL</stp>
        <stp>.NDX250516C19275</stp>
        <tr r="EN188" s="1"/>
      </tp>
      <tp t="s">
        <v>26.78%</v>
        <stp/>
        <stp>IMPL_VOL</stp>
        <stp>.NDX250516C20275</stp>
        <tr r="EN148" s="1"/>
      </tp>
      <tp t="s">
        <v>24.94%</v>
        <stp/>
        <stp>IMPL_VOL</stp>
        <stp>.NDX250620C19475</stp>
        <tr r="EP180" s="1"/>
      </tp>
      <tp t="s">
        <v>22.98%</v>
        <stp/>
        <stp>IMPL_VOL</stp>
        <stp>.NDX250620P20425</stp>
        <tr r="EQ142" s="1"/>
      </tp>
      <tp t="s">
        <v>28.65%</v>
        <stp/>
        <stp>IMPL_VOL</stp>
        <stp>.NDX250516P20225</stp>
        <tr r="EO150" s="1"/>
      </tp>
      <tp t="s">
        <v>26.29%</v>
        <stp/>
        <stp>IMPL_VOL</stp>
        <stp>.NDX250620P19425</stp>
        <tr r="EQ182" s="1"/>
      </tp>
      <tp t="s">
        <v>23.05%</v>
        <stp/>
        <stp>IMPL_VOL</stp>
        <stp>.NDX250620P20400</stp>
        <tr r="EQ143" s="1"/>
      </tp>
      <tp t="s">
        <v>28.70%</v>
        <stp/>
        <stp>IMPL_VOL</stp>
        <stp>.NDX250516P20200</stp>
        <tr r="EO151" s="1"/>
      </tp>
      <tp t="s">
        <v>26.35%</v>
        <stp/>
        <stp>IMPL_VOL</stp>
        <stp>.NDX250620P19400</stp>
        <tr r="EQ183" s="1"/>
      </tp>
      <tp t="s">
        <v>22.83%</v>
        <stp/>
        <stp>IMPL_VOL</stp>
        <stp>.NDX250620P20475</stp>
        <tr r="EQ140" s="1"/>
      </tp>
      <tp t="s">
        <v>31.29%</v>
        <stp/>
        <stp>IMPL_VOL</stp>
        <stp>.NDX250516P19275</stp>
        <tr r="EO188" s="1"/>
      </tp>
      <tp t="s">
        <v>28.65%</v>
        <stp/>
        <stp>IMPL_VOL</stp>
        <stp>.NDX250516P20275</stp>
        <tr r="EO148" s="1"/>
      </tp>
      <tp t="s">
        <v>26.11%</v>
        <stp/>
        <stp>IMPL_VOL</stp>
        <stp>.NDX250620P19475</stp>
        <tr r="EQ180" s="1"/>
      </tp>
      <tp t="s">
        <v>22.90%</v>
        <stp/>
        <stp>IMPL_VOL</stp>
        <stp>.NDX250620P20450</stp>
        <tr r="EQ141" s="1"/>
      </tp>
      <tp t="s">
        <v>31.36%</v>
        <stp/>
        <stp>IMPL_VOL</stp>
        <stp>.NDX250516P19250</stp>
        <tr r="EO189" s="1"/>
      </tp>
      <tp t="s">
        <v>28.60%</v>
        <stp/>
        <stp>IMPL_VOL</stp>
        <stp>.NDX250516P20250</stp>
        <tr r="EO149" s="1"/>
      </tp>
      <tp t="s">
        <v>26.18%</v>
        <stp/>
        <stp>IMPL_VOL</stp>
        <stp>.NDX250620P19450</stp>
        <tr r="EQ181" s="1"/>
      </tp>
      <tp t="s">
        <v>27.29%</v>
        <stp/>
        <stp>IMPL_VOL</stp>
        <stp>.NDX250516C20100</stp>
        <tr r="EN155" s="1"/>
      </tp>
      <tp t="s">
        <v>24.24%</v>
        <stp/>
        <stp>IMPL_VOL</stp>
        <stp>.NDX250620C19700</stp>
        <tr r="EP171" s="1"/>
      </tp>
      <tp t="s">
        <v>27.22%</v>
        <stp/>
        <stp>IMPL_VOL</stp>
        <stp>.NDX250516C20125</stp>
        <tr r="EN154" s="1"/>
      </tp>
      <tp t="s">
        <v>24.16%</v>
        <stp/>
        <stp>IMPL_VOL</stp>
        <stp>.NDX250620C19725</stp>
        <tr r="EP170" s="1"/>
      </tp>
      <tp t="s">
        <v>27.14%</v>
        <stp/>
        <stp>IMPL_VOL</stp>
        <stp>.NDX250516C20150</stp>
        <tr r="EN153" s="1"/>
      </tp>
      <tp t="s">
        <v>24.09%</v>
        <stp/>
        <stp>IMPL_VOL</stp>
        <stp>.NDX250620C19750</stp>
        <tr r="EP169" s="1"/>
      </tp>
      <tp t="s">
        <v>27.08%</v>
        <stp/>
        <stp>IMPL_VOL</stp>
        <stp>.NDX250516C20175</stp>
        <tr r="EN152" s="1"/>
      </tp>
      <tp t="s">
        <v>24.01%</v>
        <stp/>
        <stp>IMPL_VOL</stp>
        <stp>.NDX250620C19775</stp>
        <tr r="EP168" s="1"/>
      </tp>
      <tp t="s">
        <v>28.91%</v>
        <stp/>
        <stp>IMPL_VOL</stp>
        <stp>.NDX250516P20125</stp>
        <tr r="EO154" s="1"/>
      </tp>
      <tp t="s">
        <v>25.25%</v>
        <stp/>
        <stp>IMPL_VOL</stp>
        <stp>.NDX250620P19725</stp>
        <tr r="EQ170" s="1"/>
      </tp>
      <tp t="s">
        <v>28.98%</v>
        <stp/>
        <stp>IMPL_VOL</stp>
        <stp>.NDX250516P20100</stp>
        <tr r="EO155" s="1"/>
      </tp>
      <tp t="s">
        <v>25.34%</v>
        <stp/>
        <stp>IMPL_VOL</stp>
        <stp>.NDX250620P19700</stp>
        <tr r="EQ171" s="1"/>
      </tp>
      <tp t="s">
        <v>28.76%</v>
        <stp/>
        <stp>IMPL_VOL</stp>
        <stp>.NDX250516P20175</stp>
        <tr r="EO152" s="1"/>
      </tp>
      <tp t="s">
        <v>25.08%</v>
        <stp/>
        <stp>IMPL_VOL</stp>
        <stp>.NDX250620P19775</stp>
        <tr r="EQ168" s="1"/>
      </tp>
      <tp t="s">
        <v>28.86%</v>
        <stp/>
        <stp>IMPL_VOL</stp>
        <stp>.NDX250516P20150</stp>
        <tr r="EO153" s="1"/>
      </tp>
      <tp t="s">
        <v>25.16%</v>
        <stp/>
        <stp>IMPL_VOL</stp>
        <stp>.NDX250620P19750</stp>
        <tr r="EQ169" s="1"/>
      </tp>
      <tp t="s">
        <v>27.58%</v>
        <stp/>
        <stp>IMPL_VOL</stp>
        <stp>.NDX250516C20000</stp>
        <tr r="EN159" s="1"/>
      </tp>
      <tp t="s">
        <v>24.55%</v>
        <stp/>
        <stp>IMPL_VOL</stp>
        <stp>.NDX250620C19600</stp>
        <tr r="EP175" s="1"/>
      </tp>
      <tp t="s">
        <v>27.52%</v>
        <stp/>
        <stp>IMPL_VOL</stp>
        <stp>.NDX250516C20025</stp>
        <tr r="EN158" s="1"/>
      </tp>
      <tp t="s">
        <v>24.47%</v>
        <stp/>
        <stp>IMPL_VOL</stp>
        <stp>.NDX250620C19625</stp>
        <tr r="EP174" s="1"/>
      </tp>
      <tp t="s">
        <v>27.44%</v>
        <stp/>
        <stp>IMPL_VOL</stp>
        <stp>.NDX250516C20050</stp>
        <tr r="EN157" s="1"/>
      </tp>
      <tp t="s">
        <v>24.40%</v>
        <stp/>
        <stp>IMPL_VOL</stp>
        <stp>.NDX250620C19650</stp>
        <tr r="EP173" s="1"/>
      </tp>
      <tp t="s">
        <v>27.38%</v>
        <stp/>
        <stp>IMPL_VOL</stp>
        <stp>.NDX250516C20075</stp>
        <tr r="EN156" s="1"/>
      </tp>
      <tp t="s">
        <v>24.31%</v>
        <stp/>
        <stp>IMPL_VOL</stp>
        <stp>.NDX250620C19675</stp>
        <tr r="EP172" s="1"/>
      </tp>
      <tp t="s">
        <v>29.20%</v>
        <stp/>
        <stp>IMPL_VOL</stp>
        <stp>.NDX250516P20025</stp>
        <tr r="EO158" s="1"/>
      </tp>
      <tp t="s">
        <v>25.59%</v>
        <stp/>
        <stp>IMPL_VOL</stp>
        <stp>.NDX250620P19625</stp>
        <tr r="EQ174" s="1"/>
      </tp>
      <tp t="s">
        <v>29.28%</v>
        <stp/>
        <stp>IMPL_VOL</stp>
        <stp>.NDX250516P20000</stp>
        <tr r="EO159" s="1"/>
      </tp>
      <tp t="s">
        <v>25.68%</v>
        <stp/>
        <stp>IMPL_VOL</stp>
        <stp>.NDX250620P19600</stp>
        <tr r="EQ175" s="1"/>
      </tp>
      <tp t="s">
        <v>29.07%</v>
        <stp/>
        <stp>IMPL_VOL</stp>
        <stp>.NDX250516P20075</stp>
        <tr r="EO156" s="1"/>
      </tp>
      <tp t="s">
        <v>25.42%</v>
        <stp/>
        <stp>IMPL_VOL</stp>
        <stp>.NDX250620P19675</stp>
        <tr r="EQ172" s="1"/>
      </tp>
      <tp t="s">
        <v>29.12%</v>
        <stp/>
        <stp>IMPL_VOL</stp>
        <stp>.NDX250516P20050</stp>
        <tr r="EO157" s="1"/>
      </tp>
      <tp t="s">
        <v>25.50%</v>
        <stp/>
        <stp>IMPL_VOL</stp>
        <stp>.NDX250620P19650</stp>
        <tr r="EQ173" s="1"/>
      </tp>
      <tp>
        <v>7493</v>
        <stp/>
        <stp>OPEN_INT</stp>
        <stp>.SPXW250509C5800</stp>
        <tr r="AS92" s="1"/>
        <tr r="AS92" s="1"/>
      </tp>
      <tp>
        <v>222</v>
        <stp/>
        <stp>OPEN_INT</stp>
        <stp>.SPXW250509P5800</stp>
        <tr r="AT92" s="1"/>
        <tr r="AT92" s="1"/>
      </tp>
      <tp>
        <v>1040</v>
        <stp/>
        <stp>OPEN_INT</stp>
        <stp>.SPXW250509C5810</stp>
        <tr r="AS91" s="1"/>
        <tr r="AS91" s="1"/>
      </tp>
      <tp>
        <v>79</v>
        <stp/>
        <stp>OPEN_INT</stp>
        <stp>.SPXW250509P5810</stp>
        <tr r="AT91" s="1"/>
        <tr r="AT91" s="1"/>
      </tp>
      <tp>
        <v>1668</v>
        <stp/>
        <stp>OPEN_INT</stp>
        <stp>.SPXW250509C5820</stp>
        <tr r="AS90" s="1"/>
        <tr r="AS90" s="1"/>
      </tp>
      <tp>
        <v>316</v>
        <stp/>
        <stp>OPEN_INT</stp>
        <stp>.SPXW250509P5820</stp>
        <tr r="AT90" s="1"/>
        <tr r="AT90" s="1"/>
      </tp>
      <tp>
        <v>1432</v>
        <stp/>
        <stp>OPEN_INT</stp>
        <stp>.SPXW250509C5830</stp>
        <tr r="AS89" s="1"/>
        <tr r="AS89" s="1"/>
      </tp>
      <tp>
        <v>406</v>
        <stp/>
        <stp>OPEN_INT</stp>
        <stp>.SPXW250509P5830</stp>
        <tr r="AT89" s="1"/>
        <tr r="AT89" s="1"/>
      </tp>
      <tp>
        <v>1471</v>
        <stp/>
        <stp>OPEN_INT</stp>
        <stp>.SPXW250509C5840</stp>
        <tr r="AS88" s="1"/>
        <tr r="AS88" s="1"/>
      </tp>
      <tp>
        <v>14</v>
        <stp/>
        <stp>OPEN_INT</stp>
        <stp>.SPXW250509P5840</stp>
        <tr r="AT88" s="1"/>
        <tr r="AT88" s="1"/>
      </tp>
      <tp>
        <v>8457</v>
        <stp/>
        <stp>OPEN_INT</stp>
        <stp>.SPXW250509C5850</stp>
        <tr r="AS87" s="1"/>
        <tr r="AS87" s="1"/>
      </tp>
      <tp>
        <v>211</v>
        <stp/>
        <stp>OPEN_INT</stp>
        <stp>.SPXW250509P5850</stp>
        <tr r="AT87" s="1"/>
        <tr r="AT87" s="1"/>
      </tp>
      <tp>
        <v>434</v>
        <stp/>
        <stp>OPEN_INT</stp>
        <stp>.SPXW250509C5860</stp>
        <tr r="AS86" s="1"/>
        <tr r="AS86" s="1"/>
      </tp>
      <tp>
        <v>2</v>
        <stp/>
        <stp>OPEN_INT</stp>
        <stp>.SPXW250509P5860</stp>
        <tr r="AT86" s="1"/>
        <tr r="AT86" s="1"/>
      </tp>
      <tp>
        <v>899</v>
        <stp/>
        <stp>OPEN_INT</stp>
        <stp>.SPXW250509C5870</stp>
        <tr r="AS85" s="1"/>
        <tr r="AS85" s="1"/>
      </tp>
      <tp>
        <v>1</v>
        <stp/>
        <stp>OPEN_INT</stp>
        <stp>.SPXW250509P5870</stp>
        <tr r="AT85" s="1"/>
        <tr r="AT85" s="1"/>
      </tp>
      <tp t="s">
        <v>22.97%</v>
        <stp/>
        <stp>IMPL_VOL</stp>
        <stp>.NDX250620C20100</stp>
        <tr r="EP155" s="1"/>
      </tp>
      <tp t="s">
        <v>28.71%</v>
        <stp/>
        <stp>IMPL_VOL</stp>
        <stp>.NDX250516C19700</stp>
        <tr r="EN171" s="1"/>
      </tp>
      <tp t="s">
        <v>22.88%</v>
        <stp/>
        <stp>IMPL_VOL</stp>
        <stp>.NDX250620C20125</stp>
        <tr r="EP154" s="1"/>
      </tp>
      <tp t="s">
        <v>28.25%</v>
        <stp/>
        <stp>IMPL_VOL</stp>
        <stp>.NDX250516C19725</stp>
        <tr r="EN170" s="1"/>
      </tp>
      <tp t="s">
        <v>22.80%</v>
        <stp/>
        <stp>IMPL_VOL</stp>
        <stp>.NDX250620C20150</stp>
        <tr r="EP153" s="1"/>
      </tp>
      <tp t="s">
        <v>28.14%</v>
        <stp/>
        <stp>IMPL_VOL</stp>
        <stp>.NDX250516C19750</stp>
        <tr r="EN169" s="1"/>
      </tp>
      <tp t="s">
        <v>22.72%</v>
        <stp/>
        <stp>IMPL_VOL</stp>
        <stp>.NDX250620C20175</stp>
        <tr r="EP152" s="1"/>
      </tp>
      <tp t="s">
        <v>28.21%</v>
        <stp/>
        <stp>IMPL_VOL</stp>
        <stp>.NDX250516C19775</stp>
        <tr r="EN168" s="1"/>
      </tp>
      <tp t="s">
        <v>23.91%</v>
        <stp/>
        <stp>IMPL_VOL</stp>
        <stp>.NDX250620P20125</stp>
        <tr r="EQ154" s="1"/>
      </tp>
      <tp t="s">
        <v>30.04%</v>
        <stp/>
        <stp>IMPL_VOL</stp>
        <stp>.NDX250516P19725</stp>
        <tr r="EO170" s="1"/>
      </tp>
      <tp t="s">
        <v>24.00%</v>
        <stp/>
        <stp>IMPL_VOL</stp>
        <stp>.NDX250620P20100</stp>
        <tr r="EQ155" s="1"/>
      </tp>
      <tp t="s">
        <v>30.12%</v>
        <stp/>
        <stp>IMPL_VOL</stp>
        <stp>.NDX250516P19700</stp>
        <tr r="EO171" s="1"/>
      </tp>
      <tp t="s">
        <v>23.74%</v>
        <stp/>
        <stp>IMPL_VOL</stp>
        <stp>.NDX250620P20175</stp>
        <tr r="EQ152" s="1"/>
      </tp>
      <tp t="s">
        <v>29.92%</v>
        <stp/>
        <stp>IMPL_VOL</stp>
        <stp>.NDX250516P19775</stp>
        <tr r="EO168" s="1"/>
      </tp>
      <tp t="s">
        <v>23.84%</v>
        <stp/>
        <stp>IMPL_VOL</stp>
        <stp>.NDX250620P20150</stp>
        <tr r="EQ153" s="1"/>
      </tp>
      <tp t="s">
        <v>29.99%</v>
        <stp/>
        <stp>IMPL_VOL</stp>
        <stp>.NDX250516P19750</stp>
        <tr r="EO169" s="1"/>
      </tp>
      <tp t="s">
        <v>N/A</v>
        <stp/>
        <stp>VOLUME</stp>
        <stp>.SPX250620C5760</stp>
        <tr r="BE96" s="1"/>
      </tp>
      <tp t="s">
        <v>N/A</v>
        <stp/>
        <stp>VOLUME</stp>
        <stp>.SPX250523C5750</stp>
        <tr r="H98" s="2"/>
      </tp>
      <tp t="s">
        <v>N/A</v>
        <stp/>
        <stp>VOLUME</stp>
        <stp>.SPX250815C5430</stp>
        <tr r="O130" s="2"/>
      </tp>
      <tp t="s">
        <v>N/A</v>
        <stp/>
        <stp>VOLUME</stp>
        <stp>.SPX251121C5770</stp>
        <tr r="U96" s="2"/>
      </tp>
      <tp t="s">
        <v>N/A</v>
        <stp/>
        <stp>VOLUME</stp>
        <stp>.SPX251121P5770</stp>
        <tr r="U96" s="2"/>
      </tp>
      <tp t="s">
        <v>N/A</v>
        <stp/>
        <stp>VOLUME</stp>
        <stp>.SPX250620P5760</stp>
        <tr r="BF96" s="1"/>
      </tp>
      <tp t="s">
        <v>N/A</v>
        <stp/>
        <stp>VOLUME</stp>
        <stp>.SPX250523P5750</stp>
        <tr r="H98" s="2"/>
      </tp>
      <tp t="s">
        <v>N/A</v>
        <stp/>
        <stp>VOLUME</stp>
        <stp>.SPX250815P5430</stp>
        <tr r="O130" s="2"/>
      </tp>
      <tp t="s">
        <v>N/A</v>
        <stp/>
        <stp>VOLUME</stp>
        <stp>.SPX250620C5770</stp>
        <tr r="BE95" s="1"/>
      </tp>
      <tp t="s">
        <v>N/A</v>
        <stp/>
        <stp>VOLUME</stp>
        <stp>.SPX250523C5740</stp>
        <tr r="H99" s="2"/>
      </tp>
      <tp t="s">
        <v>N/A</v>
        <stp/>
        <stp>VOLUME</stp>
        <stp>.SPX250815C5420</stp>
        <tr r="O131" s="2"/>
      </tp>
      <tp t="s">
        <v>N/A</v>
        <stp/>
        <stp>VOLUME</stp>
        <stp>.SPX251121C5760</stp>
        <tr r="U97" s="2"/>
      </tp>
      <tp t="s">
        <v>N/A</v>
        <stp/>
        <stp>VOLUME</stp>
        <stp>.SPX251121P5760</stp>
        <tr r="U97" s="2"/>
      </tp>
      <tp t="s">
        <v>N/A</v>
        <stp/>
        <stp>VOLUME</stp>
        <stp>.SPX250620P5770</stp>
        <tr r="BF95" s="1"/>
      </tp>
      <tp t="s">
        <v>N/A</v>
        <stp/>
        <stp>VOLUME</stp>
        <stp>.SPX250523P5740</stp>
        <tr r="H99" s="2"/>
      </tp>
      <tp t="s">
        <v>N/A</v>
        <stp/>
        <stp>VOLUME</stp>
        <stp>.SPX250815P5420</stp>
        <tr r="O131" s="2"/>
      </tp>
      <tp t="s">
        <v>N/A</v>
        <stp/>
        <stp>VOLUME</stp>
        <stp>.SPX250620C5740</stp>
        <tr r="BE98" s="1"/>
      </tp>
      <tp t="s">
        <v>N/A</v>
        <stp/>
        <stp>VOLUME</stp>
        <stp>.SPX250516C5420</stp>
        <tr r="BC130" s="1"/>
      </tp>
      <tp t="s">
        <v>N/A</v>
        <stp/>
        <stp>VOLUME</stp>
        <stp>.SPX250523C5770</stp>
        <tr r="H96" s="2"/>
      </tp>
      <tp>
        <v>4</v>
        <stp/>
        <stp>VOLUME</stp>
        <stp>.SPX251121C5750</stp>
        <tr r="U98" s="2"/>
        <tr r="U98" s="2"/>
      </tp>
      <tp t="s">
        <v>N/A</v>
        <stp/>
        <stp>VOLUME</stp>
        <stp>.SPX251017C5430</stp>
        <tr r="S130" s="2"/>
      </tp>
      <tp t="s">
        <v>N/A</v>
        <stp/>
        <stp>VOLUME</stp>
        <stp>.SPX251121P5750</stp>
        <tr r="U98" s="2"/>
      </tp>
      <tp t="s">
        <v>N/A</v>
        <stp/>
        <stp>VOLUME</stp>
        <stp>.SPX251017P5430</stp>
        <tr r="S130" s="2"/>
      </tp>
      <tp t="s">
        <v>N/A</v>
        <stp/>
        <stp>VOLUME</stp>
        <stp>.SPX250620P5740</stp>
        <tr r="BF98" s="1"/>
      </tp>
      <tp t="s">
        <v>N/A</v>
        <stp/>
        <stp>VOLUME</stp>
        <stp>.SPX250516P5420</stp>
        <tr r="BD130" s="1"/>
      </tp>
      <tp t="s">
        <v>N/A</v>
        <stp/>
        <stp>VOLUME</stp>
        <stp>.SPX250523P5770</stp>
        <tr r="H96" s="2"/>
      </tp>
      <tp t="s">
        <v>N/A</v>
        <stp/>
        <stp>VOLUME</stp>
        <stp>.SPX250620C5750</stp>
        <tr r="BE97" s="1"/>
      </tp>
      <tp t="s">
        <v>N/A</v>
        <stp/>
        <stp>VOLUME</stp>
        <stp>.SPX250516C5430</stp>
        <tr r="BC129" s="1"/>
      </tp>
      <tp t="s">
        <v>N/A</v>
        <stp/>
        <stp>VOLUME</stp>
        <stp>.SPX250523C5760</stp>
        <tr r="H97" s="2"/>
      </tp>
      <tp t="s">
        <v>N/A</v>
        <stp/>
        <stp>VOLUME</stp>
        <stp>.SPX251121C5740</stp>
        <tr r="U99" s="2"/>
      </tp>
      <tp t="s">
        <v>N/A</v>
        <stp/>
        <stp>VOLUME</stp>
        <stp>.SPX251017C5420</stp>
        <tr r="S131" s="2"/>
      </tp>
      <tp t="s">
        <v>N/A</v>
        <stp/>
        <stp>VOLUME</stp>
        <stp>.SPX251121P5740</stp>
        <tr r="U99" s="2"/>
      </tp>
      <tp t="s">
        <v>N/A</v>
        <stp/>
        <stp>VOLUME</stp>
        <stp>.SPX251017P5420</stp>
        <tr r="S131" s="2"/>
      </tp>
      <tp t="s">
        <v>N/A</v>
        <stp/>
        <stp>VOLUME</stp>
        <stp>.SPX250620P5750</stp>
        <tr r="BF97" s="1"/>
      </tp>
      <tp t="s">
        <v>N/A</v>
        <stp/>
        <stp>VOLUME</stp>
        <stp>.SPX250516P5430</stp>
        <tr r="BD129" s="1"/>
      </tp>
      <tp t="s">
        <v>N/A</v>
        <stp/>
        <stp>VOLUME</stp>
        <stp>.SPX250523P5760</stp>
        <tr r="H97" s="2"/>
      </tp>
      <tp t="s">
        <v>N/A</v>
        <stp/>
        <stp>VOLUME</stp>
        <stp>.SPX250620C5720</stp>
        <tr r="BE100" s="1"/>
      </tp>
      <tp t="s">
        <v>N/A</v>
        <stp/>
        <stp>VOLUME</stp>
        <stp>.SPX250516C5440</stp>
        <tr r="BC128" s="1"/>
      </tp>
      <tp t="s">
        <v>N/A</v>
        <stp/>
        <stp>VOLUME</stp>
        <stp>.SPX250523C5710</stp>
        <tr r="H102" s="2"/>
      </tp>
      <tp t="s">
        <v>N/A</v>
        <stp/>
        <stp>VOLUME</stp>
        <stp>.SPX250815C5470</stp>
        <tr r="O126" s="2"/>
      </tp>
      <tp t="s">
        <v>N/A</v>
        <stp/>
        <stp>VOLUME</stp>
        <stp>.SPX251121C5730</stp>
        <tr r="U100" s="2"/>
      </tp>
      <tp t="s">
        <v>N/A</v>
        <stp/>
        <stp>VOLUME</stp>
        <stp>.SPX251017C5450</stp>
        <tr r="S128" s="2"/>
      </tp>
      <tp t="s">
        <v>N/A</v>
        <stp/>
        <stp>VOLUME</stp>
        <stp>.SPX251121P5730</stp>
        <tr r="U100" s="2"/>
      </tp>
      <tp t="s">
        <v>N/A</v>
        <stp/>
        <stp>VOLUME</stp>
        <stp>.SPX251017P5450</stp>
        <tr r="S128" s="2"/>
      </tp>
      <tp t="s">
        <v>N/A</v>
        <stp/>
        <stp>VOLUME</stp>
        <stp>.SPX250620P5720</stp>
        <tr r="BF100" s="1"/>
      </tp>
      <tp t="s">
        <v>N/A</v>
        <stp/>
        <stp>VOLUME</stp>
        <stp>.SPX250516P5440</stp>
        <tr r="BD128" s="1"/>
      </tp>
      <tp t="s">
        <v>N/A</v>
        <stp/>
        <stp>VOLUME</stp>
        <stp>.SPX250523P5710</stp>
        <tr r="H102" s="2"/>
      </tp>
      <tp t="s">
        <v>N/A</v>
        <stp/>
        <stp>VOLUME</stp>
        <stp>.SPX250815P5470</stp>
        <tr r="O126" s="2"/>
      </tp>
      <tp t="s">
        <v>N/A</v>
        <stp/>
        <stp>VOLUME</stp>
        <stp>.SPX250620C5730</stp>
        <tr r="BE99" s="1"/>
      </tp>
      <tp t="s">
        <v>N/A</v>
        <stp/>
        <stp>VOLUME</stp>
        <stp>.SPX250516C5450</stp>
        <tr r="BC127" s="1"/>
      </tp>
      <tp t="s">
        <v>N/A</v>
        <stp/>
        <stp>VOLUME</stp>
        <stp>.SPX250523C5700</stp>
        <tr r="H103" s="2"/>
      </tp>
      <tp t="s">
        <v>N/A</v>
        <stp/>
        <stp>VOLUME</stp>
        <stp>.SPX250815C5460</stp>
        <tr r="O127" s="2"/>
      </tp>
      <tp t="s">
        <v>N/A</v>
        <stp/>
        <stp>VOLUME</stp>
        <stp>.SPX251121C5720</stp>
        <tr r="U101" s="2"/>
      </tp>
      <tp t="s">
        <v>N/A</v>
        <stp/>
        <stp>VOLUME</stp>
        <stp>.SPX251017C5440</stp>
        <tr r="S129" s="2"/>
      </tp>
      <tp t="s">
        <v>N/A</v>
        <stp/>
        <stp>VOLUME</stp>
        <stp>.SPX251121P5720</stp>
        <tr r="U101" s="2"/>
      </tp>
      <tp t="s">
        <v>N/A</v>
        <stp/>
        <stp>VOLUME</stp>
        <stp>.SPX251017P5440</stp>
        <tr r="S129" s="2"/>
      </tp>
      <tp t="s">
        <v>N/A</v>
        <stp/>
        <stp>VOLUME</stp>
        <stp>.SPX250620P5730</stp>
        <tr r="BF99" s="1"/>
      </tp>
      <tp t="s">
        <v>N/A</v>
        <stp/>
        <stp>VOLUME</stp>
        <stp>.SPX250516P5450</stp>
        <tr r="BD127" s="1"/>
      </tp>
      <tp t="s">
        <v>N/A</v>
        <stp/>
        <stp>VOLUME</stp>
        <stp>.SPX250523P5700</stp>
        <tr r="H103" s="2"/>
      </tp>
      <tp t="s">
        <v>N/A</v>
        <stp/>
        <stp>VOLUME</stp>
        <stp>.SPX250815P5460</stp>
        <tr r="O127" s="2"/>
      </tp>
      <tp t="s">
        <v>N/A</v>
        <stp/>
        <stp>VOLUME</stp>
        <stp>.SPX250718C5480</stp>
        <tr r="M125" s="2"/>
      </tp>
      <tp t="s">
        <v>N/A</v>
        <stp/>
        <stp>VOLUME</stp>
        <stp>.SPX250620C5700</stp>
        <tr r="BE102" s="1"/>
      </tp>
      <tp t="s">
        <v>N/A</v>
        <stp/>
        <stp>VOLUME</stp>
        <stp>.SPX250516C5460</stp>
        <tr r="BC126" s="1"/>
      </tp>
      <tp t="s">
        <v>N/A</v>
        <stp/>
        <stp>VOLUME</stp>
        <stp>.SPX250523C5730</stp>
        <tr r="H100" s="2"/>
      </tp>
      <tp t="s">
        <v>N/A</v>
        <stp/>
        <stp>VOLUME</stp>
        <stp>.SPX250919C5490</stp>
        <tr r="Q124" s="2"/>
      </tp>
      <tp t="s">
        <v>N/A</v>
        <stp/>
        <stp>VOLUME</stp>
        <stp>.SPX250815C5450</stp>
        <tr r="O128" s="2"/>
      </tp>
      <tp t="s">
        <v>N/A</v>
        <stp/>
        <stp>VOLUME</stp>
        <stp>.SPX251219C5490</stp>
        <tr r="W124" s="2"/>
      </tp>
      <tp t="s">
        <v>N/A</v>
        <stp/>
        <stp>VOLUME</stp>
        <stp>.SPX251121C5710</stp>
        <tr r="U102" s="2"/>
      </tp>
      <tp t="s">
        <v>N/A</v>
        <stp/>
        <stp>VOLUME</stp>
        <stp>.SPX251017C5470</stp>
        <tr r="S126" s="2"/>
      </tp>
      <tp t="s">
        <v>N/A</v>
        <stp/>
        <stp>VOLUME</stp>
        <stp>.SPX251219P5490</stp>
        <tr r="W124" s="2"/>
      </tp>
      <tp t="s">
        <v>N/A</v>
        <stp/>
        <stp>VOLUME</stp>
        <stp>.SPX251121P5710</stp>
        <tr r="U102" s="2"/>
      </tp>
      <tp t="s">
        <v>N/A</v>
        <stp/>
        <stp>VOLUME</stp>
        <stp>.SPX251017P5470</stp>
        <tr r="S126" s="2"/>
      </tp>
      <tp t="s">
        <v>N/A</v>
        <stp/>
        <stp>VOLUME</stp>
        <stp>.SPX250718P5480</stp>
        <tr r="M125" s="2"/>
      </tp>
      <tp t="s">
        <v>N/A</v>
        <stp/>
        <stp>VOLUME</stp>
        <stp>.SPX250620P5700</stp>
        <tr r="BF102" s="1"/>
      </tp>
      <tp t="s">
        <v>N/A</v>
        <stp/>
        <stp>VOLUME</stp>
        <stp>.SPX250516P5460</stp>
        <tr r="BD126" s="1"/>
      </tp>
      <tp t="s">
        <v>N/A</v>
        <stp/>
        <stp>VOLUME</stp>
        <stp>.SPX250523P5730</stp>
        <tr r="H100" s="2"/>
      </tp>
      <tp t="s">
        <v>N/A</v>
        <stp/>
        <stp>VOLUME</stp>
        <stp>.SPX250919P5490</stp>
        <tr r="Q124" s="2"/>
      </tp>
      <tp t="s">
        <v>N/A</v>
        <stp/>
        <stp>VOLUME</stp>
        <stp>.SPX250815P5450</stp>
        <tr r="O128" s="2"/>
      </tp>
      <tp t="s">
        <v>N/A</v>
        <stp/>
        <stp>VOLUME</stp>
        <stp>.SPX250718C5490</stp>
        <tr r="M124" s="2"/>
      </tp>
      <tp t="s">
        <v>N/A</v>
        <stp/>
        <stp>VOLUME</stp>
        <stp>.SPX250620C5710</stp>
        <tr r="BE101" s="1"/>
      </tp>
      <tp t="s">
        <v>N/A</v>
        <stp/>
        <stp>VOLUME</stp>
        <stp>.SPX250516C5470</stp>
        <tr r="BC125" s="1"/>
      </tp>
      <tp t="s">
        <v>N/A</v>
        <stp/>
        <stp>VOLUME</stp>
        <stp>.SPX250523C5720</stp>
        <tr r="H101" s="2"/>
      </tp>
      <tp t="s">
        <v>N/A</v>
        <stp/>
        <stp>VOLUME</stp>
        <stp>.SPX250919C5480</stp>
        <tr r="Q125" s="2"/>
      </tp>
      <tp t="s">
        <v>N/A</v>
        <stp/>
        <stp>VOLUME</stp>
        <stp>.SPX250815C5440</stp>
        <tr r="O129" s="2"/>
      </tp>
      <tp t="s">
        <v>N/A</v>
        <stp/>
        <stp>VOLUME</stp>
        <stp>.SPX251219C5480</stp>
        <tr r="W125" s="2"/>
      </tp>
      <tp t="s">
        <v>N/A</v>
        <stp/>
        <stp>VOLUME</stp>
        <stp>.SPX251121C5700</stp>
        <tr r="U103" s="2"/>
      </tp>
      <tp t="s">
        <v>N/A</v>
        <stp/>
        <stp>VOLUME</stp>
        <stp>.SPX251017C5460</stp>
        <tr r="S127" s="2"/>
      </tp>
      <tp t="s">
        <v>N/A</v>
        <stp/>
        <stp>VOLUME</stp>
        <stp>.SPX251219P5480</stp>
        <tr r="W125" s="2"/>
      </tp>
      <tp t="s">
        <v>N/A</v>
        <stp/>
        <stp>VOLUME</stp>
        <stp>.SPX251121P5700</stp>
        <tr r="U103" s="2"/>
      </tp>
      <tp t="s">
        <v>N/A</v>
        <stp/>
        <stp>VOLUME</stp>
        <stp>.SPX251017P5460</stp>
        <tr r="S127" s="2"/>
      </tp>
      <tp t="s">
        <v>N/A</v>
        <stp/>
        <stp>VOLUME</stp>
        <stp>.SPX250718P5490</stp>
        <tr r="M124" s="2"/>
      </tp>
      <tp t="s">
        <v>N/A</v>
        <stp/>
        <stp>VOLUME</stp>
        <stp>.SPX250620P5710</stp>
        <tr r="BF101" s="1"/>
      </tp>
      <tp t="s">
        <v>N/A</v>
        <stp/>
        <stp>VOLUME</stp>
        <stp>.SPX250516P5470</stp>
        <tr r="BD125" s="1"/>
      </tp>
      <tp t="s">
        <v>N/A</v>
        <stp/>
        <stp>VOLUME</stp>
        <stp>.SPX250523P5720</stp>
        <tr r="H101" s="2"/>
      </tp>
      <tp t="s">
        <v>N/A</v>
        <stp/>
        <stp>VOLUME</stp>
        <stp>.SPX250919P5480</stp>
        <tr r="Q125" s="2"/>
      </tp>
      <tp t="s">
        <v>N/A</v>
        <stp/>
        <stp>VOLUME</stp>
        <stp>.SPX250815P5440</stp>
        <tr r="O129" s="2"/>
      </tp>
      <tp t="s">
        <v>N/A</v>
        <stp/>
        <stp>VOLUME</stp>
        <stp>.SPX250718C5460</stp>
        <tr r="M127" s="2"/>
      </tp>
      <tp t="s">
        <v>N/A</v>
        <stp/>
        <stp>VOLUME</stp>
        <stp>.SPX250516C5480</stp>
        <tr r="BC124" s="1"/>
      </tp>
      <tp t="s">
        <v>N/A</v>
        <stp/>
        <stp>VOLUME</stp>
        <stp>.SPX250919C5470</stp>
        <tr r="Q126" s="2"/>
      </tp>
      <tp t="s">
        <v>N/A</v>
        <stp/>
        <stp>VOLUME</stp>
        <stp>.SPX251219C5470</stp>
        <tr r="W126" s="2"/>
      </tp>
      <tp t="s">
        <v>N/A</v>
        <stp/>
        <stp>VOLUME</stp>
        <stp>.SPX251017C5490</stp>
        <tr r="S124" s="2"/>
      </tp>
      <tp t="s">
        <v>N/A</v>
        <stp/>
        <stp>VOLUME</stp>
        <stp>.SPX251219P5470</stp>
        <tr r="W126" s="2"/>
      </tp>
      <tp t="s">
        <v>N/A</v>
        <stp/>
        <stp>VOLUME</stp>
        <stp>.SPX251017P5490</stp>
        <tr r="S124" s="2"/>
      </tp>
      <tp>
        <v>1</v>
        <stp/>
        <stp>VOLUME</stp>
        <stp>.SPX250718P5460</stp>
        <tr r="M127" s="2"/>
        <tr r="M127" s="2"/>
      </tp>
      <tp t="s">
        <v>N/A</v>
        <stp/>
        <stp>VOLUME</stp>
        <stp>.SPX250516P5480</stp>
        <tr r="BD124" s="1"/>
      </tp>
      <tp t="s">
        <v>N/A</v>
        <stp/>
        <stp>VOLUME</stp>
        <stp>.SPX250919P5470</stp>
        <tr r="Q126" s="2"/>
      </tp>
      <tp t="s">
        <v>N/A</v>
        <stp/>
        <stp>VOLUME</stp>
        <stp>.SPX250718C5470</stp>
        <tr r="M126" s="2"/>
      </tp>
      <tp t="s">
        <v>N/A</v>
        <stp/>
        <stp>VOLUME</stp>
        <stp>.SPX250516C5490</stp>
        <tr r="BC123" s="1"/>
      </tp>
      <tp t="s">
        <v>N/A</v>
        <stp/>
        <stp>VOLUME</stp>
        <stp>.SPX250919C5460</stp>
        <tr r="Q127" s="2"/>
      </tp>
      <tp t="s">
        <v>N/A</v>
        <stp/>
        <stp>VOLUME</stp>
        <stp>.SPX251219C5460</stp>
        <tr r="W127" s="2"/>
      </tp>
      <tp t="s">
        <v>N/A</v>
        <stp/>
        <stp>VOLUME</stp>
        <stp>.SPX251017C5480</stp>
        <tr r="S125" s="2"/>
      </tp>
      <tp t="s">
        <v>N/A</v>
        <stp/>
        <stp>VOLUME</stp>
        <stp>.SPX251219P5460</stp>
        <tr r="W127" s="2"/>
      </tp>
      <tp t="s">
        <v>N/A</v>
        <stp/>
        <stp>VOLUME</stp>
        <stp>.SPX251017P5480</stp>
        <tr r="S125" s="2"/>
      </tp>
      <tp t="s">
        <v>N/A</v>
        <stp/>
        <stp>VOLUME</stp>
        <stp>.SPX250718P5470</stp>
        <tr r="M126" s="2"/>
      </tp>
      <tp t="s">
        <v>N/A</v>
        <stp/>
        <stp>VOLUME</stp>
        <stp>.SPX250516P5490</stp>
        <tr r="BD123" s="1"/>
      </tp>
      <tp t="s">
        <v>N/A</v>
        <stp/>
        <stp>VOLUME</stp>
        <stp>.SPX250919P5460</stp>
        <tr r="Q127" s="2"/>
      </tp>
      <tp t="s">
        <v>N/A</v>
        <stp/>
        <stp>VOLUME</stp>
        <stp>.SPX250718C5440</stp>
        <tr r="M129" s="2"/>
      </tp>
      <tp t="s">
        <v>N/A</v>
        <stp/>
        <stp>VOLUME</stp>
        <stp>.SPX250919C5450</stp>
        <tr r="Q128" s="2"/>
      </tp>
      <tp t="s">
        <v>N/A</v>
        <stp/>
        <stp>VOLUME</stp>
        <stp>.SPX250815C5490</stp>
        <tr r="O124" s="2"/>
      </tp>
      <tp t="s">
        <v>N/A</v>
        <stp/>
        <stp>VOLUME</stp>
        <stp>.SPX251219C5450</stp>
        <tr r="W128" s="2"/>
      </tp>
      <tp t="s">
        <v>N/A</v>
        <stp/>
        <stp>VOLUME</stp>
        <stp>.SPX251219P5450</stp>
        <tr r="W128" s="2"/>
      </tp>
      <tp t="s">
        <v>N/A</v>
        <stp/>
        <stp>VOLUME</stp>
        <stp>.SPX250718P5440</stp>
        <tr r="M129" s="2"/>
      </tp>
      <tp t="s">
        <v>N/A</v>
        <stp/>
        <stp>VOLUME</stp>
        <stp>.SPX250919P5450</stp>
        <tr r="Q128" s="2"/>
      </tp>
      <tp t="s">
        <v>N/A</v>
        <stp/>
        <stp>VOLUME</stp>
        <stp>.SPX250815P5490</stp>
        <tr r="O124" s="2"/>
      </tp>
      <tp t="s">
        <v>N/A</v>
        <stp/>
        <stp>VOLUME</stp>
        <stp>.SPX250718C5450</stp>
        <tr r="M128" s="2"/>
      </tp>
      <tp t="s">
        <v>N/A</v>
        <stp/>
        <stp>VOLUME</stp>
        <stp>.SPX250919C5440</stp>
        <tr r="Q129" s="2"/>
      </tp>
      <tp t="s">
        <v>N/A</v>
        <stp/>
        <stp>VOLUME</stp>
        <stp>.SPX250815C5480</stp>
        <tr r="O125" s="2"/>
      </tp>
      <tp t="s">
        <v>N/A</v>
        <stp/>
        <stp>VOLUME</stp>
        <stp>.SPX251219C5440</stp>
        <tr r="W129" s="2"/>
      </tp>
      <tp t="s">
        <v>N/A</v>
        <stp/>
        <stp>VOLUME</stp>
        <stp>.SPX251219P5440</stp>
        <tr r="W129" s="2"/>
      </tp>
      <tp t="s">
        <v>N/A</v>
        <stp/>
        <stp>VOLUME</stp>
        <stp>.SPX250718P5450</stp>
        <tr r="M128" s="2"/>
      </tp>
      <tp t="s">
        <v>N/A</v>
        <stp/>
        <stp>VOLUME</stp>
        <stp>.SPX250919P5440</stp>
        <tr r="Q129" s="2"/>
      </tp>
      <tp t="s">
        <v>N/A</v>
        <stp/>
        <stp>VOLUME</stp>
        <stp>.SPX250815P5480</stp>
        <tr r="O125" s="2"/>
      </tp>
      <tp t="s">
        <v>N/A</v>
        <stp/>
        <stp>VOLUME</stp>
        <stp>.SPX250718C5420</stp>
        <tr r="M131" s="2"/>
      </tp>
      <tp t="s">
        <v>N/A</v>
        <stp/>
        <stp>VOLUME</stp>
        <stp>.SPX250523C5790</stp>
        <tr r="H94" s="2"/>
      </tp>
      <tp t="s">
        <v>N/A</v>
        <stp/>
        <stp>VOLUME</stp>
        <stp>.SPX250919C5430</stp>
        <tr r="Q130" s="2"/>
      </tp>
      <tp t="s">
        <v>N/A</v>
        <stp/>
        <stp>VOLUME</stp>
        <stp>.SPX251219C5430</stp>
        <tr r="W130" s="2"/>
      </tp>
      <tp t="s">
        <v>N/A</v>
        <stp/>
        <stp>VOLUME</stp>
        <stp>.SPX251219P5430</stp>
        <tr r="W130" s="2"/>
      </tp>
      <tp t="s">
        <v>N/A</v>
        <stp/>
        <stp>VOLUME</stp>
        <stp>.SPX250718P5420</stp>
        <tr r="M131" s="2"/>
      </tp>
      <tp t="s">
        <v>N/A</v>
        <stp/>
        <stp>VOLUME</stp>
        <stp>.SPX250523P5790</stp>
        <tr r="H94" s="2"/>
      </tp>
      <tp t="s">
        <v>N/A</v>
        <stp/>
        <stp>VOLUME</stp>
        <stp>.SPX250919P5430</stp>
        <tr r="Q130" s="2"/>
      </tp>
      <tp t="s">
        <v>N/A</v>
        <stp/>
        <stp>VOLUME</stp>
        <stp>.SPX250718C5430</stp>
        <tr r="M130" s="2"/>
      </tp>
      <tp t="s">
        <v>N/A</v>
        <stp/>
        <stp>VOLUME</stp>
        <stp>.SPX250523C5780</stp>
        <tr r="H95" s="2"/>
      </tp>
      <tp t="s">
        <v>N/A</v>
        <stp/>
        <stp>VOLUME</stp>
        <stp>.SPX250919C5420</stp>
        <tr r="Q131" s="2"/>
      </tp>
      <tp t="s">
        <v>N/A</v>
        <stp/>
        <stp>VOLUME</stp>
        <stp>.SPX251219C5420</stp>
        <tr r="W131" s="2"/>
      </tp>
      <tp t="s">
        <v>N/A</v>
        <stp/>
        <stp>VOLUME</stp>
        <stp>.SPX251219P5420</stp>
        <tr r="W131" s="2"/>
      </tp>
      <tp>
        <v>1</v>
        <stp/>
        <stp>VOLUME</stp>
        <stp>.SPX250718P5430</stp>
        <tr r="M130" s="2"/>
        <tr r="M130" s="2"/>
      </tp>
      <tp t="s">
        <v>N/A</v>
        <stp/>
        <stp>VOLUME</stp>
        <stp>.SPX250523P5780</stp>
        <tr r="H95" s="2"/>
      </tp>
      <tp t="s">
        <v>N/A</v>
        <stp/>
        <stp>VOLUME</stp>
        <stp>.SPX250919P5420</stp>
        <tr r="Q131" s="2"/>
      </tp>
      <tp t="s">
        <v>N/A</v>
        <stp/>
        <stp>VOLUME</stp>
        <stp>.SPX250620C5780</stp>
        <tr r="BE94" s="1"/>
      </tp>
      <tp t="s">
        <v>N/A</v>
        <stp/>
        <stp>VOLUME</stp>
        <stp>.SPX251121C5790</stp>
        <tr r="U94" s="2"/>
      </tp>
      <tp t="s">
        <v>N/A</v>
        <stp/>
        <stp>VOLUME</stp>
        <stp>.SPX251121P5790</stp>
        <tr r="U94" s="2"/>
      </tp>
      <tp t="s">
        <v>N/A</v>
        <stp/>
        <stp>VOLUME</stp>
        <stp>.SPX250620P5780</stp>
        <tr r="BF94" s="1"/>
      </tp>
      <tp t="s">
        <v>N/A</v>
        <stp/>
        <stp>VOLUME</stp>
        <stp>.SPX250620C5790</stp>
        <tr r="BE93" s="1"/>
      </tp>
      <tp t="s">
        <v>N/A</v>
        <stp/>
        <stp>VOLUME</stp>
        <stp>.SPX251121C5780</stp>
        <tr r="U95" s="2"/>
      </tp>
      <tp t="s">
        <v>N/A</v>
        <stp/>
        <stp>VOLUME</stp>
        <stp>.SPX251121P5780</stp>
        <tr r="U95" s="2"/>
      </tp>
      <tp t="s">
        <v>N/A</v>
        <stp/>
        <stp>VOLUME</stp>
        <stp>.SPX250620P5790</stp>
        <tr r="BF93" s="1"/>
      </tp>
      <tp t="s">
        <v>23.28%</v>
        <stp/>
        <stp>IMPL_VOL</stp>
        <stp>.NDX250620C20000</stp>
        <tr r="EP159" s="1"/>
      </tp>
      <tp t="s">
        <v>28.56%</v>
        <stp/>
        <stp>IMPL_VOL</stp>
        <stp>.NDX250516C19600</stp>
        <tr r="EN175" s="1"/>
      </tp>
      <tp t="s">
        <v>23.20%</v>
        <stp/>
        <stp>IMPL_VOL</stp>
        <stp>.NDX250620C20025</stp>
        <tr r="EP158" s="1"/>
      </tp>
      <tp t="s">
        <v>28.55%</v>
        <stp/>
        <stp>IMPL_VOL</stp>
        <stp>.NDX250516C19625</stp>
        <tr r="EN174" s="1"/>
      </tp>
      <tp t="s">
        <v>23.12%</v>
        <stp/>
        <stp>IMPL_VOL</stp>
        <stp>.NDX250620C20050</stp>
        <tr r="EP157" s="1"/>
      </tp>
      <tp t="s">
        <v>28.55%</v>
        <stp/>
        <stp>IMPL_VOL</stp>
        <stp>.NDX250516C19650</stp>
        <tr r="EN173" s="1"/>
      </tp>
      <tp t="s">
        <v>23.05%</v>
        <stp/>
        <stp>IMPL_VOL</stp>
        <stp>.NDX250620C20075</stp>
        <tr r="EP156" s="1"/>
      </tp>
      <tp t="s">
        <v>28.45%</v>
        <stp/>
        <stp>IMPL_VOL</stp>
        <stp>.NDX250516C19675</stp>
        <tr r="EN172" s="1"/>
      </tp>
      <tp t="s">
        <v>24.24%</v>
        <stp/>
        <stp>IMPL_VOL</stp>
        <stp>.NDX250620P20025</stp>
        <tr r="EQ158" s="1"/>
      </tp>
      <tp t="s">
        <v>30.32%</v>
        <stp/>
        <stp>IMPL_VOL</stp>
        <stp>.NDX250516P19625</stp>
        <tr r="EO174" s="1"/>
      </tp>
      <tp t="s">
        <v>24.32%</v>
        <stp/>
        <stp>IMPL_VOL</stp>
        <stp>.NDX250620P20000</stp>
        <tr r="EQ159" s="1"/>
      </tp>
      <tp t="s">
        <v>30.37%</v>
        <stp/>
        <stp>IMPL_VOL</stp>
        <stp>.NDX250516P19600</stp>
        <tr r="EO175" s="1"/>
      </tp>
      <tp t="s">
        <v>24.09%</v>
        <stp/>
        <stp>IMPL_VOL</stp>
        <stp>.NDX250620P20075</stp>
        <tr r="EQ156" s="1"/>
      </tp>
      <tp t="s">
        <v>30.20%</v>
        <stp/>
        <stp>IMPL_VOL</stp>
        <stp>.NDX250516P19675</stp>
        <tr r="EO172" s="1"/>
      </tp>
      <tp t="s">
        <v>24.16%</v>
        <stp/>
        <stp>IMPL_VOL</stp>
        <stp>.NDX250620P20050</stp>
        <tr r="EQ157" s="1"/>
      </tp>
      <tp t="s">
        <v>30.24%</v>
        <stp/>
        <stp>IMPL_VOL</stp>
        <stp>.NDX250516P19650</stp>
        <tr r="EO173" s="1"/>
      </tp>
      <tp t="s">
        <v>N/A</v>
        <stp/>
        <stp>VOLUME</stp>
        <stp>.SPX250620C5660</stp>
        <tr r="BE106" s="1"/>
      </tp>
      <tp t="s">
        <v>N/A</v>
        <stp/>
        <stp>VOLUME</stp>
        <stp>.SPX250516C5500</stp>
        <tr r="BC122" s="1"/>
      </tp>
      <tp t="s">
        <v>N/A</v>
        <stp/>
        <stp>VOLUME</stp>
        <stp>.SPX250523C5650</stp>
        <tr r="H108" s="2"/>
      </tp>
      <tp t="s">
        <v>N/A</v>
        <stp/>
        <stp>VOLUME</stp>
        <stp>.SPX250815C5530</stp>
        <tr r="O120" s="2"/>
      </tp>
      <tp t="s">
        <v>N/A</v>
        <stp/>
        <stp>VOLUME</stp>
        <stp>.SPX251121C5670</stp>
        <tr r="U106" s="2"/>
      </tp>
      <tp t="s">
        <v>N/A</v>
        <stp/>
        <stp>VOLUME</stp>
        <stp>.SPX251017C5510</stp>
        <tr r="S122" s="2"/>
      </tp>
      <tp t="s">
        <v>N/A</v>
        <stp/>
        <stp>VOLUME</stp>
        <stp>.SPX251121P5670</stp>
        <tr r="U106" s="2"/>
      </tp>
      <tp t="s">
        <v>N/A</v>
        <stp/>
        <stp>VOLUME</stp>
        <stp>.SPX251017P5510</stp>
        <tr r="S122" s="2"/>
      </tp>
      <tp t="s">
        <v>N/A</v>
        <stp/>
        <stp>VOLUME</stp>
        <stp>.SPX250620P5660</stp>
        <tr r="BF106" s="1"/>
      </tp>
      <tp t="s">
        <v>N/A</v>
        <stp/>
        <stp>VOLUME</stp>
        <stp>.SPX250516P5500</stp>
        <tr r="BD122" s="1"/>
      </tp>
      <tp t="s">
        <v>N/A</v>
        <stp/>
        <stp>VOLUME</stp>
        <stp>.SPX250523P5650</stp>
        <tr r="H108" s="2"/>
      </tp>
      <tp t="s">
        <v>N/A</v>
        <stp/>
        <stp>VOLUME</stp>
        <stp>.SPX250815P5530</stp>
        <tr r="O120" s="2"/>
      </tp>
      <tp t="s">
        <v>N/A</v>
        <stp/>
        <stp>VOLUME</stp>
        <stp>.SPX250620C5670</stp>
        <tr r="BE105" s="1"/>
      </tp>
      <tp t="s">
        <v>N/A</v>
        <stp/>
        <stp>VOLUME</stp>
        <stp>.SPX250516C5510</stp>
        <tr r="BC121" s="1"/>
      </tp>
      <tp t="s">
        <v>N/A</v>
        <stp/>
        <stp>VOLUME</stp>
        <stp>.SPX250523C5640</stp>
        <tr r="H109" s="2"/>
      </tp>
      <tp t="s">
        <v>N/A</v>
        <stp/>
        <stp>VOLUME</stp>
        <stp>.SPX250815C5520</stp>
        <tr r="O121" s="2"/>
      </tp>
      <tp t="s">
        <v>N/A</v>
        <stp/>
        <stp>VOLUME</stp>
        <stp>.SPX251121C5660</stp>
        <tr r="U107" s="2"/>
      </tp>
      <tp t="s">
        <v>N/A</v>
        <stp/>
        <stp>VOLUME</stp>
        <stp>.SPX251017C5500</stp>
        <tr r="S123" s="2"/>
      </tp>
      <tp t="s">
        <v>N/A</v>
        <stp/>
        <stp>VOLUME</stp>
        <stp>.SPX251121P5660</stp>
        <tr r="U107" s="2"/>
      </tp>
      <tp t="s">
        <v>N/A</v>
        <stp/>
        <stp>VOLUME</stp>
        <stp>.SPX251017P5500</stp>
        <tr r="S123" s="2"/>
      </tp>
      <tp t="s">
        <v>N/A</v>
        <stp/>
        <stp>VOLUME</stp>
        <stp>.SPX250620P5670</stp>
        <tr r="BF105" s="1"/>
      </tp>
      <tp t="s">
        <v>N/A</v>
        <stp/>
        <stp>VOLUME</stp>
        <stp>.SPX250516P5510</stp>
        <tr r="BD121" s="1"/>
      </tp>
      <tp t="s">
        <v>N/A</v>
        <stp/>
        <stp>VOLUME</stp>
        <stp>.SPX250523P5640</stp>
        <tr r="H109" s="2"/>
      </tp>
      <tp t="s">
        <v>N/A</v>
        <stp/>
        <stp>VOLUME</stp>
        <stp>.SPX250815P5520</stp>
        <tr r="O121" s="2"/>
      </tp>
      <tp t="s">
        <v>N/A</v>
        <stp/>
        <stp>VOLUME</stp>
        <stp>.SPX250620C5640</stp>
        <tr r="BE108" s="1"/>
      </tp>
      <tp t="s">
        <v>N/A</v>
        <stp/>
        <stp>VOLUME</stp>
        <stp>.SPX250516C5520</stp>
        <tr r="BC120" s="1"/>
      </tp>
      <tp t="s">
        <v>N/A</v>
        <stp/>
        <stp>VOLUME</stp>
        <stp>.SPX250523C5670</stp>
        <tr r="H106" s="2"/>
      </tp>
      <tp t="s">
        <v>N/A</v>
        <stp/>
        <stp>VOLUME</stp>
        <stp>.SPX250815C5510</stp>
        <tr r="O122" s="2"/>
      </tp>
      <tp t="s">
        <v>N/A</v>
        <stp/>
        <stp>VOLUME</stp>
        <stp>.SPX251121C5650</stp>
        <tr r="U108" s="2"/>
      </tp>
      <tp t="s">
        <v>N/A</v>
        <stp/>
        <stp>VOLUME</stp>
        <stp>.SPX251017C5530</stp>
        <tr r="S120" s="2"/>
      </tp>
      <tp t="s">
        <v>N/A</v>
        <stp/>
        <stp>VOLUME</stp>
        <stp>.SPX251121P5650</stp>
        <tr r="U108" s="2"/>
      </tp>
      <tp t="s">
        <v>N/A</v>
        <stp/>
        <stp>VOLUME</stp>
        <stp>.SPX251017P5530</stp>
        <tr r="S120" s="2"/>
      </tp>
      <tp t="s">
        <v>N/A</v>
        <stp/>
        <stp>VOLUME</stp>
        <stp>.SPX250620P5640</stp>
        <tr r="BF108" s="1"/>
      </tp>
      <tp t="s">
        <v>N/A</v>
        <stp/>
        <stp>VOLUME</stp>
        <stp>.SPX250516P5520</stp>
        <tr r="BD120" s="1"/>
      </tp>
      <tp t="s">
        <v>N/A</v>
        <stp/>
        <stp>VOLUME</stp>
        <stp>.SPX250523P5670</stp>
        <tr r="H106" s="2"/>
      </tp>
      <tp t="s">
        <v>N/A</v>
        <stp/>
        <stp>VOLUME</stp>
        <stp>.SPX250815P5510</stp>
        <tr r="O122" s="2"/>
      </tp>
      <tp t="s">
        <v>N/A</v>
        <stp/>
        <stp>VOLUME</stp>
        <stp>.SPX250620C5650</stp>
        <tr r="BE107" s="1"/>
      </tp>
      <tp t="s">
        <v>N/A</v>
        <stp/>
        <stp>VOLUME</stp>
        <stp>.SPX250516C5530</stp>
        <tr r="BC119" s="1"/>
      </tp>
      <tp t="s">
        <v>N/A</v>
        <stp/>
        <stp>VOLUME</stp>
        <stp>.SPX250523C5660</stp>
        <tr r="H107" s="2"/>
      </tp>
      <tp t="s">
        <v>N/A</v>
        <stp/>
        <stp>VOLUME</stp>
        <stp>.SPX250815C5500</stp>
        <tr r="O123" s="2"/>
      </tp>
      <tp t="s">
        <v>N/A</v>
        <stp/>
        <stp>VOLUME</stp>
        <stp>.SPX251121C5640</stp>
        <tr r="U109" s="2"/>
      </tp>
      <tp t="s">
        <v>N/A</v>
        <stp/>
        <stp>VOLUME</stp>
        <stp>.SPX251017C5520</stp>
        <tr r="S121" s="2"/>
      </tp>
      <tp t="s">
        <v>N/A</v>
        <stp/>
        <stp>VOLUME</stp>
        <stp>.SPX251121P5640</stp>
        <tr r="U109" s="2"/>
      </tp>
      <tp t="s">
        <v>N/A</v>
        <stp/>
        <stp>VOLUME</stp>
        <stp>.SPX251017P5520</stp>
        <tr r="S121" s="2"/>
      </tp>
      <tp t="s">
        <v>N/A</v>
        <stp/>
        <stp>VOLUME</stp>
        <stp>.SPX250620P5650</stp>
        <tr r="BF107" s="1"/>
      </tp>
      <tp t="s">
        <v>N/A</v>
        <stp/>
        <stp>VOLUME</stp>
        <stp>.SPX250516P5530</stp>
        <tr r="BD119" s="1"/>
      </tp>
      <tp t="s">
        <v>N/A</v>
        <stp/>
        <stp>VOLUME</stp>
        <stp>.SPX250523P5660</stp>
        <tr r="H107" s="2"/>
      </tp>
      <tp t="s">
        <v>N/A</v>
        <stp/>
        <stp>VOLUME</stp>
        <stp>.SPX250815P5500</stp>
        <tr r="O123" s="2"/>
      </tp>
      <tp t="s">
        <v>N/A</v>
        <stp/>
        <stp>VOLUME</stp>
        <stp>.SPX250620C5620</stp>
        <tr r="BE110" s="1"/>
      </tp>
      <tp t="s">
        <v>N/A</v>
        <stp/>
        <stp>VOLUME</stp>
        <stp>.SPX250516C5540</stp>
        <tr r="BC118" s="1"/>
      </tp>
      <tp t="s">
        <v>N/A</v>
        <stp/>
        <stp>VOLUME</stp>
        <stp>.SPX250523C5610</stp>
        <tr r="H112" s="2"/>
      </tp>
      <tp t="s">
        <v>N/A</v>
        <stp/>
        <stp>VOLUME</stp>
        <stp>.SPX250815C5570</stp>
        <tr r="O116" s="2"/>
      </tp>
      <tp t="s">
        <v>N/A</v>
        <stp/>
        <stp>VOLUME</stp>
        <stp>.SPX251121C5630</stp>
        <tr r="U110" s="2"/>
      </tp>
      <tp t="s">
        <v>N/A</v>
        <stp/>
        <stp>VOLUME</stp>
        <stp>.SPX251017C5550</stp>
        <tr r="S118" s="2"/>
      </tp>
      <tp t="s">
        <v>N/A</v>
        <stp/>
        <stp>VOLUME</stp>
        <stp>.SPX251121P5630</stp>
        <tr r="U110" s="2"/>
      </tp>
      <tp t="s">
        <v>N/A</v>
        <stp/>
        <stp>VOLUME</stp>
        <stp>.SPX251017P5550</stp>
        <tr r="S118" s="2"/>
      </tp>
      <tp t="s">
        <v>N/A</v>
        <stp/>
        <stp>VOLUME</stp>
        <stp>.SPX250620P5620</stp>
        <tr r="BF110" s="1"/>
      </tp>
      <tp t="s">
        <v>N/A</v>
        <stp/>
        <stp>VOLUME</stp>
        <stp>.SPX250516P5540</stp>
        <tr r="BD118" s="1"/>
      </tp>
      <tp t="s">
        <v>N/A</v>
        <stp/>
        <stp>VOLUME</stp>
        <stp>.SPX250523P5610</stp>
        <tr r="H112" s="2"/>
      </tp>
      <tp t="s">
        <v>N/A</v>
        <stp/>
        <stp>VOLUME</stp>
        <stp>.SPX250815P5570</stp>
        <tr r="O116" s="2"/>
      </tp>
      <tp t="s">
        <v>N/A</v>
        <stp/>
        <stp>VOLUME</stp>
        <stp>.SPX250620C5630</stp>
        <tr r="BE109" s="1"/>
      </tp>
      <tp t="s">
        <v>N/A</v>
        <stp/>
        <stp>VOLUME</stp>
        <stp>.SPX250516C5550</stp>
        <tr r="BC117" s="1"/>
      </tp>
      <tp t="s">
        <v>N/A</v>
        <stp/>
        <stp>VOLUME</stp>
        <stp>.SPX250523C5600</stp>
        <tr r="H113" s="2"/>
      </tp>
      <tp t="s">
        <v>N/A</v>
        <stp/>
        <stp>VOLUME</stp>
        <stp>.SPX250815C5560</stp>
        <tr r="O117" s="2"/>
      </tp>
      <tp t="s">
        <v>N/A</v>
        <stp/>
        <stp>VOLUME</stp>
        <stp>.SPX251121C5620</stp>
        <tr r="U111" s="2"/>
      </tp>
      <tp t="s">
        <v>N/A</v>
        <stp/>
        <stp>VOLUME</stp>
        <stp>.SPX251017C5540</stp>
        <tr r="S119" s="2"/>
      </tp>
      <tp t="s">
        <v>N/A</v>
        <stp/>
        <stp>VOLUME</stp>
        <stp>.SPX251121P5620</stp>
        <tr r="U111" s="2"/>
      </tp>
      <tp t="s">
        <v>N/A</v>
        <stp/>
        <stp>VOLUME</stp>
        <stp>.SPX251017P5540</stp>
        <tr r="S119" s="2"/>
      </tp>
      <tp t="s">
        <v>N/A</v>
        <stp/>
        <stp>VOLUME</stp>
        <stp>.SPX250620P5630</stp>
        <tr r="BF109" s="1"/>
      </tp>
      <tp t="s">
        <v>N/A</v>
        <stp/>
        <stp>VOLUME</stp>
        <stp>.SPX250516P5550</stp>
        <tr r="BD117" s="1"/>
      </tp>
      <tp t="s">
        <v>N/A</v>
        <stp/>
        <stp>VOLUME</stp>
        <stp>.SPX250523P5600</stp>
        <tr r="H113" s="2"/>
      </tp>
      <tp t="s">
        <v>N/A</v>
        <stp/>
        <stp>VOLUME</stp>
        <stp>.SPX250815P5560</stp>
        <tr r="O117" s="2"/>
      </tp>
      <tp t="s">
        <v>N/A</v>
        <stp/>
        <stp>VOLUME</stp>
        <stp>.SPX250718C5580</stp>
        <tr r="M115" s="2"/>
      </tp>
      <tp t="s">
        <v>N/A</v>
        <stp/>
        <stp>VOLUME</stp>
        <stp>.SPX250620C5600</stp>
        <tr r="BE112" s="1"/>
      </tp>
      <tp t="s">
        <v>N/A</v>
        <stp/>
        <stp>VOLUME</stp>
        <stp>.SPX250516C5560</stp>
        <tr r="BC116" s="1"/>
      </tp>
      <tp t="s">
        <v>N/A</v>
        <stp/>
        <stp>VOLUME</stp>
        <stp>.SPX250523C5630</stp>
        <tr r="H110" s="2"/>
      </tp>
      <tp t="s">
        <v>N/A</v>
        <stp/>
        <stp>VOLUME</stp>
        <stp>.SPX250919C5590</stp>
        <tr r="Q114" s="2"/>
      </tp>
      <tp t="s">
        <v>N/A</v>
        <stp/>
        <stp>VOLUME</stp>
        <stp>.SPX250815C5550</stp>
        <tr r="O118" s="2"/>
      </tp>
      <tp t="s">
        <v>N/A</v>
        <stp/>
        <stp>VOLUME</stp>
        <stp>.SPX251219C5590</stp>
        <tr r="W114" s="2"/>
      </tp>
      <tp t="s">
        <v>N/A</v>
        <stp/>
        <stp>VOLUME</stp>
        <stp>.SPX251121C5610</stp>
        <tr r="U112" s="2"/>
      </tp>
      <tp t="s">
        <v>N/A</v>
        <stp/>
        <stp>VOLUME</stp>
        <stp>.SPX251017C5570</stp>
        <tr r="S116" s="2"/>
      </tp>
      <tp t="s">
        <v>N/A</v>
        <stp/>
        <stp>VOLUME</stp>
        <stp>.SPX251219P5590</stp>
        <tr r="W114" s="2"/>
      </tp>
      <tp t="s">
        <v>N/A</v>
        <stp/>
        <stp>VOLUME</stp>
        <stp>.SPX251121P5610</stp>
        <tr r="U112" s="2"/>
      </tp>
      <tp t="s">
        <v>N/A</v>
        <stp/>
        <stp>VOLUME</stp>
        <stp>.SPX251017P5570</stp>
        <tr r="S116" s="2"/>
      </tp>
      <tp t="s">
        <v>N/A</v>
        <stp/>
        <stp>VOLUME</stp>
        <stp>.SPX250718P5580</stp>
        <tr r="M115" s="2"/>
      </tp>
      <tp t="s">
        <v>N/A</v>
        <stp/>
        <stp>VOLUME</stp>
        <stp>.SPX250620P5600</stp>
        <tr r="BF112" s="1"/>
      </tp>
      <tp t="s">
        <v>N/A</v>
        <stp/>
        <stp>VOLUME</stp>
        <stp>.SPX250516P5560</stp>
        <tr r="BD116" s="1"/>
      </tp>
      <tp t="s">
        <v>N/A</v>
        <stp/>
        <stp>VOLUME</stp>
        <stp>.SPX250523P5630</stp>
        <tr r="H110" s="2"/>
      </tp>
      <tp t="s">
        <v>N/A</v>
        <stp/>
        <stp>VOLUME</stp>
        <stp>.SPX250919P5590</stp>
        <tr r="Q114" s="2"/>
      </tp>
      <tp t="s">
        <v>N/A</v>
        <stp/>
        <stp>VOLUME</stp>
        <stp>.SPX250815P5550</stp>
        <tr r="O118" s="2"/>
      </tp>
      <tp t="s">
        <v>N/A</v>
        <stp/>
        <stp>VOLUME</stp>
        <stp>.SPX250718C5590</stp>
        <tr r="M114" s="2"/>
      </tp>
      <tp t="s">
        <v>N/A</v>
        <stp/>
        <stp>VOLUME</stp>
        <stp>.SPX250620C5610</stp>
        <tr r="BE111" s="1"/>
      </tp>
      <tp t="s">
        <v>N/A</v>
        <stp/>
        <stp>VOLUME</stp>
        <stp>.SPX250516C5570</stp>
        <tr r="BC115" s="1"/>
      </tp>
      <tp t="s">
        <v>N/A</v>
        <stp/>
        <stp>VOLUME</stp>
        <stp>.SPX250523C5620</stp>
        <tr r="H111" s="2"/>
      </tp>
      <tp t="s">
        <v>N/A</v>
        <stp/>
        <stp>VOLUME</stp>
        <stp>.SPX250919C5580</stp>
        <tr r="Q115" s="2"/>
      </tp>
      <tp t="s">
        <v>N/A</v>
        <stp/>
        <stp>VOLUME</stp>
        <stp>.SPX250815C5540</stp>
        <tr r="O119" s="2"/>
      </tp>
      <tp t="s">
        <v>N/A</v>
        <stp/>
        <stp>VOLUME</stp>
        <stp>.SPX251219C5580</stp>
        <tr r="W115" s="2"/>
      </tp>
      <tp t="s">
        <v>N/A</v>
        <stp/>
        <stp>VOLUME</stp>
        <stp>.SPX251121C5600</stp>
        <tr r="U113" s="2"/>
      </tp>
      <tp t="s">
        <v>N/A</v>
        <stp/>
        <stp>VOLUME</stp>
        <stp>.SPX251017C5560</stp>
        <tr r="S117" s="2"/>
      </tp>
      <tp t="s">
        <v>N/A</v>
        <stp/>
        <stp>VOLUME</stp>
        <stp>.SPX251219P5580</stp>
        <tr r="W115" s="2"/>
      </tp>
      <tp>
        <v>3</v>
        <stp/>
        <stp>VOLUME</stp>
        <stp>.SPX251121P5600</stp>
        <tr r="U113" s="2"/>
        <tr r="U113" s="2"/>
      </tp>
      <tp t="s">
        <v>N/A</v>
        <stp/>
        <stp>VOLUME</stp>
        <stp>.SPX251017P5560</stp>
        <tr r="S117" s="2"/>
      </tp>
      <tp t="s">
        <v>N/A</v>
        <stp/>
        <stp>VOLUME</stp>
        <stp>.SPX250718P5590</stp>
        <tr r="M114" s="2"/>
      </tp>
      <tp t="s">
        <v>N/A</v>
        <stp/>
        <stp>VOLUME</stp>
        <stp>.SPX250620P5610</stp>
        <tr r="BF111" s="1"/>
      </tp>
      <tp t="s">
        <v>N/A</v>
        <stp/>
        <stp>VOLUME</stp>
        <stp>.SPX250516P5570</stp>
        <tr r="BD115" s="1"/>
      </tp>
      <tp t="s">
        <v>N/A</v>
        <stp/>
        <stp>VOLUME</stp>
        <stp>.SPX250523P5620</stp>
        <tr r="H111" s="2"/>
      </tp>
      <tp t="s">
        <v>N/A</v>
        <stp/>
        <stp>VOLUME</stp>
        <stp>.SPX250919P5580</stp>
        <tr r="Q115" s="2"/>
      </tp>
      <tp t="s">
        <v>N/A</v>
        <stp/>
        <stp>VOLUME</stp>
        <stp>.SPX250815P5540</stp>
        <tr r="O119" s="2"/>
      </tp>
      <tp t="s">
        <v>N/A</v>
        <stp/>
        <stp>VOLUME</stp>
        <stp>.SPX250718C5560</stp>
        <tr r="M117" s="2"/>
      </tp>
      <tp t="s">
        <v>N/A</v>
        <stp/>
        <stp>VOLUME</stp>
        <stp>.SPX250516C5580</stp>
        <tr r="BC114" s="1"/>
      </tp>
      <tp t="s">
        <v>N/A</v>
        <stp/>
        <stp>VOLUME</stp>
        <stp>.SPX250919C5570</stp>
        <tr r="Q116" s="2"/>
      </tp>
      <tp t="s">
        <v>N/A</v>
        <stp/>
        <stp>VOLUME</stp>
        <stp>.SPX251219C5570</stp>
        <tr r="W116" s="2"/>
      </tp>
      <tp t="s">
        <v>N/A</v>
        <stp/>
        <stp>VOLUME</stp>
        <stp>.SPX251017C5590</stp>
        <tr r="S114" s="2"/>
      </tp>
      <tp t="s">
        <v>N/A</v>
        <stp/>
        <stp>VOLUME</stp>
        <stp>.SPX251219P5570</stp>
        <tr r="W116" s="2"/>
      </tp>
      <tp t="s">
        <v>N/A</v>
        <stp/>
        <stp>VOLUME</stp>
        <stp>.SPX251017P5590</stp>
        <tr r="S114" s="2"/>
      </tp>
      <tp t="s">
        <v>N/A</v>
        <stp/>
        <stp>VOLUME</stp>
        <stp>.SPX250718P5560</stp>
        <tr r="M117" s="2"/>
      </tp>
      <tp t="s">
        <v>N/A</v>
        <stp/>
        <stp>VOLUME</stp>
        <stp>.SPX250516P5580</stp>
        <tr r="BD114" s="1"/>
      </tp>
      <tp t="s">
        <v>N/A</v>
        <stp/>
        <stp>VOLUME</stp>
        <stp>.SPX250919P5570</stp>
        <tr r="Q116" s="2"/>
      </tp>
      <tp t="s">
        <v>N/A</v>
        <stp/>
        <stp>VOLUME</stp>
        <stp>.SPX250718C5570</stp>
        <tr r="M116" s="2"/>
      </tp>
      <tp t="s">
        <v>N/A</v>
        <stp/>
        <stp>VOLUME</stp>
        <stp>.SPX250516C5590</stp>
        <tr r="BC113" s="1"/>
      </tp>
      <tp t="s">
        <v>N/A</v>
        <stp/>
        <stp>VOLUME</stp>
        <stp>.SPX250919C5560</stp>
        <tr r="Q117" s="2"/>
      </tp>
      <tp t="s">
        <v>N/A</v>
        <stp/>
        <stp>VOLUME</stp>
        <stp>.SPX251219C5560</stp>
        <tr r="W117" s="2"/>
      </tp>
      <tp t="s">
        <v>N/A</v>
        <stp/>
        <stp>VOLUME</stp>
        <stp>.SPX251017C5580</stp>
        <tr r="S115" s="2"/>
      </tp>
      <tp t="s">
        <v>N/A</v>
        <stp/>
        <stp>VOLUME</stp>
        <stp>.SPX251219P5560</stp>
        <tr r="W117" s="2"/>
      </tp>
      <tp t="s">
        <v>N/A</v>
        <stp/>
        <stp>VOLUME</stp>
        <stp>.SPX251017P5580</stp>
        <tr r="S115" s="2"/>
      </tp>
      <tp t="s">
        <v>N/A</v>
        <stp/>
        <stp>VOLUME</stp>
        <stp>.SPX250718P5570</stp>
        <tr r="M116" s="2"/>
      </tp>
      <tp>
        <v>6</v>
        <stp/>
        <stp>VOLUME</stp>
        <stp>.SPX250516P5590</stp>
        <tr r="BD113" s="1"/>
        <tr r="BD113" s="1"/>
      </tp>
      <tp t="s">
        <v>N/A</v>
        <stp/>
        <stp>VOLUME</stp>
        <stp>.SPX250919P5560</stp>
        <tr r="Q117" s="2"/>
      </tp>
      <tp t="s">
        <v>N/A</v>
        <stp/>
        <stp>VOLUME</stp>
        <stp>.SPX250718C5540</stp>
        <tr r="M119" s="2"/>
      </tp>
      <tp t="s">
        <v>N/A</v>
        <stp/>
        <stp>VOLUME</stp>
        <stp>.SPX250919C5550</stp>
        <tr r="Q118" s="2"/>
      </tp>
      <tp t="s">
        <v>N/A</v>
        <stp/>
        <stp>VOLUME</stp>
        <stp>.SPX250815C5590</stp>
        <tr r="O114" s="2"/>
      </tp>
      <tp t="s">
        <v>N/A</v>
        <stp/>
        <stp>VOLUME</stp>
        <stp>.SPX251219C5550</stp>
        <tr r="W118" s="2"/>
      </tp>
      <tp t="s">
        <v>N/A</v>
        <stp/>
        <stp>VOLUME</stp>
        <stp>.SPX251219P5550</stp>
        <tr r="W118" s="2"/>
      </tp>
      <tp t="s">
        <v>N/A</v>
        <stp/>
        <stp>VOLUME</stp>
        <stp>.SPX250718P5540</stp>
        <tr r="M119" s="2"/>
      </tp>
      <tp t="s">
        <v>N/A</v>
        <stp/>
        <stp>VOLUME</stp>
        <stp>.SPX250919P5550</stp>
        <tr r="Q118" s="2"/>
      </tp>
      <tp t="s">
        <v>N/A</v>
        <stp/>
        <stp>VOLUME</stp>
        <stp>.SPX250815P5590</stp>
        <tr r="O114" s="2"/>
      </tp>
      <tp t="s">
        <v>N/A</v>
        <stp/>
        <stp>VOLUME</stp>
        <stp>.SPX250718C5550</stp>
        <tr r="M118" s="2"/>
      </tp>
      <tp t="s">
        <v>N/A</v>
        <stp/>
        <stp>VOLUME</stp>
        <stp>.SPX250919C5540</stp>
        <tr r="Q119" s="2"/>
      </tp>
      <tp t="s">
        <v>N/A</v>
        <stp/>
        <stp>VOLUME</stp>
        <stp>.SPX250815C5580</stp>
        <tr r="O115" s="2"/>
      </tp>
      <tp t="s">
        <v>N/A</v>
        <stp/>
        <stp>VOLUME</stp>
        <stp>.SPX251219C5540</stp>
        <tr r="W119" s="2"/>
      </tp>
      <tp t="s">
        <v>N/A</v>
        <stp/>
        <stp>VOLUME</stp>
        <stp>.SPX251219P5540</stp>
        <tr r="W119" s="2"/>
      </tp>
      <tp t="s">
        <v>N/A</v>
        <stp/>
        <stp>VOLUME</stp>
        <stp>.SPX250718P5550</stp>
        <tr r="M118" s="2"/>
      </tp>
      <tp t="s">
        <v>N/A</v>
        <stp/>
        <stp>VOLUME</stp>
        <stp>.SPX250919P5540</stp>
        <tr r="Q119" s="2"/>
      </tp>
      <tp t="s">
        <v>N/A</v>
        <stp/>
        <stp>VOLUME</stp>
        <stp>.SPX250815P5580</stp>
        <tr r="O115" s="2"/>
      </tp>
      <tp t="s">
        <v>N/A</v>
        <stp/>
        <stp>VOLUME</stp>
        <stp>.SPX250718C5520</stp>
        <tr r="M121" s="2"/>
      </tp>
      <tp t="s">
        <v>N/A</v>
        <stp/>
        <stp>VOLUME</stp>
        <stp>.SPX250523C5690</stp>
        <tr r="H104" s="2"/>
      </tp>
      <tp t="s">
        <v>N/A</v>
        <stp/>
        <stp>VOLUME</stp>
        <stp>.SPX250919C5530</stp>
        <tr r="Q120" s="2"/>
      </tp>
      <tp t="s">
        <v>N/A</v>
        <stp/>
        <stp>VOLUME</stp>
        <stp>.SPX251219C5530</stp>
        <tr r="W120" s="2"/>
      </tp>
      <tp t="s">
        <v>N/A</v>
        <stp/>
        <stp>VOLUME</stp>
        <stp>.SPX251219P5530</stp>
        <tr r="W120" s="2"/>
      </tp>
      <tp t="s">
        <v>N/A</v>
        <stp/>
        <stp>VOLUME</stp>
        <stp>.SPX250718P5520</stp>
        <tr r="M121" s="2"/>
      </tp>
      <tp t="s">
        <v>N/A</v>
        <stp/>
        <stp>VOLUME</stp>
        <stp>.SPX250523P5690</stp>
        <tr r="H104" s="2"/>
      </tp>
      <tp t="s">
        <v>N/A</v>
        <stp/>
        <stp>VOLUME</stp>
        <stp>.SPX250919P5530</stp>
        <tr r="Q120" s="2"/>
      </tp>
      <tp t="s">
        <v>N/A</v>
        <stp/>
        <stp>VOLUME</stp>
        <stp>.SPX250718C5530</stp>
        <tr r="M120" s="2"/>
      </tp>
      <tp t="s">
        <v>N/A</v>
        <stp/>
        <stp>VOLUME</stp>
        <stp>.SPX250523C5680</stp>
        <tr r="H105" s="2"/>
      </tp>
      <tp t="s">
        <v>N/A</v>
        <stp/>
        <stp>VOLUME</stp>
        <stp>.SPX250919C5520</stp>
        <tr r="Q121" s="2"/>
      </tp>
      <tp t="s">
        <v>N/A</v>
        <stp/>
        <stp>VOLUME</stp>
        <stp>.SPX251219C5520</stp>
        <tr r="W121" s="2"/>
      </tp>
      <tp t="s">
        <v>N/A</v>
        <stp/>
        <stp>VOLUME</stp>
        <stp>.SPX251219P5520</stp>
        <tr r="W121" s="2"/>
      </tp>
      <tp t="s">
        <v>N/A</v>
        <stp/>
        <stp>VOLUME</stp>
        <stp>.SPX250718P5530</stp>
        <tr r="M120" s="2"/>
      </tp>
      <tp t="s">
        <v>N/A</v>
        <stp/>
        <stp>VOLUME</stp>
        <stp>.SPX250523P5680</stp>
        <tr r="H105" s="2"/>
      </tp>
      <tp t="s">
        <v>N/A</v>
        <stp/>
        <stp>VOLUME</stp>
        <stp>.SPX250919P5520</stp>
        <tr r="Q121" s="2"/>
      </tp>
      <tp t="s">
        <v>N/A</v>
        <stp/>
        <stp>VOLUME</stp>
        <stp>.SPX250718C5500</stp>
        <tr r="M123" s="2"/>
      </tp>
      <tp t="s">
        <v>N/A</v>
        <stp/>
        <stp>VOLUME</stp>
        <stp>.SPX250620C5680</stp>
        <tr r="BE104" s="1"/>
      </tp>
      <tp t="s">
        <v>N/A</v>
        <stp/>
        <stp>VOLUME</stp>
        <stp>.SPX250919C5510</stp>
        <tr r="Q122" s="2"/>
      </tp>
      <tp t="s">
        <v>N/A</v>
        <stp/>
        <stp>VOLUME</stp>
        <stp>.SPX251219C5510</stp>
        <tr r="W122" s="2"/>
      </tp>
      <tp t="s">
        <v>N/A</v>
        <stp/>
        <stp>VOLUME</stp>
        <stp>.SPX251121C5690</stp>
        <tr r="U104" s="2"/>
      </tp>
      <tp t="s">
        <v>N/A</v>
        <stp/>
        <stp>VOLUME</stp>
        <stp>.SPX251219P5510</stp>
        <tr r="W122" s="2"/>
      </tp>
      <tp t="s">
        <v>N/A</v>
        <stp/>
        <stp>VOLUME</stp>
        <stp>.SPX251121P5690</stp>
        <tr r="U104" s="2"/>
      </tp>
      <tp t="s">
        <v>N/A</v>
        <stp/>
        <stp>VOLUME</stp>
        <stp>.SPX250718P5500</stp>
        <tr r="M123" s="2"/>
      </tp>
      <tp t="s">
        <v>N/A</v>
        <stp/>
        <stp>VOLUME</stp>
        <stp>.SPX250620P5680</stp>
        <tr r="BF104" s="1"/>
      </tp>
      <tp t="s">
        <v>N/A</v>
        <stp/>
        <stp>VOLUME</stp>
        <stp>.SPX250919P5510</stp>
        <tr r="Q122" s="2"/>
      </tp>
      <tp t="s">
        <v>N/A</v>
        <stp/>
        <stp>VOLUME</stp>
        <stp>.SPX250718C5510</stp>
        <tr r="M122" s="2"/>
      </tp>
      <tp t="s">
        <v>N/A</v>
        <stp/>
        <stp>VOLUME</stp>
        <stp>.SPX250620C5690</stp>
        <tr r="BE103" s="1"/>
      </tp>
      <tp t="s">
        <v>N/A</v>
        <stp/>
        <stp>VOLUME</stp>
        <stp>.SPX250919C5500</stp>
        <tr r="Q123" s="2"/>
      </tp>
      <tp t="s">
        <v>N/A</v>
        <stp/>
        <stp>VOLUME</stp>
        <stp>.SPX251219C5500</stp>
        <tr r="W123" s="2"/>
      </tp>
      <tp t="s">
        <v>N/A</v>
        <stp/>
        <stp>VOLUME</stp>
        <stp>.SPX251121C5680</stp>
        <tr r="U105" s="2"/>
      </tp>
      <tp t="s">
        <v>N/A</v>
        <stp/>
        <stp>VOLUME</stp>
        <stp>.SPX251219P5500</stp>
        <tr r="W123" s="2"/>
      </tp>
      <tp t="s">
        <v>N/A</v>
        <stp/>
        <stp>VOLUME</stp>
        <stp>.SPX251121P5680</stp>
        <tr r="U105" s="2"/>
      </tp>
      <tp t="s">
        <v>N/A</v>
        <stp/>
        <stp>VOLUME</stp>
        <stp>.SPX250718P5510</stp>
        <tr r="M122" s="2"/>
      </tp>
      <tp t="s">
        <v>N/A</v>
        <stp/>
        <stp>VOLUME</stp>
        <stp>.SPX250620P5690</stp>
        <tr r="BF103" s="1"/>
      </tp>
      <tp t="s">
        <v>N/A</v>
        <stp/>
        <stp>VOLUME</stp>
        <stp>.SPX250919P5500</stp>
        <tr r="Q123" s="2"/>
      </tp>
      <tp t="s">
        <v>22.34%</v>
        <stp/>
        <stp>IMPL_VOL</stp>
        <stp>.NDX250620C20300</stp>
        <tr r="EP147" s="1"/>
      </tp>
      <tp t="s">
        <v>28.60%</v>
        <stp/>
        <stp>IMPL_VOL</stp>
        <stp>.NDX250516C19500</stp>
        <tr r="EN179" s="1"/>
      </tp>
      <tp t="s">
        <v>26.18%</v>
        <stp/>
        <stp>IMPL_VOL</stp>
        <stp>.NDX250516C20500</stp>
        <tr r="EN139" s="1"/>
      </tp>
      <tp t="s">
        <v>25.48%</v>
        <stp/>
        <stp>IMPL_VOL</stp>
        <stp>.NDX250620C19300</stp>
        <tr r="EP187" s="1"/>
      </tp>
      <tp t="s">
        <v>22.25%</v>
        <stp/>
        <stp>IMPL_VOL</stp>
        <stp>.NDX250620C20325</stp>
        <tr r="EP146" s="1"/>
      </tp>
      <tp t="s">
        <v>28.60%</v>
        <stp/>
        <stp>IMPL_VOL</stp>
        <stp>.NDX250516C19525</stp>
        <tr r="EN178" s="1"/>
      </tp>
      <tp t="s">
        <v>26.10%</v>
        <stp/>
        <stp>IMPL_VOL</stp>
        <stp>.NDX250516C20525</stp>
        <tr r="EN138" s="1"/>
      </tp>
      <tp t="s">
        <v>25.40%</v>
        <stp/>
        <stp>IMPL_VOL</stp>
        <stp>.NDX250620C19325</stp>
        <tr r="EP186" s="1"/>
      </tp>
      <tp t="s">
        <v>22.17%</v>
        <stp/>
        <stp>IMPL_VOL</stp>
        <stp>.NDX250620C20350</stp>
        <tr r="EP145" s="1"/>
      </tp>
      <tp t="s">
        <v>28.58%</v>
        <stp/>
        <stp>IMPL_VOL</stp>
        <stp>.NDX250516C19550</stp>
        <tr r="EN177" s="1"/>
      </tp>
      <tp t="s">
        <v>26.07%</v>
        <stp/>
        <stp>IMPL_VOL</stp>
        <stp>.NDX250516C20550</stp>
        <tr r="EN137" s="1"/>
      </tp>
      <tp t="s">
        <v>25.36%</v>
        <stp/>
        <stp>IMPL_VOL</stp>
        <stp>.NDX250620C19350</stp>
        <tr r="EP185" s="1"/>
      </tp>
      <tp t="s">
        <v>22.09%</v>
        <stp/>
        <stp>IMPL_VOL</stp>
        <stp>.NDX250620C20375</stp>
        <tr r="EP144" s="1"/>
      </tp>
      <tp t="s">
        <v>28.57%</v>
        <stp/>
        <stp>IMPL_VOL</stp>
        <stp>.NDX250516C19575</stp>
        <tr r="EN176" s="1"/>
      </tp>
      <tp t="s">
        <v>25.25%</v>
        <stp/>
        <stp>IMPL_VOL</stp>
        <stp>.NDX250620C19375</stp>
        <tr r="EP184" s="1"/>
      </tp>
      <tp t="s">
        <v>23.29%</v>
        <stp/>
        <stp>IMPL_VOL</stp>
        <stp>.NDX250620P20325</stp>
        <tr r="EQ146" s="1"/>
      </tp>
      <tp t="s">
        <v>30.56%</v>
        <stp/>
        <stp>IMPL_VOL</stp>
        <stp>.NDX250516P19525</stp>
        <tr r="EO178" s="1"/>
      </tp>
      <tp t="s">
        <v>27.86%</v>
        <stp/>
        <stp>IMPL_VOL</stp>
        <stp>.NDX250516P20525</stp>
        <tr r="EO138" s="1"/>
      </tp>
      <tp t="s">
        <v>26.62%</v>
        <stp/>
        <stp>IMPL_VOL</stp>
        <stp>.NDX250620P19325</stp>
        <tr r="EQ186" s="1"/>
      </tp>
      <tp t="s">
        <v>23.37%</v>
        <stp/>
        <stp>IMPL_VOL</stp>
        <stp>.NDX250620P20300</stp>
        <tr r="EQ147" s="1"/>
      </tp>
      <tp t="s">
        <v>30.64%</v>
        <stp/>
        <stp>IMPL_VOL</stp>
        <stp>.NDX250516P19500</stp>
        <tr r="EO179" s="1"/>
      </tp>
      <tp t="s">
        <v>27.99%</v>
        <stp/>
        <stp>IMPL_VOL</stp>
        <stp>.NDX250516P20500</stp>
        <tr r="EO139" s="1"/>
      </tp>
      <tp t="s">
        <v>26.70%</v>
        <stp/>
        <stp>IMPL_VOL</stp>
        <stp>.NDX250620P19300</stp>
        <tr r="EQ187" s="1"/>
      </tp>
      <tp t="s">
        <v>23.13%</v>
        <stp/>
        <stp>IMPL_VOL</stp>
        <stp>.NDX250620P20375</stp>
        <tr r="EQ144" s="1"/>
      </tp>
      <tp t="s">
        <v>30.46%</v>
        <stp/>
        <stp>IMPL_VOL</stp>
        <stp>.NDX250516P19575</stp>
        <tr r="EO176" s="1"/>
      </tp>
      <tp t="s">
        <v>26.45%</v>
        <stp/>
        <stp>IMPL_VOL</stp>
        <stp>.NDX250620P19375</stp>
        <tr r="EQ184" s="1"/>
      </tp>
      <tp t="s">
        <v>23.21%</v>
        <stp/>
        <stp>IMPL_VOL</stp>
        <stp>.NDX250620P20350</stp>
        <tr r="EQ145" s="1"/>
      </tp>
      <tp t="s">
        <v>30.48%</v>
        <stp/>
        <stp>IMPL_VOL</stp>
        <stp>.NDX250516P19550</stp>
        <tr r="EO177" s="1"/>
      </tp>
      <tp t="s">
        <v>28.14%</v>
        <stp/>
        <stp>IMPL_VOL</stp>
        <stp>.NDX250516P20550</stp>
        <tr r="EO137" s="1"/>
      </tp>
      <tp t="s">
        <v>26.53%</v>
        <stp/>
        <stp>IMPL_VOL</stp>
        <stp>.NDX250620P19350</stp>
        <tr r="EQ185" s="1"/>
      </tp>
      <tp t="s">
        <v>N/A</v>
        <stp/>
        <stp>VOLUME</stp>
        <stp>.SPX250620C5560</stp>
        <tr r="BE116" s="1"/>
      </tp>
      <tp t="s">
        <v>N/A</v>
        <stp/>
        <stp>VOLUME</stp>
        <stp>.SPX250516C5600</stp>
        <tr r="BC112" s="1"/>
      </tp>
      <tp t="s">
        <v>N/A</v>
        <stp/>
        <stp>VOLUME</stp>
        <stp>.SPX250523C5550</stp>
        <tr r="H118" s="2"/>
      </tp>
      <tp t="s">
        <v>N/A</v>
        <stp/>
        <stp>VOLUME</stp>
        <stp>.SPX250815C5630</stp>
        <tr r="O110" s="2"/>
      </tp>
      <tp t="s">
        <v>N/A</v>
        <stp/>
        <stp>VOLUME</stp>
        <stp>.SPX251121C5570</stp>
        <tr r="U116" s="2"/>
      </tp>
      <tp t="s">
        <v>N/A</v>
        <stp/>
        <stp>VOLUME</stp>
        <stp>.SPX251017C5610</stp>
        <tr r="S112" s="2"/>
      </tp>
      <tp t="s">
        <v>N/A</v>
        <stp/>
        <stp>VOLUME</stp>
        <stp>.SPX251121P5570</stp>
        <tr r="U116" s="2"/>
      </tp>
      <tp t="s">
        <v>N/A</v>
        <stp/>
        <stp>VOLUME</stp>
        <stp>.SPX251017P5610</stp>
        <tr r="S112" s="2"/>
      </tp>
      <tp t="s">
        <v>N/A</v>
        <stp/>
        <stp>VOLUME</stp>
        <stp>.SPX250620P5560</stp>
        <tr r="BF116" s="1"/>
      </tp>
      <tp>
        <v>1</v>
        <stp/>
        <stp>VOLUME</stp>
        <stp>.SPX250516P5600</stp>
        <tr r="BD112" s="1"/>
        <tr r="BD112" s="1"/>
      </tp>
      <tp t="s">
        <v>N/A</v>
        <stp/>
        <stp>VOLUME</stp>
        <stp>.SPX250523P5550</stp>
        <tr r="H118" s="2"/>
      </tp>
      <tp t="s">
        <v>N/A</v>
        <stp/>
        <stp>VOLUME</stp>
        <stp>.SPX250815P5630</stp>
        <tr r="O110" s="2"/>
      </tp>
      <tp t="s">
        <v>N/A</v>
        <stp/>
        <stp>VOLUME</stp>
        <stp>.SPX250620C5570</stp>
        <tr r="BE115" s="1"/>
      </tp>
      <tp t="s">
        <v>N/A</v>
        <stp/>
        <stp>VOLUME</stp>
        <stp>.SPX250516C5610</stp>
        <tr r="BC111" s="1"/>
      </tp>
      <tp t="s">
        <v>N/A</v>
        <stp/>
        <stp>VOLUME</stp>
        <stp>.SPX250523C5540</stp>
        <tr r="H119" s="2"/>
      </tp>
      <tp t="s">
        <v>N/A</v>
        <stp/>
        <stp>VOLUME</stp>
        <stp>.SPX250815C5620</stp>
        <tr r="O111" s="2"/>
      </tp>
      <tp t="s">
        <v>N/A</v>
        <stp/>
        <stp>VOLUME</stp>
        <stp>.SPX251121C5560</stp>
        <tr r="U117" s="2"/>
      </tp>
      <tp t="s">
        <v>N/A</v>
        <stp/>
        <stp>VOLUME</stp>
        <stp>.SPX251017C5600</stp>
        <tr r="S113" s="2"/>
      </tp>
      <tp t="s">
        <v>N/A</v>
        <stp/>
        <stp>VOLUME</stp>
        <stp>.SPX251121P5560</stp>
        <tr r="U117" s="2"/>
      </tp>
      <tp t="s">
        <v>N/A</v>
        <stp/>
        <stp>VOLUME</stp>
        <stp>.SPX251017P5600</stp>
        <tr r="S113" s="2"/>
      </tp>
      <tp t="s">
        <v>N/A</v>
        <stp/>
        <stp>VOLUME</stp>
        <stp>.SPX250620P5570</stp>
        <tr r="BF115" s="1"/>
      </tp>
      <tp t="s">
        <v>N/A</v>
        <stp/>
        <stp>VOLUME</stp>
        <stp>.SPX250516P5610</stp>
        <tr r="BD111" s="1"/>
      </tp>
      <tp t="s">
        <v>N/A</v>
        <stp/>
        <stp>VOLUME</stp>
        <stp>.SPX250523P5540</stp>
        <tr r="H119" s="2"/>
      </tp>
      <tp t="s">
        <v>N/A</v>
        <stp/>
        <stp>VOLUME</stp>
        <stp>.SPX250815P5620</stp>
        <tr r="O111" s="2"/>
      </tp>
      <tp t="s">
        <v>N/A</v>
        <stp/>
        <stp>VOLUME</stp>
        <stp>.SPX250620C5540</stp>
        <tr r="BE118" s="1"/>
      </tp>
      <tp t="s">
        <v>N/A</v>
        <stp/>
        <stp>VOLUME</stp>
        <stp>.SPX250516C5620</stp>
        <tr r="BC110" s="1"/>
      </tp>
      <tp t="s">
        <v>N/A</v>
        <stp/>
        <stp>VOLUME</stp>
        <stp>.SPX250523C5570</stp>
        <tr r="H116" s="2"/>
      </tp>
      <tp t="s">
        <v>N/A</v>
        <stp/>
        <stp>VOLUME</stp>
        <stp>.SPX250815C5610</stp>
        <tr r="O112" s="2"/>
      </tp>
      <tp t="s">
        <v>N/A</v>
        <stp/>
        <stp>VOLUME</stp>
        <stp>.SPX251121C5550</stp>
        <tr r="U118" s="2"/>
      </tp>
      <tp t="s">
        <v>N/A</v>
        <stp/>
        <stp>VOLUME</stp>
        <stp>.SPX251017C5630</stp>
        <tr r="S110" s="2"/>
      </tp>
      <tp t="s">
        <v>N/A</v>
        <stp/>
        <stp>VOLUME</stp>
        <stp>.SPX251121P5550</stp>
        <tr r="U118" s="2"/>
      </tp>
      <tp t="s">
        <v>N/A</v>
        <stp/>
        <stp>VOLUME</stp>
        <stp>.SPX251017P5630</stp>
        <tr r="S110" s="2"/>
      </tp>
      <tp t="s">
        <v>N/A</v>
        <stp/>
        <stp>VOLUME</stp>
        <stp>.SPX250620P5540</stp>
        <tr r="BF118" s="1"/>
      </tp>
      <tp t="s">
        <v>N/A</v>
        <stp/>
        <stp>VOLUME</stp>
        <stp>.SPX250516P5620</stp>
        <tr r="BD110" s="1"/>
      </tp>
      <tp t="s">
        <v>N/A</v>
        <stp/>
        <stp>VOLUME</stp>
        <stp>.SPX250523P5570</stp>
        <tr r="H116" s="2"/>
      </tp>
      <tp t="s">
        <v>N/A</v>
        <stp/>
        <stp>VOLUME</stp>
        <stp>.SPX250815P5610</stp>
        <tr r="O112" s="2"/>
      </tp>
      <tp t="s">
        <v>N/A</v>
        <stp/>
        <stp>VOLUME</stp>
        <stp>.SPX250620C5550</stp>
        <tr r="BE117" s="1"/>
      </tp>
      <tp t="s">
        <v>N/A</v>
        <stp/>
        <stp>VOLUME</stp>
        <stp>.SPX250516C5630</stp>
        <tr r="BC109" s="1"/>
      </tp>
      <tp t="s">
        <v>N/A</v>
        <stp/>
        <stp>VOLUME</stp>
        <stp>.SPX250523C5560</stp>
        <tr r="H117" s="2"/>
      </tp>
      <tp t="s">
        <v>N/A</v>
        <stp/>
        <stp>VOLUME</stp>
        <stp>.SPX250815C5600</stp>
        <tr r="O113" s="2"/>
      </tp>
      <tp t="s">
        <v>N/A</v>
        <stp/>
        <stp>VOLUME</stp>
        <stp>.SPX251121C5540</stp>
        <tr r="U119" s="2"/>
      </tp>
      <tp t="s">
        <v>N/A</v>
        <stp/>
        <stp>VOLUME</stp>
        <stp>.SPX251017C5620</stp>
        <tr r="S111" s="2"/>
      </tp>
      <tp t="s">
        <v>N/A</v>
        <stp/>
        <stp>VOLUME</stp>
        <stp>.SPX251121P5540</stp>
        <tr r="U119" s="2"/>
      </tp>
      <tp t="s">
        <v>N/A</v>
        <stp/>
        <stp>VOLUME</stp>
        <stp>.SPX251017P5620</stp>
        <tr r="S111" s="2"/>
      </tp>
      <tp t="s">
        <v>N/A</v>
        <stp/>
        <stp>VOLUME</stp>
        <stp>.SPX250620P5550</stp>
        <tr r="BF117" s="1"/>
      </tp>
      <tp t="s">
        <v>N/A</v>
        <stp/>
        <stp>VOLUME</stp>
        <stp>.SPX250516P5630</stp>
        <tr r="BD109" s="1"/>
      </tp>
      <tp t="s">
        <v>N/A</v>
        <stp/>
        <stp>VOLUME</stp>
        <stp>.SPX250523P5560</stp>
        <tr r="H117" s="2"/>
      </tp>
      <tp t="s">
        <v>N/A</v>
        <stp/>
        <stp>VOLUME</stp>
        <stp>.SPX250815P5600</stp>
        <tr r="O113" s="2"/>
      </tp>
      <tp t="s">
        <v>N/A</v>
        <stp/>
        <stp>VOLUME</stp>
        <stp>.SPX250620C5520</stp>
        <tr r="BE120" s="1"/>
      </tp>
      <tp t="s">
        <v>N/A</v>
        <stp/>
        <stp>VOLUME</stp>
        <stp>.SPX250516C5640</stp>
        <tr r="BC108" s="1"/>
      </tp>
      <tp t="s">
        <v>N/A</v>
        <stp/>
        <stp>VOLUME</stp>
        <stp>.SPX250523C5510</stp>
        <tr r="H122" s="2"/>
      </tp>
      <tp t="s">
        <v>N/A</v>
        <stp/>
        <stp>VOLUME</stp>
        <stp>.SPX250815C5670</stp>
        <tr r="O106" s="2"/>
      </tp>
      <tp t="s">
        <v>N/A</v>
        <stp/>
        <stp>VOLUME</stp>
        <stp>.SPX251121C5530</stp>
        <tr r="U120" s="2"/>
      </tp>
      <tp t="s">
        <v>N/A</v>
        <stp/>
        <stp>VOLUME</stp>
        <stp>.SPX251017C5650</stp>
        <tr r="S108" s="2"/>
      </tp>
      <tp t="s">
        <v>N/A</v>
        <stp/>
        <stp>VOLUME</stp>
        <stp>.SPX251121P5530</stp>
        <tr r="U120" s="2"/>
      </tp>
      <tp t="s">
        <v>N/A</v>
        <stp/>
        <stp>VOLUME</stp>
        <stp>.SPX251017P5650</stp>
        <tr r="S108" s="2"/>
      </tp>
      <tp t="s">
        <v>N/A</v>
        <stp/>
        <stp>VOLUME</stp>
        <stp>.SPX250620P5520</stp>
        <tr r="BF120" s="1"/>
      </tp>
      <tp>
        <v>4</v>
        <stp/>
        <stp>VOLUME</stp>
        <stp>.SPX250516P5640</stp>
        <tr r="BD108" s="1"/>
        <tr r="BD108" s="1"/>
      </tp>
      <tp t="s">
        <v>N/A</v>
        <stp/>
        <stp>VOLUME</stp>
        <stp>.SPX250523P5510</stp>
        <tr r="H122" s="2"/>
      </tp>
      <tp t="s">
        <v>N/A</v>
        <stp/>
        <stp>VOLUME</stp>
        <stp>.SPX250815P5670</stp>
        <tr r="O106" s="2"/>
      </tp>
      <tp t="s">
        <v>N/A</v>
        <stp/>
        <stp>VOLUME</stp>
        <stp>.SPX250620C5530</stp>
        <tr r="BE119" s="1"/>
      </tp>
      <tp t="s">
        <v>N/A</v>
        <stp/>
        <stp>VOLUME</stp>
        <stp>.SPX250516C5650</stp>
        <tr r="BC107" s="1"/>
      </tp>
      <tp t="s">
        <v>N/A</v>
        <stp/>
        <stp>VOLUME</stp>
        <stp>.SPX250523C5500</stp>
        <tr r="H123" s="2"/>
      </tp>
      <tp t="s">
        <v>N/A</v>
        <stp/>
        <stp>VOLUME</stp>
        <stp>.SPX250815C5660</stp>
        <tr r="O107" s="2"/>
      </tp>
      <tp t="s">
        <v>N/A</v>
        <stp/>
        <stp>VOLUME</stp>
        <stp>.SPX251121C5520</stp>
        <tr r="U121" s="2"/>
      </tp>
      <tp t="s">
        <v>N/A</v>
        <stp/>
        <stp>VOLUME</stp>
        <stp>.SPX251017C5640</stp>
        <tr r="S109" s="2"/>
      </tp>
      <tp t="s">
        <v>N/A</v>
        <stp/>
        <stp>VOLUME</stp>
        <stp>.SPX251121P5520</stp>
        <tr r="U121" s="2"/>
      </tp>
      <tp t="s">
        <v>N/A</v>
        <stp/>
        <stp>VOLUME</stp>
        <stp>.SPX251017P5640</stp>
        <tr r="S109" s="2"/>
      </tp>
      <tp t="s">
        <v>N/A</v>
        <stp/>
        <stp>VOLUME</stp>
        <stp>.SPX250620P5530</stp>
        <tr r="BF119" s="1"/>
      </tp>
      <tp>
        <v>1</v>
        <stp/>
        <stp>VOLUME</stp>
        <stp>.SPX250516P5650</stp>
        <tr r="BD107" s="1"/>
        <tr r="BD107" s="1"/>
      </tp>
      <tp t="s">
        <v>N/A</v>
        <stp/>
        <stp>VOLUME</stp>
        <stp>.SPX250523P5500</stp>
        <tr r="H123" s="2"/>
      </tp>
      <tp t="s">
        <v>N/A</v>
        <stp/>
        <stp>VOLUME</stp>
        <stp>.SPX250815P5660</stp>
        <tr r="O107" s="2"/>
      </tp>
      <tp t="s">
        <v>N/A</v>
        <stp/>
        <stp>VOLUME</stp>
        <stp>.SPX250718C5680</stp>
        <tr r="M105" s="2"/>
      </tp>
      <tp t="s">
        <v>N/A</v>
        <stp/>
        <stp>VOLUME</stp>
        <stp>.SPX250620C5500</stp>
        <tr r="BE122" s="1"/>
      </tp>
      <tp t="s">
        <v>N/A</v>
        <stp/>
        <stp>VOLUME</stp>
        <stp>.SPX250516C5660</stp>
        <tr r="BC106" s="1"/>
      </tp>
      <tp t="s">
        <v>N/A</v>
        <stp/>
        <stp>VOLUME</stp>
        <stp>.SPX250523C5530</stp>
        <tr r="H120" s="2"/>
      </tp>
      <tp t="s">
        <v>N/A</v>
        <stp/>
        <stp>VOLUME</stp>
        <stp>.SPX250919C5690</stp>
        <tr r="Q104" s="2"/>
      </tp>
      <tp t="s">
        <v>N/A</v>
        <stp/>
        <stp>VOLUME</stp>
        <stp>.SPX250815C5650</stp>
        <tr r="O108" s="2"/>
      </tp>
      <tp t="s">
        <v>N/A</v>
        <stp/>
        <stp>VOLUME</stp>
        <stp>.SPX251219C5690</stp>
        <tr r="W104" s="2"/>
      </tp>
      <tp t="s">
        <v>N/A</v>
        <stp/>
        <stp>VOLUME</stp>
        <stp>.SPX251121C5510</stp>
        <tr r="U122" s="2"/>
      </tp>
      <tp t="s">
        <v>N/A</v>
        <stp/>
        <stp>VOLUME</stp>
        <stp>.SPX251017C5670</stp>
        <tr r="S106" s="2"/>
      </tp>
      <tp t="s">
        <v>N/A</v>
        <stp/>
        <stp>VOLUME</stp>
        <stp>.SPX251219P5690</stp>
        <tr r="W104" s="2"/>
      </tp>
      <tp t="s">
        <v>N/A</v>
        <stp/>
        <stp>VOLUME</stp>
        <stp>.SPX251121P5510</stp>
        <tr r="U122" s="2"/>
      </tp>
      <tp t="s">
        <v>N/A</v>
        <stp/>
        <stp>VOLUME</stp>
        <stp>.SPX251017P5670</stp>
        <tr r="S106" s="2"/>
      </tp>
      <tp t="s">
        <v>N/A</v>
        <stp/>
        <stp>VOLUME</stp>
        <stp>.SPX250718P5680</stp>
        <tr r="M105" s="2"/>
      </tp>
      <tp t="s">
        <v>N/A</v>
        <stp/>
        <stp>VOLUME</stp>
        <stp>.SPX250620P5500</stp>
        <tr r="BF122" s="1"/>
      </tp>
      <tp t="s">
        <v>N/A</v>
        <stp/>
        <stp>VOLUME</stp>
        <stp>.SPX250516P5660</stp>
        <tr r="BD106" s="1"/>
      </tp>
      <tp t="s">
        <v>N/A</v>
        <stp/>
        <stp>VOLUME</stp>
        <stp>.SPX250523P5530</stp>
        <tr r="H120" s="2"/>
      </tp>
      <tp t="s">
        <v>N/A</v>
        <stp/>
        <stp>VOLUME</stp>
        <stp>.SPX250919P5690</stp>
        <tr r="Q104" s="2"/>
      </tp>
      <tp t="s">
        <v>N/A</v>
        <stp/>
        <stp>VOLUME</stp>
        <stp>.SPX250815P5650</stp>
        <tr r="O108" s="2"/>
      </tp>
      <tp t="s">
        <v>N/A</v>
        <stp/>
        <stp>VOLUME</stp>
        <stp>.SPX250718C5690</stp>
        <tr r="M104" s="2"/>
      </tp>
      <tp t="s">
        <v>N/A</v>
        <stp/>
        <stp>VOLUME</stp>
        <stp>.SPX250620C5510</stp>
        <tr r="BE121" s="1"/>
      </tp>
      <tp t="s">
        <v>N/A</v>
        <stp/>
        <stp>VOLUME</stp>
        <stp>.SPX250516C5670</stp>
        <tr r="BC105" s="1"/>
      </tp>
      <tp t="s">
        <v>N/A</v>
        <stp/>
        <stp>VOLUME</stp>
        <stp>.SPX250523C5520</stp>
        <tr r="H121" s="2"/>
      </tp>
      <tp t="s">
        <v>N/A</v>
        <stp/>
        <stp>VOLUME</stp>
        <stp>.SPX250919C5680</stp>
        <tr r="Q105" s="2"/>
      </tp>
      <tp t="s">
        <v>N/A</v>
        <stp/>
        <stp>VOLUME</stp>
        <stp>.SPX250815C5640</stp>
        <tr r="O109" s="2"/>
      </tp>
      <tp t="s">
        <v>N/A</v>
        <stp/>
        <stp>VOLUME</stp>
        <stp>.SPX251219C5680</stp>
        <tr r="W105" s="2"/>
      </tp>
      <tp t="s">
        <v>N/A</v>
        <stp/>
        <stp>VOLUME</stp>
        <stp>.SPX251121C5500</stp>
        <tr r="U123" s="2"/>
      </tp>
      <tp t="s">
        <v>N/A</v>
        <stp/>
        <stp>VOLUME</stp>
        <stp>.SPX251017C5660</stp>
        <tr r="S107" s="2"/>
      </tp>
      <tp t="s">
        <v>N/A</v>
        <stp/>
        <stp>VOLUME</stp>
        <stp>.SPX251219P5680</stp>
        <tr r="W105" s="2"/>
      </tp>
      <tp t="s">
        <v>N/A</v>
        <stp/>
        <stp>VOLUME</stp>
        <stp>.SPX251121P5500</stp>
        <tr r="U123" s="2"/>
      </tp>
      <tp t="s">
        <v>N/A</v>
        <stp/>
        <stp>VOLUME</stp>
        <stp>.SPX251017P5660</stp>
        <tr r="S107" s="2"/>
      </tp>
      <tp t="s">
        <v>N/A</v>
        <stp/>
        <stp>VOLUME</stp>
        <stp>.SPX250718P5690</stp>
        <tr r="M104" s="2"/>
      </tp>
      <tp t="s">
        <v>N/A</v>
        <stp/>
        <stp>VOLUME</stp>
        <stp>.SPX250620P5510</stp>
        <tr r="BF121" s="1"/>
      </tp>
      <tp t="s">
        <v>N/A</v>
        <stp/>
        <stp>VOLUME</stp>
        <stp>.SPX250516P5670</stp>
        <tr r="BD105" s="1"/>
      </tp>
      <tp t="s">
        <v>N/A</v>
        <stp/>
        <stp>VOLUME</stp>
        <stp>.SPX250523P5520</stp>
        <tr r="H121" s="2"/>
      </tp>
      <tp t="s">
        <v>N/A</v>
        <stp/>
        <stp>VOLUME</stp>
        <stp>.SPX250919P5680</stp>
        <tr r="Q105" s="2"/>
      </tp>
      <tp t="s">
        <v>N/A</v>
        <stp/>
        <stp>VOLUME</stp>
        <stp>.SPX250815P5640</stp>
        <tr r="O109" s="2"/>
      </tp>
      <tp t="s">
        <v>N/A</v>
        <stp/>
        <stp>VOLUME</stp>
        <stp>.SPX250718C5660</stp>
        <tr r="M107" s="2"/>
      </tp>
      <tp t="s">
        <v>N/A</v>
        <stp/>
        <stp>VOLUME</stp>
        <stp>.SPX250516C5680</stp>
        <tr r="BC104" s="1"/>
      </tp>
      <tp t="s">
        <v>N/A</v>
        <stp/>
        <stp>VOLUME</stp>
        <stp>.SPX250919C5670</stp>
        <tr r="Q106" s="2"/>
      </tp>
      <tp t="s">
        <v>N/A</v>
        <stp/>
        <stp>VOLUME</stp>
        <stp>.SPX251219C5670</stp>
        <tr r="W106" s="2"/>
      </tp>
      <tp t="s">
        <v>N/A</v>
        <stp/>
        <stp>VOLUME</stp>
        <stp>.SPX251017C5690</stp>
        <tr r="S104" s="2"/>
      </tp>
      <tp t="s">
        <v>N/A</v>
        <stp/>
        <stp>VOLUME</stp>
        <stp>.SPX251219P5670</stp>
        <tr r="W106" s="2"/>
      </tp>
      <tp t="s">
        <v>N/A</v>
        <stp/>
        <stp>VOLUME</stp>
        <stp>.SPX251017P5690</stp>
        <tr r="S104" s="2"/>
      </tp>
      <tp t="s">
        <v>N/A</v>
        <stp/>
        <stp>VOLUME</stp>
        <stp>.SPX250718P5660</stp>
        <tr r="M107" s="2"/>
      </tp>
      <tp t="s">
        <v>N/A</v>
        <stp/>
        <stp>VOLUME</stp>
        <stp>.SPX250516P5680</stp>
        <tr r="BD104" s="1"/>
      </tp>
      <tp t="s">
        <v>N/A</v>
        <stp/>
        <stp>VOLUME</stp>
        <stp>.SPX250919P5670</stp>
        <tr r="Q106" s="2"/>
      </tp>
      <tp t="s">
        <v>N/A</v>
        <stp/>
        <stp>VOLUME</stp>
        <stp>.SPX250718C5670</stp>
        <tr r="M106" s="2"/>
      </tp>
      <tp t="s">
        <v>N/A</v>
        <stp/>
        <stp>VOLUME</stp>
        <stp>.SPX250516C5690</stp>
        <tr r="BC103" s="1"/>
      </tp>
      <tp t="s">
        <v>N/A</v>
        <stp/>
        <stp>VOLUME</stp>
        <stp>.SPX250919C5660</stp>
        <tr r="Q107" s="2"/>
      </tp>
      <tp t="s">
        <v>N/A</v>
        <stp/>
        <stp>VOLUME</stp>
        <stp>.SPX251219C5660</stp>
        <tr r="W107" s="2"/>
      </tp>
      <tp t="s">
        <v>N/A</v>
        <stp/>
        <stp>VOLUME</stp>
        <stp>.SPX251017C5680</stp>
        <tr r="S105" s="2"/>
      </tp>
      <tp t="s">
        <v>N/A</v>
        <stp/>
        <stp>VOLUME</stp>
        <stp>.SPX251219P5660</stp>
        <tr r="W107" s="2"/>
      </tp>
      <tp t="s">
        <v>N/A</v>
        <stp/>
        <stp>VOLUME</stp>
        <stp>.SPX251017P5680</stp>
        <tr r="S105" s="2"/>
      </tp>
      <tp t="s">
        <v>N/A</v>
        <stp/>
        <stp>VOLUME</stp>
        <stp>.SPX250718P5670</stp>
        <tr r="M106" s="2"/>
      </tp>
      <tp t="s">
        <v>N/A</v>
        <stp/>
        <stp>VOLUME</stp>
        <stp>.SPX250516P5690</stp>
        <tr r="BD103" s="1"/>
      </tp>
      <tp t="s">
        <v>N/A</v>
        <stp/>
        <stp>VOLUME</stp>
        <stp>.SPX250919P5660</stp>
        <tr r="Q107" s="2"/>
      </tp>
      <tp t="s">
        <v>N/A</v>
        <stp/>
        <stp>VOLUME</stp>
        <stp>.SPX250718C5640</stp>
        <tr r="M109" s="2"/>
      </tp>
      <tp t="s">
        <v>N/A</v>
        <stp/>
        <stp>VOLUME</stp>
        <stp>.SPX250919C5650</stp>
        <tr r="Q108" s="2"/>
      </tp>
      <tp t="s">
        <v>N/A</v>
        <stp/>
        <stp>VOLUME</stp>
        <stp>.SPX250815C5690</stp>
        <tr r="O104" s="2"/>
      </tp>
      <tp t="s">
        <v>N/A</v>
        <stp/>
        <stp>VOLUME</stp>
        <stp>.SPX251219C5650</stp>
        <tr r="W108" s="2"/>
      </tp>
      <tp t="s">
        <v>N/A</v>
        <stp/>
        <stp>VOLUME</stp>
        <stp>.SPX251219P5650</stp>
        <tr r="W108" s="2"/>
      </tp>
      <tp t="s">
        <v>N/A</v>
        <stp/>
        <stp>VOLUME</stp>
        <stp>.SPX250718P5640</stp>
        <tr r="M109" s="2"/>
      </tp>
      <tp t="s">
        <v>N/A</v>
        <stp/>
        <stp>VOLUME</stp>
        <stp>.SPX250919P5650</stp>
        <tr r="Q108" s="2"/>
      </tp>
      <tp t="s">
        <v>N/A</v>
        <stp/>
        <stp>VOLUME</stp>
        <stp>.SPX250815P5690</stp>
        <tr r="O104" s="2"/>
      </tp>
      <tp t="s">
        <v>N/A</v>
        <stp/>
        <stp>VOLUME</stp>
        <stp>.SPX250718C5650</stp>
        <tr r="M108" s="2"/>
      </tp>
      <tp t="s">
        <v>N/A</v>
        <stp/>
        <stp>VOLUME</stp>
        <stp>.SPX250919C5640</stp>
        <tr r="Q109" s="2"/>
      </tp>
      <tp t="s">
        <v>N/A</v>
        <stp/>
        <stp>VOLUME</stp>
        <stp>.SPX250815C5680</stp>
        <tr r="O105" s="2"/>
      </tp>
      <tp t="s">
        <v>N/A</v>
        <stp/>
        <stp>VOLUME</stp>
        <stp>.SPX251219C5640</stp>
        <tr r="W109" s="2"/>
      </tp>
      <tp t="s">
        <v>N/A</v>
        <stp/>
        <stp>VOLUME</stp>
        <stp>.SPX251219P5640</stp>
        <tr r="W109" s="2"/>
      </tp>
      <tp t="s">
        <v>N/A</v>
        <stp/>
        <stp>VOLUME</stp>
        <stp>.SPX250718P5650</stp>
        <tr r="M108" s="2"/>
      </tp>
      <tp t="s">
        <v>N/A</v>
        <stp/>
        <stp>VOLUME</stp>
        <stp>.SPX250919P5640</stp>
        <tr r="Q109" s="2"/>
      </tp>
      <tp t="s">
        <v>N/A</v>
        <stp/>
        <stp>VOLUME</stp>
        <stp>.SPX250815P5680</stp>
        <tr r="O105" s="2"/>
      </tp>
      <tp t="s">
        <v>N/A</v>
        <stp/>
        <stp>VOLUME</stp>
        <stp>.SPX250718C5620</stp>
        <tr r="M111" s="2"/>
      </tp>
      <tp t="s">
        <v>N/A</v>
        <stp/>
        <stp>VOLUME</stp>
        <stp>.SPX250523C5590</stp>
        <tr r="H114" s="2"/>
      </tp>
      <tp t="s">
        <v>N/A</v>
        <stp/>
        <stp>VOLUME</stp>
        <stp>.SPX250919C5630</stp>
        <tr r="Q110" s="2"/>
      </tp>
      <tp t="s">
        <v>N/A</v>
        <stp/>
        <stp>VOLUME</stp>
        <stp>.SPX251219C5630</stp>
        <tr r="W110" s="2"/>
      </tp>
      <tp t="s">
        <v>N/A</v>
        <stp/>
        <stp>VOLUME</stp>
        <stp>.SPX251219P5630</stp>
        <tr r="W110" s="2"/>
      </tp>
      <tp t="s">
        <v>N/A</v>
        <stp/>
        <stp>VOLUME</stp>
        <stp>.SPX250718P5620</stp>
        <tr r="M111" s="2"/>
      </tp>
      <tp t="s">
        <v>N/A</v>
        <stp/>
        <stp>VOLUME</stp>
        <stp>.SPX250523P5590</stp>
        <tr r="H114" s="2"/>
      </tp>
      <tp t="s">
        <v>N/A</v>
        <stp/>
        <stp>VOLUME</stp>
        <stp>.SPX250919P5630</stp>
        <tr r="Q110" s="2"/>
      </tp>
      <tp t="s">
        <v>N/A</v>
        <stp/>
        <stp>VOLUME</stp>
        <stp>.SPX250718C5630</stp>
        <tr r="M110" s="2"/>
      </tp>
      <tp t="s">
        <v>N/A</v>
        <stp/>
        <stp>VOLUME</stp>
        <stp>.SPX250523C5580</stp>
        <tr r="H115" s="2"/>
      </tp>
      <tp t="s">
        <v>N/A</v>
        <stp/>
        <stp>VOLUME</stp>
        <stp>.SPX250919C5620</stp>
        <tr r="Q111" s="2"/>
      </tp>
      <tp t="s">
        <v>N/A</v>
        <stp/>
        <stp>VOLUME</stp>
        <stp>.SPX251219C5620</stp>
        <tr r="W111" s="2"/>
      </tp>
      <tp t="s">
        <v>N/A</v>
        <stp/>
        <stp>VOLUME</stp>
        <stp>.SPX251219P5620</stp>
        <tr r="W111" s="2"/>
      </tp>
      <tp t="s">
        <v>N/A</v>
        <stp/>
        <stp>VOLUME</stp>
        <stp>.SPX250718P5630</stp>
        <tr r="M110" s="2"/>
      </tp>
      <tp t="s">
        <v>N/A</v>
        <stp/>
        <stp>VOLUME</stp>
        <stp>.SPX250523P5580</stp>
        <tr r="H115" s="2"/>
      </tp>
      <tp t="s">
        <v>N/A</v>
        <stp/>
        <stp>VOLUME</stp>
        <stp>.SPX250919P5620</stp>
        <tr r="Q111" s="2"/>
      </tp>
      <tp t="s">
        <v>N/A</v>
        <stp/>
        <stp>VOLUME</stp>
        <stp>.SPX250718C5600</stp>
        <tr r="M113" s="2"/>
      </tp>
      <tp t="s">
        <v>N/A</v>
        <stp/>
        <stp>VOLUME</stp>
        <stp>.SPX250620C5580</stp>
        <tr r="BE114" s="1"/>
      </tp>
      <tp t="s">
        <v>N/A</v>
        <stp/>
        <stp>VOLUME</stp>
        <stp>.SPX250919C5610</stp>
        <tr r="Q112" s="2"/>
      </tp>
      <tp t="s">
        <v>N/A</v>
        <stp/>
        <stp>VOLUME</stp>
        <stp>.SPX251219C5610</stp>
        <tr r="W112" s="2"/>
      </tp>
      <tp t="s">
        <v>N/A</v>
        <stp/>
        <stp>VOLUME</stp>
        <stp>.SPX251121C5590</stp>
        <tr r="U114" s="2"/>
      </tp>
      <tp t="s">
        <v>N/A</v>
        <stp/>
        <stp>VOLUME</stp>
        <stp>.SPX251219P5610</stp>
        <tr r="W112" s="2"/>
      </tp>
      <tp t="s">
        <v>N/A</v>
        <stp/>
        <stp>VOLUME</stp>
        <stp>.SPX251121P5590</stp>
        <tr r="U114" s="2"/>
      </tp>
      <tp t="s">
        <v>N/A</v>
        <stp/>
        <stp>VOLUME</stp>
        <stp>.SPX250718P5600</stp>
        <tr r="M113" s="2"/>
      </tp>
      <tp t="s">
        <v>N/A</v>
        <stp/>
        <stp>VOLUME</stp>
        <stp>.SPX250620P5580</stp>
        <tr r="BF114" s="1"/>
      </tp>
      <tp t="s">
        <v>N/A</v>
        <stp/>
        <stp>VOLUME</stp>
        <stp>.SPX250919P5610</stp>
        <tr r="Q112" s="2"/>
      </tp>
      <tp t="s">
        <v>N/A</v>
        <stp/>
        <stp>VOLUME</stp>
        <stp>.SPX250718C5610</stp>
        <tr r="M112" s="2"/>
      </tp>
      <tp t="s">
        <v>N/A</v>
        <stp/>
        <stp>VOLUME</stp>
        <stp>.SPX250620C5590</stp>
        <tr r="BE113" s="1"/>
      </tp>
      <tp t="s">
        <v>N/A</v>
        <stp/>
        <stp>VOLUME</stp>
        <stp>.SPX250919C5600</stp>
        <tr r="Q113" s="2"/>
      </tp>
      <tp t="s">
        <v>N/A</v>
        <stp/>
        <stp>VOLUME</stp>
        <stp>.SPX251219C5600</stp>
        <tr r="W113" s="2"/>
      </tp>
      <tp t="s">
        <v>N/A</v>
        <stp/>
        <stp>VOLUME</stp>
        <stp>.SPX251121C5580</stp>
        <tr r="U115" s="2"/>
      </tp>
      <tp>
        <v>3</v>
        <stp/>
        <stp>VOLUME</stp>
        <stp>.SPX251219P5600</stp>
        <tr r="W113" s="2"/>
        <tr r="W113" s="2"/>
      </tp>
      <tp t="s">
        <v>N/A</v>
        <stp/>
        <stp>VOLUME</stp>
        <stp>.SPX251121P5580</stp>
        <tr r="U115" s="2"/>
      </tp>
      <tp t="s">
        <v>N/A</v>
        <stp/>
        <stp>VOLUME</stp>
        <stp>.SPX250718P5610</stp>
        <tr r="M112" s="2"/>
      </tp>
      <tp t="s">
        <v>N/A</v>
        <stp/>
        <stp>VOLUME</stp>
        <stp>.SPX250620P5590</stp>
        <tr r="BF113" s="1"/>
      </tp>
      <tp t="s">
        <v>N/A</v>
        <stp/>
        <stp>VOLUME</stp>
        <stp>.SPX250919P5600</stp>
        <tr r="Q113" s="2"/>
      </tp>
      <tp t="s">
        <v>22.65%</v>
        <stp/>
        <stp>IMPL_VOL</stp>
        <stp>.NDX250620C20200</stp>
        <tr r="EP151" s="1"/>
      </tp>
      <tp t="s">
        <v>28.51%</v>
        <stp/>
        <stp>IMPL_VOL</stp>
        <stp>.NDX250516C19400</stp>
        <tr r="EN183" s="1"/>
      </tp>
      <tp t="s">
        <v>26.45%</v>
        <stp/>
        <stp>IMPL_VOL</stp>
        <stp>.NDX250516C20400</stp>
        <tr r="EN143" s="1"/>
      </tp>
      <tp t="s">
        <v>22.57%</v>
        <stp/>
        <stp>IMPL_VOL</stp>
        <stp>.NDX250620C20225</stp>
        <tr r="EP150" s="1"/>
      </tp>
      <tp t="s">
        <v>28.55%</v>
        <stp/>
        <stp>IMPL_VOL</stp>
        <stp>.NDX250516C19425</stp>
        <tr r="EN182" s="1"/>
      </tp>
      <tp t="s">
        <v>26.35%</v>
        <stp/>
        <stp>IMPL_VOL</stp>
        <stp>.NDX250516C20425</stp>
        <tr r="EN142" s="1"/>
      </tp>
      <tp t="s">
        <v>22.47%</v>
        <stp/>
        <stp>IMPL_VOL</stp>
        <stp>.NDX250620C20250</stp>
        <tr r="EP149" s="1"/>
      </tp>
      <tp t="s">
        <v>28.57%</v>
        <stp/>
        <stp>IMPL_VOL</stp>
        <stp>.NDX250516C19450</stp>
        <tr r="EN181" s="1"/>
      </tp>
      <tp t="s">
        <v>26.28%</v>
        <stp/>
        <stp>IMPL_VOL</stp>
        <stp>.NDX250516C20450</stp>
        <tr r="EN141" s="1"/>
      </tp>
      <tp t="s">
        <v>25.67%</v>
        <stp/>
        <stp>IMPL_VOL</stp>
        <stp>.NDX250620C19250</stp>
        <tr r="EP189" s="1"/>
      </tp>
      <tp t="s">
        <v>22.41%</v>
        <stp/>
        <stp>IMPL_VOL</stp>
        <stp>.NDX250620C20275</stp>
        <tr r="EP148" s="1"/>
      </tp>
      <tp t="s">
        <v>28.59%</v>
        <stp/>
        <stp>IMPL_VOL</stp>
        <stp>.NDX250516C19475</stp>
        <tr r="EN180" s="1"/>
      </tp>
      <tp t="s">
        <v>26.20%</v>
        <stp/>
        <stp>IMPL_VOL</stp>
        <stp>.NDX250516C20475</stp>
        <tr r="EN140" s="1"/>
      </tp>
      <tp t="s">
        <v>25.55%</v>
        <stp/>
        <stp>IMPL_VOL</stp>
        <stp>.NDX250620C19275</stp>
        <tr r="EP188" s="1"/>
      </tp>
      <tp t="s">
        <v>23.59%</v>
        <stp/>
        <stp>IMPL_VOL</stp>
        <stp>.NDX250620P20225</stp>
        <tr r="EQ150" s="1"/>
      </tp>
      <tp t="s">
        <v>30.85%</v>
        <stp/>
        <stp>IMPL_VOL</stp>
        <stp>.NDX250516P19425</stp>
        <tr r="EO182" s="1"/>
      </tp>
      <tp t="s">
        <v>28.14%</v>
        <stp/>
        <stp>IMPL_VOL</stp>
        <stp>.NDX250516P20425</stp>
        <tr r="EO142" s="1"/>
      </tp>
      <tp t="s">
        <v>23.68%</v>
        <stp/>
        <stp>IMPL_VOL</stp>
        <stp>.NDX250620P20200</stp>
        <tr r="EQ151" s="1"/>
      </tp>
      <tp t="s">
        <v>30.87%</v>
        <stp/>
        <stp>IMPL_VOL</stp>
        <stp>.NDX250516P19400</stp>
        <tr r="EO183" s="1"/>
      </tp>
      <tp t="s">
        <v>28.27%</v>
        <stp/>
        <stp>IMPL_VOL</stp>
        <stp>.NDX250516P20400</stp>
        <tr r="EO143" s="1"/>
      </tp>
      <tp t="s">
        <v>23.43%</v>
        <stp/>
        <stp>IMPL_VOL</stp>
        <stp>.NDX250620P20275</stp>
        <tr r="EQ148" s="1"/>
      </tp>
      <tp t="s">
        <v>30.68%</v>
        <stp/>
        <stp>IMPL_VOL</stp>
        <stp>.NDX250516P19475</stp>
        <tr r="EO180" s="1"/>
      </tp>
      <tp t="s">
        <v>28.15%</v>
        <stp/>
        <stp>IMPL_VOL</stp>
        <stp>.NDX250516P20475</stp>
        <tr r="EO140" s="1"/>
      </tp>
      <tp t="s">
        <v>26.76%</v>
        <stp/>
        <stp>IMPL_VOL</stp>
        <stp>.NDX250620P19275</stp>
        <tr r="EQ188" s="1"/>
      </tp>
      <tp t="s">
        <v>23.52%</v>
        <stp/>
        <stp>IMPL_VOL</stp>
        <stp>.NDX250620P20250</stp>
        <tr r="EQ149" s="1"/>
      </tp>
      <tp t="s">
        <v>30.74%</v>
        <stp/>
        <stp>IMPL_VOL</stp>
        <stp>.NDX250516P19450</stp>
        <tr r="EO181" s="1"/>
      </tp>
      <tp t="s">
        <v>28.26%</v>
        <stp/>
        <stp>IMPL_VOL</stp>
        <stp>.NDX250516P20450</stp>
        <tr r="EO141" s="1"/>
      </tp>
      <tp t="s">
        <v>26.85%</v>
        <stp/>
        <stp>IMPL_VOL</stp>
        <stp>.NDX250620P19250</stp>
        <tr r="EQ189" s="1"/>
      </tp>
      <tp t="s">
        <v>N/A</v>
        <stp/>
        <stp>VOLUME</stp>
        <stp>.SPX250620C5460</stp>
        <tr r="BE126" s="1"/>
      </tp>
      <tp>
        <v>10</v>
        <stp/>
        <stp>VOLUME</stp>
        <stp>.SPX250516C5700</stp>
        <tr r="BC102" s="1"/>
        <tr r="BC102" s="1"/>
      </tp>
      <tp t="s">
        <v>N/A</v>
        <stp/>
        <stp>VOLUME</stp>
        <stp>.SPX250523C5450</stp>
        <tr r="H128" s="2"/>
      </tp>
      <tp t="s">
        <v>N/A</v>
        <stp/>
        <stp>VOLUME</stp>
        <stp>.SPX250815C5730</stp>
        <tr r="O100" s="2"/>
      </tp>
      <tp t="s">
        <v>N/A</v>
        <stp/>
        <stp>VOLUME</stp>
        <stp>.SPX251121C5470</stp>
        <tr r="U126" s="2"/>
      </tp>
      <tp t="s">
        <v>N/A</v>
        <stp/>
        <stp>VOLUME</stp>
        <stp>.SPX251017C5710</stp>
        <tr r="S102" s="2"/>
      </tp>
      <tp t="s">
        <v>N/A</v>
        <stp/>
        <stp>VOLUME</stp>
        <stp>.SPX251121P5470</stp>
        <tr r="U126" s="2"/>
      </tp>
      <tp t="s">
        <v>N/A</v>
        <stp/>
        <stp>VOLUME</stp>
        <stp>.SPX251017P5710</stp>
        <tr r="S102" s="2"/>
      </tp>
      <tp t="s">
        <v>N/A</v>
        <stp/>
        <stp>VOLUME</stp>
        <stp>.SPX250620P5460</stp>
        <tr r="BF126" s="1"/>
      </tp>
      <tp t="s">
        <v>N/A</v>
        <stp/>
        <stp>VOLUME</stp>
        <stp>.SPX250516P5700</stp>
        <tr r="BD102" s="1"/>
      </tp>
      <tp t="s">
        <v>N/A</v>
        <stp/>
        <stp>VOLUME</stp>
        <stp>.SPX250523P5450</stp>
        <tr r="H128" s="2"/>
      </tp>
      <tp t="s">
        <v>N/A</v>
        <stp/>
        <stp>VOLUME</stp>
        <stp>.SPX250815P5730</stp>
        <tr r="O100" s="2"/>
      </tp>
      <tp t="s">
        <v>N/A</v>
        <stp/>
        <stp>VOLUME</stp>
        <stp>.SPX250620C5470</stp>
        <tr r="BE125" s="1"/>
      </tp>
      <tp t="s">
        <v>N/A</v>
        <stp/>
        <stp>VOLUME</stp>
        <stp>.SPX250516C5710</stp>
        <tr r="BC101" s="1"/>
      </tp>
      <tp t="s">
        <v>N/A</v>
        <stp/>
        <stp>VOLUME</stp>
        <stp>.SPX250523C5440</stp>
        <tr r="H129" s="2"/>
      </tp>
      <tp t="s">
        <v>N/A</v>
        <stp/>
        <stp>VOLUME</stp>
        <stp>.SPX250815C5720</stp>
        <tr r="O101" s="2"/>
      </tp>
      <tp t="s">
        <v>N/A</v>
        <stp/>
        <stp>VOLUME</stp>
        <stp>.SPX251121C5460</stp>
        <tr r="U127" s="2"/>
      </tp>
      <tp t="s">
        <v>N/A</v>
        <stp/>
        <stp>VOLUME</stp>
        <stp>.SPX251017C5700</stp>
        <tr r="S103" s="2"/>
      </tp>
      <tp t="s">
        <v>N/A</v>
        <stp/>
        <stp>VOLUME</stp>
        <stp>.SPX251121P5460</stp>
        <tr r="U127" s="2"/>
      </tp>
      <tp t="s">
        <v>N/A</v>
        <stp/>
        <stp>VOLUME</stp>
        <stp>.SPX251017P5700</stp>
        <tr r="S103" s="2"/>
      </tp>
      <tp t="s">
        <v>N/A</v>
        <stp/>
        <stp>VOLUME</stp>
        <stp>.SPX250620P5470</stp>
        <tr r="BF125" s="1"/>
      </tp>
      <tp t="s">
        <v>N/A</v>
        <stp/>
        <stp>VOLUME</stp>
        <stp>.SPX250516P5710</stp>
        <tr r="BD101" s="1"/>
      </tp>
      <tp t="s">
        <v>N/A</v>
        <stp/>
        <stp>VOLUME</stp>
        <stp>.SPX250523P5440</stp>
        <tr r="H129" s="2"/>
      </tp>
      <tp t="s">
        <v>N/A</v>
        <stp/>
        <stp>VOLUME</stp>
        <stp>.SPX250815P5720</stp>
        <tr r="O101" s="2"/>
      </tp>
      <tp t="s">
        <v>N/A</v>
        <stp/>
        <stp>VOLUME</stp>
        <stp>.SPX250620C5440</stp>
        <tr r="BE128" s="1"/>
      </tp>
      <tp t="s">
        <v>N/A</v>
        <stp/>
        <stp>VOLUME</stp>
        <stp>.SPX250516C5720</stp>
        <tr r="BC100" s="1"/>
      </tp>
      <tp t="s">
        <v>N/A</v>
        <stp/>
        <stp>VOLUME</stp>
        <stp>.SPX250523C5470</stp>
        <tr r="H126" s="2"/>
      </tp>
      <tp t="s">
        <v>N/A</v>
        <stp/>
        <stp>VOLUME</stp>
        <stp>.SPX250815C5710</stp>
        <tr r="O102" s="2"/>
      </tp>
      <tp t="s">
        <v>N/A</v>
        <stp/>
        <stp>VOLUME</stp>
        <stp>.SPX251121C5450</stp>
        <tr r="U128" s="2"/>
      </tp>
      <tp t="s">
        <v>N/A</v>
        <stp/>
        <stp>VOLUME</stp>
        <stp>.SPX251017C5730</stp>
        <tr r="S100" s="2"/>
      </tp>
      <tp t="s">
        <v>N/A</v>
        <stp/>
        <stp>VOLUME</stp>
        <stp>.SPX251121P5450</stp>
        <tr r="U128" s="2"/>
      </tp>
      <tp t="s">
        <v>N/A</v>
        <stp/>
        <stp>VOLUME</stp>
        <stp>.SPX251017P5730</stp>
        <tr r="S100" s="2"/>
      </tp>
      <tp t="s">
        <v>N/A</v>
        <stp/>
        <stp>VOLUME</stp>
        <stp>.SPX250620P5440</stp>
        <tr r="BF128" s="1"/>
      </tp>
      <tp t="s">
        <v>N/A</v>
        <stp/>
        <stp>VOLUME</stp>
        <stp>.SPX250516P5720</stp>
        <tr r="BD100" s="1"/>
      </tp>
      <tp t="s">
        <v>N/A</v>
        <stp/>
        <stp>VOLUME</stp>
        <stp>.SPX250523P5470</stp>
        <tr r="H126" s="2"/>
      </tp>
      <tp t="s">
        <v>N/A</v>
        <stp/>
        <stp>VOLUME</stp>
        <stp>.SPX250815P5710</stp>
        <tr r="O102" s="2"/>
      </tp>
      <tp t="s">
        <v>N/A</v>
        <stp/>
        <stp>VOLUME</stp>
        <stp>.SPX250620C5450</stp>
        <tr r="BE127" s="1"/>
      </tp>
      <tp t="s">
        <v>N/A</v>
        <stp/>
        <stp>VOLUME</stp>
        <stp>.SPX250516C5730</stp>
        <tr r="BC99" s="1"/>
      </tp>
      <tp t="s">
        <v>N/A</v>
        <stp/>
        <stp>VOLUME</stp>
        <stp>.SPX250523C5460</stp>
        <tr r="H127" s="2"/>
      </tp>
      <tp t="s">
        <v>N/A</v>
        <stp/>
        <stp>VOLUME</stp>
        <stp>.SPX250815C5700</stp>
        <tr r="O103" s="2"/>
      </tp>
      <tp t="s">
        <v>N/A</v>
        <stp/>
        <stp>VOLUME</stp>
        <stp>.SPX251121C5440</stp>
        <tr r="U129" s="2"/>
      </tp>
      <tp t="s">
        <v>N/A</v>
        <stp/>
        <stp>VOLUME</stp>
        <stp>.SPX251017C5720</stp>
        <tr r="S101" s="2"/>
      </tp>
      <tp t="s">
        <v>N/A</v>
        <stp/>
        <stp>VOLUME</stp>
        <stp>.SPX251121P5440</stp>
        <tr r="U129" s="2"/>
      </tp>
      <tp t="s">
        <v>N/A</v>
        <stp/>
        <stp>VOLUME</stp>
        <stp>.SPX251017P5720</stp>
        <tr r="S101" s="2"/>
      </tp>
      <tp t="s">
        <v>N/A</v>
        <stp/>
        <stp>VOLUME</stp>
        <stp>.SPX250620P5450</stp>
        <tr r="BF127" s="1"/>
      </tp>
      <tp t="s">
        <v>N/A</v>
        <stp/>
        <stp>VOLUME</stp>
        <stp>.SPX250516P5730</stp>
        <tr r="BD99" s="1"/>
      </tp>
      <tp t="s">
        <v>N/A</v>
        <stp/>
        <stp>VOLUME</stp>
        <stp>.SPX250523P5460</stp>
        <tr r="H127" s="2"/>
      </tp>
      <tp t="s">
        <v>N/A</v>
        <stp/>
        <stp>VOLUME</stp>
        <stp>.SPX250815P5700</stp>
        <tr r="O103" s="2"/>
      </tp>
      <tp t="s">
        <v>N/A</v>
        <stp/>
        <stp>VOLUME</stp>
        <stp>.SPX250620C5420</stp>
        <tr r="BE130" s="1"/>
      </tp>
      <tp t="s">
        <v>N/A</v>
        <stp/>
        <stp>VOLUME</stp>
        <stp>.SPX250516C5740</stp>
        <tr r="BC98" s="1"/>
      </tp>
      <tp t="s">
        <v>N/A</v>
        <stp/>
        <stp>VOLUME</stp>
        <stp>.SPX250815C5770</stp>
        <tr r="O96" s="2"/>
      </tp>
      <tp t="s">
        <v>N/A</v>
        <stp/>
        <stp>VOLUME</stp>
        <stp>.SPX251121C5430</stp>
        <tr r="U130" s="2"/>
      </tp>
      <tp t="s">
        <v>N/A</v>
        <stp/>
        <stp>VOLUME</stp>
        <stp>.SPX251017C5750</stp>
        <tr r="S98" s="2"/>
      </tp>
      <tp t="s">
        <v>N/A</v>
        <stp/>
        <stp>VOLUME</stp>
        <stp>.SPX251121P5430</stp>
        <tr r="U130" s="2"/>
      </tp>
      <tp t="s">
        <v>N/A</v>
        <stp/>
        <stp>VOLUME</stp>
        <stp>.SPX251017P5750</stp>
        <tr r="S98" s="2"/>
      </tp>
      <tp t="s">
        <v>N/A</v>
        <stp/>
        <stp>VOLUME</stp>
        <stp>.SPX250620P5420</stp>
        <tr r="BF130" s="1"/>
      </tp>
      <tp t="s">
        <v>N/A</v>
        <stp/>
        <stp>VOLUME</stp>
        <stp>.SPX250516P5740</stp>
        <tr r="BD98" s="1"/>
      </tp>
      <tp t="s">
        <v>N/A</v>
        <stp/>
        <stp>VOLUME</stp>
        <stp>.SPX250815P5770</stp>
        <tr r="O96" s="2"/>
      </tp>
      <tp t="s">
        <v>N/A</v>
        <stp/>
        <stp>VOLUME</stp>
        <stp>.SPX250620C5430</stp>
        <tr r="BE129" s="1"/>
      </tp>
      <tp t="s">
        <v>N/A</v>
        <stp/>
        <stp>VOLUME</stp>
        <stp>.SPX250516C5750</stp>
        <tr r="BC97" s="1"/>
      </tp>
      <tp t="s">
        <v>N/A</v>
        <stp/>
        <stp>VOLUME</stp>
        <stp>.SPX250815C5760</stp>
        <tr r="O97" s="2"/>
      </tp>
      <tp t="s">
        <v>N/A</v>
        <stp/>
        <stp>VOLUME</stp>
        <stp>.SPX251121C5420</stp>
        <tr r="U131" s="2"/>
      </tp>
      <tp t="s">
        <v>N/A</v>
        <stp/>
        <stp>VOLUME</stp>
        <stp>.SPX251017C5740</stp>
        <tr r="S99" s="2"/>
      </tp>
      <tp t="s">
        <v>N/A</v>
        <stp/>
        <stp>VOLUME</stp>
        <stp>.SPX251121P5420</stp>
        <tr r="U131" s="2"/>
      </tp>
      <tp t="s">
        <v>N/A</v>
        <stp/>
        <stp>VOLUME</stp>
        <stp>.SPX251017P5740</stp>
        <tr r="S99" s="2"/>
      </tp>
      <tp t="s">
        <v>N/A</v>
        <stp/>
        <stp>VOLUME</stp>
        <stp>.SPX250620P5430</stp>
        <tr r="BF129" s="1"/>
      </tp>
      <tp t="s">
        <v>N/A</v>
        <stp/>
        <stp>VOLUME</stp>
        <stp>.SPX250516P5750</stp>
        <tr r="BD97" s="1"/>
      </tp>
      <tp t="s">
        <v>N/A</v>
        <stp/>
        <stp>VOLUME</stp>
        <stp>.SPX250815P5760</stp>
        <tr r="O97" s="2"/>
      </tp>
      <tp t="s">
        <v>N/A</v>
        <stp/>
        <stp>VOLUME</stp>
        <stp>.SPX250718C5780</stp>
        <tr r="M95" s="2"/>
      </tp>
      <tp t="s">
        <v>N/A</v>
        <stp/>
        <stp>VOLUME</stp>
        <stp>.SPX250516C5760</stp>
        <tr r="BC96" s="1"/>
      </tp>
      <tp t="s">
        <v>N/A</v>
        <stp/>
        <stp>VOLUME</stp>
        <stp>.SPX250523C5430</stp>
        <tr r="H130" s="2"/>
      </tp>
      <tp t="s">
        <v>N/A</v>
        <stp/>
        <stp>VOLUME</stp>
        <stp>.SPX250919C5790</stp>
        <tr r="Q94" s="2"/>
      </tp>
      <tp t="s">
        <v>N/A</v>
        <stp/>
        <stp>VOLUME</stp>
        <stp>.SPX250815C5750</stp>
        <tr r="O98" s="2"/>
      </tp>
      <tp t="s">
        <v>N/A</v>
        <stp/>
        <stp>VOLUME</stp>
        <stp>.SPX251219C5790</stp>
        <tr r="W94" s="2"/>
      </tp>
      <tp t="s">
        <v>N/A</v>
        <stp/>
        <stp>VOLUME</stp>
        <stp>.SPX251017C5770</stp>
        <tr r="S96" s="2"/>
      </tp>
      <tp t="s">
        <v>N/A</v>
        <stp/>
        <stp>VOLUME</stp>
        <stp>.SPX251219P5790</stp>
        <tr r="W94" s="2"/>
      </tp>
      <tp t="s">
        <v>N/A</v>
        <stp/>
        <stp>VOLUME</stp>
        <stp>.SPX251017P5770</stp>
        <tr r="S96" s="2"/>
      </tp>
      <tp t="s">
        <v>N/A</v>
        <stp/>
        <stp>VOLUME</stp>
        <stp>.SPX250718P5780</stp>
        <tr r="M95" s="2"/>
      </tp>
      <tp t="s">
        <v>N/A</v>
        <stp/>
        <stp>VOLUME</stp>
        <stp>.SPX250516P5760</stp>
        <tr r="BD96" s="1"/>
      </tp>
      <tp t="s">
        <v>N/A</v>
        <stp/>
        <stp>VOLUME</stp>
        <stp>.SPX250523P5430</stp>
        <tr r="H130" s="2"/>
      </tp>
      <tp t="s">
        <v>N/A</v>
        <stp/>
        <stp>VOLUME</stp>
        <stp>.SPX250919P5790</stp>
        <tr r="Q94" s="2"/>
      </tp>
      <tp t="s">
        <v>N/A</v>
        <stp/>
        <stp>VOLUME</stp>
        <stp>.SPX250815P5750</stp>
        <tr r="O98" s="2"/>
      </tp>
      <tp t="s">
        <v>N/A</v>
        <stp/>
        <stp>VOLUME</stp>
        <stp>.SPX250718C5790</stp>
        <tr r="M94" s="2"/>
      </tp>
      <tp t="s">
        <v>N/A</v>
        <stp/>
        <stp>VOLUME</stp>
        <stp>.SPX250516C5770</stp>
        <tr r="BC95" s="1"/>
      </tp>
      <tp t="s">
        <v>N/A</v>
        <stp/>
        <stp>VOLUME</stp>
        <stp>.SPX250523C5420</stp>
        <tr r="H131" s="2"/>
      </tp>
      <tp t="s">
        <v>N/A</v>
        <stp/>
        <stp>VOLUME</stp>
        <stp>.SPX250919C5780</stp>
        <tr r="Q95" s="2"/>
      </tp>
      <tp t="s">
        <v>N/A</v>
        <stp/>
        <stp>VOLUME</stp>
        <stp>.SPX250815C5740</stp>
        <tr r="O99" s="2"/>
      </tp>
      <tp t="s">
        <v>N/A</v>
        <stp/>
        <stp>VOLUME</stp>
        <stp>.SPX251219C5780</stp>
        <tr r="W95" s="2"/>
      </tp>
      <tp t="s">
        <v>N/A</v>
        <stp/>
        <stp>VOLUME</stp>
        <stp>.SPX251017C5760</stp>
        <tr r="S97" s="2"/>
      </tp>
      <tp t="s">
        <v>N/A</v>
        <stp/>
        <stp>VOLUME</stp>
        <stp>.SPX251219P5780</stp>
        <tr r="W95" s="2"/>
      </tp>
      <tp t="s">
        <v>N/A</v>
        <stp/>
        <stp>VOLUME</stp>
        <stp>.SPX251017P5760</stp>
        <tr r="S97" s="2"/>
      </tp>
      <tp t="s">
        <v>N/A</v>
        <stp/>
        <stp>VOLUME</stp>
        <stp>.SPX250718P5790</stp>
        <tr r="M94" s="2"/>
      </tp>
      <tp t="s">
        <v>N/A</v>
        <stp/>
        <stp>VOLUME</stp>
        <stp>.SPX250516P5770</stp>
        <tr r="BD95" s="1"/>
      </tp>
      <tp t="s">
        <v>N/A</v>
        <stp/>
        <stp>VOLUME</stp>
        <stp>.SPX250523P5420</stp>
        <tr r="H131" s="2"/>
      </tp>
      <tp t="s">
        <v>N/A</v>
        <stp/>
        <stp>VOLUME</stp>
        <stp>.SPX250919P5780</stp>
        <tr r="Q95" s="2"/>
      </tp>
      <tp t="s">
        <v>N/A</v>
        <stp/>
        <stp>VOLUME</stp>
        <stp>.SPX250815P5740</stp>
        <tr r="O99" s="2"/>
      </tp>
      <tp t="s">
        <v>N/A</v>
        <stp/>
        <stp>VOLUME</stp>
        <stp>.SPX250718C5760</stp>
        <tr r="M97" s="2"/>
      </tp>
      <tp t="s">
        <v>N/A</v>
        <stp/>
        <stp>VOLUME</stp>
        <stp>.SPX250516C5780</stp>
        <tr r="BC94" s="1"/>
      </tp>
      <tp t="s">
        <v>N/A</v>
        <stp/>
        <stp>VOLUME</stp>
        <stp>.SPX250919C5770</stp>
        <tr r="Q96" s="2"/>
      </tp>
      <tp t="s">
        <v>N/A</v>
        <stp/>
        <stp>VOLUME</stp>
        <stp>.SPX251219C5770</stp>
        <tr r="W96" s="2"/>
      </tp>
      <tp t="s">
        <v>N/A</v>
        <stp/>
        <stp>VOLUME</stp>
        <stp>.SPX251017C5790</stp>
        <tr r="S94" s="2"/>
      </tp>
      <tp t="s">
        <v>N/A</v>
        <stp/>
        <stp>VOLUME</stp>
        <stp>.SPX251219P5770</stp>
        <tr r="W96" s="2"/>
      </tp>
      <tp t="s">
        <v>N/A</v>
        <stp/>
        <stp>VOLUME</stp>
        <stp>.SPX251017P5790</stp>
        <tr r="S94" s="2"/>
      </tp>
      <tp t="s">
        <v>N/A</v>
        <stp/>
        <stp>VOLUME</stp>
        <stp>.SPX250718P5760</stp>
        <tr r="M97" s="2"/>
      </tp>
      <tp t="s">
        <v>N/A</v>
        <stp/>
        <stp>VOLUME</stp>
        <stp>.SPX250516P5780</stp>
        <tr r="BD94" s="1"/>
      </tp>
      <tp t="s">
        <v>N/A</v>
        <stp/>
        <stp>VOLUME</stp>
        <stp>.SPX250919P5770</stp>
        <tr r="Q96" s="2"/>
      </tp>
      <tp t="s">
        <v>N/A</v>
        <stp/>
        <stp>VOLUME</stp>
        <stp>.SPX250718C5770</stp>
        <tr r="M96" s="2"/>
      </tp>
      <tp t="s">
        <v>N/A</v>
        <stp/>
        <stp>VOLUME</stp>
        <stp>.SPX250516C5790</stp>
        <tr r="BC93" s="1"/>
      </tp>
      <tp t="s">
        <v>N/A</v>
        <stp/>
        <stp>VOLUME</stp>
        <stp>.SPX250919C5760</stp>
        <tr r="Q97" s="2"/>
      </tp>
      <tp t="s">
        <v>N/A</v>
        <stp/>
        <stp>VOLUME</stp>
        <stp>.SPX251219C5760</stp>
        <tr r="W97" s="2"/>
      </tp>
      <tp t="s">
        <v>N/A</v>
        <stp/>
        <stp>VOLUME</stp>
        <stp>.SPX251017C5780</stp>
        <tr r="S95" s="2"/>
      </tp>
      <tp t="s">
        <v>N/A</v>
        <stp/>
        <stp>VOLUME</stp>
        <stp>.SPX251219P5760</stp>
        <tr r="W97" s="2"/>
      </tp>
      <tp t="s">
        <v>N/A</v>
        <stp/>
        <stp>VOLUME</stp>
        <stp>.SPX251017P5780</stp>
        <tr r="S95" s="2"/>
      </tp>
      <tp t="s">
        <v>N/A</v>
        <stp/>
        <stp>VOLUME</stp>
        <stp>.SPX250718P5770</stp>
        <tr r="M96" s="2"/>
      </tp>
      <tp t="s">
        <v>N/A</v>
        <stp/>
        <stp>VOLUME</stp>
        <stp>.SPX250516P5790</stp>
        <tr r="BD93" s="1"/>
      </tp>
      <tp t="s">
        <v>N/A</v>
        <stp/>
        <stp>VOLUME</stp>
        <stp>.SPX250919P5760</stp>
        <tr r="Q97" s="2"/>
      </tp>
      <tp t="s">
        <v>N/A</v>
        <stp/>
        <stp>VOLUME</stp>
        <stp>.SPX250718C5740</stp>
        <tr r="M99" s="2"/>
      </tp>
      <tp t="s">
        <v>N/A</v>
        <stp/>
        <stp>VOLUME</stp>
        <stp>.SPX250919C5750</stp>
        <tr r="Q98" s="2"/>
      </tp>
      <tp t="s">
        <v>N/A</v>
        <stp/>
        <stp>VOLUME</stp>
        <stp>.SPX250815C5790</stp>
        <tr r="O94" s="2"/>
      </tp>
      <tp t="s">
        <v>N/A</v>
        <stp/>
        <stp>VOLUME</stp>
        <stp>.SPX251219C5750</stp>
        <tr r="W98" s="2"/>
      </tp>
      <tp t="s">
        <v>N/A</v>
        <stp/>
        <stp>VOLUME</stp>
        <stp>.SPX251219P5750</stp>
        <tr r="W98" s="2"/>
      </tp>
      <tp t="s">
        <v>N/A</v>
        <stp/>
        <stp>VOLUME</stp>
        <stp>.SPX250718P5740</stp>
        <tr r="M99" s="2"/>
      </tp>
      <tp t="s">
        <v>N/A</v>
        <stp/>
        <stp>VOLUME</stp>
        <stp>.SPX250919P5750</stp>
        <tr r="Q98" s="2"/>
      </tp>
      <tp t="s">
        <v>N/A</v>
        <stp/>
        <stp>VOLUME</stp>
        <stp>.SPX250815P5790</stp>
        <tr r="O94" s="2"/>
      </tp>
      <tp t="s">
        <v>N/A</v>
        <stp/>
        <stp>VOLUME</stp>
        <stp>.SPX250718C5750</stp>
        <tr r="M98" s="2"/>
      </tp>
      <tp t="s">
        <v>N/A</v>
        <stp/>
        <stp>VOLUME</stp>
        <stp>.SPX250919C5740</stp>
        <tr r="Q99" s="2"/>
      </tp>
      <tp t="s">
        <v>N/A</v>
        <stp/>
        <stp>VOLUME</stp>
        <stp>.SPX250815C5780</stp>
        <tr r="O95" s="2"/>
      </tp>
      <tp t="s">
        <v>N/A</v>
        <stp/>
        <stp>VOLUME</stp>
        <stp>.SPX251219C5740</stp>
        <tr r="W99" s="2"/>
      </tp>
      <tp t="s">
        <v>N/A</v>
        <stp/>
        <stp>VOLUME</stp>
        <stp>.SPX251219P5740</stp>
        <tr r="W99" s="2"/>
      </tp>
      <tp t="s">
        <v>N/A</v>
        <stp/>
        <stp>VOLUME</stp>
        <stp>.SPX250718P5750</stp>
        <tr r="M98" s="2"/>
      </tp>
      <tp t="s">
        <v>N/A</v>
        <stp/>
        <stp>VOLUME</stp>
        <stp>.SPX250919P5740</stp>
        <tr r="Q99" s="2"/>
      </tp>
      <tp t="s">
        <v>N/A</v>
        <stp/>
        <stp>VOLUME</stp>
        <stp>.SPX250815P5780</stp>
        <tr r="O95" s="2"/>
      </tp>
      <tp t="s">
        <v>N/A</v>
        <stp/>
        <stp>VOLUME</stp>
        <stp>.SPX250718C5720</stp>
        <tr r="M101" s="2"/>
      </tp>
      <tp t="s">
        <v>N/A</v>
        <stp/>
        <stp>VOLUME</stp>
        <stp>.SPX250523C5490</stp>
        <tr r="H124" s="2"/>
      </tp>
      <tp t="s">
        <v>N/A</v>
        <stp/>
        <stp>VOLUME</stp>
        <stp>.SPX250919C5730</stp>
        <tr r="Q100" s="2"/>
      </tp>
      <tp t="s">
        <v>N/A</v>
        <stp/>
        <stp>VOLUME</stp>
        <stp>.SPX251219C5730</stp>
        <tr r="W100" s="2"/>
      </tp>
      <tp t="s">
        <v>N/A</v>
        <stp/>
        <stp>VOLUME</stp>
        <stp>.SPX251219P5730</stp>
        <tr r="W100" s="2"/>
      </tp>
      <tp t="s">
        <v>N/A</v>
        <stp/>
        <stp>VOLUME</stp>
        <stp>.SPX250718P5720</stp>
        <tr r="M101" s="2"/>
      </tp>
      <tp t="s">
        <v>N/A</v>
        <stp/>
        <stp>VOLUME</stp>
        <stp>.SPX250523P5490</stp>
        <tr r="H124" s="2"/>
      </tp>
      <tp t="s">
        <v>N/A</v>
        <stp/>
        <stp>VOLUME</stp>
        <stp>.SPX250919P5730</stp>
        <tr r="Q100" s="2"/>
      </tp>
      <tp t="s">
        <v>N/A</v>
        <stp/>
        <stp>VOLUME</stp>
        <stp>.SPX250718C5730</stp>
        <tr r="M100" s="2"/>
      </tp>
      <tp t="s">
        <v>N/A</v>
        <stp/>
        <stp>VOLUME</stp>
        <stp>.SPX250523C5480</stp>
        <tr r="H125" s="2"/>
      </tp>
      <tp t="s">
        <v>N/A</v>
        <stp/>
        <stp>VOLUME</stp>
        <stp>.SPX250919C5720</stp>
        <tr r="Q101" s="2"/>
      </tp>
      <tp t="s">
        <v>N/A</v>
        <stp/>
        <stp>VOLUME</stp>
        <stp>.SPX251219C5720</stp>
        <tr r="W101" s="2"/>
      </tp>
      <tp t="s">
        <v>N/A</v>
        <stp/>
        <stp>VOLUME</stp>
        <stp>.SPX251219P5720</stp>
        <tr r="W101" s="2"/>
      </tp>
      <tp t="s">
        <v>N/A</v>
        <stp/>
        <stp>VOLUME</stp>
        <stp>.SPX250718P5730</stp>
        <tr r="M100" s="2"/>
      </tp>
      <tp t="s">
        <v>N/A</v>
        <stp/>
        <stp>VOLUME</stp>
        <stp>.SPX250523P5480</stp>
        <tr r="H125" s="2"/>
      </tp>
      <tp t="s">
        <v>N/A</v>
        <stp/>
        <stp>VOLUME</stp>
        <stp>.SPX250919P5720</stp>
        <tr r="Q101" s="2"/>
      </tp>
      <tp t="s">
        <v>N/A</v>
        <stp/>
        <stp>VOLUME</stp>
        <stp>.SPX250718C5700</stp>
        <tr r="M103" s="2"/>
      </tp>
      <tp t="s">
        <v>N/A</v>
        <stp/>
        <stp>VOLUME</stp>
        <stp>.SPX250620C5480</stp>
        <tr r="BE124" s="1"/>
      </tp>
      <tp t="s">
        <v>N/A</v>
        <stp/>
        <stp>VOLUME</stp>
        <stp>.SPX250919C5710</stp>
        <tr r="Q102" s="2"/>
      </tp>
      <tp t="s">
        <v>N/A</v>
        <stp/>
        <stp>VOLUME</stp>
        <stp>.SPX251219C5710</stp>
        <tr r="W102" s="2"/>
      </tp>
      <tp t="s">
        <v>N/A</v>
        <stp/>
        <stp>VOLUME</stp>
        <stp>.SPX251121C5490</stp>
        <tr r="U124" s="2"/>
      </tp>
      <tp t="s">
        <v>N/A</v>
        <stp/>
        <stp>VOLUME</stp>
        <stp>.SPX251219P5710</stp>
        <tr r="W102" s="2"/>
      </tp>
      <tp t="s">
        <v>N/A</v>
        <stp/>
        <stp>VOLUME</stp>
        <stp>.SPX251121P5490</stp>
        <tr r="U124" s="2"/>
      </tp>
      <tp t="s">
        <v>N/A</v>
        <stp/>
        <stp>VOLUME</stp>
        <stp>.SPX250718P5700</stp>
        <tr r="M103" s="2"/>
      </tp>
      <tp t="s">
        <v>N/A</v>
        <stp/>
        <stp>VOLUME</stp>
        <stp>.SPX250620P5480</stp>
        <tr r="BF124" s="1"/>
      </tp>
      <tp t="s">
        <v>N/A</v>
        <stp/>
        <stp>VOLUME</stp>
        <stp>.SPX250919P5710</stp>
        <tr r="Q102" s="2"/>
      </tp>
      <tp t="s">
        <v>N/A</v>
        <stp/>
        <stp>VOLUME</stp>
        <stp>.SPX250718C5710</stp>
        <tr r="M102" s="2"/>
      </tp>
      <tp t="s">
        <v>N/A</v>
        <stp/>
        <stp>VOLUME</stp>
        <stp>.SPX250620C5490</stp>
        <tr r="BE123" s="1"/>
      </tp>
      <tp>
        <v>2</v>
        <stp/>
        <stp>VOLUME</stp>
        <stp>.SPX250919C5700</stp>
        <tr r="Q103" s="2"/>
        <tr r="Q103" s="2"/>
      </tp>
      <tp t="s">
        <v>N/A</v>
        <stp/>
        <stp>VOLUME</stp>
        <stp>.SPX251219C5700</stp>
        <tr r="W103" s="2"/>
      </tp>
      <tp t="s">
        <v>N/A</v>
        <stp/>
        <stp>VOLUME</stp>
        <stp>.SPX251121C5480</stp>
        <tr r="U125" s="2"/>
      </tp>
      <tp t="s">
        <v>N/A</v>
        <stp/>
        <stp>VOLUME</stp>
        <stp>.SPX251219P5700</stp>
        <tr r="W103" s="2"/>
      </tp>
      <tp t="s">
        <v>N/A</v>
        <stp/>
        <stp>VOLUME</stp>
        <stp>.SPX251121P5480</stp>
        <tr r="U125" s="2"/>
      </tp>
      <tp t="s">
        <v>N/A</v>
        <stp/>
        <stp>VOLUME</stp>
        <stp>.SPX250718P5710</stp>
        <tr r="M102" s="2"/>
      </tp>
      <tp t="s">
        <v>N/A</v>
        <stp/>
        <stp>VOLUME</stp>
        <stp>.SPX250620P5490</stp>
        <tr r="BF123" s="1"/>
      </tp>
      <tp t="s">
        <v>N/A</v>
        <stp/>
        <stp>VOLUME</stp>
        <stp>.SPX250919P5700</stp>
        <tr r="Q103" s="2"/>
      </tp>
      <tp>
        <v>303</v>
        <stp/>
        <stp>OPEN_INT</stp>
        <stp>.NDX250620P19900</stp>
        <tr r="AX163" s="1"/>
        <tr r="AX163" s="1"/>
      </tp>
      <tp>
        <v>18</v>
        <stp/>
        <stp>OPEN_INT</stp>
        <stp>.NDX250620P19925</stp>
        <tr r="AX162" s="1"/>
        <tr r="AX162" s="1"/>
      </tp>
      <tp>
        <v>97</v>
        <stp/>
        <stp>OPEN_INT</stp>
        <stp>.NDX250620P19950</stp>
        <tr r="AX161" s="1"/>
        <tr r="AX161" s="1"/>
      </tp>
      <tp>
        <v>28</v>
        <stp/>
        <stp>OPEN_INT</stp>
        <stp>.NDX250620P19975</stp>
        <tr r="AX160" s="1"/>
        <tr r="AX160" s="1"/>
      </tp>
      <tp>
        <v>17</v>
        <stp/>
        <stp>OPEN_INT</stp>
        <stp>.NDX250620C19925</stp>
        <tr r="AW162" s="1"/>
        <tr r="AW162" s="1"/>
      </tp>
      <tp>
        <v>288</v>
        <stp/>
        <stp>OPEN_INT</stp>
        <stp>.NDX250620C19900</stp>
        <tr r="AW163" s="1"/>
        <tr r="AW163" s="1"/>
      </tp>
      <tp t="s">
        <v>N/A</v>
        <stp/>
        <stp>IMPL_VOL</stp>
        <stp>.QQQ250620C468</stp>
        <tr r="EP79" s="1"/>
      </tp>
      <tp t="s">
        <v>N/A</v>
        <stp/>
        <stp>IMPL_VOL</stp>
        <stp>.QQQ250620P468</stp>
        <tr r="EQ79" s="1"/>
      </tp>
      <tp t="s">
        <v>N/A</v>
        <stp/>
        <stp>IMPL_VOL</stp>
        <stp>.QQQ250620C469</stp>
        <tr r="EP78" s="1"/>
      </tp>
      <tp t="s">
        <v>N/A</v>
        <stp/>
        <stp>IMPL_VOL</stp>
        <stp>.QQQ250620P469</stp>
        <tr r="EQ78" s="1"/>
      </tp>
      <tp>
        <v>28</v>
        <stp/>
        <stp>OPEN_INT</stp>
        <stp>.NDX250620C19975</stp>
        <tr r="AW160" s="1"/>
        <tr r="AW160" s="1"/>
      </tp>
      <tp t="s">
        <v>N/A</v>
        <stp/>
        <stp>IMPL_VOL</stp>
        <stp>.QQQ250620C472</stp>
        <tr r="EP75" s="1"/>
      </tp>
      <tp t="s">
        <v>N/A</v>
        <stp/>
        <stp>IMPL_VOL</stp>
        <stp>.QQQ250620P472</stp>
        <tr r="EQ75" s="1"/>
      </tp>
      <tp t="s">
        <v>N/A</v>
        <stp/>
        <stp>IMPL_VOL</stp>
        <stp>.QQQ250620C473</stp>
        <tr r="EP74" s="1"/>
      </tp>
      <tp t="s">
        <v>N/A</v>
        <stp/>
        <stp>IMPL_VOL</stp>
        <stp>.QQQ250620P473</stp>
        <tr r="EQ74" s="1"/>
      </tp>
      <tp t="s">
        <v>12.45%</v>
        <stp/>
        <stp>IMPL_VOL</stp>
        <stp>.QQQ250620C470</stp>
        <tr r="EP77" s="1"/>
      </tp>
      <tp t="s">
        <v>30.68%</v>
        <stp/>
        <stp>IMPL_VOL</stp>
        <stp>.QQQ250620P470</stp>
        <tr r="EQ77" s="1"/>
      </tp>
      <tp t="s">
        <v>N/A</v>
        <stp/>
        <stp>IMPL_VOL</stp>
        <stp>.QQQ250620C471</stp>
        <tr r="EP76" s="1"/>
      </tp>
      <tp t="s">
        <v>N/A</v>
        <stp/>
        <stp>IMPL_VOL</stp>
        <stp>.QQQ250620P471</stp>
        <tr r="EQ76" s="1"/>
      </tp>
      <tp t="s">
        <v>N/A</v>
        <stp/>
        <stp>IMPL_VOL</stp>
        <stp>.QQQ250620C476</stp>
        <tr r="EP71" s="1"/>
      </tp>
      <tp t="s">
        <v>N/A</v>
        <stp/>
        <stp>IMPL_VOL</stp>
        <stp>.QQQ250620P476</stp>
        <tr r="EQ71" s="1"/>
      </tp>
      <tp t="s">
        <v>N/A</v>
        <stp/>
        <stp>IMPL_VOL</stp>
        <stp>.QQQ250620C477</stp>
        <tr r="EP70" s="1"/>
      </tp>
      <tp t="s">
        <v>N/A</v>
        <stp/>
        <stp>IMPL_VOL</stp>
        <stp>.QQQ250620P477</stp>
        <tr r="EQ70" s="1"/>
      </tp>
      <tp t="s">
        <v>N/A</v>
        <stp/>
        <stp>IMPL_VOL</stp>
        <stp>.QQQ250620C474</stp>
        <tr r="EP73" s="1"/>
      </tp>
      <tp t="s">
        <v>N/A</v>
        <stp/>
        <stp>IMPL_VOL</stp>
        <stp>.QQQ250620P474</stp>
        <tr r="EQ73" s="1"/>
      </tp>
      <tp t="s">
        <v>14.66%</v>
        <stp/>
        <stp>IMPL_VOL</stp>
        <stp>.QQQ250620C475</stp>
        <tr r="EP72" s="1"/>
      </tp>
      <tp t="s">
        <v>30.26%</v>
        <stp/>
        <stp>IMPL_VOL</stp>
        <stp>.QQQ250620P475</stp>
        <tr r="EQ72" s="1"/>
      </tp>
      <tp t="s">
        <v>N/A</v>
        <stp/>
        <stp>IMPL_VOL</stp>
        <stp>.QQQ250620C478</stp>
        <tr r="EP69" s="1"/>
      </tp>
      <tp t="s">
        <v>N/A</v>
        <stp/>
        <stp>IMPL_VOL</stp>
        <stp>.QQQ250620P478</stp>
        <tr r="EQ69" s="1"/>
      </tp>
      <tp t="s">
        <v>N/A</v>
        <stp/>
        <stp>IMPL_VOL</stp>
        <stp>.QQQ250620C479</stp>
        <tr r="EP68" s="1"/>
      </tp>
      <tp t="s">
        <v>N/A</v>
        <stp/>
        <stp>IMPL_VOL</stp>
        <stp>.QQQ250620P479</stp>
        <tr r="EQ68" s="1"/>
      </tp>
      <tp>
        <v>106</v>
        <stp/>
        <stp>OPEN_INT</stp>
        <stp>.NDX250620C19950</stp>
        <tr r="AW161" s="1"/>
        <tr r="AW161" s="1"/>
      </tp>
      <tp t="s">
        <v>N/A</v>
        <stp/>
        <stp>IMPL_VOL</stp>
        <stp>.QQQ250620C482</stp>
        <tr r="EP65" s="1"/>
      </tp>
      <tp t="s">
        <v>N/A</v>
        <stp/>
        <stp>IMPL_VOL</stp>
        <stp>.QQQ250620P482</stp>
        <tr r="EQ65" s="1"/>
      </tp>
      <tp t="s">
        <v>N/A</v>
        <stp/>
        <stp>IMPL_VOL</stp>
        <stp>.QQQ250620C483</stp>
        <tr r="EP64" s="1"/>
      </tp>
      <tp t="s">
        <v>N/A</v>
        <stp/>
        <stp>IMPL_VOL</stp>
        <stp>.QQQ250620P483</stp>
        <tr r="EQ64" s="1"/>
      </tp>
      <tp t="s">
        <v>15.76%</v>
        <stp/>
        <stp>IMPL_VOL</stp>
        <stp>.QQQ250620C480</stp>
        <tr r="EP67" s="1"/>
      </tp>
      <tp t="s">
        <v>29.90%</v>
        <stp/>
        <stp>IMPL_VOL</stp>
        <stp>.QQQ250620P480</stp>
        <tr r="EQ67" s="1"/>
      </tp>
      <tp t="s">
        <v>N/A</v>
        <stp/>
        <stp>IMPL_VOL</stp>
        <stp>.QQQ250620C481</stp>
        <tr r="EP66" s="1"/>
      </tp>
      <tp t="s">
        <v>N/A</v>
        <stp/>
        <stp>IMPL_VOL</stp>
        <stp>.QQQ250620P481</stp>
        <tr r="EQ66" s="1"/>
      </tp>
      <tp t="s">
        <v>N/A</v>
        <stp/>
        <stp>IMPL_VOL</stp>
        <stp>.QQQ250620C486</stp>
        <tr r="EP61" s="1"/>
      </tp>
      <tp t="s">
        <v>N/A</v>
        <stp/>
        <stp>IMPL_VOL</stp>
        <stp>.QQQ250620P486</stp>
        <tr r="EQ61" s="1"/>
      </tp>
      <tp t="s">
        <v>N/A</v>
        <stp/>
        <stp>IMPL_VOL</stp>
        <stp>.QQQ250620C487</stp>
        <tr r="EP60" s="1"/>
      </tp>
      <tp t="s">
        <v>N/A</v>
        <stp/>
        <stp>IMPL_VOL</stp>
        <stp>.QQQ250620P487</stp>
        <tr r="EQ60" s="1"/>
      </tp>
      <tp t="s">
        <v>N/A</v>
        <stp/>
        <stp>IMPL_VOL</stp>
        <stp>.QQQ250620C484</stp>
        <tr r="EP63" s="1"/>
      </tp>
      <tp t="s">
        <v>N/A</v>
        <stp/>
        <stp>IMPL_VOL</stp>
        <stp>.QQQ250620P484</stp>
        <tr r="EQ63" s="1"/>
      </tp>
      <tp t="s">
        <v>16.35%</v>
        <stp/>
        <stp>IMPL_VOL</stp>
        <stp>.QQQ250620C485</stp>
        <tr r="EP62" s="1"/>
      </tp>
      <tp t="s">
        <v>29.55%</v>
        <stp/>
        <stp>IMPL_VOL</stp>
        <stp>.QQQ250620P485</stp>
        <tr r="EQ62" s="1"/>
      </tp>
      <tp t="s">
        <v>N/A</v>
        <stp/>
        <stp>IMPL_VOL</stp>
        <stp>.QQQ250620C488</stp>
        <tr r="EP59" s="1"/>
      </tp>
      <tp t="s">
        <v>N/A</v>
        <stp/>
        <stp>IMPL_VOL</stp>
        <stp>.QQQ250620P488</stp>
        <tr r="EQ59" s="1"/>
      </tp>
      <tp t="s">
        <v>N/A</v>
        <stp/>
        <stp>IMPL_VOL</stp>
        <stp>.QQQ250620C489</stp>
        <tr r="EP58" s="1"/>
      </tp>
      <tp t="s">
        <v>N/A</v>
        <stp/>
        <stp>IMPL_VOL</stp>
        <stp>.QQQ250620P489</stp>
        <tr r="EQ58" s="1"/>
      </tp>
      <tp t="s">
        <v>N/A</v>
        <stp/>
        <stp>IMPL_VOL</stp>
        <stp>.QQQ250620C492</stp>
        <tr r="EP55" s="1"/>
      </tp>
      <tp t="s">
        <v>N/A</v>
        <stp/>
        <stp>IMPL_VOL</stp>
        <stp>.QQQ250620P492</stp>
        <tr r="EQ55" s="1"/>
      </tp>
      <tp t="s">
        <v>N/A</v>
        <stp/>
        <stp>IMPL_VOL</stp>
        <stp>.QQQ250620C493</stp>
        <tr r="EP54" s="1"/>
      </tp>
      <tp t="s">
        <v>N/A</v>
        <stp/>
        <stp>IMPL_VOL</stp>
        <stp>.QQQ250620P493</stp>
        <tr r="EQ54" s="1"/>
      </tp>
      <tp t="s">
        <v>16.73%</v>
        <stp/>
        <stp>IMPL_VOL</stp>
        <stp>.QQQ250620C490</stp>
        <tr r="EP57" s="1"/>
      </tp>
      <tp t="s">
        <v>29.32%</v>
        <stp/>
        <stp>IMPL_VOL</stp>
        <stp>.QQQ250620P490</stp>
        <tr r="EQ57" s="1"/>
      </tp>
      <tp t="s">
        <v>N/A</v>
        <stp/>
        <stp>IMPL_VOL</stp>
        <stp>.QQQ250620C491</stp>
        <tr r="EP56" s="1"/>
      </tp>
      <tp t="s">
        <v>N/A</v>
        <stp/>
        <stp>IMPL_VOL</stp>
        <stp>.QQQ250620P491</stp>
        <tr r="EQ56" s="1"/>
      </tp>
      <tp t="s">
        <v>N/A</v>
        <stp/>
        <stp>IMPL_VOL</stp>
        <stp>.QQQ250620C496</stp>
        <tr r="EP51" s="1"/>
      </tp>
      <tp t="s">
        <v>N/A</v>
        <stp/>
        <stp>IMPL_VOL</stp>
        <stp>.QQQ250620P496</stp>
        <tr r="EQ51" s="1"/>
      </tp>
      <tp t="s">
        <v>N/A</v>
        <stp/>
        <stp>IMPL_VOL</stp>
        <stp>.QQQ250620C497</stp>
        <tr r="EP50" s="1"/>
      </tp>
      <tp t="s">
        <v>N/A</v>
        <stp/>
        <stp>IMPL_VOL</stp>
        <stp>.QQQ250620P497</stp>
        <tr r="EQ50" s="1"/>
      </tp>
      <tp t="s">
        <v>N/A</v>
        <stp/>
        <stp>IMPL_VOL</stp>
        <stp>.QQQ250620C494</stp>
        <tr r="EP53" s="1"/>
      </tp>
      <tp t="s">
        <v>N/A</v>
        <stp/>
        <stp>IMPL_VOL</stp>
        <stp>.QQQ250620P494</stp>
        <tr r="EQ53" s="1"/>
      </tp>
      <tp t="s">
        <v>16.83%</v>
        <stp/>
        <stp>IMPL_VOL</stp>
        <stp>.QQQ250620C495</stp>
        <tr r="EP52" s="1"/>
      </tp>
      <tp t="s">
        <v>29.18%</v>
        <stp/>
        <stp>IMPL_VOL</stp>
        <stp>.QQQ250620P495</stp>
        <tr r="EQ52" s="1"/>
      </tp>
      <tp t="s">
        <v>N/A</v>
        <stp/>
        <stp>IMPL_VOL</stp>
        <stp>.QQQ250620C498</stp>
        <tr r="EP49" s="1"/>
      </tp>
      <tp t="s">
        <v>N/A</v>
        <stp/>
        <stp>IMPL_VOL</stp>
        <stp>.QQQ250620P498</stp>
        <tr r="EQ49" s="1"/>
      </tp>
      <tp t="s">
        <v>N/A</v>
        <stp/>
        <stp>IMPL_VOL</stp>
        <stp>.QQQ250620C499</stp>
        <tr r="EP48" s="1"/>
      </tp>
      <tp t="s">
        <v>N/A</v>
        <stp/>
        <stp>IMPL_VOL</stp>
        <stp>.QQQ250620P499</stp>
        <tr r="EQ48" s="1"/>
      </tp>
      <tp t="s">
        <v>N/A</v>
        <stp/>
        <stp>IMPL_VOL</stp>
        <stp>.SPXW250509C5720</stp>
        <tr r="EL100" s="1"/>
      </tp>
      <tp t="s">
        <v>N/A</v>
        <stp/>
        <stp>IMPL_VOL</stp>
        <stp>.SPXW250509P5720</stp>
        <tr r="EM100" s="1"/>
      </tp>
      <tp t="s">
        <v>59.81%</v>
        <stp/>
        <stp>IMPL_VOL</stp>
        <stp>.SPXW250509C5730</stp>
        <tr r="EL99" s="1"/>
      </tp>
      <tp t="s">
        <v>91.07%</v>
        <stp/>
        <stp>IMPL_VOL</stp>
        <stp>.SPXW250509P5730</stp>
        <tr r="EM99" s="1"/>
      </tp>
      <tp t="s">
        <v>36.33%</v>
        <stp/>
        <stp>IMPL_VOL</stp>
        <stp>.SPXW250509C5700</stp>
        <tr r="EL102" s="1"/>
      </tp>
      <tp t="s">
        <v>58.23%</v>
        <stp/>
        <stp>IMPL_VOL</stp>
        <stp>.SPXW250509P5700</stp>
        <tr r="EM102" s="1"/>
      </tp>
      <tp t="s">
        <v>44.29%</v>
        <stp/>
        <stp>IMPL_VOL</stp>
        <stp>.SPXW250509C5710</stp>
        <tr r="EL101" s="1"/>
      </tp>
      <tp t="s">
        <v>69.48%</v>
        <stp/>
        <stp>IMPL_VOL</stp>
        <stp>.SPXW250509P5710</stp>
        <tr r="EM101" s="1"/>
      </tp>
      <tp t="s">
        <v>82.13%</v>
        <stp/>
        <stp>IMPL_VOL</stp>
        <stp>.SPXW250509C5760</stp>
        <tr r="EL96" s="1"/>
      </tp>
      <tp t="s">
        <v>121.88%</v>
        <stp/>
        <stp>IMPL_VOL</stp>
        <stp>.SPXW250509P5760</stp>
        <tr r="EM96" s="1"/>
      </tp>
      <tp t="s">
        <v>89.44%</v>
        <stp/>
        <stp>IMPL_VOL</stp>
        <stp>.SPXW250509C5770</stp>
        <tr r="EL95" s="1"/>
      </tp>
      <tp t="s">
        <v>125.65%</v>
        <stp/>
        <stp>IMPL_VOL</stp>
        <stp>.SPXW250509P5770</stp>
        <tr r="EM95" s="1"/>
      </tp>
      <tp t="s">
        <v>67.44%</v>
        <stp/>
        <stp>IMPL_VOL</stp>
        <stp>.SPXW250509C5740</stp>
        <tr r="EL98" s="1"/>
      </tp>
      <tp t="s">
        <v>101.52%</v>
        <stp/>
        <stp>IMPL_VOL</stp>
        <stp>.SPXW250509P5740</stp>
        <tr r="EM98" s="1"/>
      </tp>
      <tp t="s">
        <v>74.81%</v>
        <stp/>
        <stp>IMPL_VOL</stp>
        <stp>.SPXW250509C5750</stp>
        <tr r="EL97" s="1"/>
      </tp>
      <tp t="s">
        <v>111.78%</v>
        <stp/>
        <stp>IMPL_VOL</stp>
        <stp>.SPXW250509P5750</stp>
        <tr r="EM97" s="1"/>
      </tp>
      <tp t="s">
        <v>96.68%</v>
        <stp/>
        <stp>IMPL_VOL</stp>
        <stp>.SPXW250509C5780</stp>
        <tr r="EL94" s="1"/>
      </tp>
      <tp t="s">
        <v>126.87%</v>
        <stp/>
        <stp>IMPL_VOL</stp>
        <stp>.SPXW250509P5780</stp>
        <tr r="EM94" s="1"/>
      </tp>
      <tp t="s">
        <v>103.86%</v>
        <stp/>
        <stp>IMPL_VOL</stp>
        <stp>.SPXW250509C5790</stp>
        <tr r="EL93" s="1"/>
      </tp>
      <tp t="s">
        <v>132.22%</v>
        <stp/>
        <stp>IMPL_VOL</stp>
        <stp>.SPXW250509P5790</stp>
        <tr r="EM93" s="1"/>
      </tp>
      <tp>
        <v>292</v>
        <stp/>
        <stp>OPEN_INT</stp>
        <stp>.NDX250620P19800</stp>
        <tr r="AX167" s="1"/>
        <tr r="AX167" s="1"/>
      </tp>
      <tp>
        <v>75</v>
        <stp/>
        <stp>OPEN_INT</stp>
        <stp>.NDX250620P19825</stp>
        <tr r="AX166" s="1"/>
        <tr r="AX166" s="1"/>
      </tp>
      <tp>
        <v>43</v>
        <stp/>
        <stp>OPEN_INT</stp>
        <stp>.NDX250620P19850</stp>
        <tr r="AX165" s="1"/>
        <tr r="AX165" s="1"/>
      </tp>
      <tp>
        <v>19</v>
        <stp/>
        <stp>OPEN_INT</stp>
        <stp>.NDX250620P19875</stp>
        <tr r="AX164" s="1"/>
        <tr r="AX164" s="1"/>
      </tp>
      <tp>
        <v>47</v>
        <stp/>
        <stp>OPEN_INT</stp>
        <stp>.NDX250620C19825</stp>
        <tr r="AW166" s="1"/>
        <tr r="AW166" s="1"/>
      </tp>
      <tp t="s">
        <v>N/A</v>
        <stp/>
        <stp>IMPL_VOL</stp>
        <stp>.QQQ250620C502</stp>
        <tr r="EP45" s="1"/>
      </tp>
      <tp t="s">
        <v>N/A</v>
        <stp/>
        <stp>IMPL_VOL</stp>
        <stp>.QQQ250620P502</stp>
        <tr r="EQ45" s="1"/>
      </tp>
      <tp t="s">
        <v>16.86%</v>
        <stp/>
        <stp>IMPL_VOL</stp>
        <stp>.QQQ250620C500</stp>
        <tr r="EP47" s="1"/>
      </tp>
      <tp t="s">
        <v>29.87%</v>
        <stp/>
        <stp>IMPL_VOL</stp>
        <stp>.QQQ250620P500</stp>
        <tr r="EQ47" s="1"/>
      </tp>
      <tp t="s">
        <v>N/A</v>
        <stp/>
        <stp>IMPL_VOL</stp>
        <stp>.QQQ250620C501</stp>
        <tr r="EP46" s="1"/>
      </tp>
      <tp t="s">
        <v>N/A</v>
        <stp/>
        <stp>IMPL_VOL</stp>
        <stp>.QQQ250620P501</stp>
        <tr r="EQ46" s="1"/>
      </tp>
      <tp>
        <v>283</v>
        <stp/>
        <stp>OPEN_INT</stp>
        <stp>.NDX250620C19800</stp>
        <tr r="AW167" s="1"/>
        <tr r="AW167" s="1"/>
      </tp>
      <tp>
        <v>16</v>
        <stp/>
        <stp>OPEN_INT</stp>
        <stp>.NDX250620C19875</stp>
        <tr r="AW164" s="1"/>
        <tr r="AW164" s="1"/>
      </tp>
      <tp>
        <v>46</v>
        <stp/>
        <stp>OPEN_INT</stp>
        <stp>.NDX250620C19850</stp>
        <tr r="AW165" s="1"/>
        <tr r="AW165" s="1"/>
      </tp>
      <tp t="s">
        <v>--</v>
        <stp/>
        <stp>IMPL_VOL</stp>
        <stp>.SPXW250509C5620</stp>
        <tr r="EL110" s="1"/>
      </tp>
      <tp t="s">
        <v>36.47%</v>
        <stp/>
        <stp>IMPL_VOL</stp>
        <stp>.SPXW250509P5620</stp>
        <tr r="EM110" s="1"/>
      </tp>
      <tp t="s">
        <v>--</v>
        <stp/>
        <stp>IMPL_VOL</stp>
        <stp>.SPXW250509C5630</stp>
        <tr r="EL109" s="1"/>
      </tp>
      <tp t="s">
        <v>28.16%</v>
        <stp/>
        <stp>IMPL_VOL</stp>
        <stp>.SPXW250509P5630</stp>
        <tr r="EM109" s="1"/>
      </tp>
      <tp t="s">
        <v>--</v>
        <stp/>
        <stp>IMPL_VOL</stp>
        <stp>.SPXW250509C5600</stp>
        <tr r="EL112" s="1"/>
      </tp>
      <tp t="s">
        <v>52.54%</v>
        <stp/>
        <stp>IMPL_VOL</stp>
        <stp>.SPXW250509P5600</stp>
        <tr r="EM112" s="1"/>
      </tp>
      <tp t="s">
        <v>--</v>
        <stp/>
        <stp>IMPL_VOL</stp>
        <stp>.SPXW250509C5610</stp>
        <tr r="EL111" s="1"/>
      </tp>
      <tp t="s">
        <v>44.56%</v>
        <stp/>
        <stp>IMPL_VOL</stp>
        <stp>.SPXW250509P5610</stp>
        <tr r="EM111" s="1"/>
      </tp>
      <tp t="s">
        <v>2.85%</v>
        <stp/>
        <stp>IMPL_VOL</stp>
        <stp>.SPXW250509C5660</stp>
        <tr r="EL106" s="1"/>
      </tp>
      <tp t="s">
        <v>3.00%</v>
        <stp/>
        <stp>IMPL_VOL</stp>
        <stp>.SPXW250509P5660</stp>
        <tr r="EM106" s="1"/>
      </tp>
      <tp t="s">
        <v>10.85%</v>
        <stp/>
        <stp>IMPL_VOL</stp>
        <stp>.SPXW250509C5670</stp>
        <tr r="EL105" s="1"/>
      </tp>
      <tp t="s">
        <v>21.37%</v>
        <stp/>
        <stp>IMPL_VOL</stp>
        <stp>.SPXW250509P5670</stp>
        <tr r="EM105" s="1"/>
      </tp>
      <tp t="s">
        <v>35.61%</v>
        <stp/>
        <stp>IMPL_VOL</stp>
        <stp>.SPXW250509C5640</stp>
        <tr r="EL108" s="1"/>
      </tp>
      <tp t="s">
        <v>19.73%</v>
        <stp/>
        <stp>IMPL_VOL</stp>
        <stp>.SPXW250509P5640</stp>
        <tr r="EM108" s="1"/>
      </tp>
      <tp t="s">
        <v>15.16%</v>
        <stp/>
        <stp>IMPL_VOL</stp>
        <stp>.SPXW250509C5650</stp>
        <tr r="EL107" s="1"/>
      </tp>
      <tp t="s">
        <v>10.73%</v>
        <stp/>
        <stp>IMPL_VOL</stp>
        <stp>.SPXW250509P5650</stp>
        <tr r="EM107" s="1"/>
      </tp>
      <tp t="s">
        <v>19.79%</v>
        <stp/>
        <stp>IMPL_VOL</stp>
        <stp>.SPXW250509C5680</stp>
        <tr r="EL104" s="1"/>
      </tp>
      <tp t="s">
        <v>--</v>
        <stp/>
        <stp>IMPL_VOL</stp>
        <stp>.SPXW250509P5680</stp>
        <tr r="EM104" s="1"/>
      </tp>
      <tp t="s">
        <v>28.14%</v>
        <stp/>
        <stp>IMPL_VOL</stp>
        <stp>.SPXW250509C5690</stp>
        <tr r="EL103" s="1"/>
      </tp>
      <tp t="s">
        <v>46.55%</v>
        <stp/>
        <stp>IMPL_VOL</stp>
        <stp>.SPXW250509P5690</stp>
        <tr r="EM103" s="1"/>
      </tp>
      <tp t="s">
        <v>62.34%</v>
        <stp/>
        <stp>IMPL_VOL</stp>
        <stp>.QQQ250509C502</stp>
        <tr r="EL45" s="1"/>
      </tp>
      <tp t="s">
        <v>724.58%</v>
        <stp/>
        <stp>IMPL_VOL</stp>
        <stp>.QQQ250509P502</stp>
        <tr r="EM45" s="1"/>
      </tp>
      <tp t="s">
        <v>52.85%</v>
        <stp/>
        <stp>IMPL_VOL</stp>
        <stp>.QQQ250509C501</stp>
        <tr r="EL46" s="1"/>
      </tp>
      <tp t="s">
        <v>696.69%</v>
        <stp/>
        <stp>IMPL_VOL</stp>
        <stp>.QQQ250509P501</stp>
        <tr r="EM46" s="1"/>
      </tp>
      <tp t="s">
        <v>43.15%</v>
        <stp/>
        <stp>IMPL_VOL</stp>
        <stp>.QQQ250509C500</stp>
        <tr r="EL47" s="1"/>
      </tp>
      <tp t="s">
        <v>668.09%</v>
        <stp/>
        <stp>IMPL_VOL</stp>
        <stp>.QQQ250509P500</stp>
        <tr r="EM47" s="1"/>
      </tp>
      <tp t="s">
        <v>15.66%</v>
        <stp/>
        <stp>IMPL_VOL</stp>
        <stp>.QQQ250516C500</stp>
        <tr r="EN47" s="1"/>
      </tp>
      <tp t="s">
        <v>53.60%</v>
        <stp/>
        <stp>IMPL_VOL</stp>
        <stp>.QQQ250516P500</stp>
        <tr r="EO47" s="1"/>
      </tp>
      <tp t="s">
        <v>16.09%</v>
        <stp/>
        <stp>IMPL_VOL</stp>
        <stp>.QQQ250516C501</stp>
        <tr r="EN46" s="1"/>
      </tp>
      <tp t="s">
        <v>53.29%</v>
        <stp/>
        <stp>IMPL_VOL</stp>
        <stp>.QQQ250516P501</stp>
        <tr r="EO46" s="1"/>
      </tp>
      <tp t="s">
        <v>16.52%</v>
        <stp/>
        <stp>IMPL_VOL</stp>
        <stp>.QQQ250516C502</stp>
        <tr r="EN45" s="1"/>
      </tp>
      <tp t="s">
        <v>54.23%</v>
        <stp/>
        <stp>IMPL_VOL</stp>
        <stp>.QQQ250516P502</stp>
        <tr r="EO45" s="1"/>
      </tp>
      <tp>
        <v>0.01</v>
        <stp/>
        <stp>ASK</stp>
        <stp>.SPY250509C569</stp>
        <tr r="DC17" s="1"/>
        <tr r="DC17" s="1"/>
      </tp>
      <tp>
        <v>5.6</v>
        <stp/>
        <stp>ASK</stp>
        <stp>.SPY250509P569</stp>
        <tr r="DD17" s="1"/>
        <tr r="DD17" s="1"/>
      </tp>
      <tp>
        <v>0.01</v>
        <stp/>
        <stp>ASK</stp>
        <stp>.SPY250509C568</stp>
        <tr r="DC18" s="1"/>
        <tr r="DC18" s="1"/>
      </tp>
      <tp>
        <v>4.57</v>
        <stp/>
        <stp>ASK</stp>
        <stp>.SPY250509P568</stp>
        <tr r="DD18" s="1"/>
        <tr r="DD18" s="1"/>
      </tp>
      <tp>
        <v>1.49</v>
        <stp/>
        <stp>ASK</stp>
        <stp>.SPY250509C563</stp>
        <tr r="DC23" s="1"/>
        <tr r="DC23" s="1"/>
      </tp>
      <tp>
        <v>0.01</v>
        <stp/>
        <stp>ASK</stp>
        <stp>.SPY250509P563</stp>
        <tr r="DD23" s="1"/>
        <tr r="DD23" s="1"/>
      </tp>
      <tp>
        <v>3</v>
        <stp/>
        <stp>ASK</stp>
        <stp>.SPY250509C562</stp>
        <tr r="DC24" s="1"/>
        <tr r="DC24" s="1"/>
      </tp>
      <tp>
        <v>0.01</v>
        <stp/>
        <stp>ASK</stp>
        <stp>.SPY250509P562</stp>
        <tr r="DD24" s="1"/>
        <tr r="DD24" s="1"/>
      </tp>
      <tp>
        <v>4.28</v>
        <stp/>
        <stp>ASK</stp>
        <stp>.SPY250509C561</stp>
        <tr r="DC25" s="1"/>
        <tr r="DC25" s="1"/>
      </tp>
      <tp>
        <v>0.01</v>
        <stp/>
        <stp>ASK</stp>
        <stp>.SPY250509P561</stp>
        <tr r="DD25" s="1"/>
        <tr r="DD25" s="1"/>
      </tp>
      <tp>
        <v>5.51</v>
        <stp/>
        <stp>ASK</stp>
        <stp>.SPY250509C560</stp>
        <tr r="DC26" s="1"/>
        <tr r="DC26" s="1"/>
      </tp>
      <tp>
        <v>0.01</v>
        <stp/>
        <stp>ASK</stp>
        <stp>.SPY250509P560</stp>
        <tr r="DD26" s="1"/>
        <tr r="DD26" s="1"/>
      </tp>
      <tp>
        <v>0.01</v>
        <stp/>
        <stp>ASK</stp>
        <stp>.SPY250509C567</stp>
        <tr r="DC19" s="1"/>
        <tr r="DC19" s="1"/>
      </tp>
      <tp>
        <v>3.66</v>
        <stp/>
        <stp>ASK</stp>
        <stp>.SPY250509P567</stp>
        <tr r="DD19" s="1"/>
        <tr r="DD19" s="1"/>
      </tp>
      <tp>
        <v>0.01</v>
        <stp/>
        <stp>ASK</stp>
        <stp>.SPY250509C566</stp>
        <tr r="DC20" s="1"/>
        <tr r="DC20" s="1"/>
      </tp>
      <tp>
        <v>2.61</v>
        <stp/>
        <stp>ASK</stp>
        <stp>.SPY250509P566</stp>
        <tr r="DD20" s="1"/>
        <tr r="DD20" s="1"/>
      </tp>
      <tp>
        <v>0.02</v>
        <stp/>
        <stp>ASK</stp>
        <stp>.SPY250509C565</stp>
        <tr r="DC21" s="1"/>
        <tr r="DC21" s="1"/>
      </tp>
      <tp>
        <v>0.66</v>
        <stp/>
        <stp>ASK</stp>
        <stp>.SPY250509P565</stp>
        <tr r="DD21" s="1"/>
        <tr r="DD21" s="1"/>
      </tp>
      <tp>
        <v>0.48</v>
        <stp/>
        <stp>ASK</stp>
        <stp>.SPY250509C564</stp>
        <tr r="DC22" s="1"/>
        <tr r="DC22" s="1"/>
      </tp>
      <tp>
        <v>0.02</v>
        <stp/>
        <stp>ASK</stp>
        <stp>.SPY250509P564</stp>
        <tr r="DD22" s="1"/>
        <tr r="DD22" s="1"/>
      </tp>
      <tp>
        <v>12.58</v>
        <stp/>
        <stp>BID</stp>
        <stp>.SPY250509C551</stp>
        <tr r="DE35" s="1"/>
        <tr r="DE35" s="1"/>
      </tp>
      <tp>
        <v>0</v>
        <stp/>
        <stp>BID</stp>
        <stp>.SPY250509P551</stp>
        <tr r="DF35" s="1"/>
        <tr r="DF35" s="1"/>
      </tp>
      <tp>
        <v>13.13</v>
        <stp/>
        <stp>BID</stp>
        <stp>.SPY250509C550</stp>
        <tr r="DE36" s="1"/>
        <tr r="DE36" s="1"/>
      </tp>
      <tp>
        <v>0</v>
        <stp/>
        <stp>BID</stp>
        <stp>.SPY250509P550</stp>
        <tr r="DF36" s="1"/>
        <tr r="DF36" s="1"/>
      </tp>
      <tp>
        <v>10.51</v>
        <stp/>
        <stp>BID</stp>
        <stp>.SPY250509C553</stp>
        <tr r="DE33" s="1"/>
        <tr r="DE33" s="1"/>
      </tp>
      <tp>
        <v>0</v>
        <stp/>
        <stp>BID</stp>
        <stp>.SPY250509P553</stp>
        <tr r="DF33" s="1"/>
        <tr r="DF33" s="1"/>
      </tp>
      <tp>
        <v>11.61</v>
        <stp/>
        <stp>BID</stp>
        <stp>.SPY250509C552</stp>
        <tr r="DE34" s="1"/>
        <tr r="DE34" s="1"/>
      </tp>
      <tp>
        <v>0</v>
        <stp/>
        <stp>BID</stp>
        <stp>.SPY250509P552</stp>
        <tr r="DF34" s="1"/>
        <tr r="DF34" s="1"/>
      </tp>
      <tp>
        <v>8.48</v>
        <stp/>
        <stp>BID</stp>
        <stp>.SPY250509C555</stp>
        <tr r="DE31" s="1"/>
        <tr r="DE31" s="1"/>
      </tp>
      <tp>
        <v>0</v>
        <stp/>
        <stp>BID</stp>
        <stp>.SPY250509P555</stp>
        <tr r="DF31" s="1"/>
        <tr r="DF31" s="1"/>
      </tp>
      <tp>
        <v>9.51</v>
        <stp/>
        <stp>BID</stp>
        <stp>.SPY250509C554</stp>
        <tr r="DE32" s="1"/>
        <tr r="DE32" s="1"/>
      </tp>
      <tp>
        <v>0</v>
        <stp/>
        <stp>BID</stp>
        <stp>.SPY250509P554</stp>
        <tr r="DF32" s="1"/>
        <tr r="DF32" s="1"/>
      </tp>
      <tp>
        <v>6.39</v>
        <stp/>
        <stp>BID</stp>
        <stp>.SPY250509C557</stp>
        <tr r="DE29" s="1"/>
        <tr r="DE29" s="1"/>
      </tp>
      <tp>
        <v>0</v>
        <stp/>
        <stp>BID</stp>
        <stp>.SPY250509P557</stp>
        <tr r="DF29" s="1"/>
        <tr r="DF29" s="1"/>
      </tp>
      <tp>
        <v>7.61</v>
        <stp/>
        <stp>BID</stp>
        <stp>.SPY250509C556</stp>
        <tr r="DE30" s="1"/>
        <tr r="DE30" s="1"/>
      </tp>
      <tp>
        <v>0</v>
        <stp/>
        <stp>BID</stp>
        <stp>.SPY250509P556</stp>
        <tr r="DF30" s="1"/>
        <tr r="DF30" s="1"/>
      </tp>
      <tp>
        <v>4.51</v>
        <stp/>
        <stp>BID</stp>
        <stp>.SPY250509C559</stp>
        <tr r="DE27" s="1"/>
        <tr r="DE27" s="1"/>
      </tp>
      <tp>
        <v>0</v>
        <stp/>
        <stp>BID</stp>
        <stp>.SPY250509P559</stp>
        <tr r="DF27" s="1"/>
        <tr r="DF27" s="1"/>
      </tp>
      <tp>
        <v>5.62</v>
        <stp/>
        <stp>BID</stp>
        <stp>.SPY250509C558</stp>
        <tr r="DE28" s="1"/>
        <tr r="DE28" s="1"/>
      </tp>
      <tp>
        <v>0</v>
        <stp/>
        <stp>BID</stp>
        <stp>.SPY250509P558</stp>
        <tr r="DF28" s="1"/>
        <tr r="DF28" s="1"/>
      </tp>
      <tp>
        <v>0.01</v>
        <stp/>
        <stp>ASK</stp>
        <stp>.SPY250509C579</stp>
        <tr r="DC7" s="1"/>
        <tr r="DC7" s="1"/>
      </tp>
      <tp>
        <v>15.74</v>
        <stp/>
        <stp>ASK</stp>
        <stp>.SPY250509P579</stp>
        <tr r="DD7" s="1"/>
        <tr r="DD7" s="1"/>
      </tp>
      <tp>
        <v>0.01</v>
        <stp/>
        <stp>ASK</stp>
        <stp>.SPY250509C578</stp>
        <tr r="DC8" s="1"/>
        <tr r="DC8" s="1"/>
      </tp>
      <tp>
        <v>14.74</v>
        <stp/>
        <stp>ASK</stp>
        <stp>.SPY250509P578</stp>
        <tr r="DD8" s="1"/>
        <tr r="DD8" s="1"/>
      </tp>
      <tp>
        <v>0.01</v>
        <stp/>
        <stp>ASK</stp>
        <stp>.SPY250509C573</stp>
        <tr r="DC13" s="1"/>
        <tr r="DC13" s="1"/>
      </tp>
      <tp>
        <v>9.67</v>
        <stp/>
        <stp>ASK</stp>
        <stp>.SPY250509P573</stp>
        <tr r="DD13" s="1"/>
        <tr r="DD13" s="1"/>
      </tp>
      <tp>
        <v>0.01</v>
        <stp/>
        <stp>ASK</stp>
        <stp>.SPY250509C572</stp>
        <tr r="DC14" s="1"/>
        <tr r="DC14" s="1"/>
      </tp>
      <tp>
        <v>8.48</v>
        <stp/>
        <stp>ASK</stp>
        <stp>.SPY250509P572</stp>
        <tr r="DD14" s="1"/>
        <tr r="DD14" s="1"/>
      </tp>
      <tp>
        <v>0.01</v>
        <stp/>
        <stp>ASK</stp>
        <stp>.SPY250509C571</stp>
        <tr r="DC15" s="1"/>
        <tr r="DC15" s="1"/>
      </tp>
      <tp>
        <v>7.47</v>
        <stp/>
        <stp>ASK</stp>
        <stp>.SPY250509P571</stp>
        <tr r="DD15" s="1"/>
        <tr r="DD15" s="1"/>
      </tp>
      <tp>
        <v>0.01</v>
        <stp/>
        <stp>ASK</stp>
        <stp>.SPY250509C570</stp>
        <tr r="DC16" s="1"/>
        <tr r="DC16" s="1"/>
      </tp>
      <tp>
        <v>6.6</v>
        <stp/>
        <stp>ASK</stp>
        <stp>.SPY250509P570</stp>
        <tr r="DD16" s="1"/>
        <tr r="DD16" s="1"/>
      </tp>
      <tp>
        <v>0.01</v>
        <stp/>
        <stp>ASK</stp>
        <stp>.SPY250509C577</stp>
        <tr r="DC9" s="1"/>
        <tr r="DC9" s="1"/>
      </tp>
      <tp>
        <v>13.72</v>
        <stp/>
        <stp>ASK</stp>
        <stp>.SPY250509P577</stp>
        <tr r="DD9" s="1"/>
        <tr r="DD9" s="1"/>
      </tp>
      <tp>
        <v>0.01</v>
        <stp/>
        <stp>ASK</stp>
        <stp>.SPY250509C576</stp>
        <tr r="DC10" s="1"/>
        <tr r="DC10" s="1"/>
      </tp>
      <tp>
        <v>12.67</v>
        <stp/>
        <stp>ASK</stp>
        <stp>.SPY250509P576</stp>
        <tr r="DD10" s="1"/>
        <tr r="DD10" s="1"/>
      </tp>
      <tp>
        <v>0.01</v>
        <stp/>
        <stp>ASK</stp>
        <stp>.SPY250509C575</stp>
        <tr r="DC11" s="1"/>
        <tr r="DC11" s="1"/>
      </tp>
      <tp>
        <v>11.67</v>
        <stp/>
        <stp>ASK</stp>
        <stp>.SPY250509P575</stp>
        <tr r="DD11" s="1"/>
        <tr r="DD11" s="1"/>
      </tp>
      <tp>
        <v>0.01</v>
        <stp/>
        <stp>ASK</stp>
        <stp>.SPY250509C574</stp>
        <tr r="DC12" s="1"/>
        <tr r="DC12" s="1"/>
      </tp>
      <tp>
        <v>10.67</v>
        <stp/>
        <stp>ASK</stp>
        <stp>.SPY250509P574</stp>
        <tr r="DD12" s="1"/>
        <tr r="DD12" s="1"/>
      </tp>
      <tp>
        <v>14.23</v>
        <stp/>
        <stp>BID</stp>
        <stp>.SPY250509C549</stp>
        <tr r="DE37" s="1"/>
        <tr r="DE37" s="1"/>
      </tp>
      <tp>
        <v>0</v>
        <stp/>
        <stp>BID</stp>
        <stp>.SPY250509P549</stp>
        <tr r="DF37" s="1"/>
        <tr r="DF37" s="1"/>
      </tp>
      <tp>
        <v>15.23</v>
        <stp/>
        <stp>BID</stp>
        <stp>.SPY250509C548</stp>
        <tr r="DE38" s="1"/>
        <tr r="DE38" s="1"/>
      </tp>
      <tp>
        <v>0</v>
        <stp/>
        <stp>BID</stp>
        <stp>.SPY250509P548</stp>
        <tr r="DF38" s="1"/>
        <tr r="DF38" s="1"/>
      </tp>
      <tp>
        <v>16.27</v>
        <stp/>
        <stp>ASK</stp>
        <stp>.SPY250509C549</stp>
        <tr r="DC37" s="1"/>
        <tr r="DC37" s="1"/>
      </tp>
      <tp>
        <v>0.01</v>
        <stp/>
        <stp>ASK</stp>
        <stp>.SPY250509P549</stp>
        <tr r="DD37" s="1"/>
        <tr r="DD37" s="1"/>
      </tp>
      <tp>
        <v>17.27</v>
        <stp/>
        <stp>ASK</stp>
        <stp>.SPY250509C548</stp>
        <tr r="DC38" s="1"/>
        <tr r="DC38" s="1"/>
      </tp>
      <tp>
        <v>0.01</v>
        <stp/>
        <stp>ASK</stp>
        <stp>.SPY250509P548</stp>
        <tr r="DD38" s="1"/>
        <tr r="DD38" s="1"/>
      </tp>
      <tp>
        <v>0</v>
        <stp/>
        <stp>BID</stp>
        <stp>.SPY250509C571</stp>
        <tr r="DE15" s="1"/>
        <tr r="DE15" s="1"/>
      </tp>
      <tp>
        <v>5.75</v>
        <stp/>
        <stp>BID</stp>
        <stp>.SPY250509P571</stp>
        <tr r="DF15" s="1"/>
        <tr r="DF15" s="1"/>
      </tp>
      <tp>
        <v>0</v>
        <stp/>
        <stp>BID</stp>
        <stp>.SPY250509C570</stp>
        <tr r="DE16" s="1"/>
        <tr r="DE16" s="1"/>
      </tp>
      <tp>
        <v>4.72</v>
        <stp/>
        <stp>BID</stp>
        <stp>.SPY250509P570</stp>
        <tr r="DF16" s="1"/>
        <tr r="DF16" s="1"/>
      </tp>
      <tp>
        <v>0</v>
        <stp/>
        <stp>BID</stp>
        <stp>.SPY250509C573</stp>
        <tr r="DE13" s="1"/>
        <tr r="DE13" s="1"/>
      </tp>
      <tp>
        <v>7.75</v>
        <stp/>
        <stp>BID</stp>
        <stp>.SPY250509P573</stp>
        <tr r="DF13" s="1"/>
        <tr r="DF13" s="1"/>
      </tp>
      <tp>
        <v>0</v>
        <stp/>
        <stp>BID</stp>
        <stp>.SPY250509C572</stp>
        <tr r="DE14" s="1"/>
        <tr r="DE14" s="1"/>
      </tp>
      <tp>
        <v>6.75</v>
        <stp/>
        <stp>BID</stp>
        <stp>.SPY250509P572</stp>
        <tr r="DF14" s="1"/>
        <tr r="DF14" s="1"/>
      </tp>
      <tp>
        <v>0</v>
        <stp/>
        <stp>BID</stp>
        <stp>.SPY250509C575</stp>
        <tr r="DE11" s="1"/>
        <tr r="DE11" s="1"/>
      </tp>
      <tp>
        <v>9.75</v>
        <stp/>
        <stp>BID</stp>
        <stp>.SPY250509P575</stp>
        <tr r="DF11" s="1"/>
        <tr r="DF11" s="1"/>
      </tp>
      <tp>
        <v>0</v>
        <stp/>
        <stp>BID</stp>
        <stp>.SPY250509C574</stp>
        <tr r="DE12" s="1"/>
        <tr r="DE12" s="1"/>
      </tp>
      <tp>
        <v>8.75</v>
        <stp/>
        <stp>BID</stp>
        <stp>.SPY250509P574</stp>
        <tr r="DF12" s="1"/>
        <tr r="DF12" s="1"/>
      </tp>
      <tp>
        <v>0</v>
        <stp/>
        <stp>BID</stp>
        <stp>.SPY250509C577</stp>
        <tr r="DE9" s="1"/>
        <tr r="DE9" s="1"/>
      </tp>
      <tp>
        <v>11.75</v>
        <stp/>
        <stp>BID</stp>
        <stp>.SPY250509P577</stp>
        <tr r="DF9" s="1"/>
        <tr r="DF9" s="1"/>
      </tp>
      <tp>
        <v>0</v>
        <stp/>
        <stp>BID</stp>
        <stp>.SPY250509C576</stp>
        <tr r="DE10" s="1"/>
        <tr r="DE10" s="1"/>
      </tp>
      <tp>
        <v>10.75</v>
        <stp/>
        <stp>BID</stp>
        <stp>.SPY250509P576</stp>
        <tr r="DF10" s="1"/>
        <tr r="DF10" s="1"/>
      </tp>
      <tp>
        <v>0</v>
        <stp/>
        <stp>BID</stp>
        <stp>.SPY250509C579</stp>
        <tr r="DE7" s="1"/>
        <tr r="DE7" s="1"/>
      </tp>
      <tp>
        <v>13.75</v>
        <stp/>
        <stp>BID</stp>
        <stp>.SPY250509P579</stp>
        <tr r="DF7" s="1"/>
        <tr r="DF7" s="1"/>
      </tp>
      <tp>
        <v>0</v>
        <stp/>
        <stp>BID</stp>
        <stp>.SPY250509C578</stp>
        <tr r="DE8" s="1"/>
        <tr r="DE8" s="1"/>
      </tp>
      <tp>
        <v>12.75</v>
        <stp/>
        <stp>BID</stp>
        <stp>.SPY250509P578</stp>
        <tr r="DF8" s="1"/>
        <tr r="DF8" s="1"/>
      </tp>
      <tp>
        <v>6.29</v>
        <stp/>
        <stp>ASK</stp>
        <stp>.SPY250509C559</stp>
        <tr r="DC27" s="1"/>
        <tr r="DC27" s="1"/>
      </tp>
      <tp>
        <v>0.01</v>
        <stp/>
        <stp>ASK</stp>
        <stp>.SPY250509P559</stp>
        <tr r="DD27" s="1"/>
        <tr r="DD27" s="1"/>
      </tp>
      <tp>
        <v>7.27</v>
        <stp/>
        <stp>ASK</stp>
        <stp>.SPY250509C558</stp>
        <tr r="DC28" s="1"/>
        <tr r="DC28" s="1"/>
      </tp>
      <tp>
        <v>0.01</v>
        <stp/>
        <stp>ASK</stp>
        <stp>.SPY250509P558</stp>
        <tr r="DD28" s="1"/>
        <tr r="DD28" s="1"/>
      </tp>
      <tp>
        <v>12.27</v>
        <stp/>
        <stp>ASK</stp>
        <stp>.SPY250509C553</stp>
        <tr r="DC33" s="1"/>
        <tr r="DC33" s="1"/>
      </tp>
      <tp>
        <v>0.01</v>
        <stp/>
        <stp>ASK</stp>
        <stp>.SPY250509P553</stp>
        <tr r="DD33" s="1"/>
        <tr r="DD33" s="1"/>
      </tp>
      <tp>
        <v>13.27</v>
        <stp/>
        <stp>ASK</stp>
        <stp>.SPY250509C552</stp>
        <tr r="DC34" s="1"/>
        <tr r="DC34" s="1"/>
      </tp>
      <tp>
        <v>0.01</v>
        <stp/>
        <stp>ASK</stp>
        <stp>.SPY250509P552</stp>
        <tr r="DD34" s="1"/>
        <tr r="DD34" s="1"/>
      </tp>
      <tp>
        <v>14.33</v>
        <stp/>
        <stp>ASK</stp>
        <stp>.SPY250509C551</stp>
        <tr r="DC35" s="1"/>
        <tr r="DC35" s="1"/>
      </tp>
      <tp>
        <v>0.01</v>
        <stp/>
        <stp>ASK</stp>
        <stp>.SPY250509P551</stp>
        <tr r="DD35" s="1"/>
        <tr r="DD35" s="1"/>
      </tp>
      <tp>
        <v>15.33</v>
        <stp/>
        <stp>ASK</stp>
        <stp>.SPY250509C550</stp>
        <tr r="DC36" s="1"/>
        <tr r="DC36" s="1"/>
      </tp>
      <tp>
        <v>0.01</v>
        <stp/>
        <stp>ASK</stp>
        <stp>.SPY250509P550</stp>
        <tr r="DD36" s="1"/>
        <tr r="DD36" s="1"/>
      </tp>
      <tp>
        <v>8.41</v>
        <stp/>
        <stp>ASK</stp>
        <stp>.SPY250509C557</stp>
        <tr r="DC29" s="1"/>
        <tr r="DC29" s="1"/>
      </tp>
      <tp>
        <v>0.01</v>
        <stp/>
        <stp>ASK</stp>
        <stp>.SPY250509P557</stp>
        <tr r="DD29" s="1"/>
        <tr r="DD29" s="1"/>
      </tp>
      <tp>
        <v>9.41</v>
        <stp/>
        <stp>ASK</stp>
        <stp>.SPY250509C556</stp>
        <tr r="DC30" s="1"/>
        <tr r="DC30" s="1"/>
      </tp>
      <tp>
        <v>0.01</v>
        <stp/>
        <stp>ASK</stp>
        <stp>.SPY250509P556</stp>
        <tr r="DD30" s="1"/>
        <tr r="DD30" s="1"/>
      </tp>
      <tp>
        <v>10.41</v>
        <stp/>
        <stp>ASK</stp>
        <stp>.SPY250509C555</stp>
        <tr r="DC31" s="1"/>
        <tr r="DC31" s="1"/>
      </tp>
      <tp>
        <v>0.01</v>
        <stp/>
        <stp>ASK</stp>
        <stp>.SPY250509P555</stp>
        <tr r="DD31" s="1"/>
        <tr r="DD31" s="1"/>
      </tp>
      <tp>
        <v>11.41</v>
        <stp/>
        <stp>ASK</stp>
        <stp>.SPY250509C554</stp>
        <tr r="DC32" s="1"/>
        <tr r="DC32" s="1"/>
      </tp>
      <tp>
        <v>0.01</v>
        <stp/>
        <stp>ASK</stp>
        <stp>.SPY250509P554</stp>
        <tr r="DD32" s="1"/>
        <tr r="DD32" s="1"/>
      </tp>
      <tp>
        <v>2.41</v>
        <stp/>
        <stp>BID</stp>
        <stp>.SPY250509C561</stp>
        <tr r="DE25" s="1"/>
        <tr r="DE25" s="1"/>
      </tp>
      <tp>
        <v>0</v>
        <stp/>
        <stp>BID</stp>
        <stp>.SPY250509P561</stp>
        <tr r="DF25" s="1"/>
        <tr r="DF25" s="1"/>
      </tp>
      <tp>
        <v>3.41</v>
        <stp/>
        <stp>BID</stp>
        <stp>.SPY250509C560</stp>
        <tr r="DE26" s="1"/>
        <tr r="DE26" s="1"/>
      </tp>
      <tp>
        <v>0</v>
        <stp/>
        <stp>BID</stp>
        <stp>.SPY250509P560</stp>
        <tr r="DF26" s="1"/>
        <tr r="DF26" s="1"/>
      </tp>
      <tp>
        <v>1.36</v>
        <stp/>
        <stp>BID</stp>
        <stp>.SPY250509C563</stp>
        <tr r="DE23" s="1"/>
        <tr r="DE23" s="1"/>
      </tp>
      <tp>
        <v>0</v>
        <stp/>
        <stp>BID</stp>
        <stp>.SPY250509P563</stp>
        <tr r="DF23" s="1"/>
        <tr r="DF23" s="1"/>
      </tp>
      <tp>
        <v>1.66</v>
        <stp/>
        <stp>BID</stp>
        <stp>.SPY250509C562</stp>
        <tr r="DE24" s="1"/>
        <tr r="DE24" s="1"/>
      </tp>
      <tp>
        <v>0</v>
        <stp/>
        <stp>BID</stp>
        <stp>.SPY250509P562</stp>
        <tr r="DF24" s="1"/>
        <tr r="DF24" s="1"/>
      </tp>
      <tp>
        <v>0.01</v>
        <stp/>
        <stp>BID</stp>
        <stp>.SPY250509C565</stp>
        <tr r="DE21" s="1"/>
        <tr r="DE21" s="1"/>
      </tp>
      <tp>
        <v>0.53</v>
        <stp/>
        <stp>BID</stp>
        <stp>.SPY250509P565</stp>
        <tr r="DF21" s="1"/>
        <tr r="DF21" s="1"/>
      </tp>
      <tp>
        <v>0.39</v>
        <stp/>
        <stp>BID</stp>
        <stp>.SPY250509C564</stp>
        <tr r="DE22" s="1"/>
        <tr r="DE22" s="1"/>
      </tp>
      <tp>
        <v>0.01</v>
        <stp/>
        <stp>BID</stp>
        <stp>.SPY250509P564</stp>
        <tr r="DF22" s="1"/>
        <tr r="DF22" s="1"/>
      </tp>
      <tp>
        <v>0</v>
        <stp/>
        <stp>BID</stp>
        <stp>.SPY250509C567</stp>
        <tr r="DE19" s="1"/>
        <tr r="DE19" s="1"/>
      </tp>
      <tp>
        <v>1.66</v>
        <stp/>
        <stp>BID</stp>
        <stp>.SPY250509P567</stp>
        <tr r="DF19" s="1"/>
        <tr r="DF19" s="1"/>
      </tp>
      <tp>
        <v>0</v>
        <stp/>
        <stp>BID</stp>
        <stp>.SPY250509C566</stp>
        <tr r="DE20" s="1"/>
        <tr r="DE20" s="1"/>
      </tp>
      <tp>
        <v>0.69</v>
        <stp/>
        <stp>BID</stp>
        <stp>.SPY250509P566</stp>
        <tr r="DF20" s="1"/>
        <tr r="DF20" s="1"/>
      </tp>
      <tp>
        <v>0</v>
        <stp/>
        <stp>BID</stp>
        <stp>.SPY250509C569</stp>
        <tr r="DE17" s="1"/>
        <tr r="DE17" s="1"/>
      </tp>
      <tp>
        <v>3.69</v>
        <stp/>
        <stp>BID</stp>
        <stp>.SPY250509P569</stp>
        <tr r="DF17" s="1"/>
        <tr r="DF17" s="1"/>
      </tp>
      <tp>
        <v>0</v>
        <stp/>
        <stp>BID</stp>
        <stp>.SPY250509C568</stp>
        <tr r="DE18" s="1"/>
        <tr r="DE18" s="1"/>
      </tp>
      <tp>
        <v>2.76</v>
        <stp/>
        <stp>BID</stp>
        <stp>.SPY250509P568</stp>
        <tr r="DF18" s="1"/>
        <tr r="DF18" s="1"/>
      </tp>
      <tp>
        <v>0</v>
        <stp/>
        <stp>BID</stp>
        <stp>.SPY250509C581</stp>
        <tr r="DE5" s="1"/>
        <tr r="DE5" s="1"/>
      </tp>
      <tp>
        <v>15.75</v>
        <stp/>
        <stp>BID</stp>
        <stp>.SPY250509P581</stp>
        <tr r="DF5" s="1"/>
        <tr r="DF5" s="1"/>
      </tp>
      <tp>
        <v>0</v>
        <stp/>
        <stp>BID</stp>
        <stp>.SPY250509C580</stp>
        <tr r="DE6" s="1"/>
        <tr r="DE6" s="1"/>
      </tp>
      <tp>
        <v>14.75</v>
        <stp/>
        <stp>BID</stp>
        <stp>.SPY250509P580</stp>
        <tr r="DF6" s="1"/>
        <tr r="DF6" s="1"/>
      </tp>
      <tp>
        <v>0</v>
        <stp/>
        <stp>BID</stp>
        <stp>.SPY250509C582</stp>
        <tr r="DE4" s="1"/>
        <tr r="DE4" s="1"/>
      </tp>
      <tp>
        <v>16.75</v>
        <stp/>
        <stp>BID</stp>
        <stp>.SPY250509P582</stp>
        <tr r="DF4" s="1"/>
        <tr r="DF4" s="1"/>
      </tp>
      <tp>
        <v>0.01</v>
        <stp/>
        <stp>ASK</stp>
        <stp>.SPY250509C582</stp>
        <tr r="DC4" s="1"/>
        <tr r="DC4" s="1"/>
      </tp>
      <tp>
        <v>18.72</v>
        <stp/>
        <stp>ASK</stp>
        <stp>.SPY250509P582</stp>
        <tr r="DD4" s="1"/>
        <tr r="DD4" s="1"/>
      </tp>
      <tp>
        <v>0.01</v>
        <stp/>
        <stp>ASK</stp>
        <stp>.SPY250509C581</stp>
        <tr r="DC5" s="1"/>
        <tr r="DC5" s="1"/>
      </tp>
      <tp>
        <v>17.72</v>
        <stp/>
        <stp>ASK</stp>
        <stp>.SPY250509P581</stp>
        <tr r="DD5" s="1"/>
        <tr r="DD5" s="1"/>
      </tp>
      <tp>
        <v>0.01</v>
        <stp/>
        <stp>ASK</stp>
        <stp>.SPY250509C580</stp>
        <tr r="DC6" s="1"/>
        <tr r="DC6" s="1"/>
      </tp>
      <tp>
        <v>16.739999999999998</v>
        <stp/>
        <stp>ASK</stp>
        <stp>.SPY250509P580</stp>
        <tr r="DD6" s="1"/>
        <tr r="DD6" s="1"/>
      </tp>
      <tp t="s">
        <v>--</v>
        <stp/>
        <stp>IMPL_VOL</stp>
        <stp>.SPXW250509C5520</stp>
        <tr r="EL120" s="1"/>
      </tp>
      <tp t="s">
        <v>113.66%</v>
        <stp/>
        <stp>IMPL_VOL</stp>
        <stp>.SPXW250509P5520</stp>
        <tr r="EM120" s="1"/>
      </tp>
      <tp t="s">
        <v>--</v>
        <stp/>
        <stp>IMPL_VOL</stp>
        <stp>.SPXW250509C5530</stp>
        <tr r="EL119" s="1"/>
      </tp>
      <tp t="s">
        <v>106.16%</v>
        <stp/>
        <stp>IMPL_VOL</stp>
        <stp>.SPXW250509P5530</stp>
        <tr r="EM119" s="1"/>
      </tp>
      <tp t="s">
        <v>--</v>
        <stp/>
        <stp>IMPL_VOL</stp>
        <stp>.SPXW250509C5500</stp>
        <tr r="EL122" s="1"/>
      </tp>
      <tp t="s">
        <v>128.56%</v>
        <stp/>
        <stp>IMPL_VOL</stp>
        <stp>.SPXW250509P5500</stp>
        <tr r="EM122" s="1"/>
      </tp>
      <tp t="s">
        <v>--</v>
        <stp/>
        <stp>IMPL_VOL</stp>
        <stp>.SPXW250509C5510</stp>
        <tr r="EL121" s="1"/>
      </tp>
      <tp t="s">
        <v>121.12%</v>
        <stp/>
        <stp>IMPL_VOL</stp>
        <stp>.SPXW250509P5510</stp>
        <tr r="EM121" s="1"/>
      </tp>
      <tp t="s">
        <v>--</v>
        <stp/>
        <stp>IMPL_VOL</stp>
        <stp>.SPXW250509C5560</stp>
        <tr r="EL116" s="1"/>
      </tp>
      <tp t="s">
        <v>83.48%</v>
        <stp/>
        <stp>IMPL_VOL</stp>
        <stp>.SPXW250509P5560</stp>
        <tr r="EM116" s="1"/>
      </tp>
      <tp t="s">
        <v>--</v>
        <stp/>
        <stp>IMPL_VOL</stp>
        <stp>.SPXW250509C5570</stp>
        <tr r="EL115" s="1"/>
      </tp>
      <tp t="s">
        <v>75.90%</v>
        <stp/>
        <stp>IMPL_VOL</stp>
        <stp>.SPXW250509P5570</stp>
        <tr r="EM115" s="1"/>
      </tp>
      <tp t="s">
        <v>--</v>
        <stp/>
        <stp>IMPL_VOL</stp>
        <stp>.SPXW250509C5540</stp>
        <tr r="EL118" s="1"/>
      </tp>
      <tp t="s">
        <v>98.64%</v>
        <stp/>
        <stp>IMPL_VOL</stp>
        <stp>.SPXW250509P5540</stp>
        <tr r="EM118" s="1"/>
      </tp>
      <tp t="s">
        <v>--</v>
        <stp/>
        <stp>IMPL_VOL</stp>
        <stp>.SPXW250509C5550</stp>
        <tr r="EL117" s="1"/>
      </tp>
      <tp t="s">
        <v>91.08%</v>
        <stp/>
        <stp>IMPL_VOL</stp>
        <stp>.SPXW250509P5550</stp>
        <tr r="EM117" s="1"/>
      </tp>
      <tp t="s">
        <v>--</v>
        <stp/>
        <stp>IMPL_VOL</stp>
        <stp>.SPXW250509C5580</stp>
        <tr r="EL114" s="1"/>
      </tp>
      <tp t="s">
        <v>68.28%</v>
        <stp/>
        <stp>IMPL_VOL</stp>
        <stp>.SPXW250509P5580</stp>
        <tr r="EM114" s="1"/>
      </tp>
      <tp t="s">
        <v>--</v>
        <stp/>
        <stp>IMPL_VOL</stp>
        <stp>.SPXW250509C5590</stp>
        <tr r="EL113" s="1"/>
      </tp>
      <tp t="s">
        <v>60.43%</v>
        <stp/>
        <stp>IMPL_VOL</stp>
        <stp>.SPXW250509P5590</stp>
        <tr r="EM113" s="1"/>
      </tp>
      <tp t="s">
        <v>--</v>
        <stp/>
        <stp>IMPL_VOL</stp>
        <stp>.QQQ250516C474</stp>
        <tr r="EN73" s="1"/>
      </tp>
      <tp t="s">
        <v>41.19%</v>
        <stp/>
        <stp>IMPL_VOL</stp>
        <stp>.QQQ250516P474</stp>
        <tr r="EO73" s="1"/>
      </tp>
      <tp t="s">
        <v>--</v>
        <stp/>
        <stp>IMPL_VOL</stp>
        <stp>.QQQ250516C475</stp>
        <tr r="EN72" s="1"/>
      </tp>
      <tp t="s">
        <v>41.39%</v>
        <stp/>
        <stp>IMPL_VOL</stp>
        <stp>.QQQ250516P475</stp>
        <tr r="EO72" s="1"/>
      </tp>
      <tp t="s">
        <v>--</v>
        <stp/>
        <stp>IMPL_VOL</stp>
        <stp>.QQQ250509C469</stp>
        <tr r="EL78" s="1"/>
      </tp>
      <tp t="s">
        <v>--</v>
        <stp/>
        <stp>IMPL_VOL</stp>
        <stp>.QQQ250516C476</stp>
        <tr r="EN71" s="1"/>
      </tp>
      <tp t="s">
        <v>256.79%</v>
        <stp/>
        <stp>IMPL_VOL</stp>
        <stp>.QQQ250509P469</stp>
        <tr r="EM78" s="1"/>
      </tp>
      <tp t="s">
        <v>41.53%</v>
        <stp/>
        <stp>IMPL_VOL</stp>
        <stp>.QQQ250516P476</stp>
        <tr r="EO71" s="1"/>
      </tp>
      <tp t="s">
        <v>--</v>
        <stp/>
        <stp>IMPL_VOL</stp>
        <stp>.QQQ250509C468</stp>
        <tr r="EL79" s="1"/>
      </tp>
      <tp t="s">
        <v>--</v>
        <stp/>
        <stp>IMPL_VOL</stp>
        <stp>.QQQ250516C477</stp>
        <tr r="EN70" s="1"/>
      </tp>
      <tp t="s">
        <v>265.65%</v>
        <stp/>
        <stp>IMPL_VOL</stp>
        <stp>.QQQ250509P468</stp>
        <tr r="EM79" s="1"/>
      </tp>
      <tp t="s">
        <v>41.71%</v>
        <stp/>
        <stp>IMPL_VOL</stp>
        <stp>.QQQ250516P477</stp>
        <tr r="EO70" s="1"/>
      </tp>
      <tp t="s">
        <v>--</v>
        <stp/>
        <stp>IMPL_VOL</stp>
        <stp>.QQQ250516C470</stp>
        <tr r="EN77" s="1"/>
      </tp>
      <tp t="s">
        <v>40.71%</v>
        <stp/>
        <stp>IMPL_VOL</stp>
        <stp>.QQQ250516P470</stp>
        <tr r="EO77" s="1"/>
      </tp>
      <tp t="s">
        <v>--</v>
        <stp/>
        <stp>IMPL_VOL</stp>
        <stp>.QQQ250516C471</stp>
        <tr r="EN76" s="1"/>
      </tp>
      <tp t="s">
        <v>40.83%</v>
        <stp/>
        <stp>IMPL_VOL</stp>
        <stp>.QQQ250516P471</stp>
        <tr r="EO76" s="1"/>
      </tp>
      <tp t="s">
        <v>--</v>
        <stp/>
        <stp>IMPL_VOL</stp>
        <stp>.QQQ250516C472</stp>
        <tr r="EN75" s="1"/>
      </tp>
      <tp t="s">
        <v>40.94%</v>
        <stp/>
        <stp>IMPL_VOL</stp>
        <stp>.QQQ250516P472</stp>
        <tr r="EO75" s="1"/>
      </tp>
      <tp t="s">
        <v>--</v>
        <stp/>
        <stp>IMPL_VOL</stp>
        <stp>.QQQ250516C473</stp>
        <tr r="EN74" s="1"/>
      </tp>
      <tp t="s">
        <v>41.07%</v>
        <stp/>
        <stp>IMPL_VOL</stp>
        <stp>.QQQ250516P473</stp>
        <tr r="EO74" s="1"/>
      </tp>
      <tp t="s">
        <v>--</v>
        <stp/>
        <stp>IMPL_VOL</stp>
        <stp>.QQQ250516C478</stp>
        <tr r="EN69" s="1"/>
      </tp>
      <tp t="s">
        <v>41.89%</v>
        <stp/>
        <stp>IMPL_VOL</stp>
        <stp>.QQQ250516P478</stp>
        <tr r="EO69" s="1"/>
      </tp>
      <tp t="s">
        <v>--</v>
        <stp/>
        <stp>IMPL_VOL</stp>
        <stp>.QQQ250516C479</stp>
        <tr r="EN68" s="1"/>
      </tp>
      <tp t="s">
        <v>42.10%</v>
        <stp/>
        <stp>IMPL_VOL</stp>
        <stp>.QQQ250516P479</stp>
        <tr r="EO68" s="1"/>
      </tp>
      <tp t="s">
        <v>--</v>
        <stp/>
        <stp>IMPL_VOL</stp>
        <stp>.QQQ250509C479</stp>
        <tr r="EL68" s="1"/>
      </tp>
      <tp t="s">
        <v>167.66%</v>
        <stp/>
        <stp>IMPL_VOL</stp>
        <stp>.QQQ250509P479</stp>
        <tr r="EM68" s="1"/>
      </tp>
      <tp t="s">
        <v>--</v>
        <stp/>
        <stp>IMPL_VOL</stp>
        <stp>.QQQ250509C478</stp>
        <tr r="EL69" s="1"/>
      </tp>
      <tp t="s">
        <v>176.64%</v>
        <stp/>
        <stp>IMPL_VOL</stp>
        <stp>.QQQ250509P478</stp>
        <tr r="EM69" s="1"/>
      </tp>
      <tp t="s">
        <v>--</v>
        <stp/>
        <stp>IMPL_VOL</stp>
        <stp>.QQQ250509C473</stp>
        <tr r="EL74" s="1"/>
      </tp>
      <tp t="s">
        <v>221.27%</v>
        <stp/>
        <stp>IMPL_VOL</stp>
        <stp>.QQQ250509P473</stp>
        <tr r="EM74" s="1"/>
      </tp>
      <tp t="s">
        <v>--</v>
        <stp/>
        <stp>IMPL_VOL</stp>
        <stp>.QQQ250509C472</stp>
        <tr r="EL75" s="1"/>
      </tp>
      <tp t="s">
        <v>230.16%</v>
        <stp/>
        <stp>IMPL_VOL</stp>
        <stp>.QQQ250509P472</stp>
        <tr r="EM75" s="1"/>
      </tp>
      <tp t="s">
        <v>--</v>
        <stp/>
        <stp>IMPL_VOL</stp>
        <stp>.QQQ250509C471</stp>
        <tr r="EL76" s="1"/>
      </tp>
      <tp t="s">
        <v>239.04%</v>
        <stp/>
        <stp>IMPL_VOL</stp>
        <stp>.QQQ250509P471</stp>
        <tr r="EM76" s="1"/>
      </tp>
      <tp t="s">
        <v>--</v>
        <stp/>
        <stp>IMPL_VOL</stp>
        <stp>.QQQ250509C470</stp>
        <tr r="EL77" s="1"/>
      </tp>
      <tp t="s">
        <v>247.92%</v>
        <stp/>
        <stp>IMPL_VOL</stp>
        <stp>.QQQ250509P470</stp>
        <tr r="EM77" s="1"/>
      </tp>
      <tp t="s">
        <v>--</v>
        <stp/>
        <stp>IMPL_VOL</stp>
        <stp>.QQQ250509C477</stp>
        <tr r="EL70" s="1"/>
      </tp>
      <tp t="s">
        <v>--</v>
        <stp/>
        <stp>IMPL_VOL</stp>
        <stp>.QQQ250516C468</stp>
        <tr r="EN79" s="1"/>
      </tp>
      <tp t="s">
        <v>185.59%</v>
        <stp/>
        <stp>IMPL_VOL</stp>
        <stp>.QQQ250509P477</stp>
        <tr r="EM70" s="1"/>
      </tp>
      <tp t="s">
        <v>40.55%</v>
        <stp/>
        <stp>IMPL_VOL</stp>
        <stp>.QQQ250516P468</stp>
        <tr r="EO79" s="1"/>
      </tp>
      <tp t="s">
        <v>--</v>
        <stp/>
        <stp>IMPL_VOL</stp>
        <stp>.QQQ250509C476</stp>
        <tr r="EL71" s="1"/>
      </tp>
      <tp t="s">
        <v>--</v>
        <stp/>
        <stp>IMPL_VOL</stp>
        <stp>.QQQ250516C469</stp>
        <tr r="EN78" s="1"/>
      </tp>
      <tp t="s">
        <v>194.54%</v>
        <stp/>
        <stp>IMPL_VOL</stp>
        <stp>.QQQ250509P476</stp>
        <tr r="EM71" s="1"/>
      </tp>
      <tp t="s">
        <v>40.63%</v>
        <stp/>
        <stp>IMPL_VOL</stp>
        <stp>.QQQ250516P469</stp>
        <tr r="EO78" s="1"/>
      </tp>
      <tp t="s">
        <v>--</v>
        <stp/>
        <stp>IMPL_VOL</stp>
        <stp>.QQQ250509C475</stp>
        <tr r="EL72" s="1"/>
      </tp>
      <tp t="s">
        <v>203.46%</v>
        <stp/>
        <stp>IMPL_VOL</stp>
        <stp>.QQQ250509P475</stp>
        <tr r="EM72" s="1"/>
      </tp>
      <tp t="s">
        <v>--</v>
        <stp/>
        <stp>IMPL_VOL</stp>
        <stp>.QQQ250509C474</stp>
        <tr r="EL73" s="1"/>
      </tp>
      <tp t="s">
        <v>212.37%</v>
        <stp/>
        <stp>IMPL_VOL</stp>
        <stp>.QQQ250509P474</stp>
        <tr r="EM73" s="1"/>
      </tp>
      <tp t="s">
        <v>11.29%</v>
        <stp/>
        <stp>IMPL_VOL</stp>
        <stp>.QQQ250516C494</stp>
        <tr r="EN53" s="1"/>
      </tp>
      <tp t="s">
        <v>47.82%</v>
        <stp/>
        <stp>IMPL_VOL</stp>
        <stp>.QQQ250516P494</stp>
        <tr r="EO53" s="1"/>
      </tp>
      <tp t="s">
        <v>12.34%</v>
        <stp/>
        <stp>IMPL_VOL</stp>
        <stp>.QQQ250516C495</stp>
        <tr r="EN52" s="1"/>
      </tp>
      <tp t="s">
        <v>48.47%</v>
        <stp/>
        <stp>IMPL_VOL</stp>
        <stp>.QQQ250516P495</stp>
        <tr r="EO52" s="1"/>
      </tp>
      <tp t="s">
        <v>--</v>
        <stp/>
        <stp>IMPL_VOL</stp>
        <stp>.QQQ250509C489</stp>
        <tr r="EL58" s="1"/>
      </tp>
      <tp t="s">
        <v>13.22%</v>
        <stp/>
        <stp>IMPL_VOL</stp>
        <stp>.QQQ250516C496</stp>
        <tr r="EN51" s="1"/>
      </tp>
      <tp t="s">
        <v>243.05%</v>
        <stp/>
        <stp>IMPL_VOL</stp>
        <stp>.QQQ250509P489</stp>
        <tr r="EM58" s="1"/>
      </tp>
      <tp t="s">
        <v>49.18%</v>
        <stp/>
        <stp>IMPL_VOL</stp>
        <stp>.QQQ250516P496</stp>
        <tr r="EO51" s="1"/>
      </tp>
      <tp t="s">
        <v>--</v>
        <stp/>
        <stp>IMPL_VOL</stp>
        <stp>.QQQ250509C488</stp>
        <tr r="EL59" s="1"/>
      </tp>
      <tp t="s">
        <v>13.99%</v>
        <stp/>
        <stp>IMPL_VOL</stp>
        <stp>.QQQ250516C497</stp>
        <tr r="EN50" s="1"/>
      </tp>
      <tp t="s">
        <v>159.00%</v>
        <stp/>
        <stp>IMPL_VOL</stp>
        <stp>.QQQ250509P488</stp>
        <tr r="EM59" s="1"/>
      </tp>
      <tp t="s">
        <v>50.44%</v>
        <stp/>
        <stp>IMPL_VOL</stp>
        <stp>.QQQ250516P497</stp>
        <tr r="EO50" s="1"/>
      </tp>
      <tp t="s">
        <v>--</v>
        <stp/>
        <stp>IMPL_VOL</stp>
        <stp>.QQQ250516C490</stp>
        <tr r="EN57" s="1"/>
      </tp>
      <tp t="s">
        <v>45.58%</v>
        <stp/>
        <stp>IMPL_VOL</stp>
        <stp>.QQQ250516P490</stp>
        <tr r="EO57" s="1"/>
      </tp>
      <tp t="s">
        <v>0.09%</v>
        <stp/>
        <stp>IMPL_VOL</stp>
        <stp>.QQQ250516C491</stp>
        <tr r="EN56" s="1"/>
      </tp>
      <tp t="s">
        <v>46.08%</v>
        <stp/>
        <stp>IMPL_VOL</stp>
        <stp>.QQQ250516P491</stp>
        <tr r="EO56" s="1"/>
      </tp>
      <tp t="s">
        <v>7.66%</v>
        <stp/>
        <stp>IMPL_VOL</stp>
        <stp>.QQQ250516C492</stp>
        <tr r="EN55" s="1"/>
      </tp>
      <tp t="s">
        <v>46.66%</v>
        <stp/>
        <stp>IMPL_VOL</stp>
        <stp>.QQQ250516P492</stp>
        <tr r="EO55" s="1"/>
      </tp>
      <tp t="s">
        <v>9.87%</v>
        <stp/>
        <stp>IMPL_VOL</stp>
        <stp>.QQQ250516C493</stp>
        <tr r="EN54" s="1"/>
      </tp>
      <tp t="s">
        <v>47.21%</v>
        <stp/>
        <stp>IMPL_VOL</stp>
        <stp>.QQQ250516P493</stp>
        <tr r="EO54" s="1"/>
      </tp>
      <tp t="s">
        <v>--</v>
        <stp/>
        <stp>IMPL_VOL</stp>
        <stp>.QQQ250509C483</stp>
        <tr r="EL64" s="1"/>
      </tp>
      <tp t="s">
        <v>131.48%</v>
        <stp/>
        <stp>IMPL_VOL</stp>
        <stp>.QQQ250509P483</stp>
        <tr r="EM64" s="1"/>
      </tp>
      <tp t="s">
        <v>--</v>
        <stp/>
        <stp>IMPL_VOL</stp>
        <stp>.QQQ250509C482</stp>
        <tr r="EL65" s="1"/>
      </tp>
      <tp t="s">
        <v>140.57%</v>
        <stp/>
        <stp>IMPL_VOL</stp>
        <stp>.QQQ250509P482</stp>
        <tr r="EM65" s="1"/>
      </tp>
      <tp t="s">
        <v>--</v>
        <stp/>
        <stp>IMPL_VOL</stp>
        <stp>.QQQ250509C481</stp>
        <tr r="EL66" s="1"/>
      </tp>
      <tp t="s">
        <v>149.63%</v>
        <stp/>
        <stp>IMPL_VOL</stp>
        <stp>.QQQ250509P481</stp>
        <tr r="EM66" s="1"/>
      </tp>
      <tp t="s">
        <v>--</v>
        <stp/>
        <stp>IMPL_VOL</stp>
        <stp>.QQQ250509C480</stp>
        <tr r="EL67" s="1"/>
      </tp>
      <tp t="s">
        <v>158.66%</v>
        <stp/>
        <stp>IMPL_VOL</stp>
        <stp>.QQQ250509P480</stp>
        <tr r="EM67" s="1"/>
      </tp>
      <tp t="s">
        <v>--</v>
        <stp/>
        <stp>IMPL_VOL</stp>
        <stp>.QQQ250509C487</stp>
        <tr r="EL60" s="1"/>
      </tp>
      <tp t="s">
        <v>14.60%</v>
        <stp/>
        <stp>IMPL_VOL</stp>
        <stp>.QQQ250516C498</stp>
        <tr r="EN49" s="1"/>
      </tp>
      <tp t="s">
        <v>107.49%</v>
        <stp/>
        <stp>IMPL_VOL</stp>
        <stp>.QQQ250509P487</stp>
        <tr r="EM60" s="1"/>
      </tp>
      <tp t="s">
        <v>51.08%</v>
        <stp/>
        <stp>IMPL_VOL</stp>
        <stp>.QQQ250516P498</stp>
        <tr r="EO49" s="1"/>
      </tp>
      <tp t="s">
        <v>--</v>
        <stp/>
        <stp>IMPL_VOL</stp>
        <stp>.QQQ250509C486</stp>
        <tr r="EL61" s="1"/>
      </tp>
      <tp t="s">
        <v>15.21%</v>
        <stp/>
        <stp>IMPL_VOL</stp>
        <stp>.QQQ250516C499</stp>
        <tr r="EN48" s="1"/>
      </tp>
      <tp t="s">
        <v>103.96%</v>
        <stp/>
        <stp>IMPL_VOL</stp>
        <stp>.QQQ250509P486</stp>
        <tr r="EM61" s="1"/>
      </tp>
      <tp t="s">
        <v>51.78%</v>
        <stp/>
        <stp>IMPL_VOL</stp>
        <stp>.QQQ250516P499</stp>
        <tr r="EO48" s="1"/>
      </tp>
      <tp t="s">
        <v>--</v>
        <stp/>
        <stp>IMPL_VOL</stp>
        <stp>.QQQ250509C485</stp>
        <tr r="EL62" s="1"/>
      </tp>
      <tp t="s">
        <v>113.18%</v>
        <stp/>
        <stp>IMPL_VOL</stp>
        <stp>.QQQ250509P485</stp>
        <tr r="EM62" s="1"/>
      </tp>
      <tp t="s">
        <v>--</v>
        <stp/>
        <stp>IMPL_VOL</stp>
        <stp>.QQQ250509C484</stp>
        <tr r="EL63" s="1"/>
      </tp>
      <tp t="s">
        <v>122.35%</v>
        <stp/>
        <stp>IMPL_VOL</stp>
        <stp>.QQQ250509P484</stp>
        <tr r="EM63" s="1"/>
      </tp>
      <tp t="s">
        <v>--</v>
        <stp/>
        <stp>IMPL_VOL</stp>
        <stp>.QQQ250516C484</stp>
        <tr r="EN63" s="1"/>
      </tp>
      <tp t="s">
        <v>43.33%</v>
        <stp/>
        <stp>IMPL_VOL</stp>
        <stp>.QQQ250516P484</stp>
        <tr r="EO63" s="1"/>
      </tp>
      <tp t="s">
        <v>--</v>
        <stp/>
        <stp>IMPL_VOL</stp>
        <stp>.QQQ250516C485</stp>
        <tr r="EN62" s="1"/>
      </tp>
      <tp t="s">
        <v>43.65%</v>
        <stp/>
        <stp>IMPL_VOL</stp>
        <stp>.QQQ250516P485</stp>
        <tr r="EO62" s="1"/>
      </tp>
      <tp t="s">
        <v>33.18%</v>
        <stp/>
        <stp>IMPL_VOL</stp>
        <stp>.QQQ250509C499</stp>
        <tr r="EL48" s="1"/>
      </tp>
      <tp t="s">
        <v>--</v>
        <stp/>
        <stp>IMPL_VOL</stp>
        <stp>.QQQ250516C486</stp>
        <tr r="EN61" s="1"/>
      </tp>
      <tp t="s">
        <v>638.71%</v>
        <stp/>
        <stp>IMPL_VOL</stp>
        <stp>.QQQ250509P499</stp>
        <tr r="EM48" s="1"/>
      </tp>
      <tp t="s">
        <v>43.97%</v>
        <stp/>
        <stp>IMPL_VOL</stp>
        <stp>.QQQ250516P486</stp>
        <tr r="EO61" s="1"/>
      </tp>
      <tp t="s">
        <v>22.80%</v>
        <stp/>
        <stp>IMPL_VOL</stp>
        <stp>.QQQ250509C498</stp>
        <tr r="EL49" s="1"/>
      </tp>
      <tp t="s">
        <v>--</v>
        <stp/>
        <stp>IMPL_VOL</stp>
        <stp>.QQQ250516C487</stp>
        <tr r="EN60" s="1"/>
      </tp>
      <tp t="s">
        <v>608.44%</v>
        <stp/>
        <stp>IMPL_VOL</stp>
        <stp>.QQQ250509P498</stp>
        <tr r="EM49" s="1"/>
      </tp>
      <tp t="s">
        <v>44.34%</v>
        <stp/>
        <stp>IMPL_VOL</stp>
        <stp>.QQQ250516P487</stp>
        <tr r="EO60" s="1"/>
      </tp>
      <tp t="s">
        <v>--</v>
        <stp/>
        <stp>IMPL_VOL</stp>
        <stp>.QQQ250516C480</stp>
        <tr r="EN67" s="1"/>
      </tp>
      <tp t="s">
        <v>42.30%</v>
        <stp/>
        <stp>IMPL_VOL</stp>
        <stp>.QQQ250516P480</stp>
        <tr r="EO67" s="1"/>
      </tp>
      <tp t="s">
        <v>--</v>
        <stp/>
        <stp>IMPL_VOL</stp>
        <stp>.QQQ250516C481</stp>
        <tr r="EN66" s="1"/>
      </tp>
      <tp t="s">
        <v>42.55%</v>
        <stp/>
        <stp>IMPL_VOL</stp>
        <stp>.QQQ250516P481</stp>
        <tr r="EO66" s="1"/>
      </tp>
      <tp t="s">
        <v>--</v>
        <stp/>
        <stp>IMPL_VOL</stp>
        <stp>.QQQ250516C482</stp>
        <tr r="EN65" s="1"/>
      </tp>
      <tp t="s">
        <v>42.80%</v>
        <stp/>
        <stp>IMPL_VOL</stp>
        <stp>.QQQ250516P482</stp>
        <tr r="EO65" s="1"/>
      </tp>
      <tp t="s">
        <v>--</v>
        <stp/>
        <stp>IMPL_VOL</stp>
        <stp>.QQQ250516C483</stp>
        <tr r="EN64" s="1"/>
      </tp>
      <tp t="s">
        <v>43.06%</v>
        <stp/>
        <stp>IMPL_VOL</stp>
        <stp>.QQQ250516P483</stp>
        <tr r="EO64" s="1"/>
      </tp>
      <tp t="s">
        <v>--</v>
        <stp/>
        <stp>IMPL_VOL</stp>
        <stp>.QQQ250509C493</stp>
        <tr r="EL54" s="1"/>
      </tp>
      <tp t="s">
        <v>437.09%</v>
        <stp/>
        <stp>IMPL_VOL</stp>
        <stp>.QQQ250509P493</stp>
        <tr r="EM54" s="1"/>
      </tp>
      <tp t="s">
        <v>--</v>
        <stp/>
        <stp>IMPL_VOL</stp>
        <stp>.QQQ250509C492</stp>
        <tr r="EL55" s="1"/>
      </tp>
      <tp t="s">
        <v>396.18%</v>
        <stp/>
        <stp>IMPL_VOL</stp>
        <stp>.QQQ250509P492</stp>
        <tr r="EM55" s="1"/>
      </tp>
      <tp t="s">
        <v>--</v>
        <stp/>
        <stp>IMPL_VOL</stp>
        <stp>.QQQ250509C491</stp>
        <tr r="EL56" s="1"/>
      </tp>
      <tp t="s">
        <v>359.26%</v>
        <stp/>
        <stp>IMPL_VOL</stp>
        <stp>.QQQ250509P491</stp>
        <tr r="EM56" s="1"/>
      </tp>
      <tp t="s">
        <v>--</v>
        <stp/>
        <stp>IMPL_VOL</stp>
        <stp>.QQQ250509C490</stp>
        <tr r="EL57" s="1"/>
      </tp>
      <tp t="s">
        <v>314.83%</v>
        <stp/>
        <stp>IMPL_VOL</stp>
        <stp>.QQQ250509P490</stp>
        <tr r="EM57" s="1"/>
      </tp>
      <tp t="s">
        <v>11.71%</v>
        <stp/>
        <stp>IMPL_VOL</stp>
        <stp>.QQQ250509C497</stp>
        <tr r="EL50" s="1"/>
      </tp>
      <tp t="s">
        <v>--</v>
        <stp/>
        <stp>IMPL_VOL</stp>
        <stp>.QQQ250516C488</stp>
        <tr r="EN59" s="1"/>
      </tp>
      <tp t="s">
        <v>577.15%</v>
        <stp/>
        <stp>IMPL_VOL</stp>
        <stp>.QQQ250509P497</stp>
        <tr r="EM50" s="1"/>
      </tp>
      <tp t="s">
        <v>44.73%</v>
        <stp/>
        <stp>IMPL_VOL</stp>
        <stp>.QQQ250516P488</stp>
        <tr r="EO59" s="1"/>
      </tp>
      <tp t="s">
        <v>--</v>
        <stp/>
        <stp>IMPL_VOL</stp>
        <stp>.QQQ250509C496</stp>
        <tr r="EL51" s="1"/>
      </tp>
      <tp t="s">
        <v>--</v>
        <stp/>
        <stp>IMPL_VOL</stp>
        <stp>.QQQ250516C489</stp>
        <tr r="EN58" s="1"/>
      </tp>
      <tp t="s">
        <v>544.33%</v>
        <stp/>
        <stp>IMPL_VOL</stp>
        <stp>.QQQ250509P496</stp>
        <tr r="EM51" s="1"/>
      </tp>
      <tp t="s">
        <v>45.14%</v>
        <stp/>
        <stp>IMPL_VOL</stp>
        <stp>.QQQ250516P489</stp>
        <tr r="EO58" s="1"/>
      </tp>
      <tp t="s">
        <v>--</v>
        <stp/>
        <stp>IMPL_VOL</stp>
        <stp>.QQQ250509C495</stp>
        <tr r="EL52" s="1"/>
      </tp>
      <tp t="s">
        <v>510.44%</v>
        <stp/>
        <stp>IMPL_VOL</stp>
        <stp>.QQQ250509P495</stp>
        <tr r="EM52" s="1"/>
      </tp>
      <tp t="s">
        <v>--</v>
        <stp/>
        <stp>IMPL_VOL</stp>
        <stp>.QQQ250509C494</stp>
        <tr r="EL53" s="1"/>
      </tp>
      <tp t="s">
        <v>475.18%</v>
        <stp/>
        <stp>IMPL_VOL</stp>
        <stp>.QQQ250509P494</stp>
        <tr r="EM53" s="1"/>
      </tp>
      <tp t="s">
        <v>282.55%</v>
        <stp/>
        <stp>IMPL_VOL</stp>
        <stp>.SPXW250509C5420</stp>
        <tr r="EL130" s="1"/>
      </tp>
      <tp t="s">
        <v>187.95%</v>
        <stp/>
        <stp>IMPL_VOL</stp>
        <stp>.SPXW250509P5420</stp>
        <tr r="EM130" s="1"/>
      </tp>
      <tp t="s">
        <v>272.31%</v>
        <stp/>
        <stp>IMPL_VOL</stp>
        <stp>.SPXW250509C5430</stp>
        <tr r="EL129" s="1"/>
      </tp>
      <tp t="s">
        <v>180.59%</v>
        <stp/>
        <stp>IMPL_VOL</stp>
        <stp>.SPXW250509P5430</stp>
        <tr r="EM129" s="1"/>
      </tp>
      <tp t="s">
        <v>--</v>
        <stp/>
        <stp>IMPL_VOL</stp>
        <stp>.SPXW250509C5460</stp>
        <tr r="EL126" s="1"/>
      </tp>
      <tp t="s">
        <v>158.47%</v>
        <stp/>
        <stp>IMPL_VOL</stp>
        <stp>.SPXW250509P5460</stp>
        <tr r="EM126" s="1"/>
      </tp>
      <tp t="s">
        <v>--</v>
        <stp/>
        <stp>IMPL_VOL</stp>
        <stp>.SPXW250509C5470</stp>
        <tr r="EL125" s="1"/>
      </tp>
      <tp t="s">
        <v>151.08%</v>
        <stp/>
        <stp>IMPL_VOL</stp>
        <stp>.SPXW250509P5470</stp>
        <tr r="EM125" s="1"/>
      </tp>
      <tp t="s">
        <v>262.04%</v>
        <stp/>
        <stp>IMPL_VOL</stp>
        <stp>.SPXW250509C5440</stp>
        <tr r="EL128" s="1"/>
      </tp>
      <tp t="s">
        <v>173.23%</v>
        <stp/>
        <stp>IMPL_VOL</stp>
        <stp>.SPXW250509P5440</stp>
        <tr r="EM128" s="1"/>
      </tp>
      <tp t="s">
        <v>--</v>
        <stp/>
        <stp>IMPL_VOL</stp>
        <stp>.SPXW250509C5450</stp>
        <tr r="EL127" s="1"/>
      </tp>
      <tp t="s">
        <v>165.86%</v>
        <stp/>
        <stp>IMPL_VOL</stp>
        <stp>.SPXW250509P5450</stp>
        <tr r="EM127" s="1"/>
      </tp>
      <tp t="s">
        <v>--</v>
        <stp/>
        <stp>IMPL_VOL</stp>
        <stp>.SPXW250509C5480</stp>
        <tr r="EL124" s="1"/>
      </tp>
      <tp t="s">
        <v>143.67%</v>
        <stp/>
        <stp>IMPL_VOL</stp>
        <stp>.SPXW250509P5480</stp>
        <tr r="EM124" s="1"/>
      </tp>
      <tp t="s">
        <v>--</v>
        <stp/>
        <stp>IMPL_VOL</stp>
        <stp>.SPXW250509C5490</stp>
        <tr r="EL123" s="1"/>
      </tp>
      <tp t="s">
        <v>136.24%</v>
        <stp/>
        <stp>IMPL_VOL</stp>
        <stp>.SPXW250509P5490</stp>
        <tr r="EM123" s="1"/>
      </tp>
      <tp>
        <v>1</v>
        <stp/>
        <stp>OPEN_INT</stp>
        <stp>.QQQ250509P502</stp>
        <tr r="AT45" s="1"/>
        <tr r="AT45" s="1"/>
      </tp>
      <tp>
        <v>1808</v>
        <stp/>
        <stp>OPEN_INT</stp>
        <stp>.QQQ250509C502</stp>
        <tr r="AS45" s="1"/>
        <tr r="AS45" s="1"/>
      </tp>
      <tp>
        <v>18</v>
        <stp/>
        <stp>OPEN_INT</stp>
        <stp>.QQQ250509P501</stp>
        <tr r="AT46" s="1"/>
        <tr r="AT46" s="1"/>
      </tp>
      <tp>
        <v>2358</v>
        <stp/>
        <stp>OPEN_INT</stp>
        <stp>.QQQ250509C501</stp>
        <tr r="AS46" s="1"/>
        <tr r="AS46" s="1"/>
      </tp>
      <tp>
        <v>98</v>
        <stp/>
        <stp>OPEN_INT</stp>
        <stp>.QQQ250509P500</stp>
        <tr r="AT47" s="1"/>
        <tr r="AT47" s="1"/>
      </tp>
      <tp>
        <v>13017</v>
        <stp/>
        <stp>OPEN_INT</stp>
        <stp>.QQQ250509C500</stp>
        <tr r="AS47" s="1"/>
        <tr r="AS47" s="1"/>
      </tp>
      <tp>
        <v>3037</v>
        <stp/>
        <stp>OPEN_INT</stp>
        <stp>.QQQ250516P500</stp>
        <tr r="AV47" s="1"/>
        <tr r="AV47" s="1"/>
      </tp>
      <tp>
        <v>55098</v>
        <stp/>
        <stp>OPEN_INT</stp>
        <stp>.QQQ250516C500</stp>
        <tr r="AU47" s="1"/>
        <tr r="AU47" s="1"/>
      </tp>
      <tp>
        <v>29</v>
        <stp/>
        <stp>OPEN_INT</stp>
        <stp>.QQQ250516P501</stp>
        <tr r="AV46" s="1"/>
        <tr r="AV46" s="1"/>
      </tp>
      <tp>
        <v>2599</v>
        <stp/>
        <stp>OPEN_INT</stp>
        <stp>.QQQ250516C501</stp>
        <tr r="AU46" s="1"/>
        <tr r="AU46" s="1"/>
      </tp>
      <tp>
        <v>116</v>
        <stp/>
        <stp>OPEN_INT</stp>
        <stp>.QQQ250516P502</stp>
        <tr r="AV45" s="1"/>
        <tr r="AV45" s="1"/>
      </tp>
      <tp>
        <v>3358</v>
        <stp/>
        <stp>OPEN_INT</stp>
        <stp>.QQQ250516C502</stp>
        <tr r="AU45" s="1"/>
        <tr r="AU45" s="1"/>
      </tp>
      <tp>
        <v>30239</v>
        <stp/>
        <stp>OPEN_INT</stp>
        <stp>.QQQ250516P470</stp>
        <tr r="AV77" s="1"/>
        <tr r="AV77" s="1"/>
      </tp>
      <tp>
        <v>34931</v>
        <stp/>
        <stp>OPEN_INT</stp>
        <stp>.QQQ250516C470</stp>
        <tr r="AU77" s="1"/>
        <tr r="AU77" s="1"/>
      </tp>
      <tp>
        <v>994</v>
        <stp/>
        <stp>OPEN_INT</stp>
        <stp>.QQQ250516P471</stp>
        <tr r="AV76" s="1"/>
        <tr r="AV76" s="1"/>
      </tp>
      <tp>
        <v>45</v>
        <stp/>
        <stp>OPEN_INT</stp>
        <stp>.QQQ250516C471</stp>
        <tr r="AU76" s="1"/>
        <tr r="AU76" s="1"/>
      </tp>
      <tp>
        <v>1251</v>
        <stp/>
        <stp>OPEN_INT</stp>
        <stp>.QQQ250516P472</stp>
        <tr r="AV75" s="1"/>
        <tr r="AV75" s="1"/>
      </tp>
      <tp>
        <v>122</v>
        <stp/>
        <stp>OPEN_INT</stp>
        <stp>.QQQ250516C472</stp>
        <tr r="AU75" s="1"/>
        <tr r="AU75" s="1"/>
      </tp>
      <tp>
        <v>1069</v>
        <stp/>
        <stp>OPEN_INT</stp>
        <stp>.QQQ250516P473</stp>
        <tr r="AV74" s="1"/>
        <tr r="AV74" s="1"/>
      </tp>
      <tp>
        <v>21</v>
        <stp/>
        <stp>OPEN_INT</stp>
        <stp>.QQQ250516C473</stp>
        <tr r="AU74" s="1"/>
        <tr r="AU74" s="1"/>
      </tp>
      <tp>
        <v>388</v>
        <stp/>
        <stp>OPEN_INT</stp>
        <stp>.QQQ250516P474</stp>
        <tr r="AV73" s="1"/>
        <tr r="AV73" s="1"/>
      </tp>
      <tp>
        <v>96</v>
        <stp/>
        <stp>OPEN_INT</stp>
        <stp>.QQQ250516C474</stp>
        <tr r="AU73" s="1"/>
        <tr r="AU73" s="1"/>
      </tp>
      <tp>
        <v>21581</v>
        <stp/>
        <stp>OPEN_INT</stp>
        <stp>.QQQ250516P475</stp>
        <tr r="AV72" s="1"/>
        <tr r="AV72" s="1"/>
      </tp>
      <tp>
        <v>28347</v>
        <stp/>
        <stp>OPEN_INT</stp>
        <stp>.QQQ250516C475</stp>
        <tr r="AU72" s="1"/>
        <tr r="AU72" s="1"/>
      </tp>
      <tp>
        <v>2453</v>
        <stp/>
        <stp>OPEN_INT</stp>
        <stp>.QQQ250509P469</stp>
        <tr r="AT78" s="1"/>
        <tr r="AT78" s="1"/>
      </tp>
      <tp>
        <v>706</v>
        <stp/>
        <stp>OPEN_INT</stp>
        <stp>.QQQ250516P476</stp>
        <tr r="AV71" s="1"/>
        <tr r="AV71" s="1"/>
      </tp>
      <tp>
        <v>665</v>
        <stp/>
        <stp>OPEN_INT</stp>
        <stp>.QQQ250509C469</stp>
        <tr r="AS78" s="1"/>
        <tr r="AS78" s="1"/>
      </tp>
      <tp>
        <v>148</v>
        <stp/>
        <stp>OPEN_INT</stp>
        <stp>.QQQ250516C476</stp>
        <tr r="AU71" s="1"/>
        <tr r="AU71" s="1"/>
      </tp>
      <tp>
        <v>2215</v>
        <stp/>
        <stp>OPEN_INT</stp>
        <stp>.QQQ250509P468</stp>
        <tr r="AT79" s="1"/>
        <tr r="AT79" s="1"/>
      </tp>
      <tp>
        <v>1752</v>
        <stp/>
        <stp>OPEN_INT</stp>
        <stp>.QQQ250516P477</stp>
        <tr r="AV70" s="1"/>
        <tr r="AV70" s="1"/>
      </tp>
      <tp>
        <v>980</v>
        <stp/>
        <stp>OPEN_INT</stp>
        <stp>.QQQ250509C468</stp>
        <tr r="AS79" s="1"/>
        <tr r="AS79" s="1"/>
      </tp>
      <tp>
        <v>101</v>
        <stp/>
        <stp>OPEN_INT</stp>
        <stp>.QQQ250516C477</stp>
        <tr r="AU70" s="1"/>
        <tr r="AU70" s="1"/>
      </tp>
      <tp>
        <v>871</v>
        <stp/>
        <stp>OPEN_INT</stp>
        <stp>.QQQ250516P478</stp>
        <tr r="AV69" s="1"/>
        <tr r="AV69" s="1"/>
      </tp>
      <tp>
        <v>428</v>
        <stp/>
        <stp>OPEN_INT</stp>
        <stp>.QQQ250516C478</stp>
        <tr r="AU69" s="1"/>
        <tr r="AU69" s="1"/>
      </tp>
      <tp>
        <v>1094</v>
        <stp/>
        <stp>OPEN_INT</stp>
        <stp>.QQQ250516P479</stp>
        <tr r="AV68" s="1"/>
        <tr r="AV68" s="1"/>
      </tp>
      <tp>
        <v>207</v>
        <stp/>
        <stp>OPEN_INT</stp>
        <stp>.QQQ250516C479</stp>
        <tr r="AU68" s="1"/>
        <tr r="AU68" s="1"/>
      </tp>
      <tp>
        <v>3048</v>
        <stp/>
        <stp>OPEN_INT</stp>
        <stp>.QQQ250509P479</stp>
        <tr r="AT68" s="1"/>
        <tr r="AT68" s="1"/>
      </tp>
      <tp>
        <v>792</v>
        <stp/>
        <stp>OPEN_INT</stp>
        <stp>.QQQ250509C479</stp>
        <tr r="AS68" s="1"/>
        <tr r="AS68" s="1"/>
      </tp>
      <tp>
        <v>3298</v>
        <stp/>
        <stp>OPEN_INT</stp>
        <stp>.QQQ250509P478</stp>
        <tr r="AT69" s="1"/>
        <tr r="AT69" s="1"/>
      </tp>
      <tp>
        <v>1013</v>
        <stp/>
        <stp>OPEN_INT</stp>
        <stp>.QQQ250509C478</stp>
        <tr r="AS69" s="1"/>
        <tr r="AS69" s="1"/>
      </tp>
      <tp>
        <v>2155</v>
        <stp/>
        <stp>OPEN_INT</stp>
        <stp>.QQQ250509P477</stp>
        <tr r="AT70" s="1"/>
        <tr r="AT70" s="1"/>
      </tp>
      <tp>
        <v>1848</v>
        <stp/>
        <stp>OPEN_INT</stp>
        <stp>.QQQ250516P468</stp>
        <tr r="AV79" s="1"/>
        <tr r="AV79" s="1"/>
      </tp>
      <tp>
        <v>926</v>
        <stp/>
        <stp>OPEN_INT</stp>
        <stp>.QQQ250509C477</stp>
        <tr r="AS70" s="1"/>
        <tr r="AS70" s="1"/>
      </tp>
      <tp>
        <v>1737</v>
        <stp/>
        <stp>OPEN_INT</stp>
        <stp>.QQQ250516C468</stp>
        <tr r="AU79" s="1"/>
        <tr r="AU79" s="1"/>
      </tp>
      <tp>
        <v>3056</v>
        <stp/>
        <stp>OPEN_INT</stp>
        <stp>.QQQ250509P476</stp>
        <tr r="AT71" s="1"/>
        <tr r="AT71" s="1"/>
      </tp>
      <tp>
        <v>1968</v>
        <stp/>
        <stp>OPEN_INT</stp>
        <stp>.QQQ250516P469</stp>
        <tr r="AV78" s="1"/>
        <tr r="AV78" s="1"/>
      </tp>
      <tp>
        <v>718</v>
        <stp/>
        <stp>OPEN_INT</stp>
        <stp>.QQQ250509C476</stp>
        <tr r="AS71" s="1"/>
        <tr r="AS71" s="1"/>
      </tp>
      <tp>
        <v>967</v>
        <stp/>
        <stp>OPEN_INT</stp>
        <stp>.QQQ250516C469</stp>
        <tr r="AU78" s="1"/>
        <tr r="AU78" s="1"/>
      </tp>
      <tp>
        <v>6907</v>
        <stp/>
        <stp>OPEN_INT</stp>
        <stp>.QQQ250509P475</stp>
        <tr r="AT72" s="1"/>
        <tr r="AT72" s="1"/>
      </tp>
      <tp>
        <v>3656</v>
        <stp/>
        <stp>OPEN_INT</stp>
        <stp>.QQQ250509C475</stp>
        <tr r="AS72" s="1"/>
        <tr r="AS72" s="1"/>
      </tp>
      <tp>
        <v>2515</v>
        <stp/>
        <stp>OPEN_INT</stp>
        <stp>.QQQ250509P474</stp>
        <tr r="AT73" s="1"/>
        <tr r="AT73" s="1"/>
      </tp>
      <tp>
        <v>448</v>
        <stp/>
        <stp>OPEN_INT</stp>
        <stp>.QQQ250509C474</stp>
        <tr r="AS73" s="1"/>
        <tr r="AS73" s="1"/>
      </tp>
      <tp>
        <v>3635</v>
        <stp/>
        <stp>OPEN_INT</stp>
        <stp>.QQQ250509P473</stp>
        <tr r="AT74" s="1"/>
        <tr r="AT74" s="1"/>
      </tp>
      <tp>
        <v>1362</v>
        <stp/>
        <stp>OPEN_INT</stp>
        <stp>.QQQ250509C473</stp>
        <tr r="AS74" s="1"/>
        <tr r="AS74" s="1"/>
      </tp>
      <tp>
        <v>2166</v>
        <stp/>
        <stp>OPEN_INT</stp>
        <stp>.QQQ250509P472</stp>
        <tr r="AT75" s="1"/>
        <tr r="AT75" s="1"/>
      </tp>
      <tp>
        <v>1137</v>
        <stp/>
        <stp>OPEN_INT</stp>
        <stp>.QQQ250509C472</stp>
        <tr r="AS75" s="1"/>
        <tr r="AS75" s="1"/>
      </tp>
      <tp>
        <v>2481</v>
        <stp/>
        <stp>OPEN_INT</stp>
        <stp>.QQQ250509P471</stp>
        <tr r="AT76" s="1"/>
        <tr r="AT76" s="1"/>
      </tp>
      <tp>
        <v>1098</v>
        <stp/>
        <stp>OPEN_INT</stp>
        <stp>.QQQ250509C471</stp>
        <tr r="AS76" s="1"/>
        <tr r="AS76" s="1"/>
      </tp>
      <tp>
        <v>10957</v>
        <stp/>
        <stp>OPEN_INT</stp>
        <stp>.QQQ250509P470</stp>
        <tr r="AT77" s="1"/>
        <tr r="AT77" s="1"/>
      </tp>
      <tp>
        <v>3191</v>
        <stp/>
        <stp>OPEN_INT</stp>
        <stp>.QQQ250509C470</stp>
        <tr r="AS77" s="1"/>
        <tr r="AS77" s="1"/>
      </tp>
      <tp>
        <v>14293</v>
        <stp/>
        <stp>OPEN_INT</stp>
        <stp>.QQQ250516P490</stp>
        <tr r="AV57" s="1"/>
        <tr r="AV57" s="1"/>
      </tp>
      <tp>
        <v>64740</v>
        <stp/>
        <stp>OPEN_INT</stp>
        <stp>.QQQ250516C490</stp>
        <tr r="AU57" s="1"/>
        <tr r="AU57" s="1"/>
      </tp>
      <tp>
        <v>299</v>
        <stp/>
        <stp>OPEN_INT</stp>
        <stp>.QQQ250516P491</stp>
        <tr r="AV56" s="1"/>
        <tr r="AV56" s="1"/>
      </tp>
      <tp>
        <v>787</v>
        <stp/>
        <stp>OPEN_INT</stp>
        <stp>.QQQ250516C491</stp>
        <tr r="AU56" s="1"/>
        <tr r="AU56" s="1"/>
      </tp>
      <tp>
        <v>588</v>
        <stp/>
        <stp>OPEN_INT</stp>
        <stp>.QQQ250516P492</stp>
        <tr r="AV55" s="1"/>
        <tr r="AV55" s="1"/>
      </tp>
      <tp>
        <v>1025</v>
        <stp/>
        <stp>OPEN_INT</stp>
        <stp>.QQQ250516C492</stp>
        <tr r="AU55" s="1"/>
        <tr r="AU55" s="1"/>
      </tp>
      <tp>
        <v>108</v>
        <stp/>
        <stp>OPEN_INT</stp>
        <stp>.QQQ250516P493</stp>
        <tr r="AV54" s="1"/>
        <tr r="AV54" s="1"/>
      </tp>
      <tp>
        <v>728</v>
        <stp/>
        <stp>OPEN_INT</stp>
        <stp>.QQQ250516C493</stp>
        <tr r="AU54" s="1"/>
        <tr r="AU54" s="1"/>
      </tp>
      <tp>
        <v>110</v>
        <stp/>
        <stp>OPEN_INT</stp>
        <stp>.QQQ250516P494</stp>
        <tr r="AV53" s="1"/>
        <tr r="AV53" s="1"/>
      </tp>
      <tp>
        <v>449</v>
        <stp/>
        <stp>OPEN_INT</stp>
        <stp>.QQQ250516C494</stp>
        <tr r="AU53" s="1"/>
        <tr r="AU53" s="1"/>
      </tp>
      <tp>
        <v>2488</v>
        <stp/>
        <stp>OPEN_INT</stp>
        <stp>.QQQ250516P495</stp>
        <tr r="AV52" s="1"/>
        <tr r="AV52" s="1"/>
      </tp>
      <tp>
        <v>38799</v>
        <stp/>
        <stp>OPEN_INT</stp>
        <stp>.QQQ250516C495</stp>
        <tr r="AU52" s="1"/>
        <tr r="AU52" s="1"/>
      </tp>
      <tp>
        <v>3345</v>
        <stp/>
        <stp>OPEN_INT</stp>
        <stp>.QQQ250509P489</stp>
        <tr r="AT58" s="1"/>
        <tr r="AT58" s="1"/>
      </tp>
      <tp>
        <v>48</v>
        <stp/>
        <stp>OPEN_INT</stp>
        <stp>.QQQ250516P496</stp>
        <tr r="AV51" s="1"/>
        <tr r="AV51" s="1"/>
      </tp>
      <tp>
        <v>5773</v>
        <stp/>
        <stp>OPEN_INT</stp>
        <stp>.QQQ250509C489</stp>
        <tr r="AS58" s="1"/>
        <tr r="AS58" s="1"/>
      </tp>
      <tp>
        <v>992</v>
        <stp/>
        <stp>OPEN_INT</stp>
        <stp>.QQQ250516C496</stp>
        <tr r="AU51" s="1"/>
        <tr r="AU51" s="1"/>
      </tp>
      <tp>
        <v>3490</v>
        <stp/>
        <stp>OPEN_INT</stp>
        <stp>.QQQ250509P488</stp>
        <tr r="AT59" s="1"/>
        <tr r="AT59" s="1"/>
      </tp>
      <tp>
        <v>76</v>
        <stp/>
        <stp>OPEN_INT</stp>
        <stp>.QQQ250516P497</stp>
        <tr r="AV50" s="1"/>
        <tr r="AV50" s="1"/>
      </tp>
      <tp>
        <v>2815</v>
        <stp/>
        <stp>OPEN_INT</stp>
        <stp>.QQQ250509C488</stp>
        <tr r="AS59" s="1"/>
        <tr r="AS59" s="1"/>
      </tp>
      <tp>
        <v>808</v>
        <stp/>
        <stp>OPEN_INT</stp>
        <stp>.QQQ250516C497</stp>
        <tr r="AU50" s="1"/>
        <tr r="AU50" s="1"/>
      </tp>
      <tp>
        <v>2257</v>
        <stp/>
        <stp>OPEN_INT</stp>
        <stp>.QQQ250509P487</stp>
        <tr r="AT60" s="1"/>
        <tr r="AT60" s="1"/>
      </tp>
      <tp>
        <v>35</v>
        <stp/>
        <stp>OPEN_INT</stp>
        <stp>.QQQ250516P498</stp>
        <tr r="AV49" s="1"/>
        <tr r="AV49" s="1"/>
      </tp>
      <tp>
        <v>2634</v>
        <stp/>
        <stp>OPEN_INT</stp>
        <stp>.QQQ250509C487</stp>
        <tr r="AS60" s="1"/>
        <tr r="AS60" s="1"/>
      </tp>
      <tp>
        <v>1535</v>
        <stp/>
        <stp>OPEN_INT</stp>
        <stp>.QQQ250516C498</stp>
        <tr r="AU49" s="1"/>
        <tr r="AU49" s="1"/>
      </tp>
      <tp>
        <v>3636</v>
        <stp/>
        <stp>OPEN_INT</stp>
        <stp>.QQQ250509P486</stp>
        <tr r="AT61" s="1"/>
        <tr r="AT61" s="1"/>
      </tp>
      <tp>
        <v>3</v>
        <stp/>
        <stp>OPEN_INT</stp>
        <stp>.QQQ250516P499</stp>
        <tr r="AV48" s="1"/>
        <tr r="AV48" s="1"/>
      </tp>
      <tp>
        <v>2181</v>
        <stp/>
        <stp>OPEN_INT</stp>
        <stp>.QQQ250509C486</stp>
        <tr r="AS61" s="1"/>
        <tr r="AS61" s="1"/>
      </tp>
      <tp>
        <v>784</v>
        <stp/>
        <stp>OPEN_INT</stp>
        <stp>.QQQ250516C499</stp>
        <tr r="AU48" s="1"/>
        <tr r="AU48" s="1"/>
      </tp>
      <tp>
        <v>12569</v>
        <stp/>
        <stp>OPEN_INT</stp>
        <stp>.QQQ250509P485</stp>
        <tr r="AT62" s="1"/>
        <tr r="AT62" s="1"/>
      </tp>
      <tp>
        <v>7560</v>
        <stp/>
        <stp>OPEN_INT</stp>
        <stp>.QQQ250509C485</stp>
        <tr r="AS62" s="1"/>
        <tr r="AS62" s="1"/>
      </tp>
      <tp>
        <v>8332</v>
        <stp/>
        <stp>OPEN_INT</stp>
        <stp>.QQQ250509P484</stp>
        <tr r="AT63" s="1"/>
        <tr r="AT63" s="1"/>
      </tp>
      <tp>
        <v>1773</v>
        <stp/>
        <stp>OPEN_INT</stp>
        <stp>.QQQ250509C484</stp>
        <tr r="AS63" s="1"/>
        <tr r="AS63" s="1"/>
      </tp>
      <tp>
        <v>4053</v>
        <stp/>
        <stp>OPEN_INT</stp>
        <stp>.QQQ250509P483</stp>
        <tr r="AT64" s="1"/>
        <tr r="AT64" s="1"/>
      </tp>
      <tp>
        <v>1801</v>
        <stp/>
        <stp>OPEN_INT</stp>
        <stp>.QQQ250509C483</stp>
        <tr r="AS64" s="1"/>
        <tr r="AS64" s="1"/>
      </tp>
      <tp>
        <v>4716</v>
        <stp/>
        <stp>OPEN_INT</stp>
        <stp>.QQQ250509P482</stp>
        <tr r="AT65" s="1"/>
        <tr r="AT65" s="1"/>
      </tp>
      <tp>
        <v>2461</v>
        <stp/>
        <stp>OPEN_INT</stp>
        <stp>.QQQ250509C482</stp>
        <tr r="AS65" s="1"/>
        <tr r="AS65" s="1"/>
      </tp>
      <tp>
        <v>2552</v>
        <stp/>
        <stp>OPEN_INT</stp>
        <stp>.QQQ250509P481</stp>
        <tr r="AT66" s="1"/>
        <tr r="AT66" s="1"/>
      </tp>
      <tp>
        <v>1987</v>
        <stp/>
        <stp>OPEN_INT</stp>
        <stp>.QQQ250509C481</stp>
        <tr r="AS66" s="1"/>
        <tr r="AS66" s="1"/>
      </tp>
      <tp>
        <v>10827</v>
        <stp/>
        <stp>OPEN_INT</stp>
        <stp>.QQQ250509P480</stp>
        <tr r="AT67" s="1"/>
        <tr r="AT67" s="1"/>
      </tp>
      <tp>
        <v>3923</v>
        <stp/>
        <stp>OPEN_INT</stp>
        <stp>.QQQ250509C480</stp>
        <tr r="AS67" s="1"/>
        <tr r="AS67" s="1"/>
      </tp>
      <tp>
        <v>27312</v>
        <stp/>
        <stp>OPEN_INT</stp>
        <stp>.QQQ250516P480</stp>
        <tr r="AV67" s="1"/>
        <tr r="AV67" s="1"/>
      </tp>
      <tp>
        <v>29641</v>
        <stp/>
        <stp>OPEN_INT</stp>
        <stp>.QQQ250516C480</stp>
        <tr r="AU67" s="1"/>
        <tr r="AU67" s="1"/>
      </tp>
      <tp>
        <v>773</v>
        <stp/>
        <stp>OPEN_INT</stp>
        <stp>.QQQ250516P481</stp>
        <tr r="AV66" s="1"/>
        <tr r="AV66" s="1"/>
      </tp>
      <tp>
        <v>584</v>
        <stp/>
        <stp>OPEN_INT</stp>
        <stp>.QQQ250516C481</stp>
        <tr r="AU66" s="1"/>
        <tr r="AU66" s="1"/>
      </tp>
      <tp>
        <v>647</v>
        <stp/>
        <stp>OPEN_INT</stp>
        <stp>.QQQ250516P482</stp>
        <tr r="AV65" s="1"/>
        <tr r="AV65" s="1"/>
      </tp>
      <tp>
        <v>578</v>
        <stp/>
        <stp>OPEN_INT</stp>
        <stp>.QQQ250516C482</stp>
        <tr r="AU65" s="1"/>
        <tr r="AU65" s="1"/>
      </tp>
      <tp>
        <v>1856</v>
        <stp/>
        <stp>OPEN_INT</stp>
        <stp>.QQQ250516P483</stp>
        <tr r="AV64" s="1"/>
        <tr r="AV64" s="1"/>
      </tp>
      <tp>
        <v>687</v>
        <stp/>
        <stp>OPEN_INT</stp>
        <stp>.QQQ250516C483</stp>
        <tr r="AU64" s="1"/>
        <tr r="AU64" s="1"/>
      </tp>
      <tp>
        <v>1518</v>
        <stp/>
        <stp>OPEN_INT</stp>
        <stp>.QQQ250516P484</stp>
        <tr r="AV63" s="1"/>
        <tr r="AV63" s="1"/>
      </tp>
      <tp>
        <v>1519</v>
        <stp/>
        <stp>OPEN_INT</stp>
        <stp>.QQQ250516C484</stp>
        <tr r="AU63" s="1"/>
        <tr r="AU63" s="1"/>
      </tp>
      <tp>
        <v>12419</v>
        <stp/>
        <stp>OPEN_INT</stp>
        <stp>.QQQ250516P485</stp>
        <tr r="AV62" s="1"/>
        <tr r="AV62" s="1"/>
      </tp>
      <tp>
        <v>27338</v>
        <stp/>
        <stp>OPEN_INT</stp>
        <stp>.QQQ250516C485</stp>
        <tr r="AU62" s="1"/>
        <tr r="AU62" s="1"/>
      </tp>
      <tp>
        <v>47</v>
        <stp/>
        <stp>OPEN_INT</stp>
        <stp>.QQQ250509P499</stp>
        <tr r="AT48" s="1"/>
        <tr r="AT48" s="1"/>
      </tp>
      <tp>
        <v>590</v>
        <stp/>
        <stp>OPEN_INT</stp>
        <stp>.QQQ250516P486</stp>
        <tr r="AV61" s="1"/>
        <tr r="AV61" s="1"/>
      </tp>
      <tp>
        <v>2492</v>
        <stp/>
        <stp>OPEN_INT</stp>
        <stp>.QQQ250509C499</stp>
        <tr r="AS48" s="1"/>
        <tr r="AS48" s="1"/>
      </tp>
      <tp>
        <v>638</v>
        <stp/>
        <stp>OPEN_INT</stp>
        <stp>.QQQ250516C486</stp>
        <tr r="AU61" s="1"/>
        <tr r="AU61" s="1"/>
      </tp>
      <tp>
        <v>64</v>
        <stp/>
        <stp>OPEN_INT</stp>
        <stp>.QQQ250509P498</stp>
        <tr r="AT49" s="1"/>
        <tr r="AT49" s="1"/>
      </tp>
      <tp>
        <v>713</v>
        <stp/>
        <stp>OPEN_INT</stp>
        <stp>.QQQ250516P487</stp>
        <tr r="AV60" s="1"/>
        <tr r="AV60" s="1"/>
      </tp>
      <tp>
        <v>2562</v>
        <stp/>
        <stp>OPEN_INT</stp>
        <stp>.QQQ250509C498</stp>
        <tr r="AS49" s="1"/>
        <tr r="AS49" s="1"/>
      </tp>
      <tp>
        <v>757</v>
        <stp/>
        <stp>OPEN_INT</stp>
        <stp>.QQQ250516C487</stp>
        <tr r="AU60" s="1"/>
        <tr r="AU60" s="1"/>
      </tp>
      <tp>
        <v>280</v>
        <stp/>
        <stp>OPEN_INT</stp>
        <stp>.QQQ250509P497</stp>
        <tr r="AT50" s="1"/>
        <tr r="AT50" s="1"/>
      </tp>
      <tp>
        <v>1008</v>
        <stp/>
        <stp>OPEN_INT</stp>
        <stp>.QQQ250516P488</stp>
        <tr r="AV59" s="1"/>
        <tr r="AV59" s="1"/>
      </tp>
      <tp>
        <v>3438</v>
        <stp/>
        <stp>OPEN_INT</stp>
        <stp>.QQQ250509C497</stp>
        <tr r="AS50" s="1"/>
        <tr r="AS50" s="1"/>
      </tp>
      <tp>
        <v>1483</v>
        <stp/>
        <stp>OPEN_INT</stp>
        <stp>.QQQ250516C488</stp>
        <tr r="AU59" s="1"/>
        <tr r="AU59" s="1"/>
      </tp>
      <tp>
        <v>226</v>
        <stp/>
        <stp>OPEN_INT</stp>
        <stp>.QQQ250509P496</stp>
        <tr r="AT51" s="1"/>
        <tr r="AT51" s="1"/>
      </tp>
      <tp>
        <v>336</v>
        <stp/>
        <stp>OPEN_INT</stp>
        <stp>.QQQ250516P489</stp>
        <tr r="AV58" s="1"/>
        <tr r="AV58" s="1"/>
      </tp>
      <tp>
        <v>2517</v>
        <stp/>
        <stp>OPEN_INT</stp>
        <stp>.QQQ250509C496</stp>
        <tr r="AS51" s="1"/>
        <tr r="AS51" s="1"/>
      </tp>
      <tp>
        <v>1634</v>
        <stp/>
        <stp>OPEN_INT</stp>
        <stp>.QQQ250509P495</stp>
        <tr r="AT52" s="1"/>
        <tr r="AT52" s="1"/>
      </tp>
      <tp>
        <v>10961</v>
        <stp/>
        <stp>OPEN_INT</stp>
        <stp>.QQQ250509C495</stp>
        <tr r="AS52" s="1"/>
        <tr r="AS52" s="1"/>
      </tp>
      <tp>
        <v>371</v>
        <stp/>
        <stp>OPEN_INT</stp>
        <stp>.QQQ250509P494</stp>
        <tr r="AT53" s="1"/>
        <tr r="AT53" s="1"/>
      </tp>
      <tp>
        <v>3016</v>
        <stp/>
        <stp>OPEN_INT</stp>
        <stp>.QQQ250509C494</stp>
        <tr r="AS53" s="1"/>
        <tr r="AS53" s="1"/>
      </tp>
      <tp>
        <v>670</v>
        <stp/>
        <stp>OPEN_INT</stp>
        <stp>.QQQ250509P493</stp>
        <tr r="AT54" s="1"/>
        <tr r="AT54" s="1"/>
      </tp>
      <tp>
        <v>6093</v>
        <stp/>
        <stp>OPEN_INT</stp>
        <stp>.QQQ250509C493</stp>
        <tr r="AS54" s="1"/>
        <tr r="AS54" s="1"/>
      </tp>
      <tp>
        <v>2292</v>
        <stp/>
        <stp>OPEN_INT</stp>
        <stp>.QQQ250509P492</stp>
        <tr r="AT55" s="1"/>
        <tr r="AT55" s="1"/>
      </tp>
      <tp>
        <v>5394</v>
        <stp/>
        <stp>OPEN_INT</stp>
        <stp>.QQQ250509C492</stp>
        <tr r="AS55" s="1"/>
        <tr r="AS55" s="1"/>
      </tp>
      <tp>
        <v>1929</v>
        <stp/>
        <stp>OPEN_INT</stp>
        <stp>.QQQ250509P491</stp>
        <tr r="AT56" s="1"/>
        <tr r="AT56" s="1"/>
      </tp>
      <tp>
        <v>4571</v>
        <stp/>
        <stp>OPEN_INT</stp>
        <stp>.QQQ250509C491</stp>
        <tr r="AS56" s="1"/>
        <tr r="AS56" s="1"/>
      </tp>
      <tp>
        <v>5316</v>
        <stp/>
        <stp>OPEN_INT</stp>
        <stp>.QQQ250509P490</stp>
        <tr r="AT57" s="1"/>
        <tr r="AT57" s="1"/>
      </tp>
      <tp>
        <v>10598</v>
        <stp/>
        <stp>OPEN_INT</stp>
        <stp>.QQQ250509C490</stp>
        <tr r="AS57" s="1"/>
        <tr r="AS57" s="1"/>
      </tp>
      <tp>
        <v>58</v>
        <stp/>
        <stp>OPEN_INT</stp>
        <stp>.NDX250516P19900</stp>
        <tr r="AV163" s="1"/>
        <tr r="AV163" s="1"/>
      </tp>
      <tp>
        <v>5</v>
        <stp/>
        <stp>OPEN_INT</stp>
        <stp>.NDX250516P19925</stp>
        <tr r="AV162" s="1"/>
        <tr r="AV162" s="1"/>
      </tp>
      <tp>
        <v>7</v>
        <stp/>
        <stp>OPEN_INT</stp>
        <stp>.NDX250516P19950</stp>
        <tr r="AV161" s="1"/>
        <tr r="AV161" s="1"/>
      </tp>
      <tp>
        <v>10</v>
        <stp/>
        <stp>OPEN_INT</stp>
        <stp>.NDX250516P19975</stp>
        <tr r="AV160" s="1"/>
        <tr r="AV160" s="1"/>
      </tp>
      <tp>
        <v>13</v>
        <stp/>
        <stp>OPEN_INT</stp>
        <stp>.NDX250516C19925</stp>
        <tr r="AU162" s="1"/>
        <tr r="AU162" s="1"/>
      </tp>
      <tp>
        <v>54</v>
        <stp/>
        <stp>OPEN_INT</stp>
        <stp>.NDX250516C19900</stp>
        <tr r="AU163" s="1"/>
        <tr r="AU163" s="1"/>
      </tp>
      <tp>
        <v>16</v>
        <stp/>
        <stp>OPEN_INT</stp>
        <stp>.NDX250516C19975</stp>
        <tr r="AU160" s="1"/>
        <tr r="AU160" s="1"/>
      </tp>
      <tp t="s">
        <v>N/A</v>
        <stp/>
        <stp>OPEN_INT</stp>
        <stp>.QQQ250620P468</stp>
        <tr r="AX79" s="1"/>
      </tp>
      <tp t="s">
        <v>N/A</v>
        <stp/>
        <stp>OPEN_INT</stp>
        <stp>.QQQ250620C468</stp>
        <tr r="AW79" s="1"/>
      </tp>
      <tp t="s">
        <v>N/A</v>
        <stp/>
        <stp>OPEN_INT</stp>
        <stp>.QQQ250620P469</stp>
        <tr r="AX78" s="1"/>
      </tp>
      <tp t="s">
        <v>N/A</v>
        <stp/>
        <stp>OPEN_INT</stp>
        <stp>.QQQ250620C469</stp>
        <tr r="AW78" s="1"/>
      </tp>
      <tp>
        <v>28</v>
        <stp/>
        <stp>OPEN_INT</stp>
        <stp>.NDX250516C19950</stp>
        <tr r="AU161" s="1"/>
        <tr r="AU161" s="1"/>
      </tp>
      <tp t="s">
        <v>N/A</v>
        <stp/>
        <stp>OPEN_INT</stp>
        <stp>.QQQ250620P476</stp>
        <tr r="AX71" s="1"/>
      </tp>
      <tp t="s">
        <v>N/A</v>
        <stp/>
        <stp>OPEN_INT</stp>
        <stp>.QQQ250620C476</stp>
        <tr r="AW71" s="1"/>
      </tp>
      <tp t="s">
        <v>N/A</v>
        <stp/>
        <stp>OPEN_INT</stp>
        <stp>.QQQ250620P477</stp>
        <tr r="AX70" s="1"/>
      </tp>
      <tp t="s">
        <v>N/A</v>
        <stp/>
        <stp>OPEN_INT</stp>
        <stp>.QQQ250620C477</stp>
        <tr r="AW70" s="1"/>
      </tp>
      <tp t="s">
        <v>N/A</v>
        <stp/>
        <stp>OPEN_INT</stp>
        <stp>.QQQ250620P474</stp>
        <tr r="AX73" s="1"/>
      </tp>
      <tp t="s">
        <v>N/A</v>
        <stp/>
        <stp>OPEN_INT</stp>
        <stp>.QQQ250620C474</stp>
        <tr r="AW73" s="1"/>
      </tp>
      <tp>
        <v>5961</v>
        <stp/>
        <stp>OPEN_INT</stp>
        <stp>.QQQ250620P475</stp>
        <tr r="AX72" s="1"/>
        <tr r="AX72" s="1"/>
      </tp>
      <tp>
        <v>12097</v>
        <stp/>
        <stp>OPEN_INT</stp>
        <stp>.QQQ250620C475</stp>
        <tr r="AW72" s="1"/>
        <tr r="AW72" s="1"/>
      </tp>
      <tp t="s">
        <v>N/A</v>
        <stp/>
        <stp>OPEN_INT</stp>
        <stp>.QQQ250620P472</stp>
        <tr r="AX75" s="1"/>
      </tp>
      <tp t="s">
        <v>N/A</v>
        <stp/>
        <stp>OPEN_INT</stp>
        <stp>.QQQ250620C472</stp>
        <tr r="AW75" s="1"/>
      </tp>
      <tp t="s">
        <v>N/A</v>
        <stp/>
        <stp>OPEN_INT</stp>
        <stp>.QQQ250620P473</stp>
        <tr r="AX74" s="1"/>
      </tp>
      <tp t="s">
        <v>N/A</v>
        <stp/>
        <stp>OPEN_INT</stp>
        <stp>.QQQ250620C473</stp>
        <tr r="AW74" s="1"/>
      </tp>
      <tp>
        <v>67470</v>
        <stp/>
        <stp>OPEN_INT</stp>
        <stp>.QQQ250620P470</stp>
        <tr r="AX77" s="1"/>
        <tr r="AX77" s="1"/>
      </tp>
      <tp>
        <v>36282</v>
        <stp/>
        <stp>OPEN_INT</stp>
        <stp>.QQQ250620C470</stp>
        <tr r="AW77" s="1"/>
        <tr r="AW77" s="1"/>
      </tp>
      <tp t="s">
        <v>N/A</v>
        <stp/>
        <stp>OPEN_INT</stp>
        <stp>.QQQ250620P471</stp>
        <tr r="AX76" s="1"/>
      </tp>
      <tp t="s">
        <v>N/A</v>
        <stp/>
        <stp>OPEN_INT</stp>
        <stp>.QQQ250620C471</stp>
        <tr r="AW76" s="1"/>
      </tp>
      <tp t="s">
        <v>N/A</v>
        <stp/>
        <stp>OPEN_INT</stp>
        <stp>.QQQ250620P478</stp>
        <tr r="AX69" s="1"/>
      </tp>
      <tp t="s">
        <v>N/A</v>
        <stp/>
        <stp>OPEN_INT</stp>
        <stp>.QQQ250620C478</stp>
        <tr r="AW69" s="1"/>
      </tp>
      <tp t="s">
        <v>N/A</v>
        <stp/>
        <stp>OPEN_INT</stp>
        <stp>.QQQ250620P479</stp>
        <tr r="AX68" s="1"/>
      </tp>
      <tp t="s">
        <v>N/A</v>
        <stp/>
        <stp>OPEN_INT</stp>
        <stp>.QQQ250620C479</stp>
        <tr r="AW68" s="1"/>
      </tp>
      <tp t="s">
        <v>N/A</v>
        <stp/>
        <stp>OPEN_INT</stp>
        <stp>.QQQ250620P486</stp>
        <tr r="AX61" s="1"/>
      </tp>
      <tp t="s">
        <v>N/A</v>
        <stp/>
        <stp>OPEN_INT</stp>
        <stp>.QQQ250620C486</stp>
        <tr r="AW61" s="1"/>
      </tp>
      <tp t="s">
        <v>N/A</v>
        <stp/>
        <stp>OPEN_INT</stp>
        <stp>.QQQ250620P487</stp>
        <tr r="AX60" s="1"/>
      </tp>
      <tp t="s">
        <v>N/A</v>
        <stp/>
        <stp>OPEN_INT</stp>
        <stp>.QQQ250620C487</stp>
        <tr r="AW60" s="1"/>
      </tp>
      <tp t="s">
        <v>N/A</v>
        <stp/>
        <stp>OPEN_INT</stp>
        <stp>.QQQ250620P484</stp>
        <tr r="AX63" s="1"/>
      </tp>
      <tp t="s">
        <v>N/A</v>
        <stp/>
        <stp>OPEN_INT</stp>
        <stp>.QQQ250620C484</stp>
        <tr r="AW63" s="1"/>
      </tp>
      <tp>
        <v>3173</v>
        <stp/>
        <stp>OPEN_INT</stp>
        <stp>.QQQ250620P485</stp>
        <tr r="AX62" s="1"/>
        <tr r="AX62" s="1"/>
      </tp>
      <tp>
        <v>3859</v>
        <stp/>
        <stp>OPEN_INT</stp>
        <stp>.QQQ250620C485</stp>
        <tr r="AW62" s="1"/>
        <tr r="AW62" s="1"/>
      </tp>
      <tp t="s">
        <v>N/A</v>
        <stp/>
        <stp>OPEN_INT</stp>
        <stp>.QQQ250620P482</stp>
        <tr r="AX65" s="1"/>
      </tp>
      <tp t="s">
        <v>N/A</v>
        <stp/>
        <stp>OPEN_INT</stp>
        <stp>.QQQ250620C482</stp>
        <tr r="AW65" s="1"/>
      </tp>
      <tp t="s">
        <v>N/A</v>
        <stp/>
        <stp>OPEN_INT</stp>
        <stp>.QQQ250620P483</stp>
        <tr r="AX64" s="1"/>
      </tp>
      <tp t="s">
        <v>N/A</v>
        <stp/>
        <stp>OPEN_INT</stp>
        <stp>.QQQ250620C483</stp>
        <tr r="AW64" s="1"/>
      </tp>
      <tp>
        <v>81306</v>
        <stp/>
        <stp>OPEN_INT</stp>
        <stp>.QQQ250620P480</stp>
        <tr r="AX67" s="1"/>
        <tr r="AX67" s="1"/>
      </tp>
      <tp>
        <v>46441</v>
        <stp/>
        <stp>OPEN_INT</stp>
        <stp>.QQQ250620C480</stp>
        <tr r="AW67" s="1"/>
        <tr r="AW67" s="1"/>
      </tp>
      <tp t="s">
        <v>N/A</v>
        <stp/>
        <stp>OPEN_INT</stp>
        <stp>.QQQ250620P481</stp>
        <tr r="AX66" s="1"/>
      </tp>
      <tp t="s">
        <v>N/A</v>
        <stp/>
        <stp>OPEN_INT</stp>
        <stp>.QQQ250620C481</stp>
        <tr r="AW66" s="1"/>
      </tp>
      <tp t="s">
        <v>N/A</v>
        <stp/>
        <stp>OPEN_INT</stp>
        <stp>.QQQ250620P488</stp>
        <tr r="AX59" s="1"/>
      </tp>
      <tp t="s">
        <v>N/A</v>
        <stp/>
        <stp>OPEN_INT</stp>
        <stp>.QQQ250620C488</stp>
        <tr r="AW59" s="1"/>
      </tp>
      <tp t="s">
        <v>N/A</v>
        <stp/>
        <stp>OPEN_INT</stp>
        <stp>.QQQ250620P489</stp>
        <tr r="AX58" s="1"/>
      </tp>
      <tp t="s">
        <v>N/A</v>
        <stp/>
        <stp>OPEN_INT</stp>
        <stp>.QQQ250620C489</stp>
        <tr r="AW58" s="1"/>
      </tp>
      <tp t="s">
        <v>N/A</v>
        <stp/>
        <stp>OPEN_INT</stp>
        <stp>.QQQ250620P496</stp>
        <tr r="AX51" s="1"/>
      </tp>
      <tp t="s">
        <v>N/A</v>
        <stp/>
        <stp>OPEN_INT</stp>
        <stp>.QQQ250620C496</stp>
        <tr r="AW51" s="1"/>
      </tp>
      <tp t="s">
        <v>N/A</v>
        <stp/>
        <stp>OPEN_INT</stp>
        <stp>.QQQ250620P497</stp>
        <tr r="AX50" s="1"/>
      </tp>
      <tp t="s">
        <v>N/A</v>
        <stp/>
        <stp>OPEN_INT</stp>
        <stp>.QQQ250620C497</stp>
        <tr r="AW50" s="1"/>
      </tp>
      <tp t="s">
        <v>N/A</v>
        <stp/>
        <stp>OPEN_INT</stp>
        <stp>.QQQ250620P494</stp>
        <tr r="AX53" s="1"/>
      </tp>
      <tp t="s">
        <v>N/A</v>
        <stp/>
        <stp>OPEN_INT</stp>
        <stp>.QQQ250620C494</stp>
        <tr r="AW53" s="1"/>
      </tp>
      <tp>
        <v>1781</v>
        <stp/>
        <stp>OPEN_INT</stp>
        <stp>.QQQ250620P495</stp>
        <tr r="AX52" s="1"/>
        <tr r="AX52" s="1"/>
      </tp>
      <tp>
        <v>2009</v>
        <stp/>
        <stp>OPEN_INT</stp>
        <stp>.QQQ250620C495</stp>
        <tr r="AW52" s="1"/>
        <tr r="AW52" s="1"/>
      </tp>
      <tp t="s">
        <v>N/A</v>
        <stp/>
        <stp>OPEN_INT</stp>
        <stp>.QQQ250620P492</stp>
        <tr r="AX55" s="1"/>
      </tp>
      <tp t="s">
        <v>N/A</v>
        <stp/>
        <stp>OPEN_INT</stp>
        <stp>.QQQ250620C492</stp>
        <tr r="AW55" s="1"/>
      </tp>
      <tp t="s">
        <v>N/A</v>
        <stp/>
        <stp>OPEN_INT</stp>
        <stp>.QQQ250620P493</stp>
        <tr r="AX54" s="1"/>
      </tp>
      <tp t="s">
        <v>N/A</v>
        <stp/>
        <stp>OPEN_INT</stp>
        <stp>.QQQ250620C493</stp>
        <tr r="AW54" s="1"/>
      </tp>
      <tp>
        <v>30481</v>
        <stp/>
        <stp>OPEN_INT</stp>
        <stp>.QQQ250620P490</stp>
        <tr r="AX57" s="1"/>
        <tr r="AX57" s="1"/>
      </tp>
      <tp>
        <v>24218</v>
        <stp/>
        <stp>OPEN_INT</stp>
        <stp>.QQQ250620C490</stp>
        <tr r="AW57" s="1"/>
        <tr r="AW57" s="1"/>
      </tp>
      <tp t="s">
        <v>N/A</v>
        <stp/>
        <stp>OPEN_INT</stp>
        <stp>.QQQ250620P491</stp>
        <tr r="AX56" s="1"/>
      </tp>
      <tp t="s">
        <v>N/A</v>
        <stp/>
        <stp>OPEN_INT</stp>
        <stp>.QQQ250620C491</stp>
        <tr r="AW56" s="1"/>
      </tp>
      <tp t="s">
        <v>N/A</v>
        <stp/>
        <stp>OPEN_INT</stp>
        <stp>.QQQ250620P498</stp>
        <tr r="AX49" s="1"/>
      </tp>
      <tp t="s">
        <v>N/A</v>
        <stp/>
        <stp>OPEN_INT</stp>
        <stp>.QQQ250620C498</stp>
        <tr r="AW49" s="1"/>
      </tp>
      <tp t="s">
        <v>N/A</v>
        <stp/>
        <stp>OPEN_INT</stp>
        <stp>.QQQ250620P499</stp>
        <tr r="AX48" s="1"/>
      </tp>
      <tp t="s">
        <v>N/A</v>
        <stp/>
        <stp>OPEN_INT</stp>
        <stp>.QQQ250620C499</stp>
        <tr r="AW48" s="1"/>
      </tp>
      <tp>
        <v>28</v>
        <stp/>
        <stp>OPEN_INT</stp>
        <stp>.NDX250516P19800</stp>
        <tr r="AV167" s="1"/>
        <tr r="AV167" s="1"/>
      </tp>
      <tp>
        <v>28</v>
        <stp/>
        <stp>OPEN_INT</stp>
        <stp>.NDX250516P19825</stp>
        <tr r="AV166" s="1"/>
        <tr r="AV166" s="1"/>
      </tp>
      <tp>
        <v>7</v>
        <stp/>
        <stp>OPEN_INT</stp>
        <stp>.NDX250516P19850</stp>
        <tr r="AV165" s="1"/>
        <tr r="AV165" s="1"/>
      </tp>
      <tp>
        <v>8</v>
        <stp/>
        <stp>OPEN_INT</stp>
        <stp>.NDX250516P19875</stp>
        <tr r="AV164" s="1"/>
        <tr r="AV164" s="1"/>
      </tp>
      <tp t="s">
        <v>N/A</v>
        <stp/>
        <stp>OPEN_INT</stp>
        <stp>.QQQ250620P502</stp>
        <tr r="AX45" s="1"/>
      </tp>
      <tp t="s">
        <v>N/A</v>
        <stp/>
        <stp>OPEN_INT</stp>
        <stp>.QQQ250620C502</stp>
        <tr r="AW45" s="1"/>
      </tp>
      <tp>
        <v>33323</v>
        <stp/>
        <stp>OPEN_INT</stp>
        <stp>.QQQ250620P500</stp>
        <tr r="AX47" s="1"/>
        <tr r="AX47" s="1"/>
      </tp>
      <tp>
        <v>68899</v>
        <stp/>
        <stp>OPEN_INT</stp>
        <stp>.QQQ250620C500</stp>
        <tr r="AW47" s="1"/>
        <tr r="AW47" s="1"/>
      </tp>
      <tp t="s">
        <v>N/A</v>
        <stp/>
        <stp>OPEN_INT</stp>
        <stp>.QQQ250620P501</stp>
        <tr r="AX46" s="1"/>
      </tp>
      <tp t="s">
        <v>N/A</v>
        <stp/>
        <stp>OPEN_INT</stp>
        <stp>.QQQ250620C501</stp>
        <tr r="AW46" s="1"/>
      </tp>
      <tp>
        <v>32</v>
        <stp/>
        <stp>OPEN_INT</stp>
        <stp>.NDX250516C19825</stp>
        <tr r="AU166" s="1"/>
        <tr r="AU166" s="1"/>
      </tp>
      <tp>
        <v>34</v>
        <stp/>
        <stp>OPEN_INT</stp>
        <stp>.NDX250516C19800</stp>
        <tr r="AU167" s="1"/>
        <tr r="AU167" s="1"/>
      </tp>
      <tp>
        <v>14</v>
        <stp/>
        <stp>OPEN_INT</stp>
        <stp>.NDX250516C19875</stp>
        <tr r="AU164" s="1"/>
        <tr r="AU164" s="1"/>
      </tp>
      <tp>
        <v>24</v>
        <stp/>
        <stp>OPEN_INT</stp>
        <stp>.NDX250516C19850</stp>
        <tr r="AU165" s="1"/>
        <tr r="AU165" s="1"/>
      </tp>
      <tp>
        <v>128</v>
        <stp/>
        <stp>OPEN_INT</stp>
        <stp>.NDX250620P20100</stp>
        <tr r="AX155" s="1"/>
        <tr r="AX155" s="1"/>
      </tp>
      <tp>
        <v>48</v>
        <stp/>
        <stp>OPEN_INT</stp>
        <stp>.NDX250516P19700</stp>
        <tr r="AV171" s="1"/>
        <tr r="AV171" s="1"/>
      </tp>
      <tp>
        <v>115</v>
        <stp/>
        <stp>OPEN_INT</stp>
        <stp>.NDX250620P20125</stp>
        <tr r="AX154" s="1"/>
        <tr r="AX154" s="1"/>
      </tp>
      <tp>
        <v>27</v>
        <stp/>
        <stp>OPEN_INT</stp>
        <stp>.NDX250516P19725</stp>
        <tr r="AV170" s="1"/>
        <tr r="AV170" s="1"/>
      </tp>
      <tp>
        <v>18</v>
        <stp/>
        <stp>OPEN_INT</stp>
        <stp>.NDX250620P20150</stp>
        <tr r="AX153" s="1"/>
        <tr r="AX153" s="1"/>
      </tp>
      <tp>
        <v>15</v>
        <stp/>
        <stp>OPEN_INT</stp>
        <stp>.NDX250516P19750</stp>
        <tr r="AV169" s="1"/>
        <tr r="AV169" s="1"/>
      </tp>
      <tp>
        <v>18</v>
        <stp/>
        <stp>OPEN_INT</stp>
        <stp>.NDX250620P20175</stp>
        <tr r="AX152" s="1"/>
        <tr r="AX152" s="1"/>
      </tp>
      <tp>
        <v>10</v>
        <stp/>
        <stp>OPEN_INT</stp>
        <stp>.NDX250516P19775</stp>
        <tr r="AV168" s="1"/>
        <tr r="AV168" s="1"/>
      </tp>
      <tp>
        <v>103</v>
        <stp/>
        <stp>OPEN_INT</stp>
        <stp>.NDX250620C20125</stp>
        <tr r="AW154" s="1"/>
        <tr r="AW154" s="1"/>
      </tp>
      <tp>
        <v>43</v>
        <stp/>
        <stp>OPEN_INT</stp>
        <stp>.NDX250516C19725</stp>
        <tr r="AU170" s="1"/>
        <tr r="AU170" s="1"/>
      </tp>
      <tp>
        <v>134</v>
        <stp/>
        <stp>OPEN_INT</stp>
        <stp>.NDX250620C20100</stp>
        <tr r="AW155" s="1"/>
        <tr r="AW155" s="1"/>
      </tp>
      <tp>
        <v>37</v>
        <stp/>
        <stp>OPEN_INT</stp>
        <stp>.NDX250516C19700</stp>
        <tr r="AU171" s="1"/>
        <tr r="AU171" s="1"/>
      </tp>
      <tp>
        <v>20</v>
        <stp/>
        <stp>OPEN_INT</stp>
        <stp>.NDX250620C20175</stp>
        <tr r="AW152" s="1"/>
        <tr r="AW152" s="1"/>
      </tp>
      <tp>
        <v>22</v>
        <stp/>
        <stp>OPEN_INT</stp>
        <stp>.NDX250516C19775</stp>
        <tr r="AU168" s="1"/>
        <tr r="AU168" s="1"/>
      </tp>
      <tp>
        <v>19</v>
        <stp/>
        <stp>OPEN_INT</stp>
        <stp>.NDX250620C20150</stp>
        <tr r="AW153" s="1"/>
        <tr r="AW153" s="1"/>
      </tp>
      <tp>
        <v>71</v>
        <stp/>
        <stp>OPEN_INT</stp>
        <stp>.NDX250516C19750</stp>
        <tr r="AU169" s="1"/>
        <tr r="AU169" s="1"/>
      </tp>
      <tp>
        <v>647</v>
        <stp/>
        <stp>OPEN_INT</stp>
        <stp>.NDX250620P20000</stp>
        <tr r="AX159" s="1"/>
        <tr r="AX159" s="1"/>
      </tp>
      <tp>
        <v>55</v>
        <stp/>
        <stp>OPEN_INT</stp>
        <stp>.NDX250516P19600</stp>
        <tr r="AV175" s="1"/>
        <tr r="AV175" s="1"/>
      </tp>
      <tp>
        <v>13</v>
        <stp/>
        <stp>OPEN_INT</stp>
        <stp>.NDX250620P20025</stp>
        <tr r="AX158" s="1"/>
        <tr r="AX158" s="1"/>
      </tp>
      <tp>
        <v>8</v>
        <stp/>
        <stp>OPEN_INT</stp>
        <stp>.NDX250516P19625</stp>
        <tr r="AV174" s="1"/>
        <tr r="AV174" s="1"/>
      </tp>
      <tp>
        <v>9</v>
        <stp/>
        <stp>OPEN_INT</stp>
        <stp>.NDX250620P20050</stp>
        <tr r="AX157" s="1"/>
        <tr r="AX157" s="1"/>
      </tp>
      <tp>
        <v>21</v>
        <stp/>
        <stp>OPEN_INT</stp>
        <stp>.NDX250516P19650</stp>
        <tr r="AV173" s="1"/>
        <tr r="AV173" s="1"/>
      </tp>
      <tp>
        <v>73</v>
        <stp/>
        <stp>OPEN_INT</stp>
        <stp>.NDX250620P20075</stp>
        <tr r="AX156" s="1"/>
        <tr r="AX156" s="1"/>
      </tp>
      <tp>
        <v>12</v>
        <stp/>
        <stp>OPEN_INT</stp>
        <stp>.NDX250516P19675</stp>
        <tr r="AV172" s="1"/>
        <tr r="AV172" s="1"/>
      </tp>
      <tp>
        <v>166</v>
        <stp/>
        <stp>OPEN_INT</stp>
        <stp>.NDX250620C20025</stp>
        <tr r="AW158" s="1"/>
        <tr r="AW158" s="1"/>
      </tp>
      <tp>
        <v>28</v>
        <stp/>
        <stp>OPEN_INT</stp>
        <stp>.NDX250516C19625</stp>
        <tr r="AU174" s="1"/>
        <tr r="AU174" s="1"/>
      </tp>
      <tp>
        <v>636</v>
        <stp/>
        <stp>OPEN_INT</stp>
        <stp>.NDX250620C20000</stp>
        <tr r="AW159" s="1"/>
        <tr r="AW159" s="1"/>
      </tp>
      <tp>
        <v>58</v>
        <stp/>
        <stp>OPEN_INT</stp>
        <stp>.NDX250516C19600</stp>
        <tr r="AU175" s="1"/>
        <tr r="AU175" s="1"/>
      </tp>
      <tp t="s">
        <v>14.15%</v>
        <stp/>
        <stp>IMPL_VOL</stp>
        <stp>.SPY250620C560</stp>
        <tr r="EP26" s="1"/>
      </tp>
      <tp t="s">
        <v>24.66%</v>
        <stp/>
        <stp>IMPL_VOL</stp>
        <stp>.SPY250620P560</stp>
        <tr r="EQ26" s="1"/>
      </tp>
      <tp t="s">
        <v>14.18%</v>
        <stp/>
        <stp>IMPL_VOL</stp>
        <stp>.SPY250620C561</stp>
        <tr r="EP25" s="1"/>
      </tp>
      <tp t="s">
        <v>24.58%</v>
        <stp/>
        <stp>IMPL_VOL</stp>
        <stp>.SPY250620P561</stp>
        <tr r="EQ25" s="1"/>
      </tp>
      <tp t="s">
        <v>14.20%</v>
        <stp/>
        <stp>IMPL_VOL</stp>
        <stp>.SPY250620C562</stp>
        <tr r="EP24" s="1"/>
      </tp>
      <tp t="s">
        <v>24.51%</v>
        <stp/>
        <stp>IMPL_VOL</stp>
        <stp>.SPY250620P562</stp>
        <tr r="EQ24" s="1"/>
      </tp>
      <tp t="s">
        <v>14.21%</v>
        <stp/>
        <stp>IMPL_VOL</stp>
        <stp>.SPY250620C563</stp>
        <tr r="EP23" s="1"/>
      </tp>
      <tp t="s">
        <v>24.42%</v>
        <stp/>
        <stp>IMPL_VOL</stp>
        <stp>.SPY250620P563</stp>
        <tr r="EQ23" s="1"/>
      </tp>
      <tp t="s">
        <v>14.22%</v>
        <stp/>
        <stp>IMPL_VOL</stp>
        <stp>.SPY250620C564</stp>
        <tr r="EP22" s="1"/>
      </tp>
      <tp t="s">
        <v>24.35%</v>
        <stp/>
        <stp>IMPL_VOL</stp>
        <stp>.SPY250620P564</stp>
        <tr r="EQ22" s="1"/>
      </tp>
      <tp t="s">
        <v>14.23%</v>
        <stp/>
        <stp>IMPL_VOL</stp>
        <stp>.SPY250620C565</stp>
        <tr r="EP21" s="1"/>
      </tp>
      <tp t="s">
        <v>24.29%</v>
        <stp/>
        <stp>IMPL_VOL</stp>
        <stp>.SPY250620P565</stp>
        <tr r="EQ21" s="1"/>
      </tp>
      <tp t="s">
        <v>14.21%</v>
        <stp/>
        <stp>IMPL_VOL</stp>
        <stp>.SPY250620C566</stp>
        <tr r="EP20" s="1"/>
      </tp>
      <tp t="s">
        <v>24.23%</v>
        <stp/>
        <stp>IMPL_VOL</stp>
        <stp>.SPY250620P566</stp>
        <tr r="EQ20" s="1"/>
      </tp>
      <tp t="s">
        <v>14.20%</v>
        <stp/>
        <stp>IMPL_VOL</stp>
        <stp>.SPY250620C567</stp>
        <tr r="EP19" s="1"/>
      </tp>
      <tp t="s">
        <v>24.16%</v>
        <stp/>
        <stp>IMPL_VOL</stp>
        <stp>.SPY250620P567</stp>
        <tr r="EQ19" s="1"/>
      </tp>
      <tp t="s">
        <v>14.18%</v>
        <stp/>
        <stp>IMPL_VOL</stp>
        <stp>.SPY250620C568</stp>
        <tr r="EP18" s="1"/>
      </tp>
      <tp t="s">
        <v>24.11%</v>
        <stp/>
        <stp>IMPL_VOL</stp>
        <stp>.SPY250620P568</stp>
        <tr r="EQ18" s="1"/>
      </tp>
      <tp t="s">
        <v>14.15%</v>
        <stp/>
        <stp>IMPL_VOL</stp>
        <stp>.SPY250620C569</stp>
        <tr r="EP17" s="1"/>
      </tp>
      <tp t="s">
        <v>24.05%</v>
        <stp/>
        <stp>IMPL_VOL</stp>
        <stp>.SPY250620P569</stp>
        <tr r="EQ17" s="1"/>
      </tp>
      <tp>
        <v>54</v>
        <stp/>
        <stp>OPEN_INT</stp>
        <stp>.NDX250620C20075</stp>
        <tr r="AW156" s="1"/>
        <tr r="AW156" s="1"/>
      </tp>
      <tp>
        <v>8</v>
        <stp/>
        <stp>OPEN_INT</stp>
        <stp>.NDX250516C19675</stp>
        <tr r="AU172" s="1"/>
        <tr r="AU172" s="1"/>
      </tp>
      <tp t="s">
        <v>14.12%</v>
        <stp/>
        <stp>IMPL_VOL</stp>
        <stp>.SPY250620C570</stp>
        <tr r="EP16" s="1"/>
      </tp>
      <tp t="s">
        <v>23.99%</v>
        <stp/>
        <stp>IMPL_VOL</stp>
        <stp>.SPY250620P570</stp>
        <tr r="EQ16" s="1"/>
      </tp>
      <tp t="s">
        <v>14.10%</v>
        <stp/>
        <stp>IMPL_VOL</stp>
        <stp>.SPY250620C571</stp>
        <tr r="EP15" s="1"/>
      </tp>
      <tp t="s">
        <v>23.94%</v>
        <stp/>
        <stp>IMPL_VOL</stp>
        <stp>.SPY250620P571</stp>
        <tr r="EQ15" s="1"/>
      </tp>
      <tp t="s">
        <v>14.06%</v>
        <stp/>
        <stp>IMPL_VOL</stp>
        <stp>.SPY250620C572</stp>
        <tr r="EP14" s="1"/>
      </tp>
      <tp t="s">
        <v>23.90%</v>
        <stp/>
        <stp>IMPL_VOL</stp>
        <stp>.SPY250620P572</stp>
        <tr r="EQ14" s="1"/>
      </tp>
      <tp t="s">
        <v>14.03%</v>
        <stp/>
        <stp>IMPL_VOL</stp>
        <stp>.SPY250620C573</stp>
        <tr r="EP13" s="1"/>
      </tp>
      <tp t="s">
        <v>23.86%</v>
        <stp/>
        <stp>IMPL_VOL</stp>
        <stp>.SPY250620P573</stp>
        <tr r="EQ13" s="1"/>
      </tp>
      <tp t="s">
        <v>13.98%</v>
        <stp/>
        <stp>IMPL_VOL</stp>
        <stp>.SPY250620C574</stp>
        <tr r="EP12" s="1"/>
      </tp>
      <tp t="s">
        <v>23.83%</v>
        <stp/>
        <stp>IMPL_VOL</stp>
        <stp>.SPY250620P574</stp>
        <tr r="EQ12" s="1"/>
      </tp>
      <tp t="s">
        <v>13.93%</v>
        <stp/>
        <stp>IMPL_VOL</stp>
        <stp>.SPY250620C575</stp>
        <tr r="EP11" s="1"/>
      </tp>
      <tp t="s">
        <v>23.81%</v>
        <stp/>
        <stp>IMPL_VOL</stp>
        <stp>.SPY250620P575</stp>
        <tr r="EQ11" s="1"/>
      </tp>
      <tp t="s">
        <v>13.89%</v>
        <stp/>
        <stp>IMPL_VOL</stp>
        <stp>.SPY250620C576</stp>
        <tr r="EP10" s="1"/>
      </tp>
      <tp t="s">
        <v>23.78%</v>
        <stp/>
        <stp>IMPL_VOL</stp>
        <stp>.SPY250620P576</stp>
        <tr r="EQ10" s="1"/>
      </tp>
      <tp t="s">
        <v>13.85%</v>
        <stp/>
        <stp>IMPL_VOL</stp>
        <stp>.SPY250620C577</stp>
        <tr r="EP9" s="1"/>
      </tp>
      <tp t="s">
        <v>23.77%</v>
        <stp/>
        <stp>IMPL_VOL</stp>
        <stp>.SPY250620P577</stp>
        <tr r="EQ9" s="1"/>
      </tp>
      <tp t="s">
        <v>13.80%</v>
        <stp/>
        <stp>IMPL_VOL</stp>
        <stp>.SPY250620C578</stp>
        <tr r="EP8" s="1"/>
      </tp>
      <tp t="s">
        <v>23.76%</v>
        <stp/>
        <stp>IMPL_VOL</stp>
        <stp>.SPY250620P578</stp>
        <tr r="EQ8" s="1"/>
      </tp>
      <tp t="s">
        <v>13.76%</v>
        <stp/>
        <stp>IMPL_VOL</stp>
        <stp>.SPY250620C579</stp>
        <tr r="EP7" s="1"/>
      </tp>
      <tp t="s">
        <v>23.87%</v>
        <stp/>
        <stp>IMPL_VOL</stp>
        <stp>.SPY250620P579</stp>
        <tr r="EQ7" s="1"/>
      </tp>
      <tp t="s">
        <v>12.96%</v>
        <stp/>
        <stp>IMPL_VOL</stp>
        <stp>.SPY250620C548</stp>
        <tr r="EP38" s="1"/>
      </tp>
      <tp t="s">
        <v>25.68%</v>
        <stp/>
        <stp>IMPL_VOL</stp>
        <stp>.SPY250620P548</stp>
        <tr r="EQ38" s="1"/>
      </tp>
      <tp t="s">
        <v>13.26%</v>
        <stp/>
        <stp>IMPL_VOL</stp>
        <stp>.SPY250620C549</stp>
        <tr r="EP37" s="1"/>
      </tp>
      <tp t="s">
        <v>25.58%</v>
        <stp/>
        <stp>IMPL_VOL</stp>
        <stp>.SPY250620P549</stp>
        <tr r="EQ37" s="1"/>
      </tp>
      <tp>
        <v>135</v>
        <stp/>
        <stp>OPEN_INT</stp>
        <stp>.NDX250620C20050</stp>
        <tr r="AW157" s="1"/>
        <tr r="AW157" s="1"/>
      </tp>
      <tp>
        <v>10</v>
        <stp/>
        <stp>OPEN_INT</stp>
        <stp>.NDX250516C19650</stp>
        <tr r="AU173" s="1"/>
        <tr r="AU173" s="1"/>
      </tp>
      <tp t="s">
        <v>13.09%</v>
        <stp/>
        <stp>IMPL_VOL</stp>
        <stp>.SPY250620C550</stp>
        <tr r="EP36" s="1"/>
      </tp>
      <tp t="s">
        <v>25.51%</v>
        <stp/>
        <stp>IMPL_VOL</stp>
        <stp>.SPY250620P550</stp>
        <tr r="EQ36" s="1"/>
      </tp>
      <tp t="s">
        <v>13.49%</v>
        <stp/>
        <stp>IMPL_VOL</stp>
        <stp>.SPY250620C551</stp>
        <tr r="EP35" s="1"/>
      </tp>
      <tp t="s">
        <v>25.41%</v>
        <stp/>
        <stp>IMPL_VOL</stp>
        <stp>.SPY250620P551</stp>
        <tr r="EQ35" s="1"/>
      </tp>
      <tp t="s">
        <v>13.57%</v>
        <stp/>
        <stp>IMPL_VOL</stp>
        <stp>.SPY250620C552</stp>
        <tr r="EP34" s="1"/>
      </tp>
      <tp t="s">
        <v>25.33%</v>
        <stp/>
        <stp>IMPL_VOL</stp>
        <stp>.SPY250620P552</stp>
        <tr r="EQ34" s="1"/>
      </tp>
      <tp t="s">
        <v>13.68%</v>
        <stp/>
        <stp>IMPL_VOL</stp>
        <stp>.SPY250620C553</stp>
        <tr r="EP33" s="1"/>
      </tp>
      <tp t="s">
        <v>25.24%</v>
        <stp/>
        <stp>IMPL_VOL</stp>
        <stp>.SPY250620P553</stp>
        <tr r="EQ33" s="1"/>
      </tp>
      <tp t="s">
        <v>13.79%</v>
        <stp/>
        <stp>IMPL_VOL</stp>
        <stp>.SPY250620C554</stp>
        <tr r="EP32" s="1"/>
      </tp>
      <tp t="s">
        <v>25.15%</v>
        <stp/>
        <stp>IMPL_VOL</stp>
        <stp>.SPY250620P554</stp>
        <tr r="EQ32" s="1"/>
      </tp>
      <tp t="s">
        <v>13.87%</v>
        <stp/>
        <stp>IMPL_VOL</stp>
        <stp>.SPY250620C555</stp>
        <tr r="EP31" s="1"/>
      </tp>
      <tp t="s">
        <v>25.06%</v>
        <stp/>
        <stp>IMPL_VOL</stp>
        <stp>.SPY250620P555</stp>
        <tr r="EQ31" s="1"/>
      </tp>
      <tp t="s">
        <v>13.96%</v>
        <stp/>
        <stp>IMPL_VOL</stp>
        <stp>.SPY250620C556</stp>
        <tr r="EP30" s="1"/>
      </tp>
      <tp t="s">
        <v>24.98%</v>
        <stp/>
        <stp>IMPL_VOL</stp>
        <stp>.SPY250620P556</stp>
        <tr r="EQ30" s="1"/>
      </tp>
      <tp t="s">
        <v>14.02%</v>
        <stp/>
        <stp>IMPL_VOL</stp>
        <stp>.SPY250620C557</stp>
        <tr r="EP29" s="1"/>
      </tp>
      <tp t="s">
        <v>24.90%</v>
        <stp/>
        <stp>IMPL_VOL</stp>
        <stp>.SPY250620P557</stp>
        <tr r="EQ29" s="1"/>
      </tp>
      <tp t="s">
        <v>14.08%</v>
        <stp/>
        <stp>IMPL_VOL</stp>
        <stp>.SPY250620C558</stp>
        <tr r="EP28" s="1"/>
      </tp>
      <tp t="s">
        <v>24.82%</v>
        <stp/>
        <stp>IMPL_VOL</stp>
        <stp>.SPY250620P558</stp>
        <tr r="EQ28" s="1"/>
      </tp>
      <tp t="s">
        <v>14.12%</v>
        <stp/>
        <stp>IMPL_VOL</stp>
        <stp>.SPY250620C559</stp>
        <tr r="EP27" s="1"/>
      </tp>
      <tp t="s">
        <v>24.74%</v>
        <stp/>
        <stp>IMPL_VOL</stp>
        <stp>.SPY250620P559</stp>
        <tr r="EQ27" s="1"/>
      </tp>
      <tp t="s">
        <v>13.70%</v>
        <stp/>
        <stp>IMPL_VOL</stp>
        <stp>.SPY250620C580</stp>
        <tr r="EP6" s="1"/>
      </tp>
      <tp t="s">
        <v>23.84%</v>
        <stp/>
        <stp>IMPL_VOL</stp>
        <stp>.SPY250620P580</stp>
        <tr r="EQ6" s="1"/>
      </tp>
      <tp t="s">
        <v>13.66%</v>
        <stp/>
        <stp>IMPL_VOL</stp>
        <stp>.SPY250620C581</stp>
        <tr r="EP5" s="1"/>
      </tp>
      <tp t="s">
        <v>23.77%</v>
        <stp/>
        <stp>IMPL_VOL</stp>
        <stp>.SPY250620P581</stp>
        <tr r="EQ5" s="1"/>
      </tp>
      <tp t="s">
        <v>13.61%</v>
        <stp/>
        <stp>IMPL_VOL</stp>
        <stp>.SPY250620C582</stp>
        <tr r="EP4" s="1"/>
      </tp>
      <tp t="s">
        <v>23.78%</v>
        <stp/>
        <stp>IMPL_VOL</stp>
        <stp>.SPY250620P582</stp>
        <tr r="EQ4" s="1"/>
      </tp>
      <tp>
        <v>138</v>
        <stp/>
        <stp>OPEN_INT</stp>
        <stp>.NDX250516P20500</stp>
        <tr r="AV139" s="1"/>
        <tr r="AV139" s="1"/>
      </tp>
      <tp>
        <v>62</v>
        <stp/>
        <stp>OPEN_INT</stp>
        <stp>.NDX250620P19300</stp>
        <tr r="AX187" s="1"/>
        <tr r="AX187" s="1"/>
      </tp>
      <tp>
        <v>151</v>
        <stp/>
        <stp>OPEN_INT</stp>
        <stp>.NDX250620P20300</stp>
        <tr r="AX147" s="1"/>
        <tr r="AX147" s="1"/>
      </tp>
      <tp>
        <v>97</v>
        <stp/>
        <stp>OPEN_INT</stp>
        <stp>.NDX250516P19500</stp>
        <tr r="AV179" s="1"/>
        <tr r="AV179" s="1"/>
      </tp>
      <tp>
        <v>6</v>
        <stp/>
        <stp>OPEN_INT</stp>
        <stp>.NDX250516P20525</stp>
        <tr r="AV138" s="1"/>
        <tr r="AV138" s="1"/>
      </tp>
      <tp>
        <v>20</v>
        <stp/>
        <stp>OPEN_INT</stp>
        <stp>.NDX250620P19325</stp>
        <tr r="AX186" s="1"/>
        <tr r="AX186" s="1"/>
      </tp>
      <tp>
        <v>37</v>
        <stp/>
        <stp>OPEN_INT</stp>
        <stp>.NDX250620P20325</stp>
        <tr r="AX146" s="1"/>
        <tr r="AX146" s="1"/>
      </tp>
      <tp>
        <v>3</v>
        <stp/>
        <stp>OPEN_INT</stp>
        <stp>.NDX250516P19525</stp>
        <tr r="AV178" s="1"/>
        <tr r="AV178" s="1"/>
      </tp>
      <tp>
        <v>6</v>
        <stp/>
        <stp>OPEN_INT</stp>
        <stp>.NDX250516P20550</stp>
        <tr r="AV137" s="1"/>
        <tr r="AV137" s="1"/>
      </tp>
      <tp>
        <v>31</v>
        <stp/>
        <stp>OPEN_INT</stp>
        <stp>.NDX250620P19350</stp>
        <tr r="AX185" s="1"/>
        <tr r="AX185" s="1"/>
      </tp>
      <tp>
        <v>65</v>
        <stp/>
        <stp>OPEN_INT</stp>
        <stp>.NDX250620P20350</stp>
        <tr r="AX145" s="1"/>
        <tr r="AX145" s="1"/>
      </tp>
      <tp>
        <v>41</v>
        <stp/>
        <stp>OPEN_INT</stp>
        <stp>.NDX250516P19550</stp>
        <tr r="AV177" s="1"/>
        <tr r="AV177" s="1"/>
      </tp>
      <tp>
        <v>12</v>
        <stp/>
        <stp>OPEN_INT</stp>
        <stp>.NDX250620P19375</stp>
        <tr r="AX184" s="1"/>
        <tr r="AX184" s="1"/>
      </tp>
      <tp>
        <v>18</v>
        <stp/>
        <stp>OPEN_INT</stp>
        <stp>.NDX250620P20375</stp>
        <tr r="AX144" s="1"/>
        <tr r="AX144" s="1"/>
      </tp>
      <tp>
        <v>8</v>
        <stp/>
        <stp>OPEN_INT</stp>
        <stp>.NDX250516P19575</stp>
        <tr r="AV176" s="1"/>
        <tr r="AV176" s="1"/>
      </tp>
      <tp>
        <v>7</v>
        <stp/>
        <stp>OPEN_INT</stp>
        <stp>.NDX250516C20525</stp>
        <tr r="AU138" s="1"/>
        <tr r="AU138" s="1"/>
      </tp>
      <tp>
        <v>5</v>
        <stp/>
        <stp>OPEN_INT</stp>
        <stp>.NDX250620C19325</stp>
        <tr r="AW186" s="1"/>
        <tr r="AW186" s="1"/>
      </tp>
      <tp>
        <v>32</v>
        <stp/>
        <stp>OPEN_INT</stp>
        <stp>.NDX250620C20325</stp>
        <tr r="AW146" s="1"/>
        <tr r="AW146" s="1"/>
      </tp>
      <tp>
        <v>22</v>
        <stp/>
        <stp>OPEN_INT</stp>
        <stp>.NDX250516C19525</stp>
        <tr r="AU178" s="1"/>
        <tr r="AU178" s="1"/>
      </tp>
      <tp>
        <v>207</v>
        <stp/>
        <stp>OPEN_INT</stp>
        <stp>.NDX250516C20500</stp>
        <tr r="AU139" s="1"/>
        <tr r="AU139" s="1"/>
      </tp>
      <tp>
        <v>79</v>
        <stp/>
        <stp>OPEN_INT</stp>
        <stp>.NDX250620C19300</stp>
        <tr r="AW187" s="1"/>
        <tr r="AW187" s="1"/>
      </tp>
      <tp>
        <v>111</v>
        <stp/>
        <stp>OPEN_INT</stp>
        <stp>.NDX250620C20300</stp>
        <tr r="AW147" s="1"/>
        <tr r="AW147" s="1"/>
      </tp>
      <tp>
        <v>81</v>
        <stp/>
        <stp>OPEN_INT</stp>
        <stp>.NDX250516C19500</stp>
        <tr r="AU179" s="1"/>
        <tr r="AU179" s="1"/>
      </tp>
      <tp t="s">
        <v>--</v>
        <stp/>
        <stp>IMPL_VOL</stp>
        <stp>.SPY250509C549</stp>
        <tr r="EL37" s="1"/>
      </tp>
      <tp t="s">
        <v>--</v>
        <stp/>
        <stp>IMPL_VOL</stp>
        <stp>.SPY250516C556</stp>
        <tr r="EN30" s="1"/>
      </tp>
      <tp t="s">
        <v>185.91%</v>
        <stp/>
        <stp>IMPL_VOL</stp>
        <stp>.SPY250509P549</stp>
        <tr r="EM37" s="1"/>
      </tp>
      <tp t="s">
        <v>34.53%</v>
        <stp/>
        <stp>IMPL_VOL</stp>
        <stp>.SPY250516P556</stp>
        <tr r="EO30" s="1"/>
      </tp>
      <tp t="s">
        <v>--</v>
        <stp/>
        <stp>IMPL_VOL</stp>
        <stp>.SPY250509C548</stp>
        <tr r="EL38" s="1"/>
      </tp>
      <tp t="s">
        <v>--</v>
        <stp/>
        <stp>IMPL_VOL</stp>
        <stp>.SPY250516C557</stp>
        <tr r="EN29" s="1"/>
      </tp>
      <tp t="s">
        <v>193.59%</v>
        <stp/>
        <stp>IMPL_VOL</stp>
        <stp>.SPY250509P548</stp>
        <tr r="EM38" s="1"/>
      </tp>
      <tp t="s">
        <v>34.67%</v>
        <stp/>
        <stp>IMPL_VOL</stp>
        <stp>.SPY250516P557</stp>
        <tr r="EO29" s="1"/>
      </tp>
      <tp t="s">
        <v>--</v>
        <stp/>
        <stp>IMPL_VOL</stp>
        <stp>.SPY250516C554</stp>
        <tr r="EN32" s="1"/>
      </tp>
      <tp t="s">
        <v>34.36%</v>
        <stp/>
        <stp>IMPL_VOL</stp>
        <stp>.SPY250516P554</stp>
        <tr r="EO32" s="1"/>
      </tp>
      <tp t="s">
        <v>--</v>
        <stp/>
        <stp>IMPL_VOL</stp>
        <stp>.SPY250516C555</stp>
        <tr r="EN31" s="1"/>
      </tp>
      <tp t="s">
        <v>34.43%</v>
        <stp/>
        <stp>IMPL_VOL</stp>
        <stp>.SPY250516P555</stp>
        <tr r="EO31" s="1"/>
      </tp>
      <tp t="s">
        <v>--</v>
        <stp/>
        <stp>IMPL_VOL</stp>
        <stp>.SPY250516C552</stp>
        <tr r="EN34" s="1"/>
      </tp>
      <tp t="s">
        <v>34.19%</v>
        <stp/>
        <stp>IMPL_VOL</stp>
        <stp>.SPY250516P552</stp>
        <tr r="EO34" s="1"/>
      </tp>
      <tp t="s">
        <v>--</v>
        <stp/>
        <stp>IMPL_VOL</stp>
        <stp>.SPY250516C553</stp>
        <tr r="EN33" s="1"/>
      </tp>
      <tp t="s">
        <v>34.26%</v>
        <stp/>
        <stp>IMPL_VOL</stp>
        <stp>.SPY250516P553</stp>
        <tr r="EO33" s="1"/>
      </tp>
      <tp t="s">
        <v>--</v>
        <stp/>
        <stp>IMPL_VOL</stp>
        <stp>.SPY250516C550</stp>
        <tr r="EN36" s="1"/>
      </tp>
      <tp t="s">
        <v>34.15%</v>
        <stp/>
        <stp>IMPL_VOL</stp>
        <stp>.SPY250516P550</stp>
        <tr r="EO36" s="1"/>
      </tp>
      <tp t="s">
        <v>--</v>
        <stp/>
        <stp>IMPL_VOL</stp>
        <stp>.SPY250516C551</stp>
        <tr r="EN35" s="1"/>
      </tp>
      <tp t="s">
        <v>34.16%</v>
        <stp/>
        <stp>IMPL_VOL</stp>
        <stp>.SPY250516P551</stp>
        <tr r="EO35" s="1"/>
      </tp>
      <tp t="s">
        <v>--</v>
        <stp/>
        <stp>IMPL_VOL</stp>
        <stp>.SPY250516C558</stp>
        <tr r="EN28" s="1"/>
      </tp>
      <tp t="s">
        <v>34.81%</v>
        <stp/>
        <stp>IMPL_VOL</stp>
        <stp>.SPY250516P558</stp>
        <tr r="EO28" s="1"/>
      </tp>
      <tp t="s">
        <v>--</v>
        <stp/>
        <stp>IMPL_VOL</stp>
        <stp>.SPY250516C559</stp>
        <tr r="EN27" s="1"/>
      </tp>
      <tp t="s">
        <v>34.96%</v>
        <stp/>
        <stp>IMPL_VOL</stp>
        <stp>.SPY250516P559</stp>
        <tr r="EO27" s="1"/>
      </tp>
      <tp>
        <v>9</v>
        <stp/>
        <stp>OPEN_INT</stp>
        <stp>.NDX250620C19375</stp>
        <tr r="AW184" s="1"/>
        <tr r="AW184" s="1"/>
      </tp>
      <tp>
        <v>22</v>
        <stp/>
        <stp>OPEN_INT</stp>
        <stp>.NDX250620C20375</stp>
        <tr r="AW144" s="1"/>
        <tr r="AW144" s="1"/>
      </tp>
      <tp>
        <v>16</v>
        <stp/>
        <stp>OPEN_INT</stp>
        <stp>.NDX250516C19575</stp>
        <tr r="AU176" s="1"/>
        <tr r="AU176" s="1"/>
      </tp>
      <tp t="s">
        <v>--</v>
        <stp/>
        <stp>IMPL_VOL</stp>
        <stp>.SPY250509C559</stp>
        <tr r="EL27" s="1"/>
      </tp>
      <tp t="s">
        <v>108.20%</v>
        <stp/>
        <stp>IMPL_VOL</stp>
        <stp>.SPY250509P559</stp>
        <tr r="EM27" s="1"/>
      </tp>
      <tp t="s">
        <v>--</v>
        <stp/>
        <stp>IMPL_VOL</stp>
        <stp>.SPY250509C558</stp>
        <tr r="EL28" s="1"/>
      </tp>
      <tp t="s">
        <v>116.08%</v>
        <stp/>
        <stp>IMPL_VOL</stp>
        <stp>.SPY250509P558</stp>
        <tr r="EM28" s="1"/>
      </tp>
      <tp t="s">
        <v>--</v>
        <stp/>
        <stp>IMPL_VOL</stp>
        <stp>.SPY250509C551</stp>
        <tr r="EL35" s="1"/>
      </tp>
      <tp t="s">
        <v>170.53%</v>
        <stp/>
        <stp>IMPL_VOL</stp>
        <stp>.SPY250509P551</stp>
        <tr r="EM35" s="1"/>
      </tp>
      <tp t="s">
        <v>--</v>
        <stp/>
        <stp>IMPL_VOL</stp>
        <stp>.SPY250509C550</stp>
        <tr r="EL36" s="1"/>
      </tp>
      <tp t="s">
        <v>178.23%</v>
        <stp/>
        <stp>IMPL_VOL</stp>
        <stp>.SPY250509P550</stp>
        <tr r="EM36" s="1"/>
      </tp>
      <tp t="s">
        <v>--</v>
        <stp/>
        <stp>IMPL_VOL</stp>
        <stp>.SPY250509C553</stp>
        <tr r="EL33" s="1"/>
      </tp>
      <tp t="s">
        <v>155.08%</v>
        <stp/>
        <stp>IMPL_VOL</stp>
        <stp>.SPY250509P553</stp>
        <tr r="EM33" s="1"/>
      </tp>
      <tp t="s">
        <v>--</v>
        <stp/>
        <stp>IMPL_VOL</stp>
        <stp>.SPY250509C552</stp>
        <tr r="EL34" s="1"/>
      </tp>
      <tp t="s">
        <v>162.81%</v>
        <stp/>
        <stp>IMPL_VOL</stp>
        <stp>.SPY250509P552</stp>
        <tr r="EM34" s="1"/>
      </tp>
      <tp t="s">
        <v>--</v>
        <stp/>
        <stp>IMPL_VOL</stp>
        <stp>.SPY250509C555</stp>
        <tr r="EL31" s="1"/>
      </tp>
      <tp t="s">
        <v>139.56%</v>
        <stp/>
        <stp>IMPL_VOL</stp>
        <stp>.SPY250509P555</stp>
        <tr r="EM31" s="1"/>
      </tp>
      <tp t="s">
        <v>--</v>
        <stp/>
        <stp>IMPL_VOL</stp>
        <stp>.SPY250509C554</stp>
        <tr r="EL32" s="1"/>
      </tp>
      <tp t="s">
        <v>147.33%</v>
        <stp/>
        <stp>IMPL_VOL</stp>
        <stp>.SPY250509P554</stp>
        <tr r="EM32" s="1"/>
      </tp>
      <tp t="s">
        <v>--</v>
        <stp/>
        <stp>IMPL_VOL</stp>
        <stp>.SPY250509C557</stp>
        <tr r="EL29" s="1"/>
      </tp>
      <tp t="s">
        <v>--</v>
        <stp/>
        <stp>IMPL_VOL</stp>
        <stp>.SPY250516C548</stp>
        <tr r="EN38" s="1"/>
      </tp>
      <tp t="s">
        <v>123.94%</v>
        <stp/>
        <stp>IMPL_VOL</stp>
        <stp>.SPY250509P557</stp>
        <tr r="EM29" s="1"/>
      </tp>
      <tp t="s">
        <v>34.02%</v>
        <stp/>
        <stp>IMPL_VOL</stp>
        <stp>.SPY250516P548</stp>
        <tr r="EO38" s="1"/>
      </tp>
      <tp t="s">
        <v>--</v>
        <stp/>
        <stp>IMPL_VOL</stp>
        <stp>.SPY250509C556</stp>
        <tr r="EL30" s="1"/>
      </tp>
      <tp t="s">
        <v>--</v>
        <stp/>
        <stp>IMPL_VOL</stp>
        <stp>.SPY250516C549</stp>
        <tr r="EN37" s="1"/>
      </tp>
      <tp t="s">
        <v>131.76%</v>
        <stp/>
        <stp>IMPL_VOL</stp>
        <stp>.SPY250509P556</stp>
        <tr r="EM30" s="1"/>
      </tp>
      <tp t="s">
        <v>34.03%</v>
        <stp/>
        <stp>IMPL_VOL</stp>
        <stp>.SPY250516P549</stp>
        <tr r="EO37" s="1"/>
      </tp>
      <tp t="s">
        <v>--</v>
        <stp/>
        <stp>IMPL_VOL</stp>
        <stp>.SPY250509C569</stp>
        <tr r="EL17" s="1"/>
      </tp>
      <tp t="s">
        <v>14.16%</v>
        <stp/>
        <stp>IMPL_VOL</stp>
        <stp>.SPY250516C576</stp>
        <tr r="EN10" s="1"/>
      </tp>
      <tp t="s">
        <v>336.65%</v>
        <stp/>
        <stp>IMPL_VOL</stp>
        <stp>.SPY250509P569</stp>
        <tr r="EM17" s="1"/>
      </tp>
      <tp t="s">
        <v>41.66%</v>
        <stp/>
        <stp>IMPL_VOL</stp>
        <stp>.SPY250516P576</stp>
        <tr r="EO10" s="1"/>
      </tp>
      <tp t="s">
        <v>--</v>
        <stp/>
        <stp>IMPL_VOL</stp>
        <stp>.SPY250509C568</stp>
        <tr r="EL18" s="1"/>
      </tp>
      <tp t="s">
        <v>14.41%</v>
        <stp/>
        <stp>IMPL_VOL</stp>
        <stp>.SPY250516C577</stp>
        <tr r="EN9" s="1"/>
      </tp>
      <tp t="s">
        <v>303.29%</v>
        <stp/>
        <stp>IMPL_VOL</stp>
        <stp>.SPY250509P568</stp>
        <tr r="EM18" s="1"/>
      </tp>
      <tp t="s">
        <v>42.36%</v>
        <stp/>
        <stp>IMPL_VOL</stp>
        <stp>.SPY250516P577</stp>
        <tr r="EO9" s="1"/>
      </tp>
      <tp t="s">
        <v>13.52%</v>
        <stp/>
        <stp>IMPL_VOL</stp>
        <stp>.SPY250516C574</stp>
        <tr r="EN12" s="1"/>
      </tp>
      <tp t="s">
        <v>40.30%</v>
        <stp/>
        <stp>IMPL_VOL</stp>
        <stp>.SPY250516P574</stp>
        <tr r="EO12" s="1"/>
      </tp>
      <tp t="s">
        <v>13.86%</v>
        <stp/>
        <stp>IMPL_VOL</stp>
        <stp>.SPY250516C575</stp>
        <tr r="EN11" s="1"/>
      </tp>
      <tp t="s">
        <v>40.99%</v>
        <stp/>
        <stp>IMPL_VOL</stp>
        <stp>.SPY250516P575</stp>
        <tr r="EO11" s="1"/>
      </tp>
      <tp t="s">
        <v>12.70%</v>
        <stp/>
        <stp>IMPL_VOL</stp>
        <stp>.SPY250516C572</stp>
        <tr r="EN14" s="1"/>
      </tp>
      <tp t="s">
        <v>39.17%</v>
        <stp/>
        <stp>IMPL_VOL</stp>
        <stp>.SPY250516P572</stp>
        <tr r="EO14" s="1"/>
      </tp>
      <tp t="s">
        <v>13.15%</v>
        <stp/>
        <stp>IMPL_VOL</stp>
        <stp>.SPY250516C573</stp>
        <tr r="EN13" s="1"/>
      </tp>
      <tp t="s">
        <v>39.74%</v>
        <stp/>
        <stp>IMPL_VOL</stp>
        <stp>.SPY250516P573</stp>
        <tr r="EO13" s="1"/>
      </tp>
      <tp t="s">
        <v>11.53%</v>
        <stp/>
        <stp>IMPL_VOL</stp>
        <stp>.SPY250516C570</stp>
        <tr r="EN16" s="1"/>
      </tp>
      <tp t="s">
        <v>38.20%</v>
        <stp/>
        <stp>IMPL_VOL</stp>
        <stp>.SPY250516P570</stp>
        <tr r="EO16" s="1"/>
      </tp>
      <tp t="s">
        <v>12.18%</v>
        <stp/>
        <stp>IMPL_VOL</stp>
        <stp>.SPY250516C571</stp>
        <tr r="EN15" s="1"/>
      </tp>
      <tp t="s">
        <v>38.64%</v>
        <stp/>
        <stp>IMPL_VOL</stp>
        <stp>.SPY250516P571</stp>
        <tr r="EO15" s="1"/>
      </tp>
      <tp t="s">
        <v>--</v>
        <stp/>
        <stp>IMPL_VOL</stp>
        <stp>.SPY250509C561</stp>
        <tr r="EL25" s="1"/>
      </tp>
      <tp t="s">
        <v>92.30%</v>
        <stp/>
        <stp>IMPL_VOL</stp>
        <stp>.SPY250509P561</stp>
        <tr r="EM25" s="1"/>
      </tp>
      <tp t="s">
        <v>--</v>
        <stp/>
        <stp>IMPL_VOL</stp>
        <stp>.SPY250509C560</stp>
        <tr r="EL26" s="1"/>
      </tp>
      <tp t="s">
        <v>100.27%</v>
        <stp/>
        <stp>IMPL_VOL</stp>
        <stp>.SPY250509P560</stp>
        <tr r="EM26" s="1"/>
      </tp>
      <tp t="s">
        <v>--</v>
        <stp/>
        <stp>IMPL_VOL</stp>
        <stp>.SPY250509C563</stp>
        <tr r="EL23" s="1"/>
      </tp>
      <tp t="s">
        <v>76.20%</v>
        <stp/>
        <stp>IMPL_VOL</stp>
        <stp>.SPY250509P563</stp>
        <tr r="EM23" s="1"/>
      </tp>
      <tp t="s">
        <v>--</v>
        <stp/>
        <stp>IMPL_VOL</stp>
        <stp>.SPY250509C562</stp>
        <tr r="EL24" s="1"/>
      </tp>
      <tp t="s">
        <v>84.28%</v>
        <stp/>
        <stp>IMPL_VOL</stp>
        <stp>.SPY250509P562</stp>
        <tr r="EM24" s="1"/>
      </tp>
      <tp t="s">
        <v>--</v>
        <stp/>
        <stp>IMPL_VOL</stp>
        <stp>.SPY250509C565</stp>
        <tr r="EL21" s="1"/>
      </tp>
      <tp t="s">
        <v>155.57%</v>
        <stp/>
        <stp>IMPL_VOL</stp>
        <stp>.SPY250509P565</stp>
        <tr r="EM21" s="1"/>
      </tp>
      <tp t="s">
        <v>--</v>
        <stp/>
        <stp>IMPL_VOL</stp>
        <stp>.SPY250509C564</stp>
        <tr r="EL22" s="1"/>
      </tp>
      <tp t="s">
        <v>77.68%</v>
        <stp/>
        <stp>IMPL_VOL</stp>
        <stp>.SPY250509P564</stp>
        <tr r="EM22" s="1"/>
      </tp>
      <tp t="s">
        <v>--</v>
        <stp/>
        <stp>IMPL_VOL</stp>
        <stp>.SPY250509C567</stp>
        <tr r="EL19" s="1"/>
      </tp>
      <tp t="s">
        <v>14.63%</v>
        <stp/>
        <stp>IMPL_VOL</stp>
        <stp>.SPY250516C578</stp>
        <tr r="EN8" s="1"/>
      </tp>
      <tp t="s">
        <v>264.70%</v>
        <stp/>
        <stp>IMPL_VOL</stp>
        <stp>.SPY250509P567</stp>
        <tr r="EM19" s="1"/>
      </tp>
      <tp t="s">
        <v>43.17%</v>
        <stp/>
        <stp>IMPL_VOL</stp>
        <stp>.SPY250516P578</stp>
        <tr r="EO8" s="1"/>
      </tp>
      <tp t="s">
        <v>--</v>
        <stp/>
        <stp>IMPL_VOL</stp>
        <stp>.SPY250509C566</stp>
        <tr r="EL20" s="1"/>
      </tp>
      <tp t="s">
        <v>14.88%</v>
        <stp/>
        <stp>IMPL_VOL</stp>
        <stp>.SPY250516C579</stp>
        <tr r="EN7" s="1"/>
      </tp>
      <tp t="s">
        <v>219.49%</v>
        <stp/>
        <stp>IMPL_VOL</stp>
        <stp>.SPY250509P566</stp>
        <tr r="EM20" s="1"/>
      </tp>
      <tp t="s">
        <v>43.98%</v>
        <stp/>
        <stp>IMPL_VOL</stp>
        <stp>.SPY250516P579</stp>
        <tr r="EO7" s="1"/>
      </tp>
      <tp>
        <v>14</v>
        <stp/>
        <stp>OPEN_INT</stp>
        <stp>.NDX250516C20550</stp>
        <tr r="AU137" s="1"/>
        <tr r="AU137" s="1"/>
      </tp>
      <tp>
        <v>31</v>
        <stp/>
        <stp>OPEN_INT</stp>
        <stp>.NDX250620C19350</stp>
        <tr r="AW185" s="1"/>
        <tr r="AW185" s="1"/>
      </tp>
      <tp>
        <v>67</v>
        <stp/>
        <stp>OPEN_INT</stp>
        <stp>.NDX250620C20350</stp>
        <tr r="AW145" s="1"/>
        <tr r="AW145" s="1"/>
      </tp>
      <tp>
        <v>31</v>
        <stp/>
        <stp>OPEN_INT</stp>
        <stp>.NDX250516C19550</stp>
        <tr r="AU177" s="1"/>
        <tr r="AU177" s="1"/>
      </tp>
      <tp t="s">
        <v>68.11%</v>
        <stp/>
        <stp>IMPL_VOL</stp>
        <stp>.SPY250509C579</stp>
        <tr r="EL7" s="1"/>
      </tp>
      <tp t="s">
        <v>5.39%</v>
        <stp/>
        <stp>IMPL_VOL</stp>
        <stp>.SPY250516C566</stp>
        <tr r="EN20" s="1"/>
      </tp>
      <tp t="s">
        <v>608.13%</v>
        <stp/>
        <stp>IMPL_VOL</stp>
        <stp>.SPY250509P579</stp>
        <tr r="EM7" s="1"/>
      </tp>
      <tp t="s">
        <v>36.64%</v>
        <stp/>
        <stp>IMPL_VOL</stp>
        <stp>.SPY250516P566</stp>
        <tr r="EO20" s="1"/>
      </tp>
      <tp t="s">
        <v>60.10%</v>
        <stp/>
        <stp>IMPL_VOL</stp>
        <stp>.SPY250509C578</stp>
        <tr r="EL8" s="1"/>
      </tp>
      <tp t="s">
        <v>8.31%</v>
        <stp/>
        <stp>IMPL_VOL</stp>
        <stp>.SPY250516C567</stp>
        <tr r="EN19" s="1"/>
      </tp>
      <tp t="s">
        <v>585.08%</v>
        <stp/>
        <stp>IMPL_VOL</stp>
        <stp>.SPY250509P578</stp>
        <tr r="EM8" s="1"/>
      </tp>
      <tp t="s">
        <v>36.99%</v>
        <stp/>
        <stp>IMPL_VOL</stp>
        <stp>.SPY250516P567</stp>
        <tr r="EO19" s="1"/>
      </tp>
      <tp t="s">
        <v>--</v>
        <stp/>
        <stp>IMPL_VOL</stp>
        <stp>.SPY250516C564</stp>
        <tr r="EN22" s="1"/>
      </tp>
      <tp t="s">
        <v>36.04%</v>
        <stp/>
        <stp>IMPL_VOL</stp>
        <stp>.SPY250516P564</stp>
        <tr r="EO22" s="1"/>
      </tp>
      <tp t="s">
        <v>--</v>
        <stp/>
        <stp>IMPL_VOL</stp>
        <stp>.SPY250516C565</stp>
        <tr r="EN21" s="1"/>
      </tp>
      <tp t="s">
        <v>36.33%</v>
        <stp/>
        <stp>IMPL_VOL</stp>
        <stp>.SPY250516P565</stp>
        <tr r="EO21" s="1"/>
      </tp>
      <tp t="s">
        <v>--</v>
        <stp/>
        <stp>IMPL_VOL</stp>
        <stp>.SPY250516C562</stp>
        <tr r="EN24" s="1"/>
      </tp>
      <tp t="s">
        <v>35.55%</v>
        <stp/>
        <stp>IMPL_VOL</stp>
        <stp>.SPY250516P562</stp>
        <tr r="EO24" s="1"/>
      </tp>
      <tp t="s">
        <v>--</v>
        <stp/>
        <stp>IMPL_VOL</stp>
        <stp>.SPY250516C563</stp>
        <tr r="EN23" s="1"/>
      </tp>
      <tp t="s">
        <v>35.80%</v>
        <stp/>
        <stp>IMPL_VOL</stp>
        <stp>.SPY250516P563</stp>
        <tr r="EO23" s="1"/>
      </tp>
      <tp t="s">
        <v>--</v>
        <stp/>
        <stp>IMPL_VOL</stp>
        <stp>.SPY250516C560</stp>
        <tr r="EN26" s="1"/>
      </tp>
      <tp t="s">
        <v>35.15%</v>
        <stp/>
        <stp>IMPL_VOL</stp>
        <stp>.SPY250516P560</stp>
        <tr r="EO26" s="1"/>
      </tp>
      <tp t="s">
        <v>--</v>
        <stp/>
        <stp>IMPL_VOL</stp>
        <stp>.SPY250516C561</stp>
        <tr r="EN25" s="1"/>
      </tp>
      <tp t="s">
        <v>35.34%</v>
        <stp/>
        <stp>IMPL_VOL</stp>
        <stp>.SPY250516P561</stp>
        <tr r="EO25" s="1"/>
      </tp>
      <tp t="s">
        <v>--</v>
        <stp/>
        <stp>IMPL_VOL</stp>
        <stp>.SPY250509C571</stp>
        <tr r="EL15" s="1"/>
      </tp>
      <tp t="s">
        <v>396.77%</v>
        <stp/>
        <stp>IMPL_VOL</stp>
        <stp>.SPY250509P571</stp>
        <tr r="EM15" s="1"/>
      </tp>
      <tp t="s">
        <v>--</v>
        <stp/>
        <stp>IMPL_VOL</stp>
        <stp>.SPY250509C570</stp>
        <tr r="EL16" s="1"/>
      </tp>
      <tp t="s">
        <v>369.56%</v>
        <stp/>
        <stp>IMPL_VOL</stp>
        <stp>.SPY250509P570</stp>
        <tr r="EM16" s="1"/>
      </tp>
      <tp t="s">
        <v>17.28%</v>
        <stp/>
        <stp>IMPL_VOL</stp>
        <stp>.SPY250509C573</stp>
        <tr r="EL13" s="1"/>
      </tp>
      <tp t="s">
        <v>458.61%</v>
        <stp/>
        <stp>IMPL_VOL</stp>
        <stp>.SPY250509P573</stp>
        <tr r="EM13" s="1"/>
      </tp>
      <tp t="s">
        <v>7.35%</v>
        <stp/>
        <stp>IMPL_VOL</stp>
        <stp>.SPY250509C572</stp>
        <tr r="EL14" s="1"/>
      </tp>
      <tp t="s">
        <v>425.68%</v>
        <stp/>
        <stp>IMPL_VOL</stp>
        <stp>.SPY250509P572</stp>
        <tr r="EM14" s="1"/>
      </tp>
      <tp t="s">
        <v>35.18%</v>
        <stp/>
        <stp>IMPL_VOL</stp>
        <stp>.SPY250509C575</stp>
        <tr r="EL11" s="1"/>
      </tp>
      <tp t="s">
        <v>510.54%</v>
        <stp/>
        <stp>IMPL_VOL</stp>
        <stp>.SPY250509P575</stp>
        <tr r="EM11" s="1"/>
      </tp>
      <tp t="s">
        <v>26.42%</v>
        <stp/>
        <stp>IMPL_VOL</stp>
        <stp>.SPY250509C574</stp>
        <tr r="EL12" s="1"/>
      </tp>
      <tp t="s">
        <v>485.00%</v>
        <stp/>
        <stp>IMPL_VOL</stp>
        <stp>.SPY250509P574</stp>
        <tr r="EM12" s="1"/>
      </tp>
      <tp t="s">
        <v>51.96%</v>
        <stp/>
        <stp>IMPL_VOL</stp>
        <stp>.SPY250509C577</stp>
        <tr r="EL9" s="1"/>
      </tp>
      <tp t="s">
        <v>9.71%</v>
        <stp/>
        <stp>IMPL_VOL</stp>
        <stp>.SPY250516C568</stp>
        <tr r="EN18" s="1"/>
      </tp>
      <tp t="s">
        <v>560.94%</v>
        <stp/>
        <stp>IMPL_VOL</stp>
        <stp>.SPY250509P577</stp>
        <tr r="EM9" s="1"/>
      </tp>
      <tp t="s">
        <v>37.35%</v>
        <stp/>
        <stp>IMPL_VOL</stp>
        <stp>.SPY250516P568</stp>
        <tr r="EO18" s="1"/>
      </tp>
      <tp t="s">
        <v>43.66%</v>
        <stp/>
        <stp>IMPL_VOL</stp>
        <stp>.SPY250509C576</stp>
        <tr r="EL10" s="1"/>
      </tp>
      <tp t="s">
        <v>10.75%</v>
        <stp/>
        <stp>IMPL_VOL</stp>
        <stp>.SPY250516C569</stp>
        <tr r="EN17" s="1"/>
      </tp>
      <tp t="s">
        <v>535.33%</v>
        <stp/>
        <stp>IMPL_VOL</stp>
        <stp>.SPY250509P576</stp>
        <tr r="EM10" s="1"/>
      </tp>
      <tp t="s">
        <v>37.75%</v>
        <stp/>
        <stp>IMPL_VOL</stp>
        <stp>.SPY250516P569</stp>
        <tr r="EO17" s="1"/>
      </tp>
      <tp t="s">
        <v>83.81%</v>
        <stp/>
        <stp>IMPL_VOL</stp>
        <stp>.SPY250509C581</stp>
        <tr r="EL5" s="1"/>
      </tp>
      <tp t="s">
        <v>652.17%</v>
        <stp/>
        <stp>IMPL_VOL</stp>
        <stp>.SPY250509P581</stp>
        <tr r="EM5" s="1"/>
      </tp>
      <tp t="s">
        <v>76.01%</v>
        <stp/>
        <stp>IMPL_VOL</stp>
        <stp>.SPY250509C580</stp>
        <tr r="EL6" s="1"/>
      </tp>
      <tp t="s">
        <v>630.67%</v>
        <stp/>
        <stp>IMPL_VOL</stp>
        <stp>.SPY250509P580</stp>
        <tr r="EM6" s="1"/>
      </tp>
      <tp t="s">
        <v>91.54%</v>
        <stp/>
        <stp>IMPL_VOL</stp>
        <stp>.SPY250509C582</stp>
        <tr r="EL4" s="1"/>
      </tp>
      <tp t="s">
        <v>673.88%</v>
        <stp/>
        <stp>IMPL_VOL</stp>
        <stp>.SPY250509P582</stp>
        <tr r="EM4" s="1"/>
      </tp>
      <tp t="s">
        <v>15.41%</v>
        <stp/>
        <stp>IMPL_VOL</stp>
        <stp>.SPY250516C582</stp>
        <tr r="EN4" s="1"/>
      </tp>
      <tp t="s">
        <v>46.70%</v>
        <stp/>
        <stp>IMPL_VOL</stp>
        <stp>.SPY250516P582</stp>
        <tr r="EO4" s="1"/>
      </tp>
      <tp t="s">
        <v>15.04%</v>
        <stp/>
        <stp>IMPL_VOL</stp>
        <stp>.SPY250516C580</stp>
        <tr r="EN6" s="1"/>
      </tp>
      <tp t="s">
        <v>44.88%</v>
        <stp/>
        <stp>IMPL_VOL</stp>
        <stp>.SPY250516P580</stp>
        <tr r="EO6" s="1"/>
      </tp>
      <tp t="s">
        <v>15.25%</v>
        <stp/>
        <stp>IMPL_VOL</stp>
        <stp>.SPY250516C581</stp>
        <tr r="EN5" s="1"/>
      </tp>
      <tp t="s">
        <v>45.77%</v>
        <stp/>
        <stp>IMPL_VOL</stp>
        <stp>.SPY250516P581</stp>
        <tr r="EO5" s="1"/>
      </tp>
      <tp>
        <v>0</v>
        <stp/>
        <stp>BID</stp>
        <stp>.QQQ250509C502</stp>
        <tr r="DE45" s="1"/>
        <tr r="DE45" s="1"/>
      </tp>
      <tp>
        <v>13.88</v>
        <stp/>
        <stp>BID</stp>
        <stp>.QQQ250509P502</stp>
        <tr r="DF45" s="1"/>
        <tr r="DF45" s="1"/>
      </tp>
      <tp>
        <v>0</v>
        <stp/>
        <stp>BID</stp>
        <stp>.QQQ250509C501</stp>
        <tr r="DE46" s="1"/>
        <tr r="DE46" s="1"/>
      </tp>
      <tp>
        <v>12.88</v>
        <stp/>
        <stp>BID</stp>
        <stp>.QQQ250509P501</stp>
        <tr r="DF46" s="1"/>
        <tr r="DF46" s="1"/>
      </tp>
      <tp>
        <v>0</v>
        <stp/>
        <stp>BID</stp>
        <stp>.QQQ250509C500</stp>
        <tr r="DE47" s="1"/>
        <tr r="DE47" s="1"/>
      </tp>
      <tp>
        <v>11.88</v>
        <stp/>
        <stp>BID</stp>
        <stp>.QQQ250509P500</stp>
        <tr r="DF47" s="1"/>
        <tr r="DF47" s="1"/>
      </tp>
      <tp>
        <v>0.01</v>
        <stp/>
        <stp>ASK</stp>
        <stp>.QQQ250509C501</stp>
        <tr r="DC46" s="1"/>
        <tr r="DC46" s="1"/>
      </tp>
      <tp>
        <v>13.23</v>
        <stp/>
        <stp>ASK</stp>
        <stp>.QQQ250509P501</stp>
        <tr r="DD46" s="1"/>
        <tr r="DD46" s="1"/>
      </tp>
      <tp>
        <v>0.01</v>
        <stp/>
        <stp>ASK</stp>
        <stp>.QQQ250509C500</stp>
        <tr r="DC47" s="1"/>
        <tr r="DC47" s="1"/>
      </tp>
      <tp>
        <v>12.23</v>
        <stp/>
        <stp>ASK</stp>
        <stp>.QQQ250509P500</stp>
        <tr r="DD47" s="1"/>
        <tr r="DD47" s="1"/>
      </tp>
      <tp>
        <v>0.01</v>
        <stp/>
        <stp>ASK</stp>
        <stp>.QQQ250509C502</stp>
        <tr r="DC45" s="1"/>
        <tr r="DC45" s="1"/>
      </tp>
      <tp>
        <v>14.23</v>
        <stp/>
        <stp>ASK</stp>
        <stp>.QQQ250509P502</stp>
        <tr r="DD45" s="1"/>
        <tr r="DD45" s="1"/>
      </tp>
      <tp>
        <v>95</v>
        <stp/>
        <stp>OPEN_INT</stp>
        <stp>.NDX250516P20400</stp>
        <tr r="AV143" s="1"/>
        <tr r="AV143" s="1"/>
      </tp>
      <tp>
        <v>304</v>
        <stp/>
        <stp>OPEN_INT</stp>
        <stp>.NDX250620P20200</stp>
        <tr r="AX151" s="1"/>
        <tr r="AX151" s="1"/>
      </tp>
      <tp>
        <v>54</v>
        <stp/>
        <stp>OPEN_INT</stp>
        <stp>.NDX250516P19400</stp>
        <tr r="AV183" s="1"/>
        <tr r="AV183" s="1"/>
      </tp>
      <tp>
        <v>44</v>
        <stp/>
        <stp>OPEN_INT</stp>
        <stp>.NDX250516P20425</stp>
        <tr r="AV142" s="1"/>
        <tr r="AV142" s="1"/>
      </tp>
      <tp>
        <v>16</v>
        <stp/>
        <stp>OPEN_INT</stp>
        <stp>.NDX250620P20225</stp>
        <tr r="AX150" s="1"/>
        <tr r="AX150" s="1"/>
      </tp>
      <tp>
        <v>28</v>
        <stp/>
        <stp>OPEN_INT</stp>
        <stp>.NDX250516P19425</stp>
        <tr r="AV182" s="1"/>
        <tr r="AV182" s="1"/>
      </tp>
      <tp>
        <v>5</v>
        <stp/>
        <stp>OPEN_INT</stp>
        <stp>.NDX250516P20450</stp>
        <tr r="AV141" s="1"/>
        <tr r="AV141" s="1"/>
      </tp>
      <tp>
        <v>52</v>
        <stp/>
        <stp>OPEN_INT</stp>
        <stp>.NDX250620P19250</stp>
        <tr r="AX189" s="1"/>
        <tr r="AX189" s="1"/>
      </tp>
      <tp>
        <v>16</v>
        <stp/>
        <stp>OPEN_INT</stp>
        <stp>.NDX250620P20250</stp>
        <tr r="AX149" s="1"/>
        <tr r="AX149" s="1"/>
      </tp>
      <tp>
        <v>15</v>
        <stp/>
        <stp>OPEN_INT</stp>
        <stp>.NDX250516P19450</stp>
        <tr r="AV181" s="1"/>
        <tr r="AV181" s="1"/>
      </tp>
      <tp>
        <v>3</v>
        <stp/>
        <stp>OPEN_INT</stp>
        <stp>.NDX250516P20475</stp>
        <tr r="AV140" s="1"/>
        <tr r="AV140" s="1"/>
      </tp>
      <tp>
        <v>11</v>
        <stp/>
        <stp>OPEN_INT</stp>
        <stp>.NDX250620P19275</stp>
        <tr r="AX188" s="1"/>
        <tr r="AX188" s="1"/>
      </tp>
      <tp>
        <v>5</v>
        <stp/>
        <stp>OPEN_INT</stp>
        <stp>.NDX250620P20275</stp>
        <tr r="AX148" s="1"/>
        <tr r="AX148" s="1"/>
      </tp>
      <tp>
        <v>34</v>
        <stp/>
        <stp>OPEN_INT</stp>
        <stp>.NDX250516P19475</stp>
        <tr r="AV180" s="1"/>
        <tr r="AV180" s="1"/>
      </tp>
      <tp>
        <v>23</v>
        <stp/>
        <stp>OPEN_INT</stp>
        <stp>.NDX250516C20425</stp>
        <tr r="AU142" s="1"/>
        <tr r="AU142" s="1"/>
      </tp>
      <tp>
        <v>21</v>
        <stp/>
        <stp>OPEN_INT</stp>
        <stp>.NDX250620C20225</stp>
        <tr r="AW150" s="1"/>
        <tr r="AW150" s="1"/>
      </tp>
      <tp>
        <v>33</v>
        <stp/>
        <stp>OPEN_INT</stp>
        <stp>.NDX250516C19425</stp>
        <tr r="AU182" s="1"/>
        <tr r="AU182" s="1"/>
      </tp>
      <tp>
        <v>62</v>
        <stp/>
        <stp>OPEN_INT</stp>
        <stp>.NDX250516C20400</stp>
        <tr r="AU143" s="1"/>
        <tr r="AU143" s="1"/>
      </tp>
      <tp>
        <v>371</v>
        <stp/>
        <stp>OPEN_INT</stp>
        <stp>.NDX250620C20200</stp>
        <tr r="AW151" s="1"/>
        <tr r="AW151" s="1"/>
      </tp>
      <tp>
        <v>41</v>
        <stp/>
        <stp>OPEN_INT</stp>
        <stp>.NDX250516C19400</stp>
        <tr r="AU183" s="1"/>
        <tr r="AU183" s="1"/>
      </tp>
      <tp>
        <v>17</v>
        <stp/>
        <stp>OPEN_INT</stp>
        <stp>.NDX250516C20475</stp>
        <tr r="AU140" s="1"/>
        <tr r="AU140" s="1"/>
      </tp>
      <tp>
        <v>1</v>
        <stp/>
        <stp>OPEN_INT</stp>
        <stp>.NDX250620C19275</stp>
        <tr r="AW188" s="1"/>
        <tr r="AW188" s="1"/>
      </tp>
      <tp>
        <v>17</v>
        <stp/>
        <stp>OPEN_INT</stp>
        <stp>.NDX250620C20275</stp>
        <tr r="AW148" s="1"/>
        <tr r="AW148" s="1"/>
      </tp>
      <tp>
        <v>257</v>
        <stp/>
        <stp>OPEN_INT</stp>
        <stp>.NDX250516C19475</stp>
        <tr r="AU180" s="1"/>
        <tr r="AU180" s="1"/>
      </tp>
      <tp>
        <v>12</v>
        <stp/>
        <stp>OPEN_INT</stp>
        <stp>.NDX250516C20450</stp>
        <tr r="AU141" s="1"/>
        <tr r="AU141" s="1"/>
      </tp>
      <tp>
        <v>53</v>
        <stp/>
        <stp>OPEN_INT</stp>
        <stp>.NDX250620C19250</stp>
        <tr r="AW189" s="1"/>
        <tr r="AW189" s="1"/>
      </tp>
      <tp>
        <v>16</v>
        <stp/>
        <stp>OPEN_INT</stp>
        <stp>.NDX250620C20250</stp>
        <tr r="AW149" s="1"/>
        <tr r="AW149" s="1"/>
      </tp>
      <tp>
        <v>25</v>
        <stp/>
        <stp>OPEN_INT</stp>
        <stp>.NDX250516C19450</stp>
        <tr r="AU181" s="1"/>
        <tr r="AU181" s="1"/>
      </tp>
      <tp>
        <v>19.12</v>
        <stp/>
        <stp>ASK</stp>
        <stp>.QQQ250509C469</stp>
        <tr r="DC78" s="1"/>
        <tr r="DC78" s="1"/>
      </tp>
      <tp>
        <v>0.01</v>
        <stp/>
        <stp>ASK</stp>
        <stp>.QQQ250509P469</stp>
        <tr r="DD78" s="1"/>
        <tr r="DD78" s="1"/>
      </tp>
      <tp>
        <v>20.12</v>
        <stp/>
        <stp>ASK</stp>
        <stp>.QQQ250509C468</stp>
        <tr r="DC79" s="1"/>
        <tr r="DC79" s="1"/>
      </tp>
      <tp>
        <v>0.01</v>
        <stp/>
        <stp>ASK</stp>
        <stp>.QQQ250509P468</stp>
        <tr r="DD79" s="1"/>
        <tr r="DD79" s="1"/>
      </tp>
      <tp>
        <v>9.11</v>
        <stp/>
        <stp>ASK</stp>
        <stp>.QQQ250509C479</stp>
        <tr r="DC68" s="1"/>
        <tr r="DC68" s="1"/>
      </tp>
      <tp>
        <v>0.01</v>
        <stp/>
        <stp>ASK</stp>
        <stp>.QQQ250509P479</stp>
        <tr r="DD68" s="1"/>
        <tr r="DD68" s="1"/>
      </tp>
      <tp>
        <v>10.119999999999999</v>
        <stp/>
        <stp>ASK</stp>
        <stp>.QQQ250509C478</stp>
        <tr r="DC69" s="1"/>
        <tr r="DC69" s="1"/>
      </tp>
      <tp>
        <v>0.01</v>
        <stp/>
        <stp>ASK</stp>
        <stp>.QQQ250509P478</stp>
        <tr r="DD69" s="1"/>
        <tr r="DD69" s="1"/>
      </tp>
      <tp>
        <v>17.12</v>
        <stp/>
        <stp>ASK</stp>
        <stp>.QQQ250509C471</stp>
        <tr r="DC76" s="1"/>
        <tr r="DC76" s="1"/>
      </tp>
      <tp>
        <v>0.01</v>
        <stp/>
        <stp>ASK</stp>
        <stp>.QQQ250509P471</stp>
        <tr r="DD76" s="1"/>
        <tr r="DD76" s="1"/>
      </tp>
      <tp>
        <v>18.12</v>
        <stp/>
        <stp>ASK</stp>
        <stp>.QQQ250509C470</stp>
        <tr r="DC77" s="1"/>
        <tr r="DC77" s="1"/>
      </tp>
      <tp>
        <v>0.01</v>
        <stp/>
        <stp>ASK</stp>
        <stp>.QQQ250509P470</stp>
        <tr r="DD77" s="1"/>
        <tr r="DD77" s="1"/>
      </tp>
      <tp>
        <v>15.12</v>
        <stp/>
        <stp>ASK</stp>
        <stp>.QQQ250509C473</stp>
        <tr r="DC74" s="1"/>
        <tr r="DC74" s="1"/>
      </tp>
      <tp>
        <v>0.01</v>
        <stp/>
        <stp>ASK</stp>
        <stp>.QQQ250509P473</stp>
        <tr r="DD74" s="1"/>
        <tr r="DD74" s="1"/>
      </tp>
      <tp>
        <v>16.12</v>
        <stp/>
        <stp>ASK</stp>
        <stp>.QQQ250509C472</stp>
        <tr r="DC75" s="1"/>
        <tr r="DC75" s="1"/>
      </tp>
      <tp>
        <v>0.01</v>
        <stp/>
        <stp>ASK</stp>
        <stp>.QQQ250509P472</stp>
        <tr r="DD75" s="1"/>
        <tr r="DD75" s="1"/>
      </tp>
      <tp>
        <v>13.12</v>
        <stp/>
        <stp>ASK</stp>
        <stp>.QQQ250509C475</stp>
        <tr r="DC72" s="1"/>
        <tr r="DC72" s="1"/>
      </tp>
      <tp>
        <v>0.01</v>
        <stp/>
        <stp>ASK</stp>
        <stp>.QQQ250509P475</stp>
        <tr r="DD72" s="1"/>
        <tr r="DD72" s="1"/>
      </tp>
      <tp>
        <v>14.12</v>
        <stp/>
        <stp>ASK</stp>
        <stp>.QQQ250509C474</stp>
        <tr r="DC73" s="1"/>
        <tr r="DC73" s="1"/>
      </tp>
      <tp>
        <v>0.01</v>
        <stp/>
        <stp>ASK</stp>
        <stp>.QQQ250509P474</stp>
        <tr r="DD73" s="1"/>
        <tr r="DD73" s="1"/>
      </tp>
      <tp>
        <v>11.12</v>
        <stp/>
        <stp>ASK</stp>
        <stp>.QQQ250509C477</stp>
        <tr r="DC70" s="1"/>
        <tr r="DC70" s="1"/>
      </tp>
      <tp>
        <v>0.01</v>
        <stp/>
        <stp>ASK</stp>
        <stp>.QQQ250509P477</stp>
        <tr r="DD70" s="1"/>
        <tr r="DD70" s="1"/>
      </tp>
      <tp>
        <v>12.12</v>
        <stp/>
        <stp>ASK</stp>
        <stp>.QQQ250509C476</stp>
        <tr r="DC71" s="1"/>
        <tr r="DC71" s="1"/>
      </tp>
      <tp>
        <v>0.01</v>
        <stp/>
        <stp>ASK</stp>
        <stp>.QQQ250509P476</stp>
        <tr r="DD71" s="1"/>
        <tr r="DD71" s="1"/>
      </tp>
      <tp>
        <v>14.77</v>
        <stp/>
        <stp>BID</stp>
        <stp>.QQQ250509C473</stp>
        <tr r="DE74" s="1"/>
        <tr r="DE74" s="1"/>
      </tp>
      <tp>
        <v>0</v>
        <stp/>
        <stp>BID</stp>
        <stp>.QQQ250509P473</stp>
        <tr r="DF74" s="1"/>
        <tr r="DF74" s="1"/>
      </tp>
      <tp>
        <v>15.77</v>
        <stp/>
        <stp>BID</stp>
        <stp>.QQQ250509C472</stp>
        <tr r="DE75" s="1"/>
        <tr r="DE75" s="1"/>
      </tp>
      <tp>
        <v>0</v>
        <stp/>
        <stp>BID</stp>
        <stp>.QQQ250509P472</stp>
        <tr r="DF75" s="1"/>
        <tr r="DF75" s="1"/>
      </tp>
      <tp>
        <v>16.77</v>
        <stp/>
        <stp>BID</stp>
        <stp>.QQQ250509C471</stp>
        <tr r="DE76" s="1"/>
        <tr r="DE76" s="1"/>
      </tp>
      <tp>
        <v>0</v>
        <stp/>
        <stp>BID</stp>
        <stp>.QQQ250509P471</stp>
        <tr r="DF76" s="1"/>
        <tr r="DF76" s="1"/>
      </tp>
      <tp>
        <v>17.77</v>
        <stp/>
        <stp>BID</stp>
        <stp>.QQQ250509C470</stp>
        <tr r="DE77" s="1"/>
        <tr r="DE77" s="1"/>
      </tp>
      <tp>
        <v>0</v>
        <stp/>
        <stp>BID</stp>
        <stp>.QQQ250509P470</stp>
        <tr r="DF77" s="1"/>
        <tr r="DF77" s="1"/>
      </tp>
      <tp>
        <v>10.77</v>
        <stp/>
        <stp>BID</stp>
        <stp>.QQQ250509C477</stp>
        <tr r="DE70" s="1"/>
        <tr r="DE70" s="1"/>
      </tp>
      <tp>
        <v>0</v>
        <stp/>
        <stp>BID</stp>
        <stp>.QQQ250509P477</stp>
        <tr r="DF70" s="1"/>
        <tr r="DF70" s="1"/>
      </tp>
      <tp>
        <v>11.78</v>
        <stp/>
        <stp>BID</stp>
        <stp>.QQQ250509C476</stp>
        <tr r="DE71" s="1"/>
        <tr r="DE71" s="1"/>
      </tp>
      <tp>
        <v>0</v>
        <stp/>
        <stp>BID</stp>
        <stp>.QQQ250509P476</stp>
        <tr r="DF71" s="1"/>
        <tr r="DF71" s="1"/>
      </tp>
      <tp>
        <v>12.78</v>
        <stp/>
        <stp>BID</stp>
        <stp>.QQQ250509C475</stp>
        <tr r="DE72" s="1"/>
        <tr r="DE72" s="1"/>
      </tp>
      <tp>
        <v>0</v>
        <stp/>
        <stp>BID</stp>
        <stp>.QQQ250509P475</stp>
        <tr r="DF72" s="1"/>
        <tr r="DF72" s="1"/>
      </tp>
      <tp>
        <v>13.77</v>
        <stp/>
        <stp>BID</stp>
        <stp>.QQQ250509C474</stp>
        <tr r="DE73" s="1"/>
        <tr r="DE73" s="1"/>
      </tp>
      <tp>
        <v>0</v>
        <stp/>
        <stp>BID</stp>
        <stp>.QQQ250509P474</stp>
        <tr r="DF73" s="1"/>
        <tr r="DF73" s="1"/>
      </tp>
      <tp>
        <v>8.77</v>
        <stp/>
        <stp>BID</stp>
        <stp>.QQQ250509C479</stp>
        <tr r="DE68" s="1"/>
        <tr r="DE68" s="1"/>
      </tp>
      <tp>
        <v>0</v>
        <stp/>
        <stp>BID</stp>
        <stp>.QQQ250509P479</stp>
        <tr r="DF68" s="1"/>
        <tr r="DF68" s="1"/>
      </tp>
      <tp>
        <v>9.7799999999999994</v>
        <stp/>
        <stp>BID</stp>
        <stp>.QQQ250509C478</stp>
        <tr r="DE69" s="1"/>
        <tr r="DE69" s="1"/>
      </tp>
      <tp>
        <v>0</v>
        <stp/>
        <stp>BID</stp>
        <stp>.QQQ250509P478</stp>
        <tr r="DF69" s="1"/>
        <tr r="DF69" s="1"/>
      </tp>
      <tp>
        <v>18.77</v>
        <stp/>
        <stp>BID</stp>
        <stp>.QQQ250509C469</stp>
        <tr r="DE78" s="1"/>
        <tr r="DE78" s="1"/>
      </tp>
      <tp>
        <v>0</v>
        <stp/>
        <stp>BID</stp>
        <stp>.QQQ250509P469</stp>
        <tr r="DF78" s="1"/>
        <tr r="DF78" s="1"/>
      </tp>
      <tp>
        <v>19.77</v>
        <stp/>
        <stp>BID</stp>
        <stp>.QQQ250509C468</stp>
        <tr r="DE79" s="1"/>
        <tr r="DE79" s="1"/>
      </tp>
      <tp>
        <v>0</v>
        <stp/>
        <stp>BID</stp>
        <stp>.QQQ250509P468</stp>
        <tr r="DF79" s="1"/>
        <tr r="DF79" s="1"/>
      </tp>
      <tp>
        <v>0</v>
        <stp/>
        <stp>BID</stp>
        <stp>.QQQ250509C493</stp>
        <tr r="DE54" s="1"/>
        <tr r="DE54" s="1"/>
      </tp>
      <tp>
        <v>4.88</v>
        <stp/>
        <stp>BID</stp>
        <stp>.QQQ250509P493</stp>
        <tr r="DF54" s="1"/>
        <tr r="DF54" s="1"/>
      </tp>
      <tp>
        <v>0</v>
        <stp/>
        <stp>BID</stp>
        <stp>.QQQ250509C492</stp>
        <tr r="DE55" s="1"/>
        <tr r="DE55" s="1"/>
      </tp>
      <tp>
        <v>3.87</v>
        <stp/>
        <stp>BID</stp>
        <stp>.QQQ250509P492</stp>
        <tr r="DF55" s="1"/>
        <tr r="DF55" s="1"/>
      </tp>
      <tp>
        <v>0</v>
        <stp/>
        <stp>BID</stp>
        <stp>.QQQ250509C491</stp>
        <tr r="DE56" s="1"/>
        <tr r="DE56" s="1"/>
      </tp>
      <tp>
        <v>2</v>
        <stp/>
        <stp>BID</stp>
        <stp>.QQQ250509P491</stp>
        <tr r="DF56" s="1"/>
        <tr r="DF56" s="1"/>
      </tp>
      <tp>
        <v>0</v>
        <stp/>
        <stp>BID</stp>
        <stp>.QQQ250509C490</stp>
        <tr r="DE57" s="1"/>
        <tr r="DE57" s="1"/>
      </tp>
      <tp>
        <v>1</v>
        <stp/>
        <stp>BID</stp>
        <stp>.QQQ250509P490</stp>
        <tr r="DF57" s="1"/>
        <tr r="DF57" s="1"/>
      </tp>
      <tp>
        <v>0</v>
        <stp/>
        <stp>BID</stp>
        <stp>.QQQ250509C497</stp>
        <tr r="DE50" s="1"/>
        <tr r="DE50" s="1"/>
      </tp>
      <tp>
        <v>8.8800000000000008</v>
        <stp/>
        <stp>BID</stp>
        <stp>.QQQ250509P497</stp>
        <tr r="DF50" s="1"/>
        <tr r="DF50" s="1"/>
      </tp>
      <tp>
        <v>0</v>
        <stp/>
        <stp>BID</stp>
        <stp>.QQQ250509C496</stp>
        <tr r="DE51" s="1"/>
        <tr r="DE51" s="1"/>
      </tp>
      <tp>
        <v>7.88</v>
        <stp/>
        <stp>BID</stp>
        <stp>.QQQ250509P496</stp>
        <tr r="DF51" s="1"/>
        <tr r="DF51" s="1"/>
      </tp>
      <tp>
        <v>0</v>
        <stp/>
        <stp>BID</stp>
        <stp>.QQQ250509C495</stp>
        <tr r="DE52" s="1"/>
        <tr r="DE52" s="1"/>
      </tp>
      <tp>
        <v>6.88</v>
        <stp/>
        <stp>BID</stp>
        <stp>.QQQ250509P495</stp>
        <tr r="DF52" s="1"/>
        <tr r="DF52" s="1"/>
      </tp>
      <tp>
        <v>0</v>
        <stp/>
        <stp>BID</stp>
        <stp>.QQQ250509C494</stp>
        <tr r="DE53" s="1"/>
        <tr r="DE53" s="1"/>
      </tp>
      <tp>
        <v>5.88</v>
        <stp/>
        <stp>BID</stp>
        <stp>.QQQ250509P494</stp>
        <tr r="DF53" s="1"/>
        <tr r="DF53" s="1"/>
      </tp>
      <tp>
        <v>0</v>
        <stp/>
        <stp>BID</stp>
        <stp>.QQQ250509C499</stp>
        <tr r="DE48" s="1"/>
        <tr r="DE48" s="1"/>
      </tp>
      <tp>
        <v>10.88</v>
        <stp/>
        <stp>BID</stp>
        <stp>.QQQ250509P499</stp>
        <tr r="DF48" s="1"/>
        <tr r="DF48" s="1"/>
      </tp>
      <tp>
        <v>0</v>
        <stp/>
        <stp>BID</stp>
        <stp>.QQQ250509C498</stp>
        <tr r="DE49" s="1"/>
        <tr r="DE49" s="1"/>
      </tp>
      <tp>
        <v>9.8800000000000008</v>
        <stp/>
        <stp>BID</stp>
        <stp>.QQQ250509P498</stp>
        <tr r="DF49" s="1"/>
        <tr r="DF49" s="1"/>
      </tp>
      <tp>
        <v>4.78</v>
        <stp/>
        <stp>BID</stp>
        <stp>.QQQ250509C483</stp>
        <tr r="DE64" s="1"/>
        <tr r="DE64" s="1"/>
      </tp>
      <tp>
        <v>0</v>
        <stp/>
        <stp>BID</stp>
        <stp>.QQQ250509P483</stp>
        <tr r="DF64" s="1"/>
        <tr r="DF64" s="1"/>
      </tp>
      <tp>
        <v>5.78</v>
        <stp/>
        <stp>BID</stp>
        <stp>.QQQ250509C482</stp>
        <tr r="DE65" s="1"/>
        <tr r="DE65" s="1"/>
      </tp>
      <tp>
        <v>0</v>
        <stp/>
        <stp>BID</stp>
        <stp>.QQQ250509P482</stp>
        <tr r="DF65" s="1"/>
        <tr r="DF65" s="1"/>
      </tp>
      <tp>
        <v>6.78</v>
        <stp/>
        <stp>BID</stp>
        <stp>.QQQ250509C481</stp>
        <tr r="DE66" s="1"/>
        <tr r="DE66" s="1"/>
      </tp>
      <tp>
        <v>0</v>
        <stp/>
        <stp>BID</stp>
        <stp>.QQQ250509P481</stp>
        <tr r="DF66" s="1"/>
        <tr r="DF66" s="1"/>
      </tp>
      <tp>
        <v>7.78</v>
        <stp/>
        <stp>BID</stp>
        <stp>.QQQ250509C480</stp>
        <tr r="DE67" s="1"/>
        <tr r="DE67" s="1"/>
      </tp>
      <tp>
        <v>0</v>
        <stp/>
        <stp>BID</stp>
        <stp>.QQQ250509P480</stp>
        <tr r="DF67" s="1"/>
        <tr r="DF67" s="1"/>
      </tp>
      <tp>
        <v>0.81</v>
        <stp/>
        <stp>BID</stp>
        <stp>.QQQ250509C487</stp>
        <tr r="DE60" s="1"/>
        <tr r="DE60" s="1"/>
      </tp>
      <tp>
        <v>0.01</v>
        <stp/>
        <stp>BID</stp>
        <stp>.QQQ250509P487</stp>
        <tr r="DF60" s="1"/>
        <tr r="DF60" s="1"/>
      </tp>
      <tp>
        <v>0.7</v>
        <stp/>
        <stp>BID</stp>
        <stp>.QQQ250509C486</stp>
        <tr r="DE61" s="1"/>
        <tr r="DE61" s="1"/>
      </tp>
      <tp>
        <v>0</v>
        <stp/>
        <stp>BID</stp>
        <stp>.QQQ250509P486</stp>
        <tr r="DF61" s="1"/>
        <tr r="DF61" s="1"/>
      </tp>
      <tp>
        <v>2.77</v>
        <stp/>
        <stp>BID</stp>
        <stp>.QQQ250509C485</stp>
        <tr r="DE62" s="1"/>
        <tr r="DE62" s="1"/>
      </tp>
      <tp>
        <v>0</v>
        <stp/>
        <stp>BID</stp>
        <stp>.QQQ250509P485</stp>
        <tr r="DF62" s="1"/>
        <tr r="DF62" s="1"/>
      </tp>
      <tp>
        <v>3.77</v>
        <stp/>
        <stp>BID</stp>
        <stp>.QQQ250509C484</stp>
        <tr r="DE63" s="1"/>
        <tr r="DE63" s="1"/>
      </tp>
      <tp>
        <v>0</v>
        <stp/>
        <stp>BID</stp>
        <stp>.QQQ250509P484</stp>
        <tr r="DF63" s="1"/>
        <tr r="DF63" s="1"/>
      </tp>
      <tp>
        <v>0</v>
        <stp/>
        <stp>BID</stp>
        <stp>.QQQ250509C489</stp>
        <tr r="DE58" s="1"/>
        <tr r="DE58" s="1"/>
      </tp>
      <tp>
        <v>0.98</v>
        <stp/>
        <stp>BID</stp>
        <stp>.QQQ250509P489</stp>
        <tr r="DF58" s="1"/>
        <tr r="DF58" s="1"/>
      </tp>
      <tp>
        <v>0.17</v>
        <stp/>
        <stp>BID</stp>
        <stp>.QQQ250509C488</stp>
        <tr r="DE59" s="1"/>
        <tr r="DE59" s="1"/>
      </tp>
      <tp>
        <v>0.21</v>
        <stp/>
        <stp>BID</stp>
        <stp>.QQQ250509P488</stp>
        <tr r="DF59" s="1"/>
        <tr r="DF59" s="1"/>
      </tp>
      <tp>
        <v>0.01</v>
        <stp/>
        <stp>ASK</stp>
        <stp>.QQQ250509C489</stp>
        <tr r="DC58" s="1"/>
        <tr r="DC58" s="1"/>
      </tp>
      <tp>
        <v>1.22</v>
        <stp/>
        <stp>ASK</stp>
        <stp>.QQQ250509P489</stp>
        <tr r="DD58" s="1"/>
        <tr r="DD58" s="1"/>
      </tp>
      <tp>
        <v>0.18</v>
        <stp/>
        <stp>ASK</stp>
        <stp>.QQQ250509C488</stp>
        <tr r="DC59" s="1"/>
        <tr r="DC59" s="1"/>
      </tp>
      <tp>
        <v>0.24</v>
        <stp/>
        <stp>ASK</stp>
        <stp>.QQQ250509P488</stp>
        <tr r="DD59" s="1"/>
        <tr r="DD59" s="1"/>
      </tp>
      <tp>
        <v>7.11</v>
        <stp/>
        <stp>ASK</stp>
        <stp>.QQQ250509C481</stp>
        <tr r="DC66" s="1"/>
        <tr r="DC66" s="1"/>
      </tp>
      <tp>
        <v>0.01</v>
        <stp/>
        <stp>ASK</stp>
        <stp>.QQQ250509P481</stp>
        <tr r="DD66" s="1"/>
        <tr r="DD66" s="1"/>
      </tp>
      <tp>
        <v>8.11</v>
        <stp/>
        <stp>ASK</stp>
        <stp>.QQQ250509C480</stp>
        <tr r="DC67" s="1"/>
        <tr r="DC67" s="1"/>
      </tp>
      <tp>
        <v>0.01</v>
        <stp/>
        <stp>ASK</stp>
        <stp>.QQQ250509P480</stp>
        <tr r="DD67" s="1"/>
        <tr r="DD67" s="1"/>
      </tp>
      <tp>
        <v>5.0999999999999996</v>
        <stp/>
        <stp>ASK</stp>
        <stp>.QQQ250509C483</stp>
        <tr r="DC64" s="1"/>
        <tr r="DC64" s="1"/>
      </tp>
      <tp>
        <v>0.01</v>
        <stp/>
        <stp>ASK</stp>
        <stp>.QQQ250509P483</stp>
        <tr r="DD64" s="1"/>
        <tr r="DD64" s="1"/>
      </tp>
      <tp>
        <v>6.11</v>
        <stp/>
        <stp>ASK</stp>
        <stp>.QQQ250509C482</stp>
        <tr r="DC65" s="1"/>
        <tr r="DC65" s="1"/>
      </tp>
      <tp>
        <v>0.01</v>
        <stp/>
        <stp>ASK</stp>
        <stp>.QQQ250509P482</stp>
        <tr r="DD65" s="1"/>
        <tr r="DD65" s="1"/>
      </tp>
      <tp>
        <v>3.12</v>
        <stp/>
        <stp>ASK</stp>
        <stp>.QQQ250509C485</stp>
        <tr r="DC62" s="1"/>
        <tr r="DC62" s="1"/>
      </tp>
      <tp>
        <v>0.01</v>
        <stp/>
        <stp>ASK</stp>
        <stp>.QQQ250509P485</stp>
        <tr r="DD62" s="1"/>
        <tr r="DD62" s="1"/>
      </tp>
      <tp>
        <v>4.0999999999999996</v>
        <stp/>
        <stp>ASK</stp>
        <stp>.QQQ250509C484</stp>
        <tr r="DC63" s="1"/>
        <tr r="DC63" s="1"/>
      </tp>
      <tp>
        <v>0.01</v>
        <stp/>
        <stp>ASK</stp>
        <stp>.QQQ250509P484</stp>
        <tr r="DD63" s="1"/>
        <tr r="DD63" s="1"/>
      </tp>
      <tp>
        <v>1</v>
        <stp/>
        <stp>ASK</stp>
        <stp>.QQQ250509C487</stp>
        <tr r="DC60" s="1"/>
        <tr r="DC60" s="1"/>
      </tp>
      <tp>
        <v>0.02</v>
        <stp/>
        <stp>ASK</stp>
        <stp>.QQQ250509P487</stp>
        <tr r="DD60" s="1"/>
        <tr r="DD60" s="1"/>
      </tp>
      <tp>
        <v>3.25</v>
        <stp/>
        <stp>ASK</stp>
        <stp>.QQQ250509C486</stp>
        <tr r="DC61" s="1"/>
        <tr r="DC61" s="1"/>
      </tp>
      <tp>
        <v>0.01</v>
        <stp/>
        <stp>ASK</stp>
        <stp>.QQQ250509P486</stp>
        <tr r="DD61" s="1"/>
        <tr r="DD61" s="1"/>
      </tp>
      <tp>
        <v>0.01</v>
        <stp/>
        <stp>ASK</stp>
        <stp>.QQQ250509C499</stp>
        <tr r="DC48" s="1"/>
        <tr r="DC48" s="1"/>
      </tp>
      <tp>
        <v>11.23</v>
        <stp/>
        <stp>ASK</stp>
        <stp>.QQQ250509P499</stp>
        <tr r="DD48" s="1"/>
        <tr r="DD48" s="1"/>
      </tp>
      <tp>
        <v>0.01</v>
        <stp/>
        <stp>ASK</stp>
        <stp>.QQQ250509C498</stp>
        <tr r="DC49" s="1"/>
        <tr r="DC49" s="1"/>
      </tp>
      <tp>
        <v>10.23</v>
        <stp/>
        <stp>ASK</stp>
        <stp>.QQQ250509P498</stp>
        <tr r="DD49" s="1"/>
        <tr r="DD49" s="1"/>
      </tp>
      <tp>
        <v>0.01</v>
        <stp/>
        <stp>ASK</stp>
        <stp>.QQQ250509C491</stp>
        <tr r="DC56" s="1"/>
        <tr r="DC56" s="1"/>
      </tp>
      <tp>
        <v>4.3</v>
        <stp/>
        <stp>ASK</stp>
        <stp>.QQQ250509P491</stp>
        <tr r="DD56" s="1"/>
        <tr r="DD56" s="1"/>
      </tp>
      <tp>
        <v>0.01</v>
        <stp/>
        <stp>ASK</stp>
        <stp>.QQQ250509C490</stp>
        <tr r="DC57" s="1"/>
        <tr r="DC57" s="1"/>
      </tp>
      <tp>
        <v>3.45</v>
        <stp/>
        <stp>ASK</stp>
        <stp>.QQQ250509P490</stp>
        <tr r="DD57" s="1"/>
        <tr r="DD57" s="1"/>
      </tp>
      <tp>
        <v>0.01</v>
        <stp/>
        <stp>ASK</stp>
        <stp>.QQQ250509C493</stp>
        <tr r="DC54" s="1"/>
        <tr r="DC54" s="1"/>
      </tp>
      <tp>
        <v>5.22</v>
        <stp/>
        <stp>ASK</stp>
        <stp>.QQQ250509P493</stp>
        <tr r="DD54" s="1"/>
        <tr r="DD54" s="1"/>
      </tp>
      <tp>
        <v>0.01</v>
        <stp/>
        <stp>ASK</stp>
        <stp>.QQQ250509C492</stp>
        <tr r="DC55" s="1"/>
        <tr r="DC55" s="1"/>
      </tp>
      <tp>
        <v>4.22</v>
        <stp/>
        <stp>ASK</stp>
        <stp>.QQQ250509P492</stp>
        <tr r="DD55" s="1"/>
        <tr r="DD55" s="1"/>
      </tp>
      <tp>
        <v>0.01</v>
        <stp/>
        <stp>ASK</stp>
        <stp>.QQQ250509C495</stp>
        <tr r="DC52" s="1"/>
        <tr r="DC52" s="1"/>
      </tp>
      <tp>
        <v>7.22</v>
        <stp/>
        <stp>ASK</stp>
        <stp>.QQQ250509P495</stp>
        <tr r="DD52" s="1"/>
        <tr r="DD52" s="1"/>
      </tp>
      <tp>
        <v>0.01</v>
        <stp/>
        <stp>ASK</stp>
        <stp>.QQQ250509C494</stp>
        <tr r="DC53" s="1"/>
        <tr r="DC53" s="1"/>
      </tp>
      <tp>
        <v>6.23</v>
        <stp/>
        <stp>ASK</stp>
        <stp>.QQQ250509P494</stp>
        <tr r="DD53" s="1"/>
        <tr r="DD53" s="1"/>
      </tp>
      <tp>
        <v>0.01</v>
        <stp/>
        <stp>ASK</stp>
        <stp>.QQQ250509C497</stp>
        <tr r="DC50" s="1"/>
        <tr r="DC50" s="1"/>
      </tp>
      <tp>
        <v>9.23</v>
        <stp/>
        <stp>ASK</stp>
        <stp>.QQQ250509P497</stp>
        <tr r="DD50" s="1"/>
        <tr r="DD50" s="1"/>
      </tp>
      <tp>
        <v>0.01</v>
        <stp/>
        <stp>ASK</stp>
        <stp>.QQQ250509C496</stp>
        <tr r="DC51" s="1"/>
        <tr r="DC51" s="1"/>
      </tp>
      <tp>
        <v>8.2200000000000006</v>
        <stp/>
        <stp>ASK</stp>
        <stp>.QQQ250509P496</stp>
        <tr r="DD51" s="1"/>
        <tr r="DD51" s="1"/>
      </tp>
      <tp>
        <v>25</v>
        <stp/>
        <stp>OPEN_INT</stp>
        <stp>.NDX250516P20300</stp>
        <tr r="AV147" s="1"/>
        <tr r="AV147" s="1"/>
      </tp>
      <tp>
        <v>1322</v>
        <stp/>
        <stp>OPEN_INT</stp>
        <stp>.NDX250620P19500</stp>
        <tr r="AX179" s="1"/>
        <tr r="AX179" s="1"/>
      </tp>
      <tp>
        <v>84</v>
        <stp/>
        <stp>OPEN_INT</stp>
        <stp>.NDX250620P20500</stp>
        <tr r="AX139" s="1"/>
        <tr r="AX139" s="1"/>
      </tp>
      <tp>
        <v>15</v>
        <stp/>
        <stp>OPEN_INT</stp>
        <stp>.NDX250516P19300</stp>
        <tr r="AV187" s="1"/>
        <tr r="AV187" s="1"/>
      </tp>
      <tp>
        <v>7</v>
        <stp/>
        <stp>OPEN_INT</stp>
        <stp>.NDX250516P20325</stp>
        <tr r="AV146" s="1"/>
        <tr r="AV146" s="1"/>
      </tp>
      <tp>
        <v>26</v>
        <stp/>
        <stp>OPEN_INT</stp>
        <stp>.NDX250620P19525</stp>
        <tr r="AX178" s="1"/>
        <tr r="AX178" s="1"/>
      </tp>
      <tp>
        <v>5</v>
        <stp/>
        <stp>OPEN_INT</stp>
        <stp>.NDX250620P20525</stp>
        <tr r="AX138" s="1"/>
        <tr r="AX138" s="1"/>
      </tp>
      <tp>
        <v>24</v>
        <stp/>
        <stp>OPEN_INT</stp>
        <stp>.NDX250516P19325</stp>
        <tr r="AV186" s="1"/>
        <tr r="AV186" s="1"/>
      </tp>
      <tp>
        <v>13</v>
        <stp/>
        <stp>OPEN_INT</stp>
        <stp>.NDX250516P20350</stp>
        <tr r="AV145" s="1"/>
        <tr r="AV145" s="1"/>
      </tp>
      <tp>
        <v>73</v>
        <stp/>
        <stp>OPEN_INT</stp>
        <stp>.NDX250620P19550</stp>
        <tr r="AX177" s="1"/>
        <tr r="AX177" s="1"/>
      </tp>
      <tp>
        <v>5</v>
        <stp/>
        <stp>OPEN_INT</stp>
        <stp>.NDX250620P20550</stp>
        <tr r="AX137" s="1"/>
        <tr r="AX137" s="1"/>
      </tp>
      <tp>
        <v>16</v>
        <stp/>
        <stp>OPEN_INT</stp>
        <stp>.NDX250516P19350</stp>
        <tr r="AV185" s="1"/>
        <tr r="AV185" s="1"/>
      </tp>
      <tp>
        <v>6</v>
        <stp/>
        <stp>OPEN_INT</stp>
        <stp>.NDX250516P20375</stp>
        <tr r="AV144" s="1"/>
        <tr r="AV144" s="1"/>
      </tp>
      <tp>
        <v>81</v>
        <stp/>
        <stp>OPEN_INT</stp>
        <stp>.NDX250620P19575</stp>
        <tr r="AX176" s="1"/>
        <tr r="AX176" s="1"/>
      </tp>
      <tp>
        <v>12</v>
        <stp/>
        <stp>OPEN_INT</stp>
        <stp>.NDX250516P19375</stp>
        <tr r="AV184" s="1"/>
        <tr r="AV184" s="1"/>
      </tp>
      <tp>
        <v>14</v>
        <stp/>
        <stp>OPEN_INT</stp>
        <stp>.NDX250516C20325</stp>
        <tr r="AU146" s="1"/>
        <tr r="AU146" s="1"/>
      </tp>
      <tp>
        <v>23</v>
        <stp/>
        <stp>OPEN_INT</stp>
        <stp>.NDX250620C19525</stp>
        <tr r="AW178" s="1"/>
        <tr r="AW178" s="1"/>
      </tp>
      <tp>
        <v>8</v>
        <stp/>
        <stp>OPEN_INT</stp>
        <stp>.NDX250620C20525</stp>
        <tr r="AW138" s="1"/>
        <tr r="AW138" s="1"/>
      </tp>
      <tp>
        <v>30</v>
        <stp/>
        <stp>OPEN_INT</stp>
        <stp>.NDX250516C19325</stp>
        <tr r="AU186" s="1"/>
        <tr r="AU186" s="1"/>
      </tp>
      <tp>
        <v>54</v>
        <stp/>
        <stp>OPEN_INT</stp>
        <stp>.NDX250516C20300</stp>
        <tr r="AU147" s="1"/>
        <tr r="AU147" s="1"/>
      </tp>
      <tp>
        <v>1063</v>
        <stp/>
        <stp>OPEN_INT</stp>
        <stp>.NDX250620C19500</stp>
        <tr r="AW179" s="1"/>
        <tr r="AW179" s="1"/>
      </tp>
      <tp>
        <v>322</v>
        <stp/>
        <stp>OPEN_INT</stp>
        <stp>.NDX250620C20500</stp>
        <tr r="AW139" s="1"/>
        <tr r="AW139" s="1"/>
      </tp>
      <tp>
        <v>69</v>
        <stp/>
        <stp>OPEN_INT</stp>
        <stp>.NDX250516C19300</stp>
        <tr r="AU187" s="1"/>
        <tr r="AU187" s="1"/>
      </tp>
      <tp>
        <v>809</v>
        <stp/>
        <stp>OPEN_INT</stp>
        <stp>.SPY250516P572</stp>
        <tr r="AV14" s="1"/>
        <tr r="AV14" s="1"/>
      </tp>
      <tp>
        <v>2830</v>
        <stp/>
        <stp>OPEN_INT</stp>
        <stp>.SPY250516C572</stp>
        <tr r="AU14" s="1"/>
        <tr r="AU14" s="1"/>
      </tp>
      <tp>
        <v>532</v>
        <stp/>
        <stp>OPEN_INT</stp>
        <stp>.SPY250516P573</stp>
        <tr r="AV13" s="1"/>
        <tr r="AV13" s="1"/>
      </tp>
      <tp>
        <v>3726</v>
        <stp/>
        <stp>OPEN_INT</stp>
        <stp>.SPY250516C573</stp>
        <tr r="AU13" s="1"/>
        <tr r="AU13" s="1"/>
      </tp>
      <tp>
        <v>16060</v>
        <stp/>
        <stp>OPEN_INT</stp>
        <stp>.SPY250516P570</stp>
        <tr r="AV16" s="1"/>
        <tr r="AV16" s="1"/>
      </tp>
      <tp>
        <v>21921</v>
        <stp/>
        <stp>OPEN_INT</stp>
        <stp>.SPY250516C570</stp>
        <tr r="AU16" s="1"/>
        <tr r="AU16" s="1"/>
      </tp>
      <tp>
        <v>871</v>
        <stp/>
        <stp>OPEN_INT</stp>
        <stp>.SPY250516P571</stp>
        <tr r="AV15" s="1"/>
        <tr r="AV15" s="1"/>
      </tp>
      <tp>
        <v>3097</v>
        <stp/>
        <stp>OPEN_INT</stp>
        <stp>.SPY250516C571</stp>
        <tr r="AU15" s="1"/>
        <tr r="AU15" s="1"/>
      </tp>
      <tp>
        <v>3665</v>
        <stp/>
        <stp>OPEN_INT</stp>
        <stp>.SPY250509P569</stp>
        <tr r="AT17" s="1"/>
        <tr r="AT17" s="1"/>
      </tp>
      <tp>
        <v>309</v>
        <stp/>
        <stp>OPEN_INT</stp>
        <stp>.SPY250516P576</stp>
        <tr r="AV10" s="1"/>
        <tr r="AV10" s="1"/>
      </tp>
      <tp>
        <v>8923</v>
        <stp/>
        <stp>OPEN_INT</stp>
        <stp>.SPY250509C569</stp>
        <tr r="AS17" s="1"/>
        <tr r="AS17" s="1"/>
      </tp>
      <tp>
        <v>4396</v>
        <stp/>
        <stp>OPEN_INT</stp>
        <stp>.SPY250516C576</stp>
        <tr r="AU10" s="1"/>
        <tr r="AU10" s="1"/>
      </tp>
      <tp>
        <v>4366</v>
        <stp/>
        <stp>OPEN_INT</stp>
        <stp>.SPY250509P568</stp>
        <tr r="AT18" s="1"/>
        <tr r="AT18" s="1"/>
      </tp>
      <tp>
        <v>38</v>
        <stp/>
        <stp>OPEN_INT</stp>
        <stp>.SPY250516P577</stp>
        <tr r="AV9" s="1"/>
        <tr r="AV9" s="1"/>
      </tp>
      <tp>
        <v>10091</v>
        <stp/>
        <stp>OPEN_INT</stp>
        <stp>.SPY250509C568</stp>
        <tr r="AS18" s="1"/>
        <tr r="AS18" s="1"/>
      </tp>
      <tp>
        <v>4664</v>
        <stp/>
        <stp>OPEN_INT</stp>
        <stp>.SPY250516C577</stp>
        <tr r="AU9" s="1"/>
        <tr r="AU9" s="1"/>
      </tp>
      <tp>
        <v>368</v>
        <stp/>
        <stp>OPEN_INT</stp>
        <stp>.SPY250516P574</stp>
        <tr r="AV12" s="1"/>
        <tr r="AV12" s="1"/>
      </tp>
      <tp>
        <v>2859</v>
        <stp/>
        <stp>OPEN_INT</stp>
        <stp>.SPY250516C574</stp>
        <tr r="AU12" s="1"/>
        <tr r="AU12" s="1"/>
      </tp>
      <tp>
        <v>2972</v>
        <stp/>
        <stp>OPEN_INT</stp>
        <stp>.SPY250516P575</stp>
        <tr r="AV11" s="1"/>
        <tr r="AV11" s="1"/>
      </tp>
      <tp>
        <v>48089</v>
        <stp/>
        <stp>OPEN_INT</stp>
        <stp>.SPY250516C575</stp>
        <tr r="AU11" s="1"/>
        <tr r="AU11" s="1"/>
      </tp>
      <tp>
        <v>11403</v>
        <stp/>
        <stp>OPEN_INT</stp>
        <stp>.SPY250509P565</stp>
        <tr r="AT21" s="1"/>
        <tr r="AT21" s="1"/>
      </tp>
      <tp>
        <v>8590</v>
        <stp/>
        <stp>OPEN_INT</stp>
        <stp>.SPY250509C565</stp>
        <tr r="AS21" s="1"/>
        <tr r="AS21" s="1"/>
      </tp>
      <tp>
        <v>5374</v>
        <stp/>
        <stp>OPEN_INT</stp>
        <stp>.SPY250509P564</stp>
        <tr r="AT22" s="1"/>
        <tr r="AT22" s="1"/>
      </tp>
      <tp>
        <v>4240</v>
        <stp/>
        <stp>OPEN_INT</stp>
        <stp>.SPY250509C564</stp>
        <tr r="AS22" s="1"/>
        <tr r="AS22" s="1"/>
      </tp>
      <tp>
        <v>2979</v>
        <stp/>
        <stp>OPEN_INT</stp>
        <stp>.SPY250509P567</stp>
        <tr r="AT19" s="1"/>
        <tr r="AT19" s="1"/>
      </tp>
      <tp>
        <v>295</v>
        <stp/>
        <stp>OPEN_INT</stp>
        <stp>.SPY250516P578</stp>
        <tr r="AV8" s="1"/>
        <tr r="AV8" s="1"/>
      </tp>
      <tp>
        <v>9415</v>
        <stp/>
        <stp>OPEN_INT</stp>
        <stp>.SPY250509C567</stp>
        <tr r="AS19" s="1"/>
        <tr r="AS19" s="1"/>
      </tp>
      <tp>
        <v>10374</v>
        <stp/>
        <stp>OPEN_INT</stp>
        <stp>.SPY250516C578</stp>
        <tr r="AU8" s="1"/>
        <tr r="AU8" s="1"/>
      </tp>
      <tp>
        <v>4830</v>
        <stp/>
        <stp>OPEN_INT</stp>
        <stp>.SPY250509P566</stp>
        <tr r="AT20" s="1"/>
        <tr r="AT20" s="1"/>
      </tp>
      <tp>
        <v>12</v>
        <stp/>
        <stp>OPEN_INT</stp>
        <stp>.SPY250516P579</stp>
        <tr r="AV7" s="1"/>
        <tr r="AV7" s="1"/>
      </tp>
      <tp>
        <v>8954</v>
        <stp/>
        <stp>OPEN_INT</stp>
        <stp>.SPY250509C566</stp>
        <tr r="AS20" s="1"/>
        <tr r="AS20" s="1"/>
      </tp>
      <tp>
        <v>4881</v>
        <stp/>
        <stp>OPEN_INT</stp>
        <stp>.SPY250516C579</stp>
        <tr r="AU7" s="1"/>
        <tr r="AU7" s="1"/>
      </tp>
      <tp>
        <v>4832</v>
        <stp/>
        <stp>OPEN_INT</stp>
        <stp>.SPY250509P561</stp>
        <tr r="AT25" s="1"/>
        <tr r="AT25" s="1"/>
      </tp>
      <tp>
        <v>2797</v>
        <stp/>
        <stp>OPEN_INT</stp>
        <stp>.SPY250509C561</stp>
        <tr r="AS25" s="1"/>
        <tr r="AS25" s="1"/>
      </tp>
      <tp>
        <v>15833</v>
        <stp/>
        <stp>OPEN_INT</stp>
        <stp>.SPY250509P560</stp>
        <tr r="AT26" s="1"/>
        <tr r="AT26" s="1"/>
      </tp>
      <tp>
        <v>8543</v>
        <stp/>
        <stp>OPEN_INT</stp>
        <stp>.SPY250509C560</stp>
        <tr r="AS26" s="1"/>
        <tr r="AS26" s="1"/>
      </tp>
      <tp>
        <v>6460</v>
        <stp/>
        <stp>OPEN_INT</stp>
        <stp>.SPY250509P563</stp>
        <tr r="AT23" s="1"/>
        <tr r="AT23" s="1"/>
      </tp>
      <tp>
        <v>3033</v>
        <stp/>
        <stp>OPEN_INT</stp>
        <stp>.SPY250509C563</stp>
        <tr r="AS23" s="1"/>
        <tr r="AS23" s="1"/>
      </tp>
      <tp>
        <v>7703</v>
        <stp/>
        <stp>OPEN_INT</stp>
        <stp>.SPY250509P562</stp>
        <tr r="AT24" s="1"/>
        <tr r="AT24" s="1"/>
      </tp>
      <tp>
        <v>3358</v>
        <stp/>
        <stp>OPEN_INT</stp>
        <stp>.SPY250509C562</stp>
        <tr r="AS24" s="1"/>
        <tr r="AS24" s="1"/>
      </tp>
      <tp>
        <v>16</v>
        <stp/>
        <stp>OPEN_INT</stp>
        <stp>.NDX250516C20375</stp>
        <tr r="AU144" s="1"/>
        <tr r="AU144" s="1"/>
      </tp>
      <tp>
        <v>73</v>
        <stp/>
        <stp>OPEN_INT</stp>
        <stp>.NDX250620C19575</stp>
        <tr r="AW176" s="1"/>
        <tr r="AW176" s="1"/>
      </tp>
      <tp>
        <v>18</v>
        <stp/>
        <stp>OPEN_INT</stp>
        <stp>.NDX250516C19375</stp>
        <tr r="AU184" s="1"/>
        <tr r="AU184" s="1"/>
      </tp>
      <tp>
        <v>3006</v>
        <stp/>
        <stp>OPEN_INT</stp>
        <stp>.SPY250516P562</stp>
        <tr r="AV24" s="1"/>
        <tr r="AV24" s="1"/>
      </tp>
      <tp>
        <v>5448</v>
        <stp/>
        <stp>OPEN_INT</stp>
        <stp>.SPY250516C562</stp>
        <tr r="AU24" s="1"/>
        <tr r="AU24" s="1"/>
      </tp>
      <tp>
        <v>2369</v>
        <stp/>
        <stp>OPEN_INT</stp>
        <stp>.SPY250516P563</stp>
        <tr r="AV23" s="1"/>
        <tr r="AV23" s="1"/>
      </tp>
      <tp>
        <v>4571</v>
        <stp/>
        <stp>OPEN_INT</stp>
        <stp>.SPY250516C563</stp>
        <tr r="AU23" s="1"/>
        <tr r="AU23" s="1"/>
      </tp>
      <tp>
        <v>33477</v>
        <stp/>
        <stp>OPEN_INT</stp>
        <stp>.SPY250516P560</stp>
        <tr r="AV26" s="1"/>
        <tr r="AV26" s="1"/>
      </tp>
      <tp>
        <v>11371</v>
        <stp/>
        <stp>OPEN_INT</stp>
        <stp>.SPY250516C560</stp>
        <tr r="AU26" s="1"/>
        <tr r="AU26" s="1"/>
      </tp>
      <tp>
        <v>1601</v>
        <stp/>
        <stp>OPEN_INT</stp>
        <stp>.SPY250516P561</stp>
        <tr r="AV25" s="1"/>
        <tr r="AV25" s="1"/>
      </tp>
      <tp>
        <v>2999</v>
        <stp/>
        <stp>OPEN_INT</stp>
        <stp>.SPY250516C561</stp>
        <tr r="AU25" s="1"/>
        <tr r="AU25" s="1"/>
      </tp>
      <tp>
        <v>9</v>
        <stp/>
        <stp>OPEN_INT</stp>
        <stp>.SPY250509P579</stp>
        <tr r="AT7" s="1"/>
        <tr r="AT7" s="1"/>
      </tp>
      <tp>
        <v>3770</v>
        <stp/>
        <stp>OPEN_INT</stp>
        <stp>.SPY250516P566</stp>
        <tr r="AV20" s="1"/>
        <tr r="AV20" s="1"/>
      </tp>
      <tp>
        <v>12052</v>
        <stp/>
        <stp>OPEN_INT</stp>
        <stp>.SPY250509C579</stp>
        <tr r="AS7" s="1"/>
        <tr r="AS7" s="1"/>
      </tp>
      <tp>
        <v>5539</v>
        <stp/>
        <stp>OPEN_INT</stp>
        <stp>.SPY250516C566</stp>
        <tr r="AU20" s="1"/>
        <tr r="AU20" s="1"/>
      </tp>
      <tp>
        <v>15</v>
        <stp/>
        <stp>OPEN_INT</stp>
        <stp>.SPY250509P578</stp>
        <tr r="AT8" s="1"/>
        <tr r="AT8" s="1"/>
      </tp>
      <tp>
        <v>3231</v>
        <stp/>
        <stp>OPEN_INT</stp>
        <stp>.SPY250516P567</stp>
        <tr r="AV19" s="1"/>
        <tr r="AV19" s="1"/>
      </tp>
      <tp>
        <v>4793</v>
        <stp/>
        <stp>OPEN_INT</stp>
        <stp>.SPY250509C578</stp>
        <tr r="AS8" s="1"/>
        <tr r="AS8" s="1"/>
      </tp>
      <tp>
        <v>4563</v>
        <stp/>
        <stp>OPEN_INT</stp>
        <stp>.SPY250516C567</stp>
        <tr r="AU19" s="1"/>
        <tr r="AU19" s="1"/>
      </tp>
      <tp>
        <v>2037</v>
        <stp/>
        <stp>OPEN_INT</stp>
        <stp>.SPY250516P564</stp>
        <tr r="AV22" s="1"/>
        <tr r="AV22" s="1"/>
      </tp>
      <tp>
        <v>3149</v>
        <stp/>
        <stp>OPEN_INT</stp>
        <stp>.SPY250516C564</stp>
        <tr r="AU22" s="1"/>
        <tr r="AU22" s="1"/>
      </tp>
      <tp>
        <v>12287</v>
        <stp/>
        <stp>OPEN_INT</stp>
        <stp>.SPY250516P565</stp>
        <tr r="AV21" s="1"/>
        <tr r="AV21" s="1"/>
      </tp>
      <tp>
        <v>18222</v>
        <stp/>
        <stp>OPEN_INT</stp>
        <stp>.SPY250516C565</stp>
        <tr r="AU21" s="1"/>
        <tr r="AU21" s="1"/>
      </tp>
      <tp>
        <v>129</v>
        <stp/>
        <stp>OPEN_INT</stp>
        <stp>.SPY250509P575</stp>
        <tr r="AT11" s="1"/>
        <tr r="AT11" s="1"/>
      </tp>
      <tp>
        <v>19915</v>
        <stp/>
        <stp>OPEN_INT</stp>
        <stp>.SPY250509C575</stp>
        <tr r="AS11" s="1"/>
        <tr r="AS11" s="1"/>
      </tp>
      <tp>
        <v>90</v>
        <stp/>
        <stp>OPEN_INT</stp>
        <stp>.SPY250509P574</stp>
        <tr r="AT12" s="1"/>
        <tr r="AT12" s="1"/>
      </tp>
      <tp>
        <v>4115</v>
        <stp/>
        <stp>OPEN_INT</stp>
        <stp>.SPY250509C574</stp>
        <tr r="AS12" s="1"/>
        <tr r="AS12" s="1"/>
      </tp>
      <tp>
        <v>10</v>
        <stp/>
        <stp>OPEN_INT</stp>
        <stp>.SPY250509P577</stp>
        <tr r="AT9" s="1"/>
        <tr r="AT9" s="1"/>
      </tp>
      <tp>
        <v>3296</v>
        <stp/>
        <stp>OPEN_INT</stp>
        <stp>.SPY250516P568</stp>
        <tr r="AV18" s="1"/>
        <tr r="AV18" s="1"/>
      </tp>
      <tp>
        <v>4796</v>
        <stp/>
        <stp>OPEN_INT</stp>
        <stp>.SPY250509C577</stp>
        <tr r="AS9" s="1"/>
        <tr r="AS9" s="1"/>
      </tp>
      <tp>
        <v>7460</v>
        <stp/>
        <stp>OPEN_INT</stp>
        <stp>.SPY250516C568</stp>
        <tr r="AU18" s="1"/>
        <tr r="AU18" s="1"/>
      </tp>
      <tp>
        <v>87</v>
        <stp/>
        <stp>OPEN_INT</stp>
        <stp>.SPY250509P576</stp>
        <tr r="AT10" s="1"/>
        <tr r="AT10" s="1"/>
      </tp>
      <tp>
        <v>2398</v>
        <stp/>
        <stp>OPEN_INT</stp>
        <stp>.SPY250516P569</stp>
        <tr r="AV17" s="1"/>
        <tr r="AV17" s="1"/>
      </tp>
      <tp>
        <v>4756</v>
        <stp/>
        <stp>OPEN_INT</stp>
        <stp>.SPY250509C576</stp>
        <tr r="AS10" s="1"/>
        <tr r="AS10" s="1"/>
      </tp>
      <tp>
        <v>3633</v>
        <stp/>
        <stp>OPEN_INT</stp>
        <stp>.SPY250516C569</stp>
        <tr r="AU17" s="1"/>
        <tr r="AU17" s="1"/>
      </tp>
      <tp>
        <v>1983</v>
        <stp/>
        <stp>OPEN_INT</stp>
        <stp>.SPY250509P571</stp>
        <tr r="AT15" s="1"/>
        <tr r="AT15" s="1"/>
      </tp>
      <tp>
        <v>8834</v>
        <stp/>
        <stp>OPEN_INT</stp>
        <stp>.SPY250509C571</stp>
        <tr r="AS15" s="1"/>
        <tr r="AS15" s="1"/>
      </tp>
      <tp>
        <v>4234</v>
        <stp/>
        <stp>OPEN_INT</stp>
        <stp>.SPY250509P570</stp>
        <tr r="AT16" s="1"/>
        <tr r="AT16" s="1"/>
      </tp>
      <tp>
        <v>19050</v>
        <stp/>
        <stp>OPEN_INT</stp>
        <stp>.SPY250509C570</stp>
        <tr r="AS16" s="1"/>
        <tr r="AS16" s="1"/>
      </tp>
      <tp>
        <v>205</v>
        <stp/>
        <stp>OPEN_INT</stp>
        <stp>.SPY250509P573</stp>
        <tr r="AT13" s="1"/>
        <tr r="AT13" s="1"/>
      </tp>
      <tp>
        <v>7342</v>
        <stp/>
        <stp>OPEN_INT</stp>
        <stp>.SPY250509C573</stp>
        <tr r="AS13" s="1"/>
        <tr r="AS13" s="1"/>
      </tp>
      <tp>
        <v>828</v>
        <stp/>
        <stp>OPEN_INT</stp>
        <stp>.SPY250509P572</stp>
        <tr r="AT14" s="1"/>
        <tr r="AT14" s="1"/>
      </tp>
      <tp>
        <v>13194</v>
        <stp/>
        <stp>OPEN_INT</stp>
        <stp>.SPY250509C572</stp>
        <tr r="AS14" s="1"/>
        <tr r="AS14" s="1"/>
      </tp>
      <tp>
        <v>3250</v>
        <stp/>
        <stp>OPEN_INT</stp>
        <stp>.SPY250516P552</stp>
        <tr r="AV34" s="1"/>
        <tr r="AV34" s="1"/>
      </tp>
      <tp>
        <v>1985</v>
        <stp/>
        <stp>OPEN_INT</stp>
        <stp>.SPY250516C552</stp>
        <tr r="AU34" s="1"/>
        <tr r="AU34" s="1"/>
      </tp>
      <tp>
        <v>1737</v>
        <stp/>
        <stp>OPEN_INT</stp>
        <stp>.SPY250516P553</stp>
        <tr r="AV33" s="1"/>
        <tr r="AV33" s="1"/>
      </tp>
      <tp>
        <v>2517</v>
        <stp/>
        <stp>OPEN_INT</stp>
        <stp>.SPY250516C553</stp>
        <tr r="AU33" s="1"/>
        <tr r="AU33" s="1"/>
      </tp>
      <tp>
        <v>68016</v>
        <stp/>
        <stp>OPEN_INT</stp>
        <stp>.SPY250516P550</stp>
        <tr r="AV36" s="1"/>
        <tr r="AV36" s="1"/>
      </tp>
      <tp>
        <v>25029</v>
        <stp/>
        <stp>OPEN_INT</stp>
        <stp>.SPY250516C550</stp>
        <tr r="AU36" s="1"/>
        <tr r="AU36" s="1"/>
      </tp>
      <tp>
        <v>2647</v>
        <stp/>
        <stp>OPEN_INT</stp>
        <stp>.SPY250516P551</stp>
        <tr r="AV35" s="1"/>
        <tr r="AV35" s="1"/>
      </tp>
      <tp>
        <v>7295</v>
        <stp/>
        <stp>OPEN_INT</stp>
        <stp>.SPY250516C551</stp>
        <tr r="AU35" s="1"/>
        <tr r="AU35" s="1"/>
      </tp>
      <tp>
        <v>5525</v>
        <stp/>
        <stp>OPEN_INT</stp>
        <stp>.SPY250509P549</stp>
        <tr r="AT37" s="1"/>
        <tr r="AT37" s="1"/>
      </tp>
      <tp>
        <v>1880</v>
        <stp/>
        <stp>OPEN_INT</stp>
        <stp>.SPY250516P556</stp>
        <tr r="AV30" s="1"/>
        <tr r="AV30" s="1"/>
      </tp>
      <tp>
        <v>763</v>
        <stp/>
        <stp>OPEN_INT</stp>
        <stp>.SPY250509C549</stp>
        <tr r="AS37" s="1"/>
        <tr r="AS37" s="1"/>
      </tp>
      <tp>
        <v>1594</v>
        <stp/>
        <stp>OPEN_INT</stp>
        <stp>.SPY250516C556</stp>
        <tr r="AU30" s="1"/>
        <tr r="AU30" s="1"/>
      </tp>
      <tp>
        <v>6469</v>
        <stp/>
        <stp>OPEN_INT</stp>
        <stp>.SPY250509P548</stp>
        <tr r="AT38" s="1"/>
        <tr r="AT38" s="1"/>
      </tp>
      <tp>
        <v>9672</v>
        <stp/>
        <stp>OPEN_INT</stp>
        <stp>.SPY250516P557</stp>
        <tr r="AV29" s="1"/>
        <tr r="AV29" s="1"/>
      </tp>
      <tp>
        <v>993</v>
        <stp/>
        <stp>OPEN_INT</stp>
        <stp>.SPY250509C548</stp>
        <tr r="AS38" s="1"/>
        <tr r="AS38" s="1"/>
      </tp>
      <tp>
        <v>2046</v>
        <stp/>
        <stp>OPEN_INT</stp>
        <stp>.SPY250516C557</stp>
        <tr r="AU29" s="1"/>
        <tr r="AU29" s="1"/>
      </tp>
      <tp>
        <v>2591</v>
        <stp/>
        <stp>OPEN_INT</stp>
        <stp>.SPY250516P554</stp>
        <tr r="AV32" s="1"/>
        <tr r="AV32" s="1"/>
      </tp>
      <tp>
        <v>2061</v>
        <stp/>
        <stp>OPEN_INT</stp>
        <stp>.SPY250516C554</stp>
        <tr r="AU32" s="1"/>
        <tr r="AU32" s="1"/>
      </tp>
      <tp>
        <v>66778</v>
        <stp/>
        <stp>OPEN_INT</stp>
        <stp>.SPY250516P555</stp>
        <tr r="AV31" s="1"/>
        <tr r="AV31" s="1"/>
      </tp>
      <tp>
        <v>9058</v>
        <stp/>
        <stp>OPEN_INT</stp>
        <stp>.SPY250516C555</stp>
        <tr r="AU31" s="1"/>
        <tr r="AU31" s="1"/>
      </tp>
      <tp>
        <v>4304</v>
        <stp/>
        <stp>OPEN_INT</stp>
        <stp>.SPY250516P558</stp>
        <tr r="AV28" s="1"/>
        <tr r="AV28" s="1"/>
      </tp>
      <tp>
        <v>11331</v>
        <stp/>
        <stp>OPEN_INT</stp>
        <stp>.SPY250516C558</stp>
        <tr r="AU28" s="1"/>
        <tr r="AU28" s="1"/>
      </tp>
      <tp>
        <v>2139</v>
        <stp/>
        <stp>OPEN_INT</stp>
        <stp>.SPY250516P559</stp>
        <tr r="AV27" s="1"/>
        <tr r="AV27" s="1"/>
      </tp>
      <tp>
        <v>3305</v>
        <stp/>
        <stp>OPEN_INT</stp>
        <stp>.SPY250516C559</stp>
        <tr r="AU27" s="1"/>
        <tr r="AU27" s="1"/>
      </tp>
      <tp>
        <v>22</v>
        <stp/>
        <stp>OPEN_INT</stp>
        <stp>.NDX250516C20350</stp>
        <tr r="AU145" s="1"/>
        <tr r="AU145" s="1"/>
      </tp>
      <tp>
        <v>72</v>
        <stp/>
        <stp>OPEN_INT</stp>
        <stp>.NDX250620C19550</stp>
        <tr r="AW177" s="1"/>
        <tr r="AW177" s="1"/>
      </tp>
      <tp>
        <v>20</v>
        <stp/>
        <stp>OPEN_INT</stp>
        <stp>.NDX250620C20550</stp>
        <tr r="AW137" s="1"/>
        <tr r="AW137" s="1"/>
      </tp>
      <tp>
        <v>31</v>
        <stp/>
        <stp>OPEN_INT</stp>
        <stp>.NDX250516C19350</stp>
        <tr r="AU185" s="1"/>
        <tr r="AU185" s="1"/>
      </tp>
      <tp>
        <v>4972</v>
        <stp/>
        <stp>OPEN_INT</stp>
        <stp>.SPY250509P559</stp>
        <tr r="AT27" s="1"/>
        <tr r="AT27" s="1"/>
      </tp>
      <tp>
        <v>4022</v>
        <stp/>
        <stp>OPEN_INT</stp>
        <stp>.SPY250509C559</stp>
        <tr r="AS27" s="1"/>
        <tr r="AS27" s="1"/>
      </tp>
      <tp>
        <v>7744</v>
        <stp/>
        <stp>OPEN_INT</stp>
        <stp>.SPY250509P558</stp>
        <tr r="AT28" s="1"/>
        <tr r="AT28" s="1"/>
      </tp>
      <tp>
        <v>1849</v>
        <stp/>
        <stp>OPEN_INT</stp>
        <stp>.SPY250509C558</stp>
        <tr r="AS28" s="1"/>
        <tr r="AS28" s="1"/>
      </tp>
      <tp>
        <v>19429</v>
        <stp/>
        <stp>OPEN_INT</stp>
        <stp>.SPY250509P555</stp>
        <tr r="AT31" s="1"/>
        <tr r="AT31" s="1"/>
      </tp>
      <tp>
        <v>9529</v>
        <stp/>
        <stp>OPEN_INT</stp>
        <stp>.SPY250509C555</stp>
        <tr r="AS31" s="1"/>
        <tr r="AS31" s="1"/>
      </tp>
      <tp>
        <v>8058</v>
        <stp/>
        <stp>OPEN_INT</stp>
        <stp>.SPY250509P554</stp>
        <tr r="AT32" s="1"/>
        <tr r="AT32" s="1"/>
      </tp>
      <tp>
        <v>762</v>
        <stp/>
        <stp>OPEN_INT</stp>
        <stp>.SPY250509C554</stp>
        <tr r="AS32" s="1"/>
        <tr r="AS32" s="1"/>
      </tp>
      <tp>
        <v>7454</v>
        <stp/>
        <stp>OPEN_INT</stp>
        <stp>.SPY250509P557</stp>
        <tr r="AT29" s="1"/>
        <tr r="AT29" s="1"/>
      </tp>
      <tp>
        <v>5862</v>
        <stp/>
        <stp>OPEN_INT</stp>
        <stp>.SPY250516P548</stp>
        <tr r="AV38" s="1"/>
        <tr r="AV38" s="1"/>
      </tp>
      <tp>
        <v>1121</v>
        <stp/>
        <stp>OPEN_INT</stp>
        <stp>.SPY250509C557</stp>
        <tr r="AS29" s="1"/>
        <tr r="AS29" s="1"/>
      </tp>
      <tp>
        <v>5696</v>
        <stp/>
        <stp>OPEN_INT</stp>
        <stp>.SPY250516C548</stp>
        <tr r="AU38" s="1"/>
        <tr r="AU38" s="1"/>
      </tp>
      <tp>
        <v>5676</v>
        <stp/>
        <stp>OPEN_INT</stp>
        <stp>.SPY250509P556</stp>
        <tr r="AT30" s="1"/>
        <tr r="AT30" s="1"/>
      </tp>
      <tp>
        <v>4909</v>
        <stp/>
        <stp>OPEN_INT</stp>
        <stp>.SPY250516P549</stp>
        <tr r="AV37" s="1"/>
        <tr r="AV37" s="1"/>
      </tp>
      <tp>
        <v>1662</v>
        <stp/>
        <stp>OPEN_INT</stp>
        <stp>.SPY250509C556</stp>
        <tr r="AS30" s="1"/>
        <tr r="AS30" s="1"/>
      </tp>
      <tp>
        <v>4403</v>
        <stp/>
        <stp>OPEN_INT</stp>
        <stp>.SPY250516C549</stp>
        <tr r="AU37" s="1"/>
        <tr r="AU37" s="1"/>
      </tp>
      <tp>
        <v>5176</v>
        <stp/>
        <stp>OPEN_INT</stp>
        <stp>.SPY250509P551</stp>
        <tr r="AT35" s="1"/>
        <tr r="AT35" s="1"/>
      </tp>
      <tp>
        <v>1137</v>
        <stp/>
        <stp>OPEN_INT</stp>
        <stp>.SPY250509C551</stp>
        <tr r="AS35" s="1"/>
        <tr r="AS35" s="1"/>
      </tp>
      <tp>
        <v>30439</v>
        <stp/>
        <stp>OPEN_INT</stp>
        <stp>.SPY250509P550</stp>
        <tr r="AT36" s="1"/>
        <tr r="AT36" s="1"/>
      </tp>
      <tp>
        <v>8580</v>
        <stp/>
        <stp>OPEN_INT</stp>
        <stp>.SPY250509C550</stp>
        <tr r="AS36" s="1"/>
        <tr r="AS36" s="1"/>
      </tp>
      <tp>
        <v>4373</v>
        <stp/>
        <stp>OPEN_INT</stp>
        <stp>.SPY250509P553</stp>
        <tr r="AT33" s="1"/>
        <tr r="AT33" s="1"/>
      </tp>
      <tp>
        <v>844</v>
        <stp/>
        <stp>OPEN_INT</stp>
        <stp>.SPY250509C553</stp>
        <tr r="AS33" s="1"/>
        <tr r="AS33" s="1"/>
      </tp>
      <tp>
        <v>10369</v>
        <stp/>
        <stp>OPEN_INT</stp>
        <stp>.SPY250509P552</stp>
        <tr r="AT34" s="1"/>
        <tr r="AT34" s="1"/>
      </tp>
      <tp>
        <v>544</v>
        <stp/>
        <stp>OPEN_INT</stp>
        <stp>.SPY250509C552</stp>
        <tr r="AS34" s="1"/>
        <tr r="AS34" s="1"/>
      </tp>
      <tp>
        <v>25</v>
        <stp/>
        <stp>OPEN_INT</stp>
        <stp>.SPY250509P581</stp>
        <tr r="AT5" s="1"/>
        <tr r="AT5" s="1"/>
      </tp>
      <tp>
        <v>3016</v>
        <stp/>
        <stp>OPEN_INT</stp>
        <stp>.SPY250509C581</stp>
        <tr r="AS5" s="1"/>
        <tr r="AS5" s="1"/>
      </tp>
      <tp>
        <v>138</v>
        <stp/>
        <stp>OPEN_INT</stp>
        <stp>.SPY250509P580</stp>
        <tr r="AT6" s="1"/>
        <tr r="AT6" s="1"/>
      </tp>
      <tp>
        <v>19175</v>
        <stp/>
        <stp>OPEN_INT</stp>
        <stp>.SPY250509C580</stp>
        <tr r="AS6" s="1"/>
        <tr r="AS6" s="1"/>
      </tp>
      <tp>
        <v>17</v>
        <stp/>
        <stp>OPEN_INT</stp>
        <stp>.SPY250509P582</stp>
        <tr r="AT4" s="1"/>
        <tr r="AT4" s="1"/>
      </tp>
      <tp>
        <v>5262</v>
        <stp/>
        <stp>OPEN_INT</stp>
        <stp>.SPY250509C582</stp>
        <tr r="AS4" s="1"/>
        <tr r="AS4" s="1"/>
      </tp>
      <tp>
        <v>2</v>
        <stp/>
        <stp>OPEN_INT</stp>
        <stp>.SPY250516P582</stp>
        <tr r="AV4" s="1"/>
        <tr r="AV4" s="1"/>
      </tp>
      <tp>
        <v>3822</v>
        <stp/>
        <stp>OPEN_INT</stp>
        <stp>.SPY250516C582</stp>
        <tr r="AU4" s="1"/>
        <tr r="AU4" s="1"/>
      </tp>
      <tp>
        <v>1631</v>
        <stp/>
        <stp>OPEN_INT</stp>
        <stp>.SPY250516P580</stp>
        <tr r="AV6" s="1"/>
        <tr r="AV6" s="1"/>
      </tp>
      <tp>
        <v>30852</v>
        <stp/>
        <stp>OPEN_INT</stp>
        <stp>.SPY250516C580</stp>
        <tr r="AU6" s="1"/>
        <tr r="AU6" s="1"/>
      </tp>
      <tp>
        <v>44</v>
        <stp/>
        <stp>OPEN_INT</stp>
        <stp>.SPY250516P581</stp>
        <tr r="AV5" s="1"/>
        <tr r="AV5" s="1"/>
      </tp>
      <tp>
        <v>4554</v>
        <stp/>
        <stp>OPEN_INT</stp>
        <stp>.SPY250516C581</stp>
        <tr r="AU5" s="1"/>
        <tr r="AU5" s="1"/>
      </tp>
      <tp>
        <v>16</v>
        <stp/>
        <stp>OPEN_INT</stp>
        <stp>.NDX250516P20200</stp>
        <tr r="AV151" s="1"/>
        <tr r="AV151" s="1"/>
      </tp>
      <tp>
        <v>143</v>
        <stp/>
        <stp>OPEN_INT</stp>
        <stp>.NDX250620P19400</stp>
        <tr r="AX183" s="1"/>
        <tr r="AX183" s="1"/>
      </tp>
      <tp>
        <v>32</v>
        <stp/>
        <stp>OPEN_INT</stp>
        <stp>.NDX250620P20400</stp>
        <tr r="AX143" s="1"/>
        <tr r="AX143" s="1"/>
      </tp>
      <tp>
        <v>29</v>
        <stp/>
        <stp>OPEN_INT</stp>
        <stp>.NDX250516P20225</stp>
        <tr r="AV150" s="1"/>
        <tr r="AV150" s="1"/>
      </tp>
      <tp>
        <v>42</v>
        <stp/>
        <stp>OPEN_INT</stp>
        <stp>.NDX250620P19425</stp>
        <tr r="AX182" s="1"/>
        <tr r="AX182" s="1"/>
      </tp>
      <tp>
        <v>6</v>
        <stp/>
        <stp>OPEN_INT</stp>
        <stp>.NDX250620P20425</stp>
        <tr r="AX142" s="1"/>
        <tr r="AX142" s="1"/>
      </tp>
      <tp>
        <v>5</v>
        <stp/>
        <stp>OPEN_INT</stp>
        <stp>.NDX250516P20250</stp>
        <tr r="AV149" s="1"/>
        <tr r="AV149" s="1"/>
      </tp>
      <tp>
        <v>88</v>
        <stp/>
        <stp>OPEN_INT</stp>
        <stp>.NDX250620P19450</stp>
        <tr r="AX181" s="1"/>
        <tr r="AX181" s="1"/>
      </tp>
      <tp>
        <v>13</v>
        <stp/>
        <stp>OPEN_INT</stp>
        <stp>.NDX250620P20450</stp>
        <tr r="AX141" s="1"/>
        <tr r="AX141" s="1"/>
      </tp>
      <tp>
        <v>7</v>
        <stp/>
        <stp>OPEN_INT</stp>
        <stp>.NDX250516P19250</stp>
        <tr r="AV189" s="1"/>
        <tr r="AV189" s="1"/>
      </tp>
      <tp>
        <v>2</v>
        <stp/>
        <stp>OPEN_INT</stp>
        <stp>.NDX250516P20275</stp>
        <tr r="AV148" s="1"/>
        <tr r="AV148" s="1"/>
      </tp>
      <tp>
        <v>37</v>
        <stp/>
        <stp>OPEN_INT</stp>
        <stp>.NDX250620P19475</stp>
        <tr r="AX180" s="1"/>
        <tr r="AX180" s="1"/>
      </tp>
      <tp>
        <v>33</v>
        <stp/>
        <stp>OPEN_INT</stp>
        <stp>.NDX250620P20475</stp>
        <tr r="AX140" s="1"/>
        <tr r="AX140" s="1"/>
      </tp>
      <tp>
        <v>6</v>
        <stp/>
        <stp>OPEN_INT</stp>
        <stp>.NDX250516P19275</stp>
        <tr r="AV188" s="1"/>
        <tr r="AV188" s="1"/>
      </tp>
      <tp>
        <v>34</v>
        <stp/>
        <stp>OPEN_INT</stp>
        <stp>.NDX250516C20225</stp>
        <tr r="AU150" s="1"/>
        <tr r="AU150" s="1"/>
      </tp>
      <tp>
        <v>43</v>
        <stp/>
        <stp>OPEN_INT</stp>
        <stp>.NDX250620C19425</stp>
        <tr r="AW182" s="1"/>
        <tr r="AW182" s="1"/>
      </tp>
      <tp>
        <v>23</v>
        <stp/>
        <stp>OPEN_INT</stp>
        <stp>.NDX250620C20425</stp>
        <tr r="AW142" s="1"/>
        <tr r="AW142" s="1"/>
      </tp>
      <tp>
        <v>56</v>
        <stp/>
        <stp>OPEN_INT</stp>
        <stp>.NDX250516C20200</stp>
        <tr r="AU151" s="1"/>
        <tr r="AU151" s="1"/>
      </tp>
      <tp>
        <v>49</v>
        <stp/>
        <stp>OPEN_INT</stp>
        <stp>.NDX250620C19400</stp>
        <tr r="AW183" s="1"/>
        <tr r="AW183" s="1"/>
      </tp>
      <tp>
        <v>30</v>
        <stp/>
        <stp>OPEN_INT</stp>
        <stp>.NDX250620C20400</stp>
        <tr r="AW143" s="1"/>
        <tr r="AW143" s="1"/>
      </tp>
      <tp>
        <v>24</v>
        <stp/>
        <stp>OPEN_INT</stp>
        <stp>.NDX250516C20275</stp>
        <tr r="AU148" s="1"/>
        <tr r="AU148" s="1"/>
      </tp>
      <tp>
        <v>33</v>
        <stp/>
        <stp>OPEN_INT</stp>
        <stp>.NDX250620C19475</stp>
        <tr r="AW180" s="1"/>
        <tr r="AW180" s="1"/>
      </tp>
      <tp>
        <v>39</v>
        <stp/>
        <stp>OPEN_INT</stp>
        <stp>.NDX250620C20475</stp>
        <tr r="AW140" s="1"/>
        <tr r="AW140" s="1"/>
      </tp>
      <tp>
        <v>10</v>
        <stp/>
        <stp>OPEN_INT</stp>
        <stp>.NDX250516C19275</stp>
        <tr r="AU188" s="1"/>
        <tr r="AU188" s="1"/>
      </tp>
      <tp>
        <v>58</v>
        <stp/>
        <stp>OPEN_INT</stp>
        <stp>.NDX250516C20250</stp>
        <tr r="AU149" s="1"/>
        <tr r="AU149" s="1"/>
      </tp>
      <tp>
        <v>94</v>
        <stp/>
        <stp>OPEN_INT</stp>
        <stp>.NDX250620C19450</stp>
        <tr r="AW181" s="1"/>
        <tr r="AW181" s="1"/>
      </tp>
      <tp>
        <v>203</v>
        <stp/>
        <stp>OPEN_INT</stp>
        <stp>.NDX250620C20450</stp>
        <tr r="AW141" s="1"/>
        <tr r="AW141" s="1"/>
      </tp>
      <tp>
        <v>21</v>
        <stp/>
        <stp>OPEN_INT</stp>
        <stp>.NDX250516C19250</stp>
        <tr r="AU189" s="1"/>
        <tr r="AU189" s="1"/>
      </tp>
      <tp>
        <v>75</v>
        <stp/>
        <stp>OPEN_INT</stp>
        <stp>.NDX250516P20100</stp>
        <tr r="AV155" s="1"/>
        <tr r="AV155" s="1"/>
      </tp>
      <tp>
        <v>276</v>
        <stp/>
        <stp>OPEN_INT</stp>
        <stp>.NDX250620P19700</stp>
        <tr r="AX171" s="1"/>
        <tr r="AX171" s="1"/>
      </tp>
      <tp>
        <v>31</v>
        <stp/>
        <stp>OPEN_INT</stp>
        <stp>.NDX250516P20125</stp>
        <tr r="AV154" s="1"/>
        <tr r="AV154" s="1"/>
      </tp>
      <tp>
        <v>9</v>
        <stp/>
        <stp>OPEN_INT</stp>
        <stp>.NDX250620P19725</stp>
        <tr r="AX170" s="1"/>
        <tr r="AX170" s="1"/>
      </tp>
      <tp>
        <v>8</v>
        <stp/>
        <stp>OPEN_INT</stp>
        <stp>.NDX250516P20150</stp>
        <tr r="AV153" s="1"/>
        <tr r="AV153" s="1"/>
      </tp>
      <tp>
        <v>143</v>
        <stp/>
        <stp>OPEN_INT</stp>
        <stp>.NDX250620P19750</stp>
        <tr r="AX169" s="1"/>
        <tr r="AX169" s="1"/>
      </tp>
      <tp>
        <v>11</v>
        <stp/>
        <stp>OPEN_INT</stp>
        <stp>.NDX250516P20175</stp>
        <tr r="AV152" s="1"/>
        <tr r="AV152" s="1"/>
      </tp>
      <tp>
        <v>22</v>
        <stp/>
        <stp>OPEN_INT</stp>
        <stp>.NDX250620P19775</stp>
        <tr r="AX168" s="1"/>
        <tr r="AX168" s="1"/>
      </tp>
      <tp>
        <v>31</v>
        <stp/>
        <stp>OPEN_INT</stp>
        <stp>.NDX250516C20125</stp>
        <tr r="AU154" s="1"/>
        <tr r="AU154" s="1"/>
      </tp>
      <tp>
        <v>35</v>
        <stp/>
        <stp>OPEN_INT</stp>
        <stp>.NDX250620C19725</stp>
        <tr r="AW170" s="1"/>
        <tr r="AW170" s="1"/>
      </tp>
      <tp>
        <v>92</v>
        <stp/>
        <stp>OPEN_INT</stp>
        <stp>.NDX250516C20100</stp>
        <tr r="AU155" s="1"/>
        <tr r="AU155" s="1"/>
      </tp>
      <tp>
        <v>113</v>
        <stp/>
        <stp>OPEN_INT</stp>
        <stp>.NDX250620C19700</stp>
        <tr r="AW171" s="1"/>
        <tr r="AW171" s="1"/>
      </tp>
      <tp>
        <v>17</v>
        <stp/>
        <stp>OPEN_INT</stp>
        <stp>.NDX250516C20175</stp>
        <tr r="AU152" s="1"/>
        <tr r="AU152" s="1"/>
      </tp>
      <tp>
        <v>17</v>
        <stp/>
        <stp>OPEN_INT</stp>
        <stp>.NDX250620C19775</stp>
        <tr r="AW168" s="1"/>
        <tr r="AW168" s="1"/>
      </tp>
      <tp>
        <v>21</v>
        <stp/>
        <stp>OPEN_INT</stp>
        <stp>.NDX250516C20150</stp>
        <tr r="AU153" s="1"/>
        <tr r="AU153" s="1"/>
      </tp>
      <tp>
        <v>154</v>
        <stp/>
        <stp>OPEN_INT</stp>
        <stp>.NDX250620C19750</stp>
        <tr r="AW169" s="1"/>
        <tr r="AW169" s="1"/>
      </tp>
      <tp>
        <v>120</v>
        <stp/>
        <stp>OPEN_INT</stp>
        <stp>.NDX250516P20000</stp>
        <tr r="AV159" s="1"/>
        <tr r="AV159" s="1"/>
      </tp>
      <tp>
        <v>564</v>
        <stp/>
        <stp>OPEN_INT</stp>
        <stp>.NDX250620P19600</stp>
        <tr r="AX175" s="1"/>
        <tr r="AX175" s="1"/>
      </tp>
      <tp>
        <v>33</v>
        <stp/>
        <stp>OPEN_INT</stp>
        <stp>.NDX250516P20025</stp>
        <tr r="AV158" s="1"/>
        <tr r="AV158" s="1"/>
      </tp>
      <tp>
        <v>47</v>
        <stp/>
        <stp>OPEN_INT</stp>
        <stp>.NDX250620P19625</stp>
        <tr r="AX174" s="1"/>
        <tr r="AX174" s="1"/>
      </tp>
      <tp>
        <v>13</v>
        <stp/>
        <stp>OPEN_INT</stp>
        <stp>.NDX250516P20050</stp>
        <tr r="AV157" s="1"/>
        <tr r="AV157" s="1"/>
      </tp>
      <tp>
        <v>24</v>
        <stp/>
        <stp>OPEN_INT</stp>
        <stp>.NDX250620P19650</stp>
        <tr r="AX173" s="1"/>
        <tr r="AX173" s="1"/>
      </tp>
      <tp>
        <v>20</v>
        <stp/>
        <stp>OPEN_INT</stp>
        <stp>.NDX250516P20075</stp>
        <tr r="AV156" s="1"/>
        <tr r="AV156" s="1"/>
      </tp>
      <tp>
        <v>5</v>
        <stp/>
        <stp>OPEN_INT</stp>
        <stp>.NDX250620P19675</stp>
        <tr r="AX172" s="1"/>
        <tr r="AX172" s="1"/>
      </tp>
      <tp>
        <v>35</v>
        <stp/>
        <stp>OPEN_INT</stp>
        <stp>.NDX250516C20025</stp>
        <tr r="AU158" s="1"/>
        <tr r="AU158" s="1"/>
      </tp>
      <tp>
        <v>41</v>
        <stp/>
        <stp>OPEN_INT</stp>
        <stp>.NDX250620C19625</stp>
        <tr r="AW174" s="1"/>
        <tr r="AW174" s="1"/>
      </tp>
      <tp>
        <v>144</v>
        <stp/>
        <stp>OPEN_INT</stp>
        <stp>.NDX250516C20000</stp>
        <tr r="AU159" s="1"/>
        <tr r="AU159" s="1"/>
      </tp>
      <tp>
        <v>569</v>
        <stp/>
        <stp>OPEN_INT</stp>
        <stp>.NDX250620C19600</stp>
        <tr r="AW175" s="1"/>
        <tr r="AW175" s="1"/>
      </tp>
      <tp>
        <v>1920</v>
        <stp/>
        <stp>OPEN_INT</stp>
        <stp>.SPY250620P548</stp>
        <tr r="AX38" s="1"/>
        <tr r="AX38" s="1"/>
      </tp>
      <tp>
        <v>127</v>
        <stp/>
        <stp>OPEN_INT</stp>
        <stp>.SPY250620C548</stp>
        <tr r="AW38" s="1"/>
        <tr r="AW38" s="1"/>
      </tp>
      <tp>
        <v>1525</v>
        <stp/>
        <stp>OPEN_INT</stp>
        <stp>.SPY250620P549</stp>
        <tr r="AX37" s="1"/>
        <tr r="AX37" s="1"/>
      </tp>
      <tp>
        <v>46</v>
        <stp/>
        <stp>OPEN_INT</stp>
        <stp>.SPY250620C549</stp>
        <tr r="AW37" s="1"/>
        <tr r="AW37" s="1"/>
      </tp>
      <tp>
        <v>36</v>
        <stp/>
        <stp>OPEN_INT</stp>
        <stp>.NDX250516C20075</stp>
        <tr r="AU156" s="1"/>
        <tr r="AU156" s="1"/>
      </tp>
      <tp>
        <v>30</v>
        <stp/>
        <stp>OPEN_INT</stp>
        <stp>.NDX250620C19675</stp>
        <tr r="AW172" s="1"/>
        <tr r="AW172" s="1"/>
      </tp>
      <tp>
        <v>648</v>
        <stp/>
        <stp>OPEN_INT</stp>
        <stp>.SPY250620P554</stp>
        <tr r="AX32" s="1"/>
        <tr r="AX32" s="1"/>
      </tp>
      <tp>
        <v>81</v>
        <stp/>
        <stp>OPEN_INT</stp>
        <stp>.SPY250620C554</stp>
        <tr r="AW32" s="1"/>
        <tr r="AW32" s="1"/>
      </tp>
      <tp>
        <v>27131</v>
        <stp/>
        <stp>OPEN_INT</stp>
        <stp>.SPY250620P555</stp>
        <tr r="AX31" s="1"/>
        <tr r="AX31" s="1"/>
      </tp>
      <tp>
        <v>24030</v>
        <stp/>
        <stp>OPEN_INT</stp>
        <stp>.SPY250620C555</stp>
        <tr r="AW31" s="1"/>
        <tr r="AW31" s="1"/>
      </tp>
      <tp>
        <v>540</v>
        <stp/>
        <stp>OPEN_INT</stp>
        <stp>.SPY250620P556</stp>
        <tr r="AX30" s="1"/>
        <tr r="AX30" s="1"/>
      </tp>
      <tp>
        <v>172</v>
        <stp/>
        <stp>OPEN_INT</stp>
        <stp>.SPY250620C556</stp>
        <tr r="AW30" s="1"/>
        <tr r="AW30" s="1"/>
      </tp>
      <tp>
        <v>596</v>
        <stp/>
        <stp>OPEN_INT</stp>
        <stp>.SPY250620P557</stp>
        <tr r="AX29" s="1"/>
        <tr r="AX29" s="1"/>
      </tp>
      <tp>
        <v>215</v>
        <stp/>
        <stp>OPEN_INT</stp>
        <stp>.SPY250620C557</stp>
        <tr r="AW29" s="1"/>
        <tr r="AW29" s="1"/>
      </tp>
      <tp>
        <v>58473</v>
        <stp/>
        <stp>OPEN_INT</stp>
        <stp>.SPY250620P550</stp>
        <tr r="AX36" s="1"/>
        <tr r="AX36" s="1"/>
      </tp>
      <tp>
        <v>26014</v>
        <stp/>
        <stp>OPEN_INT</stp>
        <stp>.SPY250620C550</stp>
        <tr r="AW36" s="1"/>
        <tr r="AW36" s="1"/>
      </tp>
      <tp>
        <v>929</v>
        <stp/>
        <stp>OPEN_INT</stp>
        <stp>.SPY250620P551</stp>
        <tr r="AX35" s="1"/>
        <tr r="AX35" s="1"/>
      </tp>
      <tp>
        <v>86</v>
        <stp/>
        <stp>OPEN_INT</stp>
        <stp>.SPY250620C551</stp>
        <tr r="AW35" s="1"/>
        <tr r="AW35" s="1"/>
      </tp>
      <tp>
        <v>821</v>
        <stp/>
        <stp>OPEN_INT</stp>
        <stp>.SPY250620P552</stp>
        <tr r="AX34" s="1"/>
        <tr r="AX34" s="1"/>
      </tp>
      <tp>
        <v>123</v>
        <stp/>
        <stp>OPEN_INT</stp>
        <stp>.SPY250620C552</stp>
        <tr r="AW34" s="1"/>
        <tr r="AW34" s="1"/>
      </tp>
      <tp>
        <v>1146</v>
        <stp/>
        <stp>OPEN_INT</stp>
        <stp>.SPY250620P553</stp>
        <tr r="AX33" s="1"/>
        <tr r="AX33" s="1"/>
      </tp>
      <tp>
        <v>64</v>
        <stp/>
        <stp>OPEN_INT</stp>
        <stp>.SPY250620C553</stp>
        <tr r="AW33" s="1"/>
        <tr r="AW33" s="1"/>
      </tp>
      <tp>
        <v>1861</v>
        <stp/>
        <stp>OPEN_INT</stp>
        <stp>.SPY250620P558</stp>
        <tr r="AX28" s="1"/>
        <tr r="AX28" s="1"/>
      </tp>
      <tp>
        <v>177</v>
        <stp/>
        <stp>OPEN_INT</stp>
        <stp>.SPY250620C558</stp>
        <tr r="AW28" s="1"/>
        <tr r="AW28" s="1"/>
      </tp>
      <tp>
        <v>1229</v>
        <stp/>
        <stp>OPEN_INT</stp>
        <stp>.SPY250620P559</stp>
        <tr r="AX27" s="1"/>
        <tr r="AX27" s="1"/>
      </tp>
      <tp>
        <v>172</v>
        <stp/>
        <stp>OPEN_INT</stp>
        <stp>.SPY250620C559</stp>
        <tr r="AW27" s="1"/>
        <tr r="AW27" s="1"/>
      </tp>
      <tp>
        <v>637</v>
        <stp/>
        <stp>OPEN_INT</stp>
        <stp>.SPY250620P564</stp>
        <tr r="AX22" s="1"/>
        <tr r="AX22" s="1"/>
      </tp>
      <tp>
        <v>665</v>
        <stp/>
        <stp>OPEN_INT</stp>
        <stp>.SPY250620C564</stp>
        <tr r="AW22" s="1"/>
        <tr r="AW22" s="1"/>
      </tp>
      <tp>
        <v>12243</v>
        <stp/>
        <stp>OPEN_INT</stp>
        <stp>.SPY250620P565</stp>
        <tr r="AX21" s="1"/>
        <tr r="AX21" s="1"/>
      </tp>
      <tp>
        <v>20435</v>
        <stp/>
        <stp>OPEN_INT</stp>
        <stp>.SPY250620C565</stp>
        <tr r="AW21" s="1"/>
        <tr r="AW21" s="1"/>
      </tp>
      <tp>
        <v>675</v>
        <stp/>
        <stp>OPEN_INT</stp>
        <stp>.SPY250620P566</stp>
        <tr r="AX20" s="1"/>
        <tr r="AX20" s="1"/>
      </tp>
      <tp>
        <v>559</v>
        <stp/>
        <stp>OPEN_INT</stp>
        <stp>.SPY250620C566</stp>
        <tr r="AW20" s="1"/>
        <tr r="AW20" s="1"/>
      </tp>
      <tp>
        <v>782</v>
        <stp/>
        <stp>OPEN_INT</stp>
        <stp>.SPY250620P567</stp>
        <tr r="AX19" s="1"/>
        <tr r="AX19" s="1"/>
      </tp>
      <tp>
        <v>644</v>
        <stp/>
        <stp>OPEN_INT</stp>
        <stp>.SPY250620C567</stp>
        <tr r="AW19" s="1"/>
        <tr r="AW19" s="1"/>
      </tp>
      <tp>
        <v>44245</v>
        <stp/>
        <stp>OPEN_INT</stp>
        <stp>.SPY250620P560</stp>
        <tr r="AX26" s="1"/>
        <tr r="AX26" s="1"/>
      </tp>
      <tp>
        <v>70627</v>
        <stp/>
        <stp>OPEN_INT</stp>
        <stp>.SPY250620C560</stp>
        <tr r="AW26" s="1"/>
        <tr r="AW26" s="1"/>
      </tp>
      <tp>
        <v>1856</v>
        <stp/>
        <stp>OPEN_INT</stp>
        <stp>.SPY250620P561</stp>
        <tr r="AX25" s="1"/>
        <tr r="AX25" s="1"/>
      </tp>
      <tp>
        <v>910</v>
        <stp/>
        <stp>OPEN_INT</stp>
        <stp>.SPY250620C561</stp>
        <tr r="AW25" s="1"/>
        <tr r="AW25" s="1"/>
      </tp>
      <tp>
        <v>1706</v>
        <stp/>
        <stp>OPEN_INT</stp>
        <stp>.SPY250620P562</stp>
        <tr r="AX24" s="1"/>
        <tr r="AX24" s="1"/>
      </tp>
      <tp>
        <v>1351</v>
        <stp/>
        <stp>OPEN_INT</stp>
        <stp>.SPY250620C562</stp>
        <tr r="AW24" s="1"/>
        <tr r="AW24" s="1"/>
      </tp>
      <tp>
        <v>928</v>
        <stp/>
        <stp>OPEN_INT</stp>
        <stp>.SPY250620P563</stp>
        <tr r="AX23" s="1"/>
        <tr r="AX23" s="1"/>
      </tp>
      <tp>
        <v>896</v>
        <stp/>
        <stp>OPEN_INT</stp>
        <stp>.SPY250620C563</stp>
        <tr r="AW23" s="1"/>
        <tr r="AW23" s="1"/>
      </tp>
      <tp>
        <v>803</v>
        <stp/>
        <stp>OPEN_INT</stp>
        <stp>.SPY250620P568</stp>
        <tr r="AX18" s="1"/>
        <tr r="AX18" s="1"/>
      </tp>
      <tp>
        <v>1251</v>
        <stp/>
        <stp>OPEN_INT</stp>
        <stp>.SPY250620C568</stp>
        <tr r="AW18" s="1"/>
        <tr r="AW18" s="1"/>
      </tp>
      <tp>
        <v>805</v>
        <stp/>
        <stp>OPEN_INT</stp>
        <stp>.SPY250620P569</stp>
        <tr r="AX17" s="1"/>
        <tr r="AX17" s="1"/>
      </tp>
      <tp>
        <v>1270</v>
        <stp/>
        <stp>OPEN_INT</stp>
        <stp>.SPY250620C569</stp>
        <tr r="AW17" s="1"/>
        <tr r="AW17" s="1"/>
      </tp>
      <tp>
        <v>30</v>
        <stp/>
        <stp>OPEN_INT</stp>
        <stp>.NDX250516C20050</stp>
        <tr r="AU157" s="1"/>
        <tr r="AU157" s="1"/>
      </tp>
      <tp>
        <v>41</v>
        <stp/>
        <stp>OPEN_INT</stp>
        <stp>.NDX250620C19650</stp>
        <tr r="AW173" s="1"/>
        <tr r="AW173" s="1"/>
      </tp>
      <tp>
        <v>273</v>
        <stp/>
        <stp>OPEN_INT</stp>
        <stp>.SPY250620P574</stp>
        <tr r="AX12" s="1"/>
        <tr r="AX12" s="1"/>
      </tp>
      <tp>
        <v>960</v>
        <stp/>
        <stp>OPEN_INT</stp>
        <stp>.SPY250620C574</stp>
        <tr r="AW12" s="1"/>
        <tr r="AW12" s="1"/>
      </tp>
      <tp>
        <v>16837</v>
        <stp/>
        <stp>OPEN_INT</stp>
        <stp>.SPY250620P575</stp>
        <tr r="AX11" s="1"/>
        <tr r="AX11" s="1"/>
      </tp>
      <tp>
        <v>26508</v>
        <stp/>
        <stp>OPEN_INT</stp>
        <stp>.SPY250620C575</stp>
        <tr r="AW11" s="1"/>
        <tr r="AW11" s="1"/>
      </tp>
      <tp>
        <v>120</v>
        <stp/>
        <stp>OPEN_INT</stp>
        <stp>.SPY250620P576</stp>
        <tr r="AX10" s="1"/>
        <tr r="AX10" s="1"/>
      </tp>
      <tp>
        <v>1034</v>
        <stp/>
        <stp>OPEN_INT</stp>
        <stp>.SPY250620C576</stp>
        <tr r="AW10" s="1"/>
        <tr r="AW10" s="1"/>
      </tp>
      <tp>
        <v>138</v>
        <stp/>
        <stp>OPEN_INT</stp>
        <stp>.SPY250620P577</stp>
        <tr r="AX9" s="1"/>
        <tr r="AX9" s="1"/>
      </tp>
      <tp>
        <v>1315</v>
        <stp/>
        <stp>OPEN_INT</stp>
        <stp>.SPY250620C577</stp>
        <tr r="AW9" s="1"/>
        <tr r="AW9" s="1"/>
      </tp>
      <tp>
        <v>18774</v>
        <stp/>
        <stp>OPEN_INT</stp>
        <stp>.SPY250620P570</stp>
        <tr r="AX16" s="1"/>
        <tr r="AX16" s="1"/>
      </tp>
      <tp>
        <v>45024</v>
        <stp/>
        <stp>OPEN_INT</stp>
        <stp>.SPY250620C570</stp>
        <tr r="AW16" s="1"/>
        <tr r="AW16" s="1"/>
      </tp>
      <tp>
        <v>432</v>
        <stp/>
        <stp>OPEN_INT</stp>
        <stp>.SPY250620P571</stp>
        <tr r="AX15" s="1"/>
        <tr r="AX15" s="1"/>
      </tp>
      <tp>
        <v>1305</v>
        <stp/>
        <stp>OPEN_INT</stp>
        <stp>.SPY250620C571</stp>
        <tr r="AW15" s="1"/>
        <tr r="AW15" s="1"/>
      </tp>
      <tp>
        <v>179</v>
        <stp/>
        <stp>OPEN_INT</stp>
        <stp>.SPY250620P572</stp>
        <tr r="AX14" s="1"/>
        <tr r="AX14" s="1"/>
      </tp>
      <tp>
        <v>708</v>
        <stp/>
        <stp>OPEN_INT</stp>
        <stp>.SPY250620C572</stp>
        <tr r="AW14" s="1"/>
        <tr r="AW14" s="1"/>
      </tp>
      <tp>
        <v>277</v>
        <stp/>
        <stp>OPEN_INT</stp>
        <stp>.SPY250620P573</stp>
        <tr r="AX13" s="1"/>
        <tr r="AX13" s="1"/>
      </tp>
      <tp>
        <v>839</v>
        <stp/>
        <stp>OPEN_INT</stp>
        <stp>.SPY250620C573</stp>
        <tr r="AW13" s="1"/>
        <tr r="AW13" s="1"/>
      </tp>
      <tp>
        <v>110</v>
        <stp/>
        <stp>OPEN_INT</stp>
        <stp>.SPY250620P578</stp>
        <tr r="AX8" s="1"/>
        <tr r="AX8" s="1"/>
      </tp>
      <tp>
        <v>933</v>
        <stp/>
        <stp>OPEN_INT</stp>
        <stp>.SPY250620C578</stp>
        <tr r="AW8" s="1"/>
        <tr r="AW8" s="1"/>
      </tp>
      <tp>
        <v>140</v>
        <stp/>
        <stp>OPEN_INT</stp>
        <stp>.SPY250620P579</stp>
        <tr r="AX7" s="1"/>
        <tr r="AX7" s="1"/>
      </tp>
      <tp>
        <v>349</v>
        <stp/>
        <stp>OPEN_INT</stp>
        <stp>.SPY250620C579</stp>
        <tr r="AW7" s="1"/>
        <tr r="AW7" s="1"/>
      </tp>
      <tp>
        <v>21600</v>
        <stp/>
        <stp>OPEN_INT</stp>
        <stp>.SPY250620P580</stp>
        <tr r="AX6" s="1"/>
        <tr r="AX6" s="1"/>
      </tp>
      <tp>
        <v>108593</v>
        <stp/>
        <stp>OPEN_INT</stp>
        <stp>.SPY250620C580</stp>
        <tr r="AW6" s="1"/>
        <tr r="AW6" s="1"/>
      </tp>
      <tp>
        <v>165</v>
        <stp/>
        <stp>OPEN_INT</stp>
        <stp>.SPY250620P581</stp>
        <tr r="AX5" s="1"/>
        <tr r="AX5" s="1"/>
      </tp>
      <tp>
        <v>1093</v>
        <stp/>
        <stp>OPEN_INT</stp>
        <stp>.SPY250620C581</stp>
        <tr r="AW5" s="1"/>
        <tr r="AW5" s="1"/>
      </tp>
      <tp>
        <v>17</v>
        <stp/>
        <stp>OPEN_INT</stp>
        <stp>.SPY250620P582</stp>
        <tr r="AX4" s="1"/>
        <tr r="AX4" s="1"/>
      </tp>
      <tp>
        <v>845</v>
        <stp/>
        <stp>OPEN_INT</stp>
        <stp>.SPY250620C582</stp>
        <tr r="AW4" s="1"/>
        <tr r="AW4" s="1"/>
      </tp>
      <tp t="s">
        <v>125.31%</v>
        <stp/>
        <stp>IMPL_VOL</stp>
        <stp>.SPXW250509C5820</stp>
        <tr r="EL90" s="1"/>
      </tp>
      <tp t="s">
        <v>125.28%</v>
        <stp/>
        <stp>IMPL_VOL</stp>
        <stp>.SPXW250509P5820</stp>
        <tr r="EM90" s="1"/>
      </tp>
      <tp t="s">
        <v>132.31%</v>
        <stp/>
        <stp>IMPL_VOL</stp>
        <stp>.SPXW250509C5830</stp>
        <tr r="EL89" s="1"/>
      </tp>
      <tp t="s">
        <v>132.30%</v>
        <stp/>
        <stp>IMPL_VOL</stp>
        <stp>.SPXW250509P5830</stp>
        <tr r="EM89" s="1"/>
      </tp>
      <tp t="s">
        <v>110.98%</v>
        <stp/>
        <stp>IMPL_VOL</stp>
        <stp>.SPXW250509C5800</stp>
        <tr r="EL92" s="1"/>
      </tp>
      <tp t="s">
        <v>140.89%</v>
        <stp/>
        <stp>IMPL_VOL</stp>
        <stp>.SPXW250509P5800</stp>
        <tr r="EM92" s="1"/>
      </tp>
      <tp t="s">
        <v>118.05%</v>
        <stp/>
        <stp>IMPL_VOL</stp>
        <stp>.SPXW250509C5810</stp>
        <tr r="EL91" s="1"/>
      </tp>
      <tp t="s">
        <v>118.01%</v>
        <stp/>
        <stp>IMPL_VOL</stp>
        <stp>.SPXW250509P5810</stp>
        <tr r="EM91" s="1"/>
      </tp>
      <tp t="s">
        <v>153.08%</v>
        <stp/>
        <stp>IMPL_VOL</stp>
        <stp>.SPXW250509C5860</stp>
        <tr r="EL86" s="1"/>
      </tp>
      <tp t="s">
        <v>222.02%</v>
        <stp/>
        <stp>IMPL_VOL</stp>
        <stp>.SPXW250509P5860</stp>
        <tr r="EM86" s="1"/>
      </tp>
      <tp t="s">
        <v>159.92%</v>
        <stp/>
        <stp>IMPL_VOL</stp>
        <stp>.SPXW250509C5870</stp>
        <tr r="EL85" s="1"/>
      </tp>
      <tp t="s">
        <v>231.23%</v>
        <stp/>
        <stp>IMPL_VOL</stp>
        <stp>.SPXW250509P5870</stp>
        <tr r="EM85" s="1"/>
      </tp>
      <tp t="s">
        <v>139.27%</v>
        <stp/>
        <stp>IMPL_VOL</stp>
        <stp>.SPXW250509C5840</stp>
        <tr r="EL88" s="1"/>
      </tp>
      <tp t="s">
        <v>205.64%</v>
        <stp/>
        <stp>IMPL_VOL</stp>
        <stp>.SPXW250509P5840</stp>
        <tr r="EM88" s="1"/>
      </tp>
      <tp t="s">
        <v>146.19%</v>
        <stp/>
        <stp>IMPL_VOL</stp>
        <stp>.SPXW250509C5850</stp>
        <tr r="EL87" s="1"/>
      </tp>
      <tp t="s">
        <v>215.07%</v>
        <stp/>
        <stp>IMPL_VOL</stp>
        <stp>.SPXW250509P5850</stp>
        <tr r="EM87" s="1"/>
      </tp>
      <tp>
        <v>-7.0000000000000007E-2</v>
        <stp/>
        <stp>DELTA</stp>
        <stp>.NDXP250509P19625</stp>
        <tr r="CE174" s="1"/>
        <tr r="CE174" s="1"/>
      </tp>
      <tp>
        <v>0</v>
        <stp/>
        <stp>DELTA</stp>
        <stp>.NDXP250509P19600</stp>
        <tr r="CE175" s="1"/>
        <tr r="CE175" s="1"/>
      </tp>
      <tp>
        <v>-0.08</v>
        <stp/>
        <stp>DELTA</stp>
        <stp>.NDXP250509P19675</stp>
        <tr r="CE172" s="1"/>
        <tr r="CE172" s="1"/>
      </tp>
      <tp>
        <v>-0.08</v>
        <stp/>
        <stp>DELTA</stp>
        <stp>.NDXP250509P19650</stp>
        <tr r="CE173" s="1"/>
        <tr r="CE173" s="1"/>
      </tp>
      <tp>
        <v>0.97</v>
        <stp/>
        <stp>DELTA</stp>
        <stp>.NDXP250509C19600</stp>
        <tr r="CD175" s="1"/>
        <tr r="CD175" s="1"/>
      </tp>
      <tp>
        <v>1</v>
        <stp/>
        <stp>DELTA</stp>
        <stp>.NDXP250509C19625</stp>
        <tr r="CD174" s="1"/>
        <tr r="CD174" s="1"/>
      </tp>
      <tp>
        <v>1</v>
        <stp/>
        <stp>DELTA</stp>
        <stp>.NDXP250509C19650</stp>
        <tr r="CD173" s="1"/>
        <tr r="CD173" s="1"/>
      </tp>
      <tp>
        <v>1</v>
        <stp/>
        <stp>DELTA</stp>
        <stp>.NDXP250509C19675</stp>
        <tr r="CD172" s="1"/>
        <tr r="CD172" s="1"/>
      </tp>
      <tp t="s">
        <v>N/A</v>
        <stp/>
        <stp>VOLUME</stp>
        <stp>.NDXP250829C19575</stp>
        <tr r="P177" s="2"/>
      </tp>
      <tp>
        <v>9</v>
        <stp/>
        <stp>VOLUME</stp>
        <stp>.NDXP250509C19575</stp>
        <tr r="BA176" s="1"/>
        <tr r="BA176" s="1"/>
      </tp>
      <tp t="s">
        <v>N/A</v>
        <stp/>
        <stp>VOLUME</stp>
        <stp>.NDXP251128C20475</stp>
        <tr r="V141" s="2"/>
      </tp>
      <tp t="s">
        <v>N/A</v>
        <stp/>
        <stp>VOLUME</stp>
        <stp>.NDXP251128C19475</stp>
        <tr r="V181" s="2"/>
      </tp>
      <tp t="s">
        <v>N/A</v>
        <stp/>
        <stp>VOLUME</stp>
        <stp>.NDXP250829C20550</stp>
        <tr r="P138" s="2"/>
      </tp>
      <tp t="s">
        <v>N/A</v>
        <stp/>
        <stp>VOLUME</stp>
        <stp>.NDXP250829C19550</stp>
        <tr r="P178" s="2"/>
      </tp>
      <tp>
        <v>61</v>
        <stp/>
        <stp>VOLUME</stp>
        <stp>.NDXP250509C20550</stp>
        <tr r="BA137" s="1"/>
        <tr r="BA137" s="1"/>
      </tp>
      <tp t="s">
        <v>N/A</v>
        <stp/>
        <stp>VOLUME</stp>
        <stp>.NDXP250509C19550</stp>
        <tr r="BA177" s="1"/>
      </tp>
      <tp t="s">
        <v>N/A</v>
        <stp/>
        <stp>VOLUME</stp>
        <stp>.NDXP251128C20450</stp>
        <tr r="V142" s="2"/>
      </tp>
      <tp t="s">
        <v>N/A</v>
        <stp/>
        <stp>VOLUME</stp>
        <stp>.NDXP251128C19450</stp>
        <tr r="V182" s="2"/>
      </tp>
      <tp t="s">
        <v>N/A</v>
        <stp/>
        <stp>VOLUME</stp>
        <stp>.NDXP251128C20425</stp>
        <tr r="V143" s="2"/>
      </tp>
      <tp t="s">
        <v>N/A</v>
        <stp/>
        <stp>VOLUME</stp>
        <stp>.NDXP251128C19425</stp>
        <tr r="V183" s="2"/>
      </tp>
      <tp t="s">
        <v>N/A</v>
        <stp/>
        <stp>VOLUME</stp>
        <stp>.NDXP250829C20525</stp>
        <tr r="P139" s="2"/>
      </tp>
      <tp t="s">
        <v>N/A</v>
        <stp/>
        <stp>VOLUME</stp>
        <stp>.NDXP250829C19525</stp>
        <tr r="P179" s="2"/>
      </tp>
      <tp>
        <v>31</v>
        <stp/>
        <stp>VOLUME</stp>
        <stp>.NDXP250509C20525</stp>
        <tr r="BA138" s="1"/>
        <tr r="BA138" s="1"/>
      </tp>
      <tp t="s">
        <v>N/A</v>
        <stp/>
        <stp>VOLUME</stp>
        <stp>.NDXP250509C19525</stp>
        <tr r="BA178" s="1"/>
      </tp>
      <tp t="s">
        <v>N/A</v>
        <stp/>
        <stp>VOLUME</stp>
        <stp>.NDXP251128C20400</stp>
        <tr r="V144" s="2"/>
      </tp>
      <tp t="s">
        <v>N/A</v>
        <stp/>
        <stp>VOLUME</stp>
        <stp>.NDXP251128C19400</stp>
        <tr r="V184" s="2"/>
      </tp>
      <tp t="s">
        <v>N/A</v>
        <stp/>
        <stp>VOLUME</stp>
        <stp>.NDXP250829C20500</stp>
        <tr r="P140" s="2"/>
      </tp>
      <tp t="s">
        <v>N/A</v>
        <stp/>
        <stp>VOLUME</stp>
        <stp>.NDXP250829C19500</stp>
        <tr r="P180" s="2"/>
      </tp>
      <tp>
        <v>239</v>
        <stp/>
        <stp>VOLUME</stp>
        <stp>.NDXP250509C20500</stp>
        <tr r="BA139" s="1"/>
        <tr r="BA139" s="1"/>
      </tp>
      <tp>
        <v>9</v>
        <stp/>
        <stp>VOLUME</stp>
        <stp>.NDXP250509C19500</stp>
        <tr r="BA179" s="1"/>
        <tr r="BA179" s="1"/>
      </tp>
      <tp t="s">
        <v>N/A</v>
        <stp/>
        <stp>VOLUME</stp>
        <stp>.NDXP251128P20450</stp>
        <tr r="V142" s="2"/>
      </tp>
      <tp t="s">
        <v>N/A</v>
        <stp/>
        <stp>VOLUME</stp>
        <stp>.NDXP251128P19450</stp>
        <tr r="V182" s="2"/>
      </tp>
      <tp t="s">
        <v>N/A</v>
        <stp/>
        <stp>VOLUME</stp>
        <stp>.NDXP250829P20550</stp>
        <tr r="P138" s="2"/>
      </tp>
      <tp t="s">
        <v>N/A</v>
        <stp/>
        <stp>VOLUME</stp>
        <stp>.NDXP250829P19550</stp>
        <tr r="P178" s="2"/>
      </tp>
      <tp t="s">
        <v>N/A</v>
        <stp/>
        <stp>VOLUME</stp>
        <stp>.NDXP250509P20550</stp>
        <tr r="BB137" s="1"/>
      </tp>
      <tp>
        <v>51</v>
        <stp/>
        <stp>VOLUME</stp>
        <stp>.NDXP250509P19550</stp>
        <tr r="BB177" s="1"/>
        <tr r="BB177" s="1"/>
      </tp>
      <tp t="s">
        <v>N/A</v>
        <stp/>
        <stp>VOLUME</stp>
        <stp>.NDXP251128P20475</stp>
        <tr r="V141" s="2"/>
      </tp>
      <tp t="s">
        <v>N/A</v>
        <stp/>
        <stp>VOLUME</stp>
        <stp>.NDXP251128P19475</stp>
        <tr r="V181" s="2"/>
      </tp>
      <tp t="s">
        <v>N/A</v>
        <stp/>
        <stp>VOLUME</stp>
        <stp>.NDXP250829P19575</stp>
        <tr r="P177" s="2"/>
      </tp>
      <tp>
        <v>50</v>
        <stp/>
        <stp>VOLUME</stp>
        <stp>.NDXP250509P19575</stp>
        <tr r="BB176" s="1"/>
        <tr r="BB176" s="1"/>
      </tp>
      <tp t="s">
        <v>N/A</v>
        <stp/>
        <stp>VOLUME</stp>
        <stp>.NDXP250829P20500</stp>
        <tr r="P140" s="2"/>
      </tp>
      <tp t="s">
        <v>N/A</v>
        <stp/>
        <stp>VOLUME</stp>
        <stp>.NDXP250829P19500</stp>
        <tr r="P180" s="2"/>
      </tp>
      <tp>
        <v>7</v>
        <stp/>
        <stp>VOLUME</stp>
        <stp>.NDXP250509P20500</stp>
        <tr r="BB139" s="1"/>
        <tr r="BB139" s="1"/>
      </tp>
      <tp>
        <v>178</v>
        <stp/>
        <stp>VOLUME</stp>
        <stp>.NDXP250509P19500</stp>
        <tr r="BB179" s="1"/>
        <tr r="BB179" s="1"/>
      </tp>
      <tp t="s">
        <v>N/A</v>
        <stp/>
        <stp>VOLUME</stp>
        <stp>.NDXP251128P20400</stp>
        <tr r="V144" s="2"/>
      </tp>
      <tp t="s">
        <v>N/A</v>
        <stp/>
        <stp>VOLUME</stp>
        <stp>.NDXP251128P19400</stp>
        <tr r="V184" s="2"/>
      </tp>
      <tp t="s">
        <v>N/A</v>
        <stp/>
        <stp>VOLUME</stp>
        <stp>.NDXP250829P20525</stp>
        <tr r="P139" s="2"/>
      </tp>
      <tp t="s">
        <v>N/A</v>
        <stp/>
        <stp>VOLUME</stp>
        <stp>.NDXP250829P19525</stp>
        <tr r="P179" s="2"/>
      </tp>
      <tp t="s">
        <v>N/A</v>
        <stp/>
        <stp>VOLUME</stp>
        <stp>.NDXP250509P20525</stp>
        <tr r="BB138" s="1"/>
      </tp>
      <tp>
        <v>32</v>
        <stp/>
        <stp>VOLUME</stp>
        <stp>.NDXP250509P19525</stp>
        <tr r="BB178" s="1"/>
        <tr r="BB178" s="1"/>
      </tp>
      <tp t="s">
        <v>N/A</v>
        <stp/>
        <stp>VOLUME</stp>
        <stp>.NDXP251128P20425</stp>
        <tr r="V143" s="2"/>
      </tp>
      <tp t="s">
        <v>N/A</v>
        <stp/>
        <stp>VOLUME</stp>
        <stp>.NDXP251128P19425</stp>
        <tr r="V183" s="2"/>
      </tp>
      <tp>
        <v>-0.09</v>
        <stp/>
        <stp>DELTA</stp>
        <stp>.NDXP250509P19725</stp>
        <tr r="CE170" s="1"/>
        <tr r="CE170" s="1"/>
      </tp>
      <tp>
        <v>-0.03</v>
        <stp/>
        <stp>DELTA</stp>
        <stp>.NDXP250509P19700</stp>
        <tr r="CE171" s="1"/>
        <tr r="CE171" s="1"/>
      </tp>
      <tp>
        <v>-0.1</v>
        <stp/>
        <stp>DELTA</stp>
        <stp>.NDXP250509P19775</stp>
        <tr r="CE168" s="1"/>
        <tr r="CE168" s="1"/>
      </tp>
      <tp>
        <v>-7.0000000000000007E-2</v>
        <stp/>
        <stp>DELTA</stp>
        <stp>.NDXP250509P19750</stp>
        <tr r="CE169" s="1"/>
        <tr r="CE169" s="1"/>
      </tp>
      <tp>
        <v>1</v>
        <stp/>
        <stp>DELTA</stp>
        <stp>.NDXP250509C19700</stp>
        <tr r="CD171" s="1"/>
        <tr r="CD171" s="1"/>
      </tp>
      <tp>
        <v>1</v>
        <stp/>
        <stp>DELTA</stp>
        <stp>.NDXP250509C19725</stp>
        <tr r="CD170" s="1"/>
        <tr r="CD170" s="1"/>
      </tp>
      <tp>
        <v>1</v>
        <stp/>
        <stp>DELTA</stp>
        <stp>.NDXP250509C19750</stp>
        <tr r="CD169" s="1"/>
        <tr r="CD169" s="1"/>
      </tp>
      <tp>
        <v>1</v>
        <stp/>
        <stp>DELTA</stp>
        <stp>.NDXP250509C19775</stp>
        <tr r="CD168" s="1"/>
        <tr r="CD168" s="1"/>
      </tp>
      <tp t="s">
        <v>N/A</v>
        <stp/>
        <stp>VOLUME</stp>
        <stp>.NDXP250829C20475</stp>
        <tr r="P141" s="2"/>
      </tp>
      <tp t="s">
        <v>N/A</v>
        <stp/>
        <stp>VOLUME</stp>
        <stp>.NDXP250829C19475</stp>
        <tr r="P181" s="2"/>
      </tp>
      <tp>
        <v>299</v>
        <stp/>
        <stp>VOLUME</stp>
        <stp>.NDXP250509C20475</stp>
        <tr r="BA140" s="1"/>
        <tr r="BA140" s="1"/>
      </tp>
      <tp t="s">
        <v>N/A</v>
        <stp/>
        <stp>VOLUME</stp>
        <stp>.NDXP250509C19475</stp>
        <tr r="BA180" s="1"/>
      </tp>
      <tp t="s">
        <v>N/A</v>
        <stp/>
        <stp>VOLUME</stp>
        <stp>.NDXP251128C19575</stp>
        <tr r="V177" s="2"/>
      </tp>
      <tp t="s">
        <v>N/A</v>
        <stp/>
        <stp>VOLUME</stp>
        <stp>.NDXP250829C20450</stp>
        <tr r="P142" s="2"/>
      </tp>
      <tp t="s">
        <v>N/A</v>
        <stp/>
        <stp>VOLUME</stp>
        <stp>.NDXP250829C19450</stp>
        <tr r="P182" s="2"/>
      </tp>
      <tp>
        <v>92</v>
        <stp/>
        <stp>VOLUME</stp>
        <stp>.NDXP250509C20450</stp>
        <tr r="BA141" s="1"/>
        <tr r="BA141" s="1"/>
      </tp>
      <tp t="s">
        <v>N/A</v>
        <stp/>
        <stp>VOLUME</stp>
        <stp>.NDXP250509C19450</stp>
        <tr r="BA181" s="1"/>
      </tp>
      <tp t="s">
        <v>N/A</v>
        <stp/>
        <stp>VOLUME</stp>
        <stp>.NDXP251128C20550</stp>
        <tr r="V138" s="2"/>
      </tp>
      <tp t="s">
        <v>N/A</v>
        <stp/>
        <stp>VOLUME</stp>
        <stp>.NDXP251128C19550</stp>
        <tr r="V178" s="2"/>
      </tp>
      <tp t="s">
        <v>N/A</v>
        <stp/>
        <stp>VOLUME</stp>
        <stp>.NDXP251128C20525</stp>
        <tr r="V139" s="2"/>
      </tp>
      <tp t="s">
        <v>N/A</v>
        <stp/>
        <stp>VOLUME</stp>
        <stp>.NDXP251128C19525</stp>
        <tr r="V179" s="2"/>
      </tp>
      <tp t="s">
        <v>N/A</v>
        <stp/>
        <stp>VOLUME</stp>
        <stp>.NDXP250829C20425</stp>
        <tr r="P143" s="2"/>
      </tp>
      <tp t="s">
        <v>N/A</v>
        <stp/>
        <stp>VOLUME</stp>
        <stp>.NDXP250829C19425</stp>
        <tr r="P183" s="2"/>
      </tp>
      <tp>
        <v>41</v>
        <stp/>
        <stp>VOLUME</stp>
        <stp>.NDXP250509C20425</stp>
        <tr r="BA142" s="1"/>
        <tr r="BA142" s="1"/>
      </tp>
      <tp t="s">
        <v>N/A</v>
        <stp/>
        <stp>VOLUME</stp>
        <stp>.NDXP250509C19425</stp>
        <tr r="BA182" s="1"/>
      </tp>
      <tp t="s">
        <v>N/A</v>
        <stp/>
        <stp>VOLUME</stp>
        <stp>.NDXP251128C20500</stp>
        <tr r="V140" s="2"/>
      </tp>
      <tp t="s">
        <v>N/A</v>
        <stp/>
        <stp>VOLUME</stp>
        <stp>.NDXP251128C19500</stp>
        <tr r="V180" s="2"/>
      </tp>
      <tp t="s">
        <v>N/A</v>
        <stp/>
        <stp>VOLUME</stp>
        <stp>.NDXP250829C20400</stp>
        <tr r="P144" s="2"/>
      </tp>
      <tp t="s">
        <v>N/A</v>
        <stp/>
        <stp>VOLUME</stp>
        <stp>.NDXP250829C19400</stp>
        <tr r="P184" s="2"/>
      </tp>
      <tp>
        <v>340</v>
        <stp/>
        <stp>VOLUME</stp>
        <stp>.NDXP250509C20400</stp>
        <tr r="BA143" s="1"/>
        <tr r="BA143" s="1"/>
      </tp>
      <tp t="s">
        <v>N/A</v>
        <stp/>
        <stp>VOLUME</stp>
        <stp>.NDXP250509C19400</stp>
        <tr r="BA183" s="1"/>
      </tp>
      <tp t="s">
        <v>N/A</v>
        <stp/>
        <stp>VOLUME</stp>
        <stp>.NDXP251128P20550</stp>
        <tr r="V138" s="2"/>
      </tp>
      <tp t="s">
        <v>N/A</v>
        <stp/>
        <stp>VOLUME</stp>
        <stp>.NDXP251128P19550</stp>
        <tr r="V178" s="2"/>
      </tp>
      <tp t="s">
        <v>N/A</v>
        <stp/>
        <stp>VOLUME</stp>
        <stp>.NDXP250829P20450</stp>
        <tr r="P142" s="2"/>
      </tp>
      <tp t="s">
        <v>N/A</v>
        <stp/>
        <stp>VOLUME</stp>
        <stp>.NDXP250829P19450</stp>
        <tr r="P182" s="2"/>
      </tp>
      <tp t="s">
        <v>N/A</v>
        <stp/>
        <stp>VOLUME</stp>
        <stp>.NDXP250509P20450</stp>
        <tr r="BB141" s="1"/>
      </tp>
      <tp>
        <v>29</v>
        <stp/>
        <stp>VOLUME</stp>
        <stp>.NDXP250509P19450</stp>
        <tr r="BB181" s="1"/>
        <tr r="BB181" s="1"/>
      </tp>
      <tp t="s">
        <v>N/A</v>
        <stp/>
        <stp>VOLUME</stp>
        <stp>.NDXP251128P19575</stp>
        <tr r="V177" s="2"/>
      </tp>
      <tp t="s">
        <v>N/A</v>
        <stp/>
        <stp>VOLUME</stp>
        <stp>.NDXP250829P20475</stp>
        <tr r="P141" s="2"/>
      </tp>
      <tp t="s">
        <v>N/A</v>
        <stp/>
        <stp>VOLUME</stp>
        <stp>.NDXP250829P19475</stp>
        <tr r="P181" s="2"/>
      </tp>
      <tp t="s">
        <v>N/A</v>
        <stp/>
        <stp>VOLUME</stp>
        <stp>.NDXP250509P20475</stp>
        <tr r="BB140" s="1"/>
      </tp>
      <tp>
        <v>5</v>
        <stp/>
        <stp>VOLUME</stp>
        <stp>.NDXP250509P19475</stp>
        <tr r="BB180" s="1"/>
        <tr r="BB180" s="1"/>
      </tp>
      <tp t="s">
        <v>N/A</v>
        <stp/>
        <stp>VOLUME</stp>
        <stp>.NDXP250829P20400</stp>
        <tr r="P144" s="2"/>
      </tp>
      <tp t="s">
        <v>N/A</v>
        <stp/>
        <stp>VOLUME</stp>
        <stp>.NDXP250829P19400</stp>
        <tr r="P184" s="2"/>
      </tp>
      <tp>
        <v>8</v>
        <stp/>
        <stp>VOLUME</stp>
        <stp>.NDXP250509P20400</stp>
        <tr r="BB143" s="1"/>
        <tr r="BB143" s="1"/>
      </tp>
      <tp>
        <v>142</v>
        <stp/>
        <stp>VOLUME</stp>
        <stp>.NDXP250509P19400</stp>
        <tr r="BB183" s="1"/>
        <tr r="BB183" s="1"/>
      </tp>
      <tp t="s">
        <v>N/A</v>
        <stp/>
        <stp>VOLUME</stp>
        <stp>.NDXP251128P20500</stp>
        <tr r="V140" s="2"/>
      </tp>
      <tp t="s">
        <v>N/A</v>
        <stp/>
        <stp>VOLUME</stp>
        <stp>.NDXP251128P19500</stp>
        <tr r="V180" s="2"/>
      </tp>
      <tp t="s">
        <v>N/A</v>
        <stp/>
        <stp>VOLUME</stp>
        <stp>.NDXP250829P20425</stp>
        <tr r="P143" s="2"/>
      </tp>
      <tp t="s">
        <v>N/A</v>
        <stp/>
        <stp>VOLUME</stp>
        <stp>.NDXP250829P19425</stp>
        <tr r="P183" s="2"/>
      </tp>
      <tp>
        <v>3</v>
        <stp/>
        <stp>VOLUME</stp>
        <stp>.NDXP250509P20425</stp>
        <tr r="BB142" s="1"/>
        <tr r="BB142" s="1"/>
      </tp>
      <tp>
        <v>26</v>
        <stp/>
        <stp>VOLUME</stp>
        <stp>.NDXP250509P19425</stp>
        <tr r="BB182" s="1"/>
        <tr r="BB182" s="1"/>
      </tp>
      <tp t="s">
        <v>N/A</v>
        <stp/>
        <stp>VOLUME</stp>
        <stp>.NDXP251128P20525</stp>
        <tr r="V139" s="2"/>
      </tp>
      <tp t="s">
        <v>N/A</v>
        <stp/>
        <stp>VOLUME</stp>
        <stp>.NDXP251128P19525</stp>
        <tr r="V179" s="2"/>
      </tp>
      <tp>
        <v>-0.97</v>
        <stp/>
        <stp>DELTA</stp>
        <stp>.NDXP250509P20425</stp>
        <tr r="CE142" s="1"/>
        <tr r="CE142" s="1"/>
      </tp>
      <tp>
        <v>-0.06</v>
        <stp/>
        <stp>DELTA</stp>
        <stp>.NDXP250509P19425</stp>
        <tr r="CE182" s="1"/>
        <tr r="CE182" s="1"/>
      </tp>
      <tp>
        <v>-0.97</v>
        <stp/>
        <stp>DELTA</stp>
        <stp>.NDXP250509P20400</stp>
        <tr r="CE143" s="1"/>
        <tr r="CE143" s="1"/>
      </tp>
      <tp>
        <v>-0.05</v>
        <stp/>
        <stp>DELTA</stp>
        <stp>.NDXP250509P19400</stp>
        <tr r="CE183" s="1"/>
        <tr r="CE183" s="1"/>
      </tp>
      <tp>
        <v>-0.97</v>
        <stp/>
        <stp>DELTA</stp>
        <stp>.NDXP250509P20475</stp>
        <tr r="CE140" s="1"/>
        <tr r="CE140" s="1"/>
      </tp>
      <tp>
        <v>-0.06</v>
        <stp/>
        <stp>DELTA</stp>
        <stp>.NDXP250509P19475</stp>
        <tr r="CE180" s="1"/>
        <tr r="CE180" s="1"/>
      </tp>
      <tp>
        <v>-0.97</v>
        <stp/>
        <stp>DELTA</stp>
        <stp>.NDXP250509P20450</stp>
        <tr r="CE141" s="1"/>
        <tr r="CE141" s="1"/>
      </tp>
      <tp>
        <v>-0.06</v>
        <stp/>
        <stp>DELTA</stp>
        <stp>.NDXP250509P19450</stp>
        <tr r="CE181" s="1"/>
        <tr r="CE181" s="1"/>
      </tp>
      <tp>
        <v>0</v>
        <stp/>
        <stp>DELTA</stp>
        <stp>.NDXP250509C20400</stp>
        <tr r="CD143" s="1"/>
        <tr r="CD143" s="1"/>
      </tp>
      <tp>
        <v>1</v>
        <stp/>
        <stp>DELTA</stp>
        <stp>.NDXP250509C19400</stp>
        <tr r="CD183" s="1"/>
        <tr r="CD183" s="1"/>
      </tp>
      <tp>
        <v>0.08</v>
        <stp/>
        <stp>DELTA</stp>
        <stp>.NDXP250509C20425</stp>
        <tr r="CD142" s="1"/>
        <tr r="CD142" s="1"/>
      </tp>
      <tp>
        <v>0.98</v>
        <stp/>
        <stp>DELTA</stp>
        <stp>.NDXP250509C19425</stp>
        <tr r="CD182" s="1"/>
        <tr r="CD182" s="1"/>
      </tp>
      <tp>
        <v>0.04</v>
        <stp/>
        <stp>DELTA</stp>
        <stp>.NDXP250509C20450</stp>
        <tr r="CD141" s="1"/>
        <tr r="CD141" s="1"/>
      </tp>
      <tp>
        <v>0.98</v>
        <stp/>
        <stp>DELTA</stp>
        <stp>.NDXP250509C19450</stp>
        <tr r="CD181" s="1"/>
        <tr r="CD181" s="1"/>
      </tp>
      <tp>
        <v>0.08</v>
        <stp/>
        <stp>DELTA</stp>
        <stp>.NDXP250509C20475</stp>
        <tr r="CD140" s="1"/>
        <tr r="CD140" s="1"/>
      </tp>
      <tp>
        <v>0.98</v>
        <stp/>
        <stp>DELTA</stp>
        <stp>.NDXP250509C19475</stp>
        <tr r="CD180" s="1"/>
        <tr r="CD180" s="1"/>
      </tp>
      <tp t="s">
        <v>N/A</v>
        <stp/>
        <stp>VOLUME</stp>
        <stp>.NDXP250829C19775</stp>
        <tr r="P169" s="2"/>
      </tp>
      <tp t="s">
        <v>N/A</v>
        <stp/>
        <stp>VOLUME</stp>
        <stp>.NDXP250606C19875</stp>
        <tr r="J165" s="2"/>
      </tp>
      <tp t="s">
        <v>N/A</v>
        <stp/>
        <stp>VOLUME</stp>
        <stp>.NDXP250509C19775</stp>
        <tr r="BA168" s="1"/>
      </tp>
      <tp t="s">
        <v>N/A</v>
        <stp/>
        <stp>VOLUME</stp>
        <stp>.NDXP251128C19675</stp>
        <tr r="V173" s="2"/>
      </tp>
      <tp t="s">
        <v>N/A</v>
        <stp/>
        <stp>VOLUME</stp>
        <stp>.NDXP250829C19750</stp>
        <tr r="P170" s="2"/>
      </tp>
      <tp t="s">
        <v>N/A</v>
        <stp/>
        <stp>VOLUME</stp>
        <stp>.NDXP250606C19850</stp>
        <tr r="J166" s="2"/>
      </tp>
      <tp>
        <v>1</v>
        <stp/>
        <stp>VOLUME</stp>
        <stp>.NDXP250509C19750</stp>
        <tr r="BA169" s="1"/>
        <tr r="BA169" s="1"/>
      </tp>
      <tp t="s">
        <v>N/A</v>
        <stp/>
        <stp>VOLUME</stp>
        <stp>.NDXP251128C19650</stp>
        <tr r="V174" s="2"/>
      </tp>
      <tp t="s">
        <v>N/A</v>
        <stp/>
        <stp>VOLUME</stp>
        <stp>.NDXP251128C19625</stp>
        <tr r="V175" s="2"/>
      </tp>
      <tp t="s">
        <v>N/A</v>
        <stp/>
        <stp>VOLUME</stp>
        <stp>.NDXP250829C19725</stp>
        <tr r="P171" s="2"/>
      </tp>
      <tp t="s">
        <v>N/A</v>
        <stp/>
        <stp>VOLUME</stp>
        <stp>.NDXP250606C19825</stp>
        <tr r="J167" s="2"/>
      </tp>
      <tp t="s">
        <v>N/A</v>
        <stp/>
        <stp>VOLUME</stp>
        <stp>.NDXP250509C19725</stp>
        <tr r="BA170" s="1"/>
      </tp>
      <tp t="s">
        <v>N/A</v>
        <stp/>
        <stp>VOLUME</stp>
        <stp>.NDXP251128C19600</stp>
        <tr r="V176" s="2"/>
      </tp>
      <tp t="s">
        <v>N/A</v>
        <stp/>
        <stp>VOLUME</stp>
        <stp>.NDXP250829C19700</stp>
        <tr r="P172" s="2"/>
      </tp>
      <tp t="s">
        <v>N/A</v>
        <stp/>
        <stp>VOLUME</stp>
        <stp>.NDXP250606C19800</stp>
        <tr r="J168" s="2"/>
      </tp>
      <tp>
        <v>5</v>
        <stp/>
        <stp>VOLUME</stp>
        <stp>.NDXP250509C19700</stp>
        <tr r="BA171" s="1"/>
        <tr r="BA171" s="1"/>
      </tp>
      <tp t="s">
        <v>N/A</v>
        <stp/>
        <stp>VOLUME</stp>
        <stp>.NDXP251128P19650</stp>
        <tr r="V174" s="2"/>
      </tp>
      <tp t="s">
        <v>N/A</v>
        <stp/>
        <stp>VOLUME</stp>
        <stp>.NDXP250829P19750</stp>
        <tr r="P170" s="2"/>
      </tp>
      <tp t="s">
        <v>N/A</v>
        <stp/>
        <stp>VOLUME</stp>
        <stp>.NDXP250606P19850</stp>
        <tr r="J166" s="2"/>
      </tp>
      <tp>
        <v>290</v>
        <stp/>
        <stp>VOLUME</stp>
        <stp>.NDXP250509P19750</stp>
        <tr r="BB169" s="1"/>
        <tr r="BB169" s="1"/>
      </tp>
      <tp t="s">
        <v>N/A</v>
        <stp/>
        <stp>VOLUME</stp>
        <stp>.NDXP251128P19675</stp>
        <tr r="V173" s="2"/>
      </tp>
      <tp t="s">
        <v>N/A</v>
        <stp/>
        <stp>VOLUME</stp>
        <stp>.NDXP250829P19775</stp>
        <tr r="P169" s="2"/>
      </tp>
      <tp t="s">
        <v>N/A</v>
        <stp/>
        <stp>VOLUME</stp>
        <stp>.NDXP250606P19875</stp>
        <tr r="J165" s="2"/>
      </tp>
      <tp>
        <v>69</v>
        <stp/>
        <stp>VOLUME</stp>
        <stp>.NDXP250509P19775</stp>
        <tr r="BB168" s="1"/>
        <tr r="BB168" s="1"/>
      </tp>
      <tp t="s">
        <v>N/A</v>
        <stp/>
        <stp>VOLUME</stp>
        <stp>.NDXP250829P19700</stp>
        <tr r="P172" s="2"/>
      </tp>
      <tp t="s">
        <v>N/A</v>
        <stp/>
        <stp>VOLUME</stp>
        <stp>.NDXP250606P19800</stp>
        <tr r="J168" s="2"/>
      </tp>
      <tp>
        <v>312</v>
        <stp/>
        <stp>VOLUME</stp>
        <stp>.NDXP250509P19700</stp>
        <tr r="BB171" s="1"/>
        <tr r="BB171" s="1"/>
      </tp>
      <tp t="s">
        <v>N/A</v>
        <stp/>
        <stp>VOLUME</stp>
        <stp>.NDXP251128P19600</stp>
        <tr r="V176" s="2"/>
      </tp>
      <tp t="s">
        <v>N/A</v>
        <stp/>
        <stp>VOLUME</stp>
        <stp>.NDXP250829P19725</stp>
        <tr r="P171" s="2"/>
      </tp>
      <tp t="s">
        <v>N/A</v>
        <stp/>
        <stp>VOLUME</stp>
        <stp>.NDXP250606P19825</stp>
        <tr r="J167" s="2"/>
      </tp>
      <tp>
        <v>41</v>
        <stp/>
        <stp>VOLUME</stp>
        <stp>.NDXP250509P19725</stp>
        <tr r="BB170" s="1"/>
        <tr r="BB170" s="1"/>
      </tp>
      <tp t="s">
        <v>N/A</v>
        <stp/>
        <stp>VOLUME</stp>
        <stp>.NDXP251128P19625</stp>
        <tr r="V175" s="2"/>
      </tp>
      <tp>
        <v>-0.99</v>
        <stp/>
        <stp>DELTA</stp>
        <stp>.NDXP250509P20525</stp>
        <tr r="CE138" s="1"/>
        <tr r="CE138" s="1"/>
      </tp>
      <tp>
        <v>-0.01</v>
        <stp/>
        <stp>DELTA</stp>
        <stp>.NDXP250509P19525</stp>
        <tr r="CE178" s="1"/>
        <tr r="CE178" s="1"/>
      </tp>
      <tp>
        <v>-1</v>
        <stp/>
        <stp>DELTA</stp>
        <stp>.NDXP250509P20500</stp>
        <tr r="CE139" s="1"/>
        <tr r="CE139" s="1"/>
      </tp>
      <tp>
        <v>-0.01</v>
        <stp/>
        <stp>DELTA</stp>
        <stp>.NDXP250509P19500</stp>
        <tr r="CE179" s="1"/>
        <tr r="CE179" s="1"/>
      </tp>
      <tp>
        <v>-7.0000000000000007E-2</v>
        <stp/>
        <stp>DELTA</stp>
        <stp>.NDXP250509P19575</stp>
        <tr r="CE176" s="1"/>
        <tr r="CE176" s="1"/>
      </tp>
      <tp>
        <v>-1</v>
        <stp/>
        <stp>DELTA</stp>
        <stp>.NDXP250509P20550</stp>
        <tr r="CE137" s="1"/>
        <tr r="CE137" s="1"/>
      </tp>
      <tp>
        <v>-0.04</v>
        <stp/>
        <stp>DELTA</stp>
        <stp>.NDXP250509P19550</stp>
        <tr r="CE177" s="1"/>
        <tr r="CE177" s="1"/>
      </tp>
      <tp>
        <v>0</v>
        <stp/>
        <stp>DELTA</stp>
        <stp>.NDXP250509C20500</stp>
        <tr r="CD139" s="1"/>
        <tr r="CD139" s="1"/>
      </tp>
      <tp>
        <v>0.97</v>
        <stp/>
        <stp>DELTA</stp>
        <stp>.NDXP250509C19500</stp>
        <tr r="CD179" s="1"/>
        <tr r="CD179" s="1"/>
      </tp>
      <tp>
        <v>7.0000000000000007E-2</v>
        <stp/>
        <stp>DELTA</stp>
        <stp>.NDXP250509C20525</stp>
        <tr r="CD138" s="1"/>
        <tr r="CD138" s="1"/>
      </tp>
      <tp>
        <v>1</v>
        <stp/>
        <stp>DELTA</stp>
        <stp>.NDXP250509C19525</stp>
        <tr r="CD178" s="1"/>
        <tr r="CD178" s="1"/>
      </tp>
      <tp>
        <v>7.0000000000000007E-2</v>
        <stp/>
        <stp>DELTA</stp>
        <stp>.NDXP250509C20550</stp>
        <tr r="CD137" s="1"/>
        <tr r="CD137" s="1"/>
      </tp>
      <tp>
        <v>0.97</v>
        <stp/>
        <stp>DELTA</stp>
        <stp>.NDXP250509C19550</stp>
        <tr r="CD177" s="1"/>
        <tr r="CD177" s="1"/>
      </tp>
      <tp>
        <v>1</v>
        <stp/>
        <stp>DELTA</stp>
        <stp>.NDXP250509C19575</stp>
        <tr r="CD176" s="1"/>
        <tr r="CD176" s="1"/>
      </tp>
      <tp t="s">
        <v>N/A</v>
        <stp/>
        <stp>VOLUME</stp>
        <stp>.NDXP250829C19675</stp>
        <tr r="P173" s="2"/>
      </tp>
      <tp t="s">
        <v>N/A</v>
        <stp/>
        <stp>VOLUME</stp>
        <stp>.NDXP250606C19975</stp>
        <tr r="J161" s="2"/>
      </tp>
      <tp>
        <v>2</v>
        <stp/>
        <stp>VOLUME</stp>
        <stp>.NDXP250509C19675</stp>
        <tr r="BA172" s="1"/>
        <tr r="BA172" s="1"/>
      </tp>
      <tp t="s">
        <v>N/A</v>
        <stp/>
        <stp>VOLUME</stp>
        <stp>.NDXP251128C19775</stp>
        <tr r="V169" s="2"/>
      </tp>
      <tp t="s">
        <v>N/A</v>
        <stp/>
        <stp>VOLUME</stp>
        <stp>.NDXP250829C19650</stp>
        <tr r="P174" s="2"/>
      </tp>
      <tp t="s">
        <v>N/A</v>
        <stp/>
        <stp>VOLUME</stp>
        <stp>.NDXP250606C19950</stp>
        <tr r="J162" s="2"/>
      </tp>
      <tp>
        <v>22</v>
        <stp/>
        <stp>VOLUME</stp>
        <stp>.NDXP250509C19650</stp>
        <tr r="BA173" s="1"/>
        <tr r="BA173" s="1"/>
      </tp>
      <tp t="s">
        <v>N/A</v>
        <stp/>
        <stp>VOLUME</stp>
        <stp>.NDXP251128C19750</stp>
        <tr r="V170" s="2"/>
      </tp>
      <tp t="s">
        <v>N/A</v>
        <stp/>
        <stp>VOLUME</stp>
        <stp>.NDXP251128C19725</stp>
        <tr r="V171" s="2"/>
      </tp>
      <tp t="s">
        <v>N/A</v>
        <stp/>
        <stp>VOLUME</stp>
        <stp>.NDXP250829C19625</stp>
        <tr r="P175" s="2"/>
      </tp>
      <tp t="s">
        <v>N/A</v>
        <stp/>
        <stp>VOLUME</stp>
        <stp>.NDXP250606C19925</stp>
        <tr r="J163" s="2"/>
      </tp>
      <tp t="s">
        <v>N/A</v>
        <stp/>
        <stp>VOLUME</stp>
        <stp>.NDXP250509C19625</stp>
        <tr r="BA174" s="1"/>
      </tp>
      <tp t="s">
        <v>N/A</v>
        <stp/>
        <stp>VOLUME</stp>
        <stp>.NDXP251128C19700</stp>
        <tr r="V172" s="2"/>
      </tp>
      <tp t="s">
        <v>N/A</v>
        <stp/>
        <stp>VOLUME</stp>
        <stp>.NDXP250829C19600</stp>
        <tr r="P176" s="2"/>
      </tp>
      <tp t="s">
        <v>N/A</v>
        <stp/>
        <stp>VOLUME</stp>
        <stp>.NDXP250606C19900</stp>
        <tr r="J164" s="2"/>
      </tp>
      <tp>
        <v>1</v>
        <stp/>
        <stp>VOLUME</stp>
        <stp>.NDXP250509C19600</stp>
        <tr r="BA175" s="1"/>
        <tr r="BA175" s="1"/>
      </tp>
      <tp t="s">
        <v>N/A</v>
        <stp/>
        <stp>VOLUME</stp>
        <stp>.NDXP251128P19750</stp>
        <tr r="V170" s="2"/>
      </tp>
      <tp t="s">
        <v>N/A</v>
        <stp/>
        <stp>VOLUME</stp>
        <stp>.NDXP250829P19650</stp>
        <tr r="P174" s="2"/>
      </tp>
      <tp>
        <v>2</v>
        <stp/>
        <stp>VOLUME</stp>
        <stp>.NDXP250606P19950</stp>
        <tr r="J162" s="2"/>
        <tr r="J162" s="2"/>
      </tp>
      <tp>
        <v>678</v>
        <stp/>
        <stp>VOLUME</stp>
        <stp>.NDXP250509P19650</stp>
        <tr r="BB173" s="1"/>
        <tr r="BB173" s="1"/>
      </tp>
      <tp t="s">
        <v>N/A</v>
        <stp/>
        <stp>VOLUME</stp>
        <stp>.NDXP251128P19775</stp>
        <tr r="V169" s="2"/>
      </tp>
      <tp t="s">
        <v>N/A</v>
        <stp/>
        <stp>VOLUME</stp>
        <stp>.NDXP250829P19675</stp>
        <tr r="P173" s="2"/>
      </tp>
      <tp t="s">
        <v>N/A</v>
        <stp/>
        <stp>VOLUME</stp>
        <stp>.NDXP250606P19975</stp>
        <tr r="J161" s="2"/>
      </tp>
      <tp>
        <v>42</v>
        <stp/>
        <stp>VOLUME</stp>
        <stp>.NDXP250509P19675</stp>
        <tr r="BB172" s="1"/>
        <tr r="BB172" s="1"/>
      </tp>
      <tp t="s">
        <v>N/A</v>
        <stp/>
        <stp>VOLUME</stp>
        <stp>.NDXP250829P19600</stp>
        <tr r="P176" s="2"/>
      </tp>
      <tp t="s">
        <v>N/A</v>
        <stp/>
        <stp>VOLUME</stp>
        <stp>.NDXP250606P19900</stp>
        <tr r="J164" s="2"/>
      </tp>
      <tp>
        <v>562</v>
        <stp/>
        <stp>VOLUME</stp>
        <stp>.NDXP250509P19600</stp>
        <tr r="BB175" s="1"/>
        <tr r="BB175" s="1"/>
      </tp>
      <tp t="s">
        <v>N/A</v>
        <stp/>
        <stp>VOLUME</stp>
        <stp>.NDXP251128P19700</stp>
        <tr r="V172" s="2"/>
      </tp>
      <tp t="s">
        <v>N/A</v>
        <stp/>
        <stp>VOLUME</stp>
        <stp>.NDXP250829P19625</stp>
        <tr r="P175" s="2"/>
      </tp>
      <tp t="s">
        <v>N/A</v>
        <stp/>
        <stp>VOLUME</stp>
        <stp>.NDXP250606P19925</stp>
        <tr r="J163" s="2"/>
      </tp>
      <tp>
        <v>48</v>
        <stp/>
        <stp>VOLUME</stp>
        <stp>.NDXP250509P19625</stp>
        <tr r="BB174" s="1"/>
        <tr r="BB174" s="1"/>
      </tp>
      <tp t="s">
        <v>N/A</v>
        <stp/>
        <stp>VOLUME</stp>
        <stp>.NDXP251128P19725</stp>
        <tr r="V171" s="2"/>
      </tp>
      <tp>
        <v>38</v>
        <stp/>
        <stp>OPEN_INT</stp>
        <stp>.NDXP250509C19800</stp>
        <tr r="AS167" s="1"/>
        <tr r="AS167" s="1"/>
      </tp>
      <tp>
        <v>15</v>
        <stp/>
        <stp>OPEN_INT</stp>
        <stp>.NDXP250509C19825</stp>
        <tr r="AS166" s="1"/>
        <tr r="AS166" s="1"/>
      </tp>
      <tp>
        <v>7</v>
        <stp/>
        <stp>OPEN_INT</stp>
        <stp>.NDXP250509C19850</stp>
        <tr r="AS165" s="1"/>
        <tr r="AS165" s="1"/>
      </tp>
      <tp>
        <v>6</v>
        <stp/>
        <stp>OPEN_INT</stp>
        <stp>.NDXP250509C19875</stp>
        <tr r="AS164" s="1"/>
        <tr r="AS164" s="1"/>
      </tp>
      <tp>
        <v>6</v>
        <stp/>
        <stp>OPEN_INT</stp>
        <stp>.NDXP250509P19825</stp>
        <tr r="AT166" s="1"/>
        <tr r="AT166" s="1"/>
      </tp>
      <tp>
        <v>24</v>
        <stp/>
        <stp>OPEN_INT</stp>
        <stp>.NDXP250509P19800</stp>
        <tr r="AT167" s="1"/>
        <tr r="AT167" s="1"/>
      </tp>
      <tp>
        <v>6</v>
        <stp/>
        <stp>OPEN_INT</stp>
        <stp>.NDXP250509P19875</stp>
        <tr r="AT164" s="1"/>
        <tr r="AT164" s="1"/>
      </tp>
      <tp>
        <v>17</v>
        <stp/>
        <stp>OPEN_INT</stp>
        <stp>.NDXP250509P19850</stp>
        <tr r="AT165" s="1"/>
        <tr r="AT165" s="1"/>
      </tp>
      <tp>
        <v>-0.92</v>
        <stp/>
        <stp>DELTA</stp>
        <stp>.NDXP250509P20225</stp>
        <tr r="CE150" s="1"/>
        <tr r="CE150" s="1"/>
      </tp>
      <tp>
        <v>-0.91</v>
        <stp/>
        <stp>DELTA</stp>
        <stp>.NDXP250509P20200</stp>
        <tr r="CE151" s="1"/>
        <tr r="CE151" s="1"/>
      </tp>
      <tp>
        <v>-0.93</v>
        <stp/>
        <stp>DELTA</stp>
        <stp>.NDXP250509P20275</stp>
        <tr r="CE148" s="1"/>
        <tr r="CE148" s="1"/>
      </tp>
      <tp>
        <v>0</v>
        <stp/>
        <stp>DELTA</stp>
        <stp>.NDXP250509P19275</stp>
        <tr r="CE188" s="1"/>
        <tr r="CE188" s="1"/>
      </tp>
      <tp>
        <v>-0.93</v>
        <stp/>
        <stp>DELTA</stp>
        <stp>.NDXP250509P20250</stp>
        <tr r="CE149" s="1"/>
        <tr r="CE149" s="1"/>
      </tp>
      <tp>
        <v>0</v>
        <stp/>
        <stp>DELTA</stp>
        <stp>.NDXP250509P19250</stp>
        <tr r="CE189" s="1"/>
        <tr r="CE189" s="1"/>
      </tp>
      <tp>
        <v>0</v>
        <stp/>
        <stp>DELTA</stp>
        <stp>.NDXP250509C20200</stp>
        <tr r="CD151" s="1"/>
        <tr r="CD151" s="1"/>
      </tp>
      <tp>
        <v>7.0000000000000007E-2</v>
        <stp/>
        <stp>DELTA</stp>
        <stp>.NDXP250509C20225</stp>
        <tr r="CD150" s="1"/>
        <tr r="CD150" s="1"/>
      </tp>
      <tp>
        <v>0.01</v>
        <stp/>
        <stp>DELTA</stp>
        <stp>.NDXP250509C20250</stp>
        <tr r="CD149" s="1"/>
        <tr r="CD149" s="1"/>
      </tp>
      <tp>
        <v>1</v>
        <stp/>
        <stp>DELTA</stp>
        <stp>.NDXP250509C19250</stp>
        <tr r="CD189" s="1"/>
        <tr r="CD189" s="1"/>
      </tp>
      <tp>
        <v>0.01</v>
        <stp/>
        <stp>DELTA</stp>
        <stp>.NDXP250509C20275</stp>
        <tr r="CD148" s="1"/>
        <tr r="CD148" s="1"/>
      </tp>
      <tp>
        <v>1</v>
        <stp/>
        <stp>DELTA</stp>
        <stp>.NDXP250509C19275</stp>
        <tr r="CD188" s="1"/>
        <tr r="CD188" s="1"/>
      </tp>
      <tp t="s">
        <v>N/A</v>
        <stp/>
        <stp>VOLUME</stp>
        <stp>.NDXP250829C20175</stp>
        <tr r="P153" s="2"/>
      </tp>
      <tp t="s">
        <v>N/A</v>
        <stp/>
        <stp>VOLUME</stp>
        <stp>.NDXP250930C19875</stp>
        <tr r="R165" s="2"/>
      </tp>
      <tp t="s">
        <v>N/A</v>
        <stp/>
        <stp>VOLUME</stp>
        <stp>.NDXP250731C19975</stp>
        <tr r="N161" s="2"/>
      </tp>
      <tp t="s">
        <v>N/A</v>
        <stp/>
        <stp>VOLUME</stp>
        <stp>.NDXP250630C19875</stp>
        <tr r="L165" s="2"/>
      </tp>
      <tp>
        <v>178</v>
        <stp/>
        <stp>VOLUME</stp>
        <stp>.NDXP250509C20175</stp>
        <tr r="BA152" s="1"/>
        <tr r="BA152" s="1"/>
      </tp>
      <tp>
        <v>1</v>
        <stp/>
        <stp>VOLUME</stp>
        <stp>.NDXP250530C19875</stp>
        <tr r="I165" s="2"/>
        <tr r="I165" s="2"/>
      </tp>
      <tp t="s">
        <v>N/A</v>
        <stp/>
        <stp>VOLUME</stp>
        <stp>.NDXP251231C19975</stp>
        <tr r="X161" s="2"/>
      </tp>
      <tp t="s">
        <v>N/A</v>
        <stp/>
        <stp>VOLUME</stp>
        <stp>.NDXP251128C20075</stp>
        <tr r="V157" s="2"/>
      </tp>
      <tp t="s">
        <v>N/A</v>
        <stp/>
        <stp>VOLUME</stp>
        <stp>.NDXP251031C19975</stp>
        <tr r="T161" s="2"/>
      </tp>
      <tp t="s">
        <v>N/A</v>
        <stp/>
        <stp>VOLUME</stp>
        <stp>.NDXP250829C20150</stp>
        <tr r="P154" s="2"/>
      </tp>
      <tp t="s">
        <v>N/A</v>
        <stp/>
        <stp>VOLUME</stp>
        <stp>.NDXP250930C19850</stp>
        <tr r="R166" s="2"/>
      </tp>
      <tp t="s">
        <v>N/A</v>
        <stp/>
        <stp>VOLUME</stp>
        <stp>.NDXP250630C19850</stp>
        <tr r="L166" s="2"/>
      </tp>
      <tp>
        <v>763</v>
        <stp/>
        <stp>VOLUME</stp>
        <stp>.NDXP250509C20150</stp>
        <tr r="BA153" s="1"/>
        <tr r="BA153" s="1"/>
      </tp>
      <tp t="s">
        <v>N/A</v>
        <stp/>
        <stp>VOLUME</stp>
        <stp>.NDXP250731C19950</stp>
        <tr r="N162" s="2"/>
      </tp>
      <tp t="s">
        <v>N/A</v>
        <stp/>
        <stp>VOLUME</stp>
        <stp>.NDXP250530C19850</stp>
        <tr r="I166" s="2"/>
      </tp>
      <tp t="s">
        <v>N/A</v>
        <stp/>
        <stp>VOLUME</stp>
        <stp>.NDXP251231C19950</stp>
        <tr r="X162" s="2"/>
      </tp>
      <tp t="s">
        <v>N/A</v>
        <stp/>
        <stp>VOLUME</stp>
        <stp>.NDXP251128C20050</stp>
        <tr r="V158" s="2"/>
      </tp>
      <tp t="s">
        <v>N/A</v>
        <stp/>
        <stp>VOLUME</stp>
        <stp>.NDXP251031C19950</stp>
        <tr r="T162" s="2"/>
      </tp>
      <tp t="s">
        <v>N/A</v>
        <stp/>
        <stp>VOLUME</stp>
        <stp>.NDXP251231C19925</stp>
        <tr r="X163" s="2"/>
      </tp>
      <tp t="s">
        <v>N/A</v>
        <stp/>
        <stp>VOLUME</stp>
        <stp>.NDXP251128C20025</stp>
        <tr r="V159" s="2"/>
      </tp>
      <tp t="s">
        <v>N/A</v>
        <stp/>
        <stp>VOLUME</stp>
        <stp>.NDXP251031C19925</stp>
        <tr r="T163" s="2"/>
      </tp>
      <tp t="s">
        <v>N/A</v>
        <stp/>
        <stp>VOLUME</stp>
        <stp>.NDXP250829C20125</stp>
        <tr r="P155" s="2"/>
      </tp>
      <tp t="s">
        <v>N/A</v>
        <stp/>
        <stp>VOLUME</stp>
        <stp>.NDXP250930C19825</stp>
        <tr r="R167" s="2"/>
      </tp>
      <tp t="s">
        <v>N/A</v>
        <stp/>
        <stp>VOLUME</stp>
        <stp>.NDXP250731C19925</stp>
        <tr r="N163" s="2"/>
      </tp>
      <tp t="s">
        <v>N/A</v>
        <stp/>
        <stp>VOLUME</stp>
        <stp>.NDXP250630C19825</stp>
        <tr r="L167" s="2"/>
      </tp>
      <tp>
        <v>300</v>
        <stp/>
        <stp>VOLUME</stp>
        <stp>.NDXP250509C20125</stp>
        <tr r="BA154" s="1"/>
        <tr r="BA154" s="1"/>
      </tp>
      <tp>
        <v>1</v>
        <stp/>
        <stp>VOLUME</stp>
        <stp>.NDXP250530C19825</stp>
        <tr r="I167" s="2"/>
        <tr r="I167" s="2"/>
      </tp>
      <tp t="s">
        <v>N/A</v>
        <stp/>
        <stp>VOLUME</stp>
        <stp>.NDXP251231C19900</stp>
        <tr r="X164" s="2"/>
      </tp>
      <tp t="s">
        <v>N/A</v>
        <stp/>
        <stp>VOLUME</stp>
        <stp>.NDXP251128C20000</stp>
        <tr r="V160" s="2"/>
      </tp>
      <tp t="s">
        <v>N/A</v>
        <stp/>
        <stp>VOLUME</stp>
        <stp>.NDXP251031C19900</stp>
        <tr r="T164" s="2"/>
      </tp>
      <tp t="s">
        <v>N/A</v>
        <stp/>
        <stp>VOLUME</stp>
        <stp>.NDXP250829C20100</stp>
        <tr r="P156" s="2"/>
      </tp>
      <tp t="s">
        <v>N/A</v>
        <stp/>
        <stp>VOLUME</stp>
        <stp>.NDXP250930C19800</stp>
        <tr r="R168" s="2"/>
      </tp>
      <tp t="s">
        <v>N/A</v>
        <stp/>
        <stp>VOLUME</stp>
        <stp>.NDXP250630C19800</stp>
        <tr r="L168" s="2"/>
      </tp>
      <tp>
        <v>1040</v>
        <stp/>
        <stp>VOLUME</stp>
        <stp>.NDXP250509C20100</stp>
        <tr r="BA155" s="1"/>
        <tr r="BA155" s="1"/>
      </tp>
      <tp t="s">
        <v>N/A</v>
        <stp/>
        <stp>VOLUME</stp>
        <stp>.NDXP250731C19900</stp>
        <tr r="N164" s="2"/>
      </tp>
      <tp t="s">
        <v>N/A</v>
        <stp/>
        <stp>VOLUME</stp>
        <stp>.NDXP250530C19800</stp>
        <tr r="I168" s="2"/>
      </tp>
      <tp t="s">
        <v>N/A</v>
        <stp/>
        <stp>VOLUME</stp>
        <stp>.SPXW250930C5680</stp>
        <tr r="R105" s="2"/>
      </tp>
      <tp t="s">
        <v>N/A</v>
        <stp/>
        <stp>VOLUME</stp>
        <stp>.SPXW250829C5710</stp>
        <tr r="P102" s="2"/>
      </tp>
      <tp t="s">
        <v>N/A</v>
        <stp/>
        <stp>VOLUME</stp>
        <stp>.SPXW250509C5510</stp>
        <tr r="BA121" s="1"/>
      </tp>
      <tp t="s">
        <v>N/A</v>
        <stp/>
        <stp>VOLUME</stp>
        <stp>.SPXW250530C5680</stp>
        <tr r="I105" s="2"/>
      </tp>
      <tp t="s">
        <v>N/A</v>
        <stp/>
        <stp>VOLUME</stp>
        <stp>.SPXW250731C5690</stp>
        <tr r="N104" s="2"/>
      </tp>
      <tp t="s">
        <v>N/A</v>
        <stp/>
        <stp>VOLUME</stp>
        <stp>.SPXW250630C5680</stp>
        <tr r="L105" s="2"/>
      </tp>
      <tp t="s">
        <v>N/A</v>
        <stp/>
        <stp>VOLUME</stp>
        <stp>.SPXW251128C5700</stp>
        <tr r="V103" s="2"/>
      </tp>
      <tp t="s">
        <v>N/A</v>
        <stp/>
        <stp>VOLUME</stp>
        <stp>.SPXW251031C5690</stp>
        <tr r="T104" s="2"/>
      </tp>
      <tp t="s">
        <v>N/A</v>
        <stp/>
        <stp>VOLUME</stp>
        <stp>.SPXW251231C5690</stp>
        <tr r="X104" s="2"/>
      </tp>
      <tp t="s">
        <v>N/A</v>
        <stp/>
        <stp>VOLUME</stp>
        <stp>.SPXW251128P5700</stp>
        <tr r="V103" s="2"/>
      </tp>
      <tp t="s">
        <v>N/A</v>
        <stp/>
        <stp>VOLUME</stp>
        <stp>.SPXW251031P5690</stp>
        <tr r="T104" s="2"/>
      </tp>
      <tp t="s">
        <v>N/A</v>
        <stp/>
        <stp>VOLUME</stp>
        <stp>.SPXW251231P5690</stp>
        <tr r="X104" s="2"/>
      </tp>
      <tp t="s">
        <v>N/A</v>
        <stp/>
        <stp>VOLUME</stp>
        <stp>.SPXW250930P5680</stp>
        <tr r="R105" s="2"/>
      </tp>
      <tp t="s">
        <v>N/A</v>
        <stp/>
        <stp>VOLUME</stp>
        <stp>.SPXW250829P5710</stp>
        <tr r="P102" s="2"/>
      </tp>
      <tp t="s">
        <v>N/A</v>
        <stp/>
        <stp>VOLUME</stp>
        <stp>.SPXW250509P5510</stp>
        <tr r="BB121" s="1"/>
      </tp>
      <tp t="s">
        <v>N/A</v>
        <stp/>
        <stp>VOLUME</stp>
        <stp>.SPXW250530P5680</stp>
        <tr r="I105" s="2"/>
      </tp>
      <tp t="s">
        <v>N/A</v>
        <stp/>
        <stp>VOLUME</stp>
        <stp>.SPXW250731P5690</stp>
        <tr r="N104" s="2"/>
      </tp>
      <tp t="s">
        <v>N/A</v>
        <stp/>
        <stp>VOLUME</stp>
        <stp>.SPXW250630P5680</stp>
        <tr r="L105" s="2"/>
      </tp>
      <tp t="s">
        <v>N/A</v>
        <stp/>
        <stp>VOLUME</stp>
        <stp>.SPXW250930C5690</stp>
        <tr r="R104" s="2"/>
      </tp>
      <tp t="s">
        <v>N/A</v>
        <stp/>
        <stp>VOLUME</stp>
        <stp>.SPXW250829C5700</stp>
        <tr r="P103" s="2"/>
      </tp>
      <tp t="s">
        <v>N/A</v>
        <stp/>
        <stp>VOLUME</stp>
        <stp>.SPXW250509C5500</stp>
        <tr r="BA122" s="1"/>
      </tp>
      <tp t="s">
        <v>N/A</v>
        <stp/>
        <stp>VOLUME</stp>
        <stp>.SPXW250530C5690</stp>
        <tr r="I104" s="2"/>
      </tp>
      <tp t="s">
        <v>N/A</v>
        <stp/>
        <stp>VOLUME</stp>
        <stp>.SPXW250731C5680</stp>
        <tr r="N105" s="2"/>
      </tp>
      <tp t="s">
        <v>N/A</v>
        <stp/>
        <stp>VOLUME</stp>
        <stp>.SPXW250630C5690</stp>
        <tr r="L104" s="2"/>
      </tp>
      <tp t="s">
        <v>N/A</v>
        <stp/>
        <stp>VOLUME</stp>
        <stp>.SPXW251128C5710</stp>
        <tr r="V102" s="2"/>
      </tp>
      <tp t="s">
        <v>N/A</v>
        <stp/>
        <stp>VOLUME</stp>
        <stp>.SPXW251031C5680</stp>
        <tr r="T105" s="2"/>
      </tp>
      <tp t="s">
        <v>N/A</v>
        <stp/>
        <stp>VOLUME</stp>
        <stp>.SPXW251231C5680</stp>
        <tr r="X105" s="2"/>
      </tp>
      <tp t="s">
        <v>N/A</v>
        <stp/>
        <stp>VOLUME</stp>
        <stp>.SPXW251128P5710</stp>
        <tr r="V102" s="2"/>
      </tp>
      <tp t="s">
        <v>N/A</v>
        <stp/>
        <stp>VOLUME</stp>
        <stp>.SPXW251031P5680</stp>
        <tr r="T105" s="2"/>
      </tp>
      <tp t="s">
        <v>N/A</v>
        <stp/>
        <stp>VOLUME</stp>
        <stp>.SPXW251231P5680</stp>
        <tr r="X105" s="2"/>
      </tp>
      <tp t="s">
        <v>N/A</v>
        <stp/>
        <stp>VOLUME</stp>
        <stp>.SPXW250930P5690</stp>
        <tr r="R104" s="2"/>
      </tp>
      <tp t="s">
        <v>N/A</v>
        <stp/>
        <stp>VOLUME</stp>
        <stp>.SPXW250829P5700</stp>
        <tr r="P103" s="2"/>
      </tp>
      <tp t="s">
        <v>N/A</v>
        <stp/>
        <stp>VOLUME</stp>
        <stp>.SPXW250509P5500</stp>
        <tr r="BB122" s="1"/>
      </tp>
      <tp t="s">
        <v>N/A</v>
        <stp/>
        <stp>VOLUME</stp>
        <stp>.SPXW250530P5690</stp>
        <tr r="I104" s="2"/>
      </tp>
      <tp t="s">
        <v>N/A</v>
        <stp/>
        <stp>VOLUME</stp>
        <stp>.SPXW250731P5680</stp>
        <tr r="N105" s="2"/>
      </tp>
      <tp t="s">
        <v>N/A</v>
        <stp/>
        <stp>VOLUME</stp>
        <stp>.SPXW250630P5690</stp>
        <tr r="L104" s="2"/>
      </tp>
      <tp t="s">
        <v>N/A</v>
        <stp/>
        <stp>VOLUME</stp>
        <stp>.SPXW250829C5730</stp>
        <tr r="P100" s="2"/>
      </tp>
      <tp t="s">
        <v>N/A</v>
        <stp/>
        <stp>VOLUME</stp>
        <stp>.SPXW250509C5530</stp>
        <tr r="BA119" s="1"/>
      </tp>
      <tp t="s">
        <v>N/A</v>
        <stp/>
        <stp>VOLUME</stp>
        <stp>.SPXW251128C5720</stp>
        <tr r="V101" s="2"/>
      </tp>
      <tp t="s">
        <v>N/A</v>
        <stp/>
        <stp>VOLUME</stp>
        <stp>.SPXW251128P5720</stp>
        <tr r="V101" s="2"/>
      </tp>
      <tp t="s">
        <v>N/A</v>
        <stp/>
        <stp>VOLUME</stp>
        <stp>.SPXW250829P5730</stp>
        <tr r="P100" s="2"/>
      </tp>
      <tp t="s">
        <v>N/A</v>
        <stp/>
        <stp>VOLUME</stp>
        <stp>.SPXW250509P5530</stp>
        <tr r="BB119" s="1"/>
      </tp>
      <tp>
        <v>1</v>
        <stp/>
        <stp>VOLUME</stp>
        <stp>.SPXW250829C5720</stp>
        <tr r="P101" s="2"/>
        <tr r="P101" s="2"/>
      </tp>
      <tp t="s">
        <v>N/A</v>
        <stp/>
        <stp>VOLUME</stp>
        <stp>.SPXW250509C5520</stp>
        <tr r="BA120" s="1"/>
      </tp>
      <tp t="s">
        <v>N/A</v>
        <stp/>
        <stp>VOLUME</stp>
        <stp>.SPXW251128C5730</stp>
        <tr r="V100" s="2"/>
      </tp>
      <tp t="s">
        <v>N/A</v>
        <stp/>
        <stp>VOLUME</stp>
        <stp>.SPXW251128P5730</stp>
        <tr r="V100" s="2"/>
      </tp>
      <tp t="s">
        <v>N/A</v>
        <stp/>
        <stp>VOLUME</stp>
        <stp>.SPXW250829P5720</stp>
        <tr r="P101" s="2"/>
      </tp>
      <tp t="s">
        <v>N/A</v>
        <stp/>
        <stp>VOLUME</stp>
        <stp>.SPXW250509P5520</stp>
        <tr r="BB120" s="1"/>
      </tp>
      <tp t="s">
        <v>N/A</v>
        <stp/>
        <stp>VOLUME</stp>
        <stp>.SPXW250829C5750</stp>
        <tr r="P98" s="2"/>
      </tp>
      <tp t="s">
        <v>N/A</v>
        <stp/>
        <stp>VOLUME</stp>
        <stp>.SPXW250509C5550</stp>
        <tr r="BA117" s="1"/>
      </tp>
      <tp t="s">
        <v>N/A</v>
        <stp/>
        <stp>VOLUME</stp>
        <stp>.SPXW251128C5740</stp>
        <tr r="V99" s="2"/>
      </tp>
      <tp t="s">
        <v>N/A</v>
        <stp/>
        <stp>VOLUME</stp>
        <stp>.SPXW251128P5740</stp>
        <tr r="V99" s="2"/>
      </tp>
      <tp t="s">
        <v>N/A</v>
        <stp/>
        <stp>VOLUME</stp>
        <stp>.SPXW250829P5750</stp>
        <tr r="P98" s="2"/>
      </tp>
      <tp t="s">
        <v>N/A</v>
        <stp/>
        <stp>VOLUME</stp>
        <stp>.SPXW250509P5550</stp>
        <tr r="BB117" s="1"/>
      </tp>
      <tp t="s">
        <v>N/A</v>
        <stp/>
        <stp>VOLUME</stp>
        <stp>.SPXW250829C5740</stp>
        <tr r="P99" s="2"/>
      </tp>
      <tp t="s">
        <v>N/A</v>
        <stp/>
        <stp>VOLUME</stp>
        <stp>.SPXW250509C5540</stp>
        <tr r="BA118" s="1"/>
      </tp>
      <tp t="s">
        <v>N/A</v>
        <stp/>
        <stp>VOLUME</stp>
        <stp>.SPXW251128C5750</stp>
        <tr r="V98" s="2"/>
      </tp>
      <tp t="s">
        <v>N/A</v>
        <stp/>
        <stp>VOLUME</stp>
        <stp>.SPXW251128P5750</stp>
        <tr r="V98" s="2"/>
      </tp>
      <tp t="s">
        <v>N/A</v>
        <stp/>
        <stp>VOLUME</stp>
        <stp>.SPXW250829P5740</stp>
        <tr r="P99" s="2"/>
      </tp>
      <tp t="s">
        <v>N/A</v>
        <stp/>
        <stp>VOLUME</stp>
        <stp>.SPXW250509P5540</stp>
        <tr r="BB118" s="1"/>
      </tp>
      <tp t="s">
        <v>N/A</v>
        <stp/>
        <stp>VOLUME</stp>
        <stp>.SPXW250829C5770</stp>
        <tr r="P96" s="2"/>
      </tp>
      <tp t="s">
        <v>N/A</v>
        <stp/>
        <stp>VOLUME</stp>
        <stp>.SPXW250509C5570</stp>
        <tr r="BA115" s="1"/>
      </tp>
      <tp t="s">
        <v>N/A</v>
        <stp/>
        <stp>VOLUME</stp>
        <stp>.SPXW250606C5580</stp>
        <tr r="J115" s="2"/>
      </tp>
      <tp t="s">
        <v>N/A</v>
        <stp/>
        <stp>VOLUME</stp>
        <stp>.SPXW251128C5760</stp>
        <tr r="V97" s="2"/>
      </tp>
      <tp t="s">
        <v>N/A</v>
        <stp/>
        <stp>VOLUME</stp>
        <stp>.SPXW251128P5760</stp>
        <tr r="V97" s="2"/>
      </tp>
      <tp t="s">
        <v>N/A</v>
        <stp/>
        <stp>VOLUME</stp>
        <stp>.SPXW250829P5770</stp>
        <tr r="P96" s="2"/>
      </tp>
      <tp t="s">
        <v>N/A</v>
        <stp/>
        <stp>VOLUME</stp>
        <stp>.SPXW250509P5570</stp>
        <tr r="BB115" s="1"/>
      </tp>
      <tp t="s">
        <v>N/A</v>
        <stp/>
        <stp>VOLUME</stp>
        <stp>.SPXW250606P5580</stp>
        <tr r="J115" s="2"/>
      </tp>
      <tp t="s">
        <v>N/A</v>
        <stp/>
        <stp>VOLUME</stp>
        <stp>.SPXW250829C5760</stp>
        <tr r="P97" s="2"/>
      </tp>
      <tp t="s">
        <v>N/A</v>
        <stp/>
        <stp>VOLUME</stp>
        <stp>.SPXW250509C5560</stp>
        <tr r="BA116" s="1"/>
      </tp>
      <tp t="s">
        <v>N/A</v>
        <stp/>
        <stp>VOLUME</stp>
        <stp>.SPXW250606C5590</stp>
        <tr r="J114" s="2"/>
      </tp>
      <tp t="s">
        <v>N/A</v>
        <stp/>
        <stp>VOLUME</stp>
        <stp>.SPXW251128C5770</stp>
        <tr r="V96" s="2"/>
      </tp>
      <tp t="s">
        <v>N/A</v>
        <stp/>
        <stp>VOLUME</stp>
        <stp>.SPXW251128P5770</stp>
        <tr r="V96" s="2"/>
      </tp>
      <tp t="s">
        <v>N/A</v>
        <stp/>
        <stp>VOLUME</stp>
        <stp>.SPXW250829P5760</stp>
        <tr r="P97" s="2"/>
      </tp>
      <tp t="s">
        <v>N/A</v>
        <stp/>
        <stp>VOLUME</stp>
        <stp>.SPXW250509P5560</stp>
        <tr r="BB116" s="1"/>
      </tp>
      <tp t="s">
        <v>N/A</v>
        <stp/>
        <stp>VOLUME</stp>
        <stp>.SPXW250606P5590</stp>
        <tr r="J114" s="2"/>
      </tp>
      <tp t="s">
        <v>N/A</v>
        <stp/>
        <stp>VOLUME</stp>
        <stp>.NDXP251231P19950</stp>
        <tr r="X162" s="2"/>
      </tp>
      <tp t="s">
        <v>N/A</v>
        <stp/>
        <stp>VOLUME</stp>
        <stp>.NDXP251128P20050</stp>
        <tr r="V158" s="2"/>
      </tp>
      <tp t="s">
        <v>N/A</v>
        <stp/>
        <stp>VOLUME</stp>
        <stp>.NDXP251031P19950</stp>
        <tr r="T162" s="2"/>
      </tp>
      <tp t="s">
        <v>N/A</v>
        <stp/>
        <stp>VOLUME</stp>
        <stp>.SPXW250930C5600</stp>
        <tr r="R113" s="2"/>
      </tp>
      <tp t="s">
        <v>N/A</v>
        <stp/>
        <stp>VOLUME</stp>
        <stp>.SPXW250829C5790</stp>
        <tr r="P94" s="2"/>
      </tp>
      <tp t="s">
        <v>N/A</v>
        <stp/>
        <stp>VOLUME</stp>
        <stp>.SPXW250509C5590</stp>
        <tr r="BA113" s="1"/>
      </tp>
      <tp t="s">
        <v>N/A</v>
        <stp/>
        <stp>VOLUME</stp>
        <stp>.SPXW250530C5600</stp>
        <tr r="I113" s="2"/>
      </tp>
      <tp t="s">
        <v>N/A</v>
        <stp/>
        <stp>VOLUME</stp>
        <stp>.SPXW250731C5610</stp>
        <tr r="N112" s="2"/>
      </tp>
      <tp t="s">
        <v>N/A</v>
        <stp/>
        <stp>VOLUME</stp>
        <stp>.SPXW250606C5560</stp>
        <tr r="J117" s="2"/>
      </tp>
      <tp t="s">
        <v>N/A</v>
        <stp/>
        <stp>VOLUME</stp>
        <stp>.SPXW250630C5600</stp>
        <tr r="L113" s="2"/>
      </tp>
      <tp t="s">
        <v>N/A</v>
        <stp/>
        <stp>VOLUME</stp>
        <stp>.SPXW251128C5780</stp>
        <tr r="V95" s="2"/>
      </tp>
      <tp t="s">
        <v>N/A</v>
        <stp/>
        <stp>VOLUME</stp>
        <stp>.SPXW251031C5610</stp>
        <tr r="T112" s="2"/>
      </tp>
      <tp t="s">
        <v>N/A</v>
        <stp/>
        <stp>VOLUME</stp>
        <stp>.SPXW251231C5610</stp>
        <tr r="X112" s="2"/>
      </tp>
      <tp t="s">
        <v>N/A</v>
        <stp/>
        <stp>VOLUME</stp>
        <stp>.SPXW251128P5780</stp>
        <tr r="V95" s="2"/>
      </tp>
      <tp t="s">
        <v>N/A</v>
        <stp/>
        <stp>VOLUME</stp>
        <stp>.SPXW251031P5610</stp>
        <tr r="T112" s="2"/>
      </tp>
      <tp t="s">
        <v>N/A</v>
        <stp/>
        <stp>VOLUME</stp>
        <stp>.SPXW251231P5610</stp>
        <tr r="X112" s="2"/>
      </tp>
      <tp t="s">
        <v>N/A</v>
        <stp/>
        <stp>VOLUME</stp>
        <stp>.SPXW250930P5600</stp>
        <tr r="R113" s="2"/>
      </tp>
      <tp t="s">
        <v>N/A</v>
        <stp/>
        <stp>VOLUME</stp>
        <stp>.SPXW250829P5790</stp>
        <tr r="P94" s="2"/>
      </tp>
      <tp t="s">
        <v>N/A</v>
        <stp/>
        <stp>VOLUME</stp>
        <stp>.SPXW250509P5590</stp>
        <tr r="BB113" s="1"/>
      </tp>
      <tp t="s">
        <v>N/A</v>
        <stp/>
        <stp>VOLUME</stp>
        <stp>.SPXW250530P5600</stp>
        <tr r="I113" s="2"/>
      </tp>
      <tp t="s">
        <v>N/A</v>
        <stp/>
        <stp>VOLUME</stp>
        <stp>.SPXW250731P5610</stp>
        <tr r="N112" s="2"/>
      </tp>
      <tp t="s">
        <v>N/A</v>
        <stp/>
        <stp>VOLUME</stp>
        <stp>.SPXW250606P5560</stp>
        <tr r="J117" s="2"/>
      </tp>
      <tp t="s">
        <v>N/A</v>
        <stp/>
        <stp>VOLUME</stp>
        <stp>.SPXW250630P5600</stp>
        <tr r="L113" s="2"/>
      </tp>
      <tp t="s">
        <v>N/A</v>
        <stp/>
        <stp>VOLUME</stp>
        <stp>.NDXP250829P20150</stp>
        <tr r="P154" s="2"/>
      </tp>
      <tp t="s">
        <v>N/A</v>
        <stp/>
        <stp>VOLUME</stp>
        <stp>.NDXP250930P19850</stp>
        <tr r="R166" s="2"/>
      </tp>
      <tp t="s">
        <v>N/A</v>
        <stp/>
        <stp>VOLUME</stp>
        <stp>.NDXP250630P19850</stp>
        <tr r="L166" s="2"/>
      </tp>
      <tp>
        <v>135</v>
        <stp/>
        <stp>VOLUME</stp>
        <stp>.NDXP250509P20150</stp>
        <tr r="BB153" s="1"/>
        <tr r="BB153" s="1"/>
      </tp>
      <tp t="s">
        <v>N/A</v>
        <stp/>
        <stp>VOLUME</stp>
        <stp>.NDXP250731P19950</stp>
        <tr r="N162" s="2"/>
      </tp>
      <tp t="s">
        <v>N/A</v>
        <stp/>
        <stp>VOLUME</stp>
        <stp>.NDXP250530P19850</stp>
        <tr r="I166" s="2"/>
      </tp>
      <tp t="s">
        <v>N/A</v>
        <stp/>
        <stp>VOLUME</stp>
        <stp>.SPXW250930C5610</stp>
        <tr r="R112" s="2"/>
      </tp>
      <tp t="s">
        <v>N/A</v>
        <stp/>
        <stp>VOLUME</stp>
        <stp>.SPXW250829C5780</stp>
        <tr r="P95" s="2"/>
      </tp>
      <tp t="s">
        <v>N/A</v>
        <stp/>
        <stp>VOLUME</stp>
        <stp>.SPXW250509C5580</stp>
        <tr r="BA114" s="1"/>
      </tp>
      <tp t="s">
        <v>N/A</v>
        <stp/>
        <stp>VOLUME</stp>
        <stp>.SPXW250530C5610</stp>
        <tr r="I112" s="2"/>
      </tp>
      <tp t="s">
        <v>N/A</v>
        <stp/>
        <stp>VOLUME</stp>
        <stp>.SPXW250731C5600</stp>
        <tr r="N113" s="2"/>
      </tp>
      <tp t="s">
        <v>N/A</v>
        <stp/>
        <stp>VOLUME</stp>
        <stp>.SPXW250606C5570</stp>
        <tr r="J116" s="2"/>
      </tp>
      <tp t="s">
        <v>N/A</v>
        <stp/>
        <stp>VOLUME</stp>
        <stp>.SPXW250630C5610</stp>
        <tr r="L112" s="2"/>
      </tp>
      <tp t="s">
        <v>N/A</v>
        <stp/>
        <stp>VOLUME</stp>
        <stp>.SPXW251128C5790</stp>
        <tr r="V94" s="2"/>
      </tp>
      <tp t="s">
        <v>N/A</v>
        <stp/>
        <stp>VOLUME</stp>
        <stp>.SPXW251031C5600</stp>
        <tr r="T113" s="2"/>
      </tp>
      <tp t="s">
        <v>N/A</v>
        <stp/>
        <stp>VOLUME</stp>
        <stp>.SPXW251231C5600</stp>
        <tr r="X113" s="2"/>
      </tp>
      <tp t="s">
        <v>N/A</v>
        <stp/>
        <stp>VOLUME</stp>
        <stp>.SPXW251128P5790</stp>
        <tr r="V94" s="2"/>
      </tp>
      <tp t="s">
        <v>N/A</v>
        <stp/>
        <stp>VOLUME</stp>
        <stp>.SPXW251031P5600</stp>
        <tr r="T113" s="2"/>
      </tp>
      <tp t="s">
        <v>N/A</v>
        <stp/>
        <stp>VOLUME</stp>
        <stp>.SPXW251231P5600</stp>
        <tr r="X113" s="2"/>
      </tp>
      <tp t="s">
        <v>N/A</v>
        <stp/>
        <stp>VOLUME</stp>
        <stp>.SPXW250930P5610</stp>
        <tr r="R112" s="2"/>
      </tp>
      <tp t="s">
        <v>N/A</v>
        <stp/>
        <stp>VOLUME</stp>
        <stp>.SPXW250829P5780</stp>
        <tr r="P95" s="2"/>
      </tp>
      <tp t="s">
        <v>N/A</v>
        <stp/>
        <stp>VOLUME</stp>
        <stp>.SPXW250509P5580</stp>
        <tr r="BB114" s="1"/>
      </tp>
      <tp t="s">
        <v>N/A</v>
        <stp/>
        <stp>VOLUME</stp>
        <stp>.SPXW250530P5610</stp>
        <tr r="I112" s="2"/>
      </tp>
      <tp t="s">
        <v>N/A</v>
        <stp/>
        <stp>VOLUME</stp>
        <stp>.SPXW250731P5600</stp>
        <tr r="N113" s="2"/>
      </tp>
      <tp t="s">
        <v>N/A</v>
        <stp/>
        <stp>VOLUME</stp>
        <stp>.SPXW250606P5570</stp>
        <tr r="J116" s="2"/>
      </tp>
      <tp t="s">
        <v>N/A</v>
        <stp/>
        <stp>VOLUME</stp>
        <stp>.SPXW250630P5610</stp>
        <tr r="L112" s="2"/>
      </tp>
      <tp t="s">
        <v>N/A</v>
        <stp/>
        <stp>VOLUME</stp>
        <stp>.NDXP251231P19975</stp>
        <tr r="X161" s="2"/>
      </tp>
      <tp t="s">
        <v>N/A</v>
        <stp/>
        <stp>VOLUME</stp>
        <stp>.NDXP251128P20075</stp>
        <tr r="V157" s="2"/>
      </tp>
      <tp t="s">
        <v>N/A</v>
        <stp/>
        <stp>VOLUME</stp>
        <stp>.NDXP251031P19975</stp>
        <tr r="T161" s="2"/>
      </tp>
      <tp t="s">
        <v>N/A</v>
        <stp/>
        <stp>VOLUME</stp>
        <stp>.SPXW250930C5620</stp>
        <tr r="R111" s="2"/>
      </tp>
      <tp t="s">
        <v>N/A</v>
        <stp/>
        <stp>VOLUME</stp>
        <stp>.SPXW250530C5620</stp>
        <tr r="I111" s="2"/>
      </tp>
      <tp t="s">
        <v>N/A</v>
        <stp/>
        <stp>VOLUME</stp>
        <stp>.SPXW250731C5630</stp>
        <tr r="N110" s="2"/>
      </tp>
      <tp t="s">
        <v>N/A</v>
        <stp/>
        <stp>VOLUME</stp>
        <stp>.SPXW250606C5540</stp>
        <tr r="J119" s="2"/>
      </tp>
      <tp t="s">
        <v>N/A</v>
        <stp/>
        <stp>VOLUME</stp>
        <stp>.SPXW250630C5620</stp>
        <tr r="L111" s="2"/>
      </tp>
      <tp t="s">
        <v>N/A</v>
        <stp/>
        <stp>VOLUME</stp>
        <stp>.SPXW251031C5630</stp>
        <tr r="T110" s="2"/>
      </tp>
      <tp t="s">
        <v>N/A</v>
        <stp/>
        <stp>VOLUME</stp>
        <stp>.SPXW251231C5630</stp>
        <tr r="X110" s="2"/>
      </tp>
      <tp t="s">
        <v>N/A</v>
        <stp/>
        <stp>VOLUME</stp>
        <stp>.SPXW251031P5630</stp>
        <tr r="T110" s="2"/>
      </tp>
      <tp t="s">
        <v>N/A</v>
        <stp/>
        <stp>VOLUME</stp>
        <stp>.SPXW251231P5630</stp>
        <tr r="X110" s="2"/>
      </tp>
      <tp t="s">
        <v>N/A</v>
        <stp/>
        <stp>VOLUME</stp>
        <stp>.SPXW250930P5620</stp>
        <tr r="R111" s="2"/>
      </tp>
      <tp t="s">
        <v>N/A</v>
        <stp/>
        <stp>VOLUME</stp>
        <stp>.SPXW250530P5620</stp>
        <tr r="I111" s="2"/>
      </tp>
      <tp t="s">
        <v>N/A</v>
        <stp/>
        <stp>VOLUME</stp>
        <stp>.SPXW250731P5630</stp>
        <tr r="N110" s="2"/>
      </tp>
      <tp t="s">
        <v>N/A</v>
        <stp/>
        <stp>VOLUME</stp>
        <stp>.SPXW250606P5540</stp>
        <tr r="J119" s="2"/>
      </tp>
      <tp t="s">
        <v>N/A</v>
        <stp/>
        <stp>VOLUME</stp>
        <stp>.SPXW250630P5620</stp>
        <tr r="L111" s="2"/>
      </tp>
      <tp t="s">
        <v>N/A</v>
        <stp/>
        <stp>VOLUME</stp>
        <stp>.NDXP250829P20175</stp>
        <tr r="P153" s="2"/>
      </tp>
      <tp t="s">
        <v>N/A</v>
        <stp/>
        <stp>VOLUME</stp>
        <stp>.NDXP250930P19875</stp>
        <tr r="R165" s="2"/>
      </tp>
      <tp t="s">
        <v>N/A</v>
        <stp/>
        <stp>VOLUME</stp>
        <stp>.NDXP250731P19975</stp>
        <tr r="N161" s="2"/>
      </tp>
      <tp t="s">
        <v>N/A</v>
        <stp/>
        <stp>VOLUME</stp>
        <stp>.NDXP250630P19875</stp>
        <tr r="L165" s="2"/>
      </tp>
      <tp>
        <v>16</v>
        <stp/>
        <stp>VOLUME</stp>
        <stp>.NDXP250509P20175</stp>
        <tr r="BB152" s="1"/>
        <tr r="BB152" s="1"/>
      </tp>
      <tp t="s">
        <v>N/A</v>
        <stp/>
        <stp>VOLUME</stp>
        <stp>.NDXP250530P19875</stp>
        <tr r="I165" s="2"/>
      </tp>
      <tp t="s">
        <v>N/A</v>
        <stp/>
        <stp>VOLUME</stp>
        <stp>.SPXW250930C5630</stp>
        <tr r="R110" s="2"/>
      </tp>
      <tp t="s">
        <v>N/A</v>
        <stp/>
        <stp>VOLUME</stp>
        <stp>.SPXW250530C5630</stp>
        <tr r="I110" s="2"/>
      </tp>
      <tp t="s">
        <v>N/A</v>
        <stp/>
        <stp>VOLUME</stp>
        <stp>.SPXW250731C5620</stp>
        <tr r="N111" s="2"/>
      </tp>
      <tp t="s">
        <v>N/A</v>
        <stp/>
        <stp>VOLUME</stp>
        <stp>.SPXW250606C5550</stp>
        <tr r="J118" s="2"/>
      </tp>
      <tp t="s">
        <v>N/A</v>
        <stp/>
        <stp>VOLUME</stp>
        <stp>.SPXW250630C5630</stp>
        <tr r="L110" s="2"/>
      </tp>
      <tp t="s">
        <v>N/A</v>
        <stp/>
        <stp>VOLUME</stp>
        <stp>.SPXW251031C5620</stp>
        <tr r="T111" s="2"/>
      </tp>
      <tp t="s">
        <v>N/A</v>
        <stp/>
        <stp>VOLUME</stp>
        <stp>.SPXW251231C5620</stp>
        <tr r="X111" s="2"/>
      </tp>
      <tp t="s">
        <v>N/A</v>
        <stp/>
        <stp>VOLUME</stp>
        <stp>.SPXW251031P5620</stp>
        <tr r="T111" s="2"/>
      </tp>
      <tp t="s">
        <v>N/A</v>
        <stp/>
        <stp>VOLUME</stp>
        <stp>.SPXW251231P5620</stp>
        <tr r="X111" s="2"/>
      </tp>
      <tp t="s">
        <v>N/A</v>
        <stp/>
        <stp>VOLUME</stp>
        <stp>.SPXW250930P5630</stp>
        <tr r="R110" s="2"/>
      </tp>
      <tp t="s">
        <v>N/A</v>
        <stp/>
        <stp>VOLUME</stp>
        <stp>.SPXW250530P5630</stp>
        <tr r="I110" s="2"/>
      </tp>
      <tp t="s">
        <v>N/A</v>
        <stp/>
        <stp>VOLUME</stp>
        <stp>.SPXW250731P5620</stp>
        <tr r="N111" s="2"/>
      </tp>
      <tp>
        <v>1</v>
        <stp/>
        <stp>VOLUME</stp>
        <stp>.SPXW250606P5550</stp>
        <tr r="J118" s="2"/>
        <tr r="J118" s="2"/>
      </tp>
      <tp t="s">
        <v>N/A</v>
        <stp/>
        <stp>VOLUME</stp>
        <stp>.SPXW250630P5630</stp>
        <tr r="L110" s="2"/>
      </tp>
      <tp t="s">
        <v>N/A</v>
        <stp/>
        <stp>VOLUME</stp>
        <stp>.QQQP500</stp>
        <tr r="K48" s="2"/>
        <tr r="G48" s="2"/>
        <tr r="F48" s="2"/>
        <tr r="E48" s="2"/>
        <tr r="D48" s="2"/>
        <tr r="C48" s="2"/>
        <tr r="B48" s="2"/>
      </tp>
      <tp t="s">
        <v>N/A</v>
        <stp/>
        <stp>VOLUME</stp>
        <stp>.QQQC500</stp>
        <tr r="K48" s="2"/>
        <tr r="G48" s="2"/>
        <tr r="F48" s="2"/>
        <tr r="E48" s="2"/>
        <tr r="D48" s="2"/>
        <tr r="C48" s="2"/>
        <tr r="B48" s="2"/>
      </tp>
      <tp t="s">
        <v>N/A</v>
        <stp/>
        <stp>VOLUME</stp>
        <stp>.QQQP501</stp>
        <tr r="K47" s="2"/>
        <tr r="G47" s="2"/>
        <tr r="F47" s="2"/>
        <tr r="E47" s="2"/>
        <tr r="D47" s="2"/>
        <tr r="C47" s="2"/>
        <tr r="B47" s="2"/>
      </tp>
      <tp t="s">
        <v>N/A</v>
        <stp/>
        <stp>VOLUME</stp>
        <stp>.QQQC501</stp>
        <tr r="K47" s="2"/>
        <tr r="G47" s="2"/>
        <tr r="F47" s="2"/>
        <tr r="E47" s="2"/>
        <tr r="D47" s="2"/>
        <tr r="C47" s="2"/>
        <tr r="B47" s="2"/>
      </tp>
      <tp t="s">
        <v>N/A</v>
        <stp/>
        <stp>VOLUME</stp>
        <stp>.QQQP502</stp>
        <tr r="K46" s="2"/>
        <tr r="G46" s="2"/>
        <tr r="F46" s="2"/>
        <tr r="E46" s="2"/>
        <tr r="D46" s="2"/>
        <tr r="C46" s="2"/>
        <tr r="B46" s="2"/>
      </tp>
      <tp t="s">
        <v>N/A</v>
        <stp/>
        <stp>VOLUME</stp>
        <stp>.QQQC502</stp>
        <tr r="K46" s="2"/>
        <tr r="G46" s="2"/>
        <tr r="F46" s="2"/>
        <tr r="E46" s="2"/>
        <tr r="D46" s="2"/>
        <tr r="C46" s="2"/>
        <tr r="B46" s="2"/>
      </tp>
      <tp t="s">
        <v>N/A</v>
        <stp/>
        <stp>VOLUME</stp>
        <stp>.NDXP250829P20100</stp>
        <tr r="P156" s="2"/>
      </tp>
      <tp t="s">
        <v>N/A</v>
        <stp/>
        <stp>VOLUME</stp>
        <stp>.NDXP250930P19800</stp>
        <tr r="R168" s="2"/>
      </tp>
      <tp t="s">
        <v>N/A</v>
        <stp/>
        <stp>VOLUME</stp>
        <stp>.NDXP250630P19800</stp>
        <tr r="L168" s="2"/>
      </tp>
      <tp>
        <v>253</v>
        <stp/>
        <stp>VOLUME</stp>
        <stp>.NDXP250509P20100</stp>
        <tr r="BB155" s="1"/>
        <tr r="BB155" s="1"/>
      </tp>
      <tp t="s">
        <v>N/A</v>
        <stp/>
        <stp>VOLUME</stp>
        <stp>.NDXP250731P19900</stp>
        <tr r="N164" s="2"/>
      </tp>
      <tp>
        <v>3</v>
        <stp/>
        <stp>VOLUME</stp>
        <stp>.NDXP250530P19800</stp>
        <tr r="I168" s="2"/>
        <tr r="I168" s="2"/>
      </tp>
      <tp t="s">
        <v>N/A</v>
        <stp/>
        <stp>VOLUME</stp>
        <stp>.SPXW250930C5640</stp>
        <tr r="R109" s="2"/>
      </tp>
      <tp t="s">
        <v>N/A</v>
        <stp/>
        <stp>VOLUME</stp>
        <stp>.SPXW250530C5640</stp>
        <tr r="I109" s="2"/>
      </tp>
      <tp t="s">
        <v>N/A</v>
        <stp/>
        <stp>VOLUME</stp>
        <stp>.SPXW250731C5650</stp>
        <tr r="N108" s="2"/>
      </tp>
      <tp t="s">
        <v>N/A</v>
        <stp/>
        <stp>VOLUME</stp>
        <stp>.SPXW250606C5520</stp>
        <tr r="J121" s="2"/>
      </tp>
      <tp t="s">
        <v>N/A</v>
        <stp/>
        <stp>VOLUME</stp>
        <stp>.SPXW250630C5640</stp>
        <tr r="L109" s="2"/>
      </tp>
      <tp t="s">
        <v>N/A</v>
        <stp/>
        <stp>VOLUME</stp>
        <stp>.SPXW251031C5650</stp>
        <tr r="T108" s="2"/>
      </tp>
      <tp t="s">
        <v>N/A</v>
        <stp/>
        <stp>VOLUME</stp>
        <stp>.SPXW251231C5650</stp>
        <tr r="X108" s="2"/>
      </tp>
      <tp t="s">
        <v>N/A</v>
        <stp/>
        <stp>VOLUME</stp>
        <stp>.SPXW251031P5650</stp>
        <tr r="T108" s="2"/>
      </tp>
      <tp t="s">
        <v>N/A</v>
        <stp/>
        <stp>VOLUME</stp>
        <stp>.SPXW251231P5650</stp>
        <tr r="X108" s="2"/>
      </tp>
      <tp t="s">
        <v>N/A</v>
        <stp/>
        <stp>VOLUME</stp>
        <stp>.SPXW250930P5640</stp>
        <tr r="R109" s="2"/>
      </tp>
      <tp t="s">
        <v>N/A</v>
        <stp/>
        <stp>VOLUME</stp>
        <stp>.SPXW250530P5640</stp>
        <tr r="I109" s="2"/>
      </tp>
      <tp t="s">
        <v>N/A</v>
        <stp/>
        <stp>VOLUME</stp>
        <stp>.SPXW250731P5650</stp>
        <tr r="N108" s="2"/>
      </tp>
      <tp t="s">
        <v>N/A</v>
        <stp/>
        <stp>VOLUME</stp>
        <stp>.SPXW250606P5520</stp>
        <tr r="J121" s="2"/>
      </tp>
      <tp t="s">
        <v>N/A</v>
        <stp/>
        <stp>VOLUME</stp>
        <stp>.SPXW250630P5640</stp>
        <tr r="L109" s="2"/>
      </tp>
      <tp t="s">
        <v>N/A</v>
        <stp/>
        <stp>VOLUME</stp>
        <stp>.NDXP251231P19900</stp>
        <tr r="X164" s="2"/>
      </tp>
      <tp t="s">
        <v>N/A</v>
        <stp/>
        <stp>VOLUME</stp>
        <stp>.NDXP251128P20000</stp>
        <tr r="V160" s="2"/>
      </tp>
      <tp t="s">
        <v>N/A</v>
        <stp/>
        <stp>VOLUME</stp>
        <stp>.NDXP251031P19900</stp>
        <tr r="T164" s="2"/>
      </tp>
      <tp t="s">
        <v>N/A</v>
        <stp/>
        <stp>VOLUME</stp>
        <stp>.SPXW250930C5650</stp>
        <tr r="R108" s="2"/>
      </tp>
      <tp t="s">
        <v>N/A</v>
        <stp/>
        <stp>VOLUME</stp>
        <stp>.SPXW250530C5650</stp>
        <tr r="I108" s="2"/>
      </tp>
      <tp t="s">
        <v>N/A</v>
        <stp/>
        <stp>VOLUME</stp>
        <stp>.SPXW250731C5640</stp>
        <tr r="N109" s="2"/>
      </tp>
      <tp t="s">
        <v>N/A</v>
        <stp/>
        <stp>VOLUME</stp>
        <stp>.SPXW250606C5530</stp>
        <tr r="J120" s="2"/>
      </tp>
      <tp t="s">
        <v>N/A</v>
        <stp/>
        <stp>VOLUME</stp>
        <stp>.SPXW250630C5650</stp>
        <tr r="L108" s="2"/>
      </tp>
      <tp t="s">
        <v>N/A</v>
        <stp/>
        <stp>VOLUME</stp>
        <stp>.SPXW251031C5640</stp>
        <tr r="T109" s="2"/>
      </tp>
      <tp t="s">
        <v>N/A</v>
        <stp/>
        <stp>VOLUME</stp>
        <stp>.SPXW251231C5640</stp>
        <tr r="X109" s="2"/>
      </tp>
      <tp t="s">
        <v>N/A</v>
        <stp/>
        <stp>VOLUME</stp>
        <stp>.SPXW251031P5640</stp>
        <tr r="T109" s="2"/>
      </tp>
      <tp t="s">
        <v>N/A</v>
        <stp/>
        <stp>VOLUME</stp>
        <stp>.SPXW251231P5640</stp>
        <tr r="X109" s="2"/>
      </tp>
      <tp t="s">
        <v>N/A</v>
        <stp/>
        <stp>VOLUME</stp>
        <stp>.SPXW250930P5650</stp>
        <tr r="R108" s="2"/>
      </tp>
      <tp t="s">
        <v>N/A</v>
        <stp/>
        <stp>VOLUME</stp>
        <stp>.SPXW250530P5650</stp>
        <tr r="I108" s="2"/>
      </tp>
      <tp t="s">
        <v>N/A</v>
        <stp/>
        <stp>VOLUME</stp>
        <stp>.SPXW250731P5640</stp>
        <tr r="N109" s="2"/>
      </tp>
      <tp t="s">
        <v>N/A</v>
        <stp/>
        <stp>VOLUME</stp>
        <stp>.SPXW250606P5530</stp>
        <tr r="J120" s="2"/>
      </tp>
      <tp t="s">
        <v>N/A</v>
        <stp/>
        <stp>VOLUME</stp>
        <stp>.SPXW250630P5650</stp>
        <tr r="L108" s="2"/>
      </tp>
      <tp t="s">
        <v>N/A</v>
        <stp/>
        <stp>VOLUME</stp>
        <stp>.NDXP250829P20125</stp>
        <tr r="P155" s="2"/>
      </tp>
      <tp t="s">
        <v>N/A</v>
        <stp/>
        <stp>VOLUME</stp>
        <stp>.NDXP250930P19825</stp>
        <tr r="R167" s="2"/>
      </tp>
      <tp t="s">
        <v>N/A</v>
        <stp/>
        <stp>VOLUME</stp>
        <stp>.NDXP250731P19925</stp>
        <tr r="N163" s="2"/>
      </tp>
      <tp t="s">
        <v>N/A</v>
        <stp/>
        <stp>VOLUME</stp>
        <stp>.NDXP250630P19825</stp>
        <tr r="L167" s="2"/>
      </tp>
      <tp>
        <v>29</v>
        <stp/>
        <stp>VOLUME</stp>
        <stp>.NDXP250509P20125</stp>
        <tr r="BB154" s="1"/>
        <tr r="BB154" s="1"/>
      </tp>
      <tp t="s">
        <v>N/A</v>
        <stp/>
        <stp>VOLUME</stp>
        <stp>.NDXP250530P19825</stp>
        <tr r="I167" s="2"/>
      </tp>
      <tp t="s">
        <v>N/A</v>
        <stp/>
        <stp>VOLUME</stp>
        <stp>.SPXW250930C5660</stp>
        <tr r="R107" s="2"/>
      </tp>
      <tp t="s">
        <v>N/A</v>
        <stp/>
        <stp>VOLUME</stp>
        <stp>.SPXW250530C5660</stp>
        <tr r="I107" s="2"/>
      </tp>
      <tp t="s">
        <v>N/A</v>
        <stp/>
        <stp>VOLUME</stp>
        <stp>.SPXW250731C5670</stp>
        <tr r="N106" s="2"/>
      </tp>
      <tp t="s">
        <v>N/A</v>
        <stp/>
        <stp>VOLUME</stp>
        <stp>.SPXW250606C5500</stp>
        <tr r="J123" s="2"/>
      </tp>
      <tp t="s">
        <v>N/A</v>
        <stp/>
        <stp>VOLUME</stp>
        <stp>.SPXW250630C5660</stp>
        <tr r="L107" s="2"/>
      </tp>
      <tp t="s">
        <v>N/A</v>
        <stp/>
        <stp>VOLUME</stp>
        <stp>.SPXW251031C5670</stp>
        <tr r="T106" s="2"/>
      </tp>
      <tp t="s">
        <v>N/A</v>
        <stp/>
        <stp>VOLUME</stp>
        <stp>.SPXW251231C5670</stp>
        <tr r="X106" s="2"/>
      </tp>
      <tp t="s">
        <v>N/A</v>
        <stp/>
        <stp>VOLUME</stp>
        <stp>.SPXW251031P5670</stp>
        <tr r="T106" s="2"/>
      </tp>
      <tp t="s">
        <v>N/A</v>
        <stp/>
        <stp>VOLUME</stp>
        <stp>.SPXW251231P5670</stp>
        <tr r="X106" s="2"/>
      </tp>
      <tp t="s">
        <v>N/A</v>
        <stp/>
        <stp>VOLUME</stp>
        <stp>.SPXW250930P5660</stp>
        <tr r="R107" s="2"/>
      </tp>
      <tp t="s">
        <v>N/A</v>
        <stp/>
        <stp>VOLUME</stp>
        <stp>.SPXW250530P5660</stp>
        <tr r="I107" s="2"/>
      </tp>
      <tp t="s">
        <v>N/A</v>
        <stp/>
        <stp>VOLUME</stp>
        <stp>.SPXW250731P5670</stp>
        <tr r="N106" s="2"/>
      </tp>
      <tp t="s">
        <v>N/A</v>
        <stp/>
        <stp>VOLUME</stp>
        <stp>.SPXW250606P5500</stp>
        <tr r="J123" s="2"/>
      </tp>
      <tp t="s">
        <v>N/A</v>
        <stp/>
        <stp>VOLUME</stp>
        <stp>.SPXW250630P5660</stp>
        <tr r="L107" s="2"/>
      </tp>
      <tp t="s">
        <v>N/A</v>
        <stp/>
        <stp>VOLUME</stp>
        <stp>.NDXP251231P19925</stp>
        <tr r="X163" s="2"/>
      </tp>
      <tp t="s">
        <v>N/A</v>
        <stp/>
        <stp>VOLUME</stp>
        <stp>.NDXP251128P20025</stp>
        <tr r="V159" s="2"/>
      </tp>
      <tp t="s">
        <v>N/A</v>
        <stp/>
        <stp>VOLUME</stp>
        <stp>.NDXP251031P19925</stp>
        <tr r="T163" s="2"/>
      </tp>
      <tp t="s">
        <v>N/A</v>
        <stp/>
        <stp>VOLUME</stp>
        <stp>.SPXW250930C5670</stp>
        <tr r="R106" s="2"/>
      </tp>
      <tp t="s">
        <v>N/A</v>
        <stp/>
        <stp>VOLUME</stp>
        <stp>.SPXW250530C5670</stp>
        <tr r="I106" s="2"/>
      </tp>
      <tp t="s">
        <v>N/A</v>
        <stp/>
        <stp>VOLUME</stp>
        <stp>.SPXW250731C5660</stp>
        <tr r="N107" s="2"/>
      </tp>
      <tp t="s">
        <v>N/A</v>
        <stp/>
        <stp>VOLUME</stp>
        <stp>.SPXW250606C5510</stp>
        <tr r="J122" s="2"/>
      </tp>
      <tp t="s">
        <v>N/A</v>
        <stp/>
        <stp>VOLUME</stp>
        <stp>.SPXW250630C5670</stp>
        <tr r="L106" s="2"/>
      </tp>
      <tp t="s">
        <v>N/A</v>
        <stp/>
        <stp>VOLUME</stp>
        <stp>.SPXW251031C5660</stp>
        <tr r="T107" s="2"/>
      </tp>
      <tp t="s">
        <v>N/A</v>
        <stp/>
        <stp>VOLUME</stp>
        <stp>.SPXW251231C5660</stp>
        <tr r="X107" s="2"/>
      </tp>
      <tp t="s">
        <v>N/A</v>
        <stp/>
        <stp>VOLUME</stp>
        <stp>.SPXW251031P5660</stp>
        <tr r="T107" s="2"/>
      </tp>
      <tp t="s">
        <v>N/A</v>
        <stp/>
        <stp>VOLUME</stp>
        <stp>.SPXW251231P5660</stp>
        <tr r="X107" s="2"/>
      </tp>
      <tp t="s">
        <v>N/A</v>
        <stp/>
        <stp>VOLUME</stp>
        <stp>.SPXW250930P5670</stp>
        <tr r="R106" s="2"/>
      </tp>
      <tp t="s">
        <v>N/A</v>
        <stp/>
        <stp>VOLUME</stp>
        <stp>.SPXW250530P5670</stp>
        <tr r="I106" s="2"/>
      </tp>
      <tp t="s">
        <v>N/A</v>
        <stp/>
        <stp>VOLUME</stp>
        <stp>.SPXW250731P5660</stp>
        <tr r="N107" s="2"/>
      </tp>
      <tp t="s">
        <v>N/A</v>
        <stp/>
        <stp>VOLUME</stp>
        <stp>.SPXW250606P5510</stp>
        <tr r="J122" s="2"/>
      </tp>
      <tp t="s">
        <v>N/A</v>
        <stp/>
        <stp>VOLUME</stp>
        <stp>.SPXW250630P5670</stp>
        <tr r="L106" s="2"/>
      </tp>
      <tp>
        <v>16</v>
        <stp/>
        <stp>OPEN_INT</stp>
        <stp>.NDXP250509C19900</stp>
        <tr r="AS163" s="1"/>
        <tr r="AS163" s="1"/>
      </tp>
      <tp>
        <v>4</v>
        <stp/>
        <stp>OPEN_INT</stp>
        <stp>.NDXP250509C19925</stp>
        <tr r="AS162" s="1"/>
        <tr r="AS162" s="1"/>
      </tp>
      <tp>
        <v>6</v>
        <stp/>
        <stp>OPEN_INT</stp>
        <stp>.NDXP250509C19950</stp>
        <tr r="AS161" s="1"/>
        <tr r="AS161" s="1"/>
      </tp>
      <tp>
        <v>5</v>
        <stp/>
        <stp>OPEN_INT</stp>
        <stp>.NDXP250509C19975</stp>
        <tr r="AS160" s="1"/>
        <tr r="AS160" s="1"/>
      </tp>
      <tp>
        <v>6</v>
        <stp/>
        <stp>OPEN_INT</stp>
        <stp>.NDXP250509P19925</stp>
        <tr r="AT162" s="1"/>
        <tr r="AT162" s="1"/>
      </tp>
      <tp>
        <v>15</v>
        <stp/>
        <stp>OPEN_INT</stp>
        <stp>.NDXP250509P19900</stp>
        <tr r="AT163" s="1"/>
        <tr r="AT163" s="1"/>
      </tp>
      <tp>
        <v>11</v>
        <stp/>
        <stp>OPEN_INT</stp>
        <stp>.NDXP250509P19975</stp>
        <tr r="AT160" s="1"/>
        <tr r="AT160" s="1"/>
      </tp>
      <tp>
        <v>23</v>
        <stp/>
        <stp>OPEN_INT</stp>
        <stp>.NDXP250509P19950</stp>
        <tr r="AT161" s="1"/>
        <tr r="AT161" s="1"/>
      </tp>
      <tp>
        <v>-0.96</v>
        <stp/>
        <stp>DELTA</stp>
        <stp>.NDXP250509P20325</stp>
        <tr r="CE146" s="1"/>
        <tr r="CE146" s="1"/>
      </tp>
      <tp>
        <v>-0.05</v>
        <stp/>
        <stp>DELTA</stp>
        <stp>.NDXP250509P19325</stp>
        <tr r="CE186" s="1"/>
        <tr r="CE186" s="1"/>
      </tp>
      <tp>
        <v>-0.96</v>
        <stp/>
        <stp>DELTA</stp>
        <stp>.NDXP250509P20300</stp>
        <tr r="CE147" s="1"/>
        <tr r="CE147" s="1"/>
      </tp>
      <tp>
        <v>0</v>
        <stp/>
        <stp>DELTA</stp>
        <stp>.NDXP250509P19300</stp>
        <tr r="CE187" s="1"/>
        <tr r="CE187" s="1"/>
      </tp>
      <tp>
        <v>-0.97</v>
        <stp/>
        <stp>DELTA</stp>
        <stp>.NDXP250509P20375</stp>
        <tr r="CE144" s="1"/>
        <tr r="CE144" s="1"/>
      </tp>
      <tp>
        <v>-0.05</v>
        <stp/>
        <stp>DELTA</stp>
        <stp>.NDXP250509P19375</stp>
        <tr r="CE184" s="1"/>
        <tr r="CE184" s="1"/>
      </tp>
      <tp>
        <v>-0.97</v>
        <stp/>
        <stp>DELTA</stp>
        <stp>.NDXP250509P20350</stp>
        <tr r="CE145" s="1"/>
        <tr r="CE145" s="1"/>
      </tp>
      <tp>
        <v>0</v>
        <stp/>
        <stp>DELTA</stp>
        <stp>.NDXP250509P19350</stp>
        <tr r="CE185" s="1"/>
        <tr r="CE185" s="1"/>
      </tp>
      <tp>
        <v>0</v>
        <stp/>
        <stp>DELTA</stp>
        <stp>.NDXP250509C20300</stp>
        <tr r="CD147" s="1"/>
        <tr r="CD147" s="1"/>
      </tp>
      <tp>
        <v>1</v>
        <stp/>
        <stp>DELTA</stp>
        <stp>.NDXP250509C19300</stp>
        <tr r="CD187" s="1"/>
        <tr r="CD187" s="1"/>
      </tp>
      <tp>
        <v>0.09</v>
        <stp/>
        <stp>DELTA</stp>
        <stp>.NDXP250509C20325</stp>
        <tr r="CD146" s="1"/>
        <tr r="CD146" s="1"/>
      </tp>
      <tp>
        <v>1</v>
        <stp/>
        <stp>DELTA</stp>
        <stp>.NDXP250509C19325</stp>
        <tr r="CD186" s="1"/>
        <tr r="CD186" s="1"/>
      </tp>
      <tp>
        <v>0.01</v>
        <stp/>
        <stp>DELTA</stp>
        <stp>.NDXP250509C20350</stp>
        <tr r="CD145" s="1"/>
        <tr r="CD145" s="1"/>
      </tp>
      <tp>
        <v>1</v>
        <stp/>
        <stp>DELTA</stp>
        <stp>.NDXP250509C19350</stp>
        <tr r="CD185" s="1"/>
        <tr r="CD185" s="1"/>
      </tp>
      <tp>
        <v>0.01</v>
        <stp/>
        <stp>DELTA</stp>
        <stp>.NDXP250509C20375</stp>
        <tr r="CD144" s="1"/>
        <tr r="CD144" s="1"/>
      </tp>
      <tp>
        <v>1</v>
        <stp/>
        <stp>DELTA</stp>
        <stp>.NDXP250509C19375</stp>
        <tr r="CD184" s="1"/>
        <tr r="CD184" s="1"/>
      </tp>
      <tp t="s">
        <v>N/A</v>
        <stp/>
        <stp>VOLUME</stp>
        <stp>.NDXP250829C20075</stp>
        <tr r="P157" s="2"/>
      </tp>
      <tp t="s">
        <v>N/A</v>
        <stp/>
        <stp>VOLUME</stp>
        <stp>.NDXP250930C19975</stp>
        <tr r="R161" s="2"/>
      </tp>
      <tp t="s">
        <v>N/A</v>
        <stp/>
        <stp>VOLUME</stp>
        <stp>.NDXP250731C19875</stp>
        <tr r="N165" s="2"/>
      </tp>
      <tp t="s">
        <v>N/A</v>
        <stp/>
        <stp>VOLUME</stp>
        <stp>.NDXP250630C19975</stp>
        <tr r="L161" s="2"/>
      </tp>
      <tp>
        <v>247</v>
        <stp/>
        <stp>VOLUME</stp>
        <stp>.NDXP250509C20075</stp>
        <tr r="BA156" s="1"/>
        <tr r="BA156" s="1"/>
      </tp>
      <tp t="s">
        <v>N/A</v>
        <stp/>
        <stp>VOLUME</stp>
        <stp>.NDXP250530C19975</stp>
        <tr r="I161" s="2"/>
      </tp>
      <tp t="s">
        <v>N/A</v>
        <stp/>
        <stp>VOLUME</stp>
        <stp>.NDXP251231C19875</stp>
        <tr r="X165" s="2"/>
      </tp>
      <tp t="s">
        <v>N/A</v>
        <stp/>
        <stp>VOLUME</stp>
        <stp>.NDXP251128C20175</stp>
        <tr r="V153" s="2"/>
      </tp>
      <tp t="s">
        <v>N/A</v>
        <stp/>
        <stp>VOLUME</stp>
        <stp>.NDXP251031C19875</stp>
        <tr r="T165" s="2"/>
      </tp>
      <tp t="s">
        <v>N/A</v>
        <stp/>
        <stp>VOLUME</stp>
        <stp>.NDXP250829C20050</stp>
        <tr r="P158" s="2"/>
      </tp>
      <tp t="s">
        <v>N/A</v>
        <stp/>
        <stp>VOLUME</stp>
        <stp>.NDXP250930C19950</stp>
        <tr r="R162" s="2"/>
      </tp>
      <tp>
        <v>1</v>
        <stp/>
        <stp>VOLUME</stp>
        <stp>.NDXP250630C19950</stp>
        <tr r="L162" s="2"/>
        <tr r="L162" s="2"/>
      </tp>
      <tp>
        <v>489</v>
        <stp/>
        <stp>VOLUME</stp>
        <stp>.NDXP250509C20050</stp>
        <tr r="BA157" s="1"/>
        <tr r="BA157" s="1"/>
      </tp>
      <tp t="s">
        <v>N/A</v>
        <stp/>
        <stp>VOLUME</stp>
        <stp>.NDXP250731C19850</stp>
        <tr r="N166" s="2"/>
      </tp>
      <tp t="s">
        <v>N/A</v>
        <stp/>
        <stp>VOLUME</stp>
        <stp>.NDXP250530C19950</stp>
        <tr r="I162" s="2"/>
      </tp>
      <tp t="s">
        <v>N/A</v>
        <stp/>
        <stp>VOLUME</stp>
        <stp>.NDXP251231C19850</stp>
        <tr r="X166" s="2"/>
      </tp>
      <tp t="s">
        <v>N/A</v>
        <stp/>
        <stp>VOLUME</stp>
        <stp>.NDXP251128C20150</stp>
        <tr r="V154" s="2"/>
      </tp>
      <tp t="s">
        <v>N/A</v>
        <stp/>
        <stp>VOLUME</stp>
        <stp>.NDXP251031C19850</stp>
        <tr r="T166" s="2"/>
      </tp>
      <tp t="s">
        <v>N/A</v>
        <stp/>
        <stp>VOLUME</stp>
        <stp>.NDXP251231C19825</stp>
        <tr r="X167" s="2"/>
      </tp>
      <tp t="s">
        <v>N/A</v>
        <stp/>
        <stp>VOLUME</stp>
        <stp>.NDXP251128C20125</stp>
        <tr r="V155" s="2"/>
      </tp>
      <tp t="s">
        <v>N/A</v>
        <stp/>
        <stp>VOLUME</stp>
        <stp>.NDXP251031C19825</stp>
        <tr r="T167" s="2"/>
      </tp>
      <tp t="s">
        <v>N/A</v>
        <stp/>
        <stp>VOLUME</stp>
        <stp>.NDXP250829C20025</stp>
        <tr r="P159" s="2"/>
      </tp>
      <tp t="s">
        <v>N/A</v>
        <stp/>
        <stp>VOLUME</stp>
        <stp>.NDXP250930C19925</stp>
        <tr r="R163" s="2"/>
      </tp>
      <tp t="s">
        <v>N/A</v>
        <stp/>
        <stp>VOLUME</stp>
        <stp>.NDXP250731C19825</stp>
        <tr r="N167" s="2"/>
      </tp>
      <tp t="s">
        <v>N/A</v>
        <stp/>
        <stp>VOLUME</stp>
        <stp>.NDXP250630C19925</stp>
        <tr r="L163" s="2"/>
      </tp>
      <tp>
        <v>185</v>
        <stp/>
        <stp>VOLUME</stp>
        <stp>.NDXP250509C20025</stp>
        <tr r="BA158" s="1"/>
        <tr r="BA158" s="1"/>
      </tp>
      <tp t="s">
        <v>N/A</v>
        <stp/>
        <stp>VOLUME</stp>
        <stp>.NDXP250530C19925</stp>
        <tr r="I163" s="2"/>
      </tp>
      <tp t="s">
        <v>N/A</v>
        <stp/>
        <stp>VOLUME</stp>
        <stp>.NDXP251231C19800</stp>
        <tr r="X168" s="2"/>
      </tp>
      <tp t="s">
        <v>N/A</v>
        <stp/>
        <stp>VOLUME</stp>
        <stp>.NDXP251128C20100</stp>
        <tr r="V156" s="2"/>
      </tp>
      <tp t="s">
        <v>N/A</v>
        <stp/>
        <stp>VOLUME</stp>
        <stp>.NDXP251031C19800</stp>
        <tr r="T168" s="2"/>
      </tp>
      <tp t="s">
        <v>N/A</v>
        <stp/>
        <stp>VOLUME</stp>
        <stp>.NDXP250829C20000</stp>
        <tr r="P160" s="2"/>
      </tp>
      <tp t="s">
        <v>N/A</v>
        <stp/>
        <stp>VOLUME</stp>
        <stp>.NDXP250930C19900</stp>
        <tr r="R164" s="2"/>
      </tp>
      <tp t="s">
        <v>N/A</v>
        <stp/>
        <stp>VOLUME</stp>
        <stp>.NDXP250630C19900</stp>
        <tr r="L164" s="2"/>
      </tp>
      <tp>
        <v>194</v>
        <stp/>
        <stp>VOLUME</stp>
        <stp>.NDXP250509C20000</stp>
        <tr r="BA159" s="1"/>
        <tr r="BA159" s="1"/>
      </tp>
      <tp t="s">
        <v>N/A</v>
        <stp/>
        <stp>VOLUME</stp>
        <stp>.NDXP250731C19800</stp>
        <tr r="N168" s="2"/>
      </tp>
      <tp t="s">
        <v>N/A</v>
        <stp/>
        <stp>VOLUME</stp>
        <stp>.NDXP250530C19900</stp>
        <tr r="I164" s="2"/>
      </tp>
      <tp t="s">
        <v>N/A</v>
        <stp/>
        <stp>VOLUME</stp>
        <stp>.SPXW250930C5780</stp>
        <tr r="R95" s="2"/>
      </tp>
      <tp t="s">
        <v>N/A</v>
        <stp/>
        <stp>VOLUME</stp>
        <stp>.SPXW250829C5610</stp>
        <tr r="P112" s="2"/>
      </tp>
      <tp t="s">
        <v>N/A</v>
        <stp/>
        <stp>VOLUME</stp>
        <stp>.SPXW250530C5780</stp>
        <tr r="I95" s="2"/>
      </tp>
      <tp t="s">
        <v>N/A</v>
        <stp/>
        <stp>VOLUME</stp>
        <stp>.SPXW250731C5790</stp>
        <tr r="N94" s="2"/>
      </tp>
      <tp t="s">
        <v>N/A</v>
        <stp/>
        <stp>VOLUME</stp>
        <stp>.SPXW250630C5780</stp>
        <tr r="L95" s="2"/>
      </tp>
      <tp t="s">
        <v>N/A</v>
        <stp/>
        <stp>VOLUME</stp>
        <stp>.SPXW251128C5600</stp>
        <tr r="V113" s="2"/>
      </tp>
      <tp t="s">
        <v>N/A</v>
        <stp/>
        <stp>VOLUME</stp>
        <stp>.SPXW251031C5790</stp>
        <tr r="T94" s="2"/>
      </tp>
      <tp t="s">
        <v>N/A</v>
        <stp/>
        <stp>VOLUME</stp>
        <stp>.SPXW251231C5790</stp>
        <tr r="X94" s="2"/>
      </tp>
      <tp t="s">
        <v>N/A</v>
        <stp/>
        <stp>VOLUME</stp>
        <stp>.SPXW251128P5600</stp>
        <tr r="V113" s="2"/>
      </tp>
      <tp t="s">
        <v>N/A</v>
        <stp/>
        <stp>VOLUME</stp>
        <stp>.SPXW251031P5790</stp>
        <tr r="T94" s="2"/>
      </tp>
      <tp t="s">
        <v>N/A</v>
        <stp/>
        <stp>VOLUME</stp>
        <stp>.SPXW251231P5790</stp>
        <tr r="X94" s="2"/>
      </tp>
      <tp t="s">
        <v>N/A</v>
        <stp/>
        <stp>VOLUME</stp>
        <stp>.SPXW250930P5780</stp>
        <tr r="R95" s="2"/>
      </tp>
      <tp t="s">
        <v>N/A</v>
        <stp/>
        <stp>VOLUME</stp>
        <stp>.SPXW250829P5610</stp>
        <tr r="P112" s="2"/>
      </tp>
      <tp t="s">
        <v>N/A</v>
        <stp/>
        <stp>VOLUME</stp>
        <stp>.SPXW250530P5780</stp>
        <tr r="I95" s="2"/>
      </tp>
      <tp t="s">
        <v>N/A</v>
        <stp/>
        <stp>VOLUME</stp>
        <stp>.SPXW250731P5790</stp>
        <tr r="N94" s="2"/>
      </tp>
      <tp t="s">
        <v>N/A</v>
        <stp/>
        <stp>VOLUME</stp>
        <stp>.SPXW250630P5780</stp>
        <tr r="L95" s="2"/>
      </tp>
      <tp t="s">
        <v>N/A</v>
        <stp/>
        <stp>VOLUME</stp>
        <stp>.SPXW250930C5790</stp>
        <tr r="R94" s="2"/>
      </tp>
      <tp t="s">
        <v>N/A</v>
        <stp/>
        <stp>VOLUME</stp>
        <stp>.SPXW250829C5600</stp>
        <tr r="P113" s="2"/>
      </tp>
      <tp t="s">
        <v>N/A</v>
        <stp/>
        <stp>VOLUME</stp>
        <stp>.SPXW250530C5790</stp>
        <tr r="I94" s="2"/>
      </tp>
      <tp t="s">
        <v>N/A</v>
        <stp/>
        <stp>VOLUME</stp>
        <stp>.SPXW250731C5780</stp>
        <tr r="N95" s="2"/>
      </tp>
      <tp t="s">
        <v>N/A</v>
        <stp/>
        <stp>VOLUME</stp>
        <stp>.SPXW250630C5790</stp>
        <tr r="L94" s="2"/>
      </tp>
      <tp t="s">
        <v>N/A</v>
        <stp/>
        <stp>VOLUME</stp>
        <stp>.SPXW251128C5610</stp>
        <tr r="V112" s="2"/>
      </tp>
      <tp t="s">
        <v>N/A</v>
        <stp/>
        <stp>VOLUME</stp>
        <stp>.SPXW251031C5780</stp>
        <tr r="T95" s="2"/>
      </tp>
      <tp t="s">
        <v>N/A</v>
        <stp/>
        <stp>VOLUME</stp>
        <stp>.SPXW251231C5780</stp>
        <tr r="X95" s="2"/>
      </tp>
      <tp t="s">
        <v>N/A</v>
        <stp/>
        <stp>VOLUME</stp>
        <stp>.SPXW251128P5610</stp>
        <tr r="V112" s="2"/>
      </tp>
      <tp t="s">
        <v>N/A</v>
        <stp/>
        <stp>VOLUME</stp>
        <stp>.SPXW251031P5780</stp>
        <tr r="T95" s="2"/>
      </tp>
      <tp t="s">
        <v>N/A</v>
        <stp/>
        <stp>VOLUME</stp>
        <stp>.SPXW251231P5780</stp>
        <tr r="X95" s="2"/>
      </tp>
      <tp t="s">
        <v>N/A</v>
        <stp/>
        <stp>VOLUME</stp>
        <stp>.SPXW250930P5790</stp>
        <tr r="R94" s="2"/>
      </tp>
      <tp t="s">
        <v>N/A</v>
        <stp/>
        <stp>VOLUME</stp>
        <stp>.SPXW250829P5600</stp>
        <tr r="P113" s="2"/>
      </tp>
      <tp t="s">
        <v>N/A</v>
        <stp/>
        <stp>VOLUME</stp>
        <stp>.SPXW250530P5790</stp>
        <tr r="I94" s="2"/>
      </tp>
      <tp t="s">
        <v>N/A</v>
        <stp/>
        <stp>VOLUME</stp>
        <stp>.SPXW250731P5780</stp>
        <tr r="N95" s="2"/>
      </tp>
      <tp t="s">
        <v>N/A</v>
        <stp/>
        <stp>VOLUME</stp>
        <stp>.SPXW250630P5790</stp>
        <tr r="L94" s="2"/>
      </tp>
      <tp t="s">
        <v>N/A</v>
        <stp/>
        <stp>VOLUME</stp>
        <stp>.SPXW250829C5630</stp>
        <tr r="P110" s="2"/>
      </tp>
      <tp t="s">
        <v>N/A</v>
        <stp/>
        <stp>VOLUME</stp>
        <stp>.SPXW250509C5430</stp>
        <tr r="BA129" s="1"/>
      </tp>
      <tp t="s">
        <v>N/A</v>
        <stp/>
        <stp>VOLUME</stp>
        <stp>.SPXW251128C5620</stp>
        <tr r="V111" s="2"/>
      </tp>
      <tp t="s">
        <v>N/A</v>
        <stp/>
        <stp>VOLUME</stp>
        <stp>.SPXW251128P5620</stp>
        <tr r="V111" s="2"/>
      </tp>
      <tp t="s">
        <v>N/A</v>
        <stp/>
        <stp>VOLUME</stp>
        <stp>.SPXW250829P5630</stp>
        <tr r="P110" s="2"/>
      </tp>
      <tp t="s">
        <v>N/A</v>
        <stp/>
        <stp>VOLUME</stp>
        <stp>.SPXW250509P5430</stp>
        <tr r="BB129" s="1"/>
      </tp>
      <tp t="s">
        <v>N/A</v>
        <stp/>
        <stp>VOLUME</stp>
        <stp>.SPXW250829C5620</stp>
        <tr r="P111" s="2"/>
      </tp>
      <tp t="s">
        <v>N/A</v>
        <stp/>
        <stp>VOLUME</stp>
        <stp>.SPXW250509C5420</stp>
        <tr r="BA130" s="1"/>
      </tp>
      <tp t="s">
        <v>N/A</v>
        <stp/>
        <stp>VOLUME</stp>
        <stp>.SPXW251128C5630</stp>
        <tr r="V110" s="2"/>
      </tp>
      <tp t="s">
        <v>N/A</v>
        <stp/>
        <stp>VOLUME</stp>
        <stp>.SPXW251128P5630</stp>
        <tr r="V110" s="2"/>
      </tp>
      <tp t="s">
        <v>N/A</v>
        <stp/>
        <stp>VOLUME</stp>
        <stp>.SPXW250829P5620</stp>
        <tr r="P111" s="2"/>
      </tp>
      <tp t="s">
        <v>N/A</v>
        <stp/>
        <stp>VOLUME</stp>
        <stp>.SPXW250509P5420</stp>
        <tr r="BB130" s="1"/>
      </tp>
      <tp t="s">
        <v>N/A</v>
        <stp/>
        <stp>VOLUME</stp>
        <stp>.QQQP488</stp>
        <tr r="F60" s="2"/>
        <tr r="K60" s="2"/>
        <tr r="E60" s="2"/>
        <tr r="G60" s="2"/>
        <tr r="C60" s="2"/>
        <tr r="B60" s="2"/>
        <tr r="D60" s="2"/>
      </tp>
      <tp t="s">
        <v>N/A</v>
        <stp/>
        <stp>VOLUME</stp>
        <stp>.QQQC488</stp>
        <tr r="F60" s="2"/>
        <tr r="K60" s="2"/>
        <tr r="E60" s="2"/>
        <tr r="G60" s="2"/>
        <tr r="C60" s="2"/>
        <tr r="B60" s="2"/>
        <tr r="D60" s="2"/>
      </tp>
      <tp t="s">
        <v>N/A</v>
        <stp/>
        <stp>VOLUME</stp>
        <stp>.QQQP489</stp>
        <tr r="E59" s="2"/>
        <tr r="D59" s="2"/>
        <tr r="K59" s="2"/>
        <tr r="B59" s="2"/>
        <tr r="C59" s="2"/>
        <tr r="G59" s="2"/>
        <tr r="F59" s="2"/>
      </tp>
      <tp t="s">
        <v>N/A</v>
        <stp/>
        <stp>VOLUME</stp>
        <stp>.QQQC489</stp>
        <tr r="E59" s="2"/>
        <tr r="D59" s="2"/>
        <tr r="K59" s="2"/>
        <tr r="B59" s="2"/>
        <tr r="C59" s="2"/>
        <tr r="G59" s="2"/>
        <tr r="F59" s="2"/>
      </tp>
      <tp t="s">
        <v>N/A</v>
        <stp/>
        <stp>VOLUME</stp>
        <stp>.QQQP484</stp>
        <tr r="F64" s="2"/>
        <tr r="K64" s="2"/>
        <tr r="E64" s="2"/>
        <tr r="C64" s="2"/>
        <tr r="G64" s="2"/>
        <tr r="B64" s="2"/>
        <tr r="D64" s="2"/>
      </tp>
      <tp t="s">
        <v>N/A</v>
        <stp/>
        <stp>VOLUME</stp>
        <stp>.QQQC484</stp>
        <tr r="F64" s="2"/>
        <tr r="K64" s="2"/>
        <tr r="E64" s="2"/>
        <tr r="C64" s="2"/>
        <tr r="G64" s="2"/>
        <tr r="B64" s="2"/>
        <tr r="D64" s="2"/>
      </tp>
      <tp t="s">
        <v>N/A</v>
        <stp/>
        <stp>VOLUME</stp>
        <stp>.QQQP485</stp>
        <tr r="K63" s="2"/>
        <tr r="F63" s="2"/>
        <tr r="E63" s="2"/>
        <tr r="B63" s="2"/>
        <tr r="G63" s="2"/>
        <tr r="D63" s="2"/>
        <tr r="C63" s="2"/>
      </tp>
      <tp t="s">
        <v>N/A</v>
        <stp/>
        <stp>VOLUME</stp>
        <stp>.QQQC485</stp>
        <tr r="K63" s="2"/>
        <tr r="F63" s="2"/>
        <tr r="E63" s="2"/>
        <tr r="B63" s="2"/>
        <tr r="G63" s="2"/>
        <tr r="D63" s="2"/>
        <tr r="C63" s="2"/>
      </tp>
      <tp t="s">
        <v>N/A</v>
        <stp/>
        <stp>VOLUME</stp>
        <stp>.QQQP486</stp>
        <tr r="G62" s="2"/>
        <tr r="F62" s="2"/>
        <tr r="K62" s="2"/>
        <tr r="E62" s="2"/>
        <tr r="C62" s="2"/>
        <tr r="B62" s="2"/>
        <tr r="D62" s="2"/>
      </tp>
      <tp t="s">
        <v>N/A</v>
        <stp/>
        <stp>VOLUME</stp>
        <stp>.QQQC486</stp>
        <tr r="G62" s="2"/>
        <tr r="F62" s="2"/>
        <tr r="K62" s="2"/>
        <tr r="E62" s="2"/>
        <tr r="C62" s="2"/>
        <tr r="B62" s="2"/>
        <tr r="D62" s="2"/>
      </tp>
      <tp t="s">
        <v>N/A</v>
        <stp/>
        <stp>VOLUME</stp>
        <stp>.QQQP487</stp>
        <tr r="K61" s="2"/>
        <tr r="F61" s="2"/>
        <tr r="C61" s="2"/>
        <tr r="B61" s="2"/>
        <tr r="D61" s="2"/>
        <tr r="E61" s="2"/>
        <tr r="G61" s="2"/>
      </tp>
      <tp t="s">
        <v>N/A</v>
        <stp/>
        <stp>VOLUME</stp>
        <stp>.QQQC487</stp>
        <tr r="K61" s="2"/>
        <tr r="F61" s="2"/>
        <tr r="C61" s="2"/>
        <tr r="B61" s="2"/>
        <tr r="D61" s="2"/>
        <tr r="E61" s="2"/>
        <tr r="G61" s="2"/>
      </tp>
      <tp t="s">
        <v>N/A</v>
        <stp/>
        <stp>VOLUME</stp>
        <stp>.QQQP480</stp>
        <tr r="G68" s="2"/>
        <tr r="B68" s="2"/>
        <tr r="C68" s="2"/>
        <tr r="E68" s="2"/>
        <tr r="K68" s="2"/>
        <tr r="D68" s="2"/>
        <tr r="F68" s="2"/>
      </tp>
      <tp t="s">
        <v>N/A</v>
        <stp/>
        <stp>VOLUME</stp>
        <stp>.QQQC480</stp>
        <tr r="G68" s="2"/>
        <tr r="B68" s="2"/>
        <tr r="C68" s="2"/>
        <tr r="E68" s="2"/>
        <tr r="K68" s="2"/>
        <tr r="D68" s="2"/>
        <tr r="F68" s="2"/>
      </tp>
      <tp t="s">
        <v>N/A</v>
        <stp/>
        <stp>VOLUME</stp>
        <stp>.QQQP481</stp>
        <tr r="F67" s="2"/>
        <tr r="E67" s="2"/>
        <tr r="D67" s="2"/>
        <tr r="K67" s="2"/>
        <tr r="C67" s="2"/>
        <tr r="G67" s="2"/>
        <tr r="B67" s="2"/>
      </tp>
      <tp t="s">
        <v>N/A</v>
        <stp/>
        <stp>VOLUME</stp>
        <stp>.QQQC481</stp>
        <tr r="F67" s="2"/>
        <tr r="E67" s="2"/>
        <tr r="D67" s="2"/>
        <tr r="K67" s="2"/>
        <tr r="C67" s="2"/>
        <tr r="G67" s="2"/>
        <tr r="B67" s="2"/>
      </tp>
      <tp t="s">
        <v>N/A</v>
        <stp/>
        <stp>VOLUME</stp>
        <stp>.QQQP482</stp>
        <tr r="D66" s="2"/>
        <tr r="K66" s="2"/>
        <tr r="B66" s="2"/>
        <tr r="C66" s="2"/>
        <tr r="G66" s="2"/>
        <tr r="F66" s="2"/>
        <tr r="E66" s="2"/>
      </tp>
      <tp t="s">
        <v>N/A</v>
        <stp/>
        <stp>VOLUME</stp>
        <stp>.QQQC482</stp>
        <tr r="D66" s="2"/>
        <tr r="K66" s="2"/>
        <tr r="B66" s="2"/>
        <tr r="C66" s="2"/>
        <tr r="G66" s="2"/>
        <tr r="F66" s="2"/>
        <tr r="E66" s="2"/>
      </tp>
      <tp t="s">
        <v>N/A</v>
        <stp/>
        <stp>VOLUME</stp>
        <stp>.QQQP483</stp>
        <tr r="C65" s="2"/>
        <tr r="E65" s="2"/>
        <tr r="F65" s="2"/>
        <tr r="K65" s="2"/>
        <tr r="D65" s="2"/>
        <tr r="B65" s="2"/>
        <tr r="G65" s="2"/>
      </tp>
      <tp t="s">
        <v>N/A</v>
        <stp/>
        <stp>VOLUME</stp>
        <stp>.QQQC483</stp>
        <tr r="C65" s="2"/>
        <tr r="E65" s="2"/>
        <tr r="F65" s="2"/>
        <tr r="K65" s="2"/>
        <tr r="D65" s="2"/>
        <tr r="B65" s="2"/>
        <tr r="G65" s="2"/>
      </tp>
      <tp t="s">
        <v>N/A</v>
        <stp/>
        <stp>VOLUME</stp>
        <stp>.SPXW250829C5650</stp>
        <tr r="P108" s="2"/>
      </tp>
      <tp t="s">
        <v>N/A</v>
        <stp/>
        <stp>VOLUME</stp>
        <stp>.SPXW250509C5450</stp>
        <tr r="BA127" s="1"/>
      </tp>
      <tp t="s">
        <v>N/A</v>
        <stp/>
        <stp>VOLUME</stp>
        <stp>.SPXW251128C5640</stp>
        <tr r="V109" s="2"/>
      </tp>
      <tp t="s">
        <v>N/A</v>
        <stp/>
        <stp>VOLUME</stp>
        <stp>.SPXW251128P5640</stp>
        <tr r="V109" s="2"/>
      </tp>
      <tp t="s">
        <v>N/A</v>
        <stp/>
        <stp>VOLUME</stp>
        <stp>.SPXW250829P5650</stp>
        <tr r="P108" s="2"/>
      </tp>
      <tp t="s">
        <v>N/A</v>
        <stp/>
        <stp>VOLUME</stp>
        <stp>.SPXW250509P5450</stp>
        <tr r="BB127" s="1"/>
      </tp>
      <tp t="s">
        <v>N/A</v>
        <stp/>
        <stp>VOLUME</stp>
        <stp>.QQQP498</stp>
        <tr r="K50" s="2"/>
        <tr r="G50" s="2"/>
        <tr r="F50" s="2"/>
        <tr r="E50" s="2"/>
        <tr r="D50" s="2"/>
        <tr r="C50" s="2"/>
        <tr r="B50" s="2"/>
      </tp>
      <tp t="s">
        <v>N/A</v>
        <stp/>
        <stp>VOLUME</stp>
        <stp>.QQQC498</stp>
        <tr r="K50" s="2"/>
        <tr r="G50" s="2"/>
        <tr r="F50" s="2"/>
        <tr r="E50" s="2"/>
        <tr r="D50" s="2"/>
        <tr r="C50" s="2"/>
        <tr r="B50" s="2"/>
      </tp>
      <tp t="s">
        <v>N/A</v>
        <stp/>
        <stp>VOLUME</stp>
        <stp>.QQQP499</stp>
        <tr r="K49" s="2"/>
        <tr r="G49" s="2"/>
        <tr r="F49" s="2"/>
        <tr r="E49" s="2"/>
        <tr r="D49" s="2"/>
        <tr r="C49" s="2"/>
        <tr r="B49" s="2"/>
      </tp>
      <tp t="s">
        <v>N/A</v>
        <stp/>
        <stp>VOLUME</stp>
        <stp>.QQQC499</stp>
        <tr r="K49" s="2"/>
        <tr r="G49" s="2"/>
        <tr r="F49" s="2"/>
        <tr r="E49" s="2"/>
        <tr r="D49" s="2"/>
        <tr r="C49" s="2"/>
        <tr r="B49" s="2"/>
      </tp>
      <tp t="s">
        <v>N/A</v>
        <stp/>
        <stp>VOLUME</stp>
        <stp>.QQQP494</stp>
        <tr r="K54" s="2"/>
        <tr r="B54" s="2"/>
        <tr r="G54" s="2"/>
        <tr r="D54" s="2"/>
        <tr r="F54" s="2"/>
        <tr r="C54" s="2"/>
        <tr r="E54" s="2"/>
      </tp>
      <tp t="s">
        <v>N/A</v>
        <stp/>
        <stp>VOLUME</stp>
        <stp>.QQQC494</stp>
        <tr r="K54" s="2"/>
        <tr r="B54" s="2"/>
        <tr r="G54" s="2"/>
        <tr r="D54" s="2"/>
        <tr r="F54" s="2"/>
        <tr r="C54" s="2"/>
        <tr r="E54" s="2"/>
      </tp>
      <tp t="s">
        <v>N/A</v>
        <stp/>
        <stp>VOLUME</stp>
        <stp>.QQQP495</stp>
        <tr r="K53" s="2"/>
        <tr r="G53" s="2"/>
        <tr r="C53" s="2"/>
        <tr r="B53" s="2"/>
        <tr r="F53" s="2"/>
        <tr r="D53" s="2"/>
        <tr r="E53" s="2"/>
      </tp>
      <tp t="s">
        <v>N/A</v>
        <stp/>
        <stp>VOLUME</stp>
        <stp>.QQQC495</stp>
        <tr r="K53" s="2"/>
        <tr r="G53" s="2"/>
        <tr r="C53" s="2"/>
        <tr r="B53" s="2"/>
        <tr r="F53" s="2"/>
        <tr r="D53" s="2"/>
        <tr r="E53" s="2"/>
      </tp>
      <tp t="s">
        <v>N/A</v>
        <stp/>
        <stp>VOLUME</stp>
        <stp>.QQQP496</stp>
        <tr r="K52" s="2"/>
        <tr r="G52" s="2"/>
        <tr r="F52" s="2"/>
        <tr r="B52" s="2"/>
        <tr r="C52" s="2"/>
        <tr r="D52" s="2"/>
        <tr r="E52" s="2"/>
      </tp>
      <tp t="s">
        <v>N/A</v>
        <stp/>
        <stp>VOLUME</stp>
        <stp>.QQQC496</stp>
        <tr r="K52" s="2"/>
        <tr r="G52" s="2"/>
        <tr r="F52" s="2"/>
        <tr r="B52" s="2"/>
        <tr r="C52" s="2"/>
        <tr r="D52" s="2"/>
        <tr r="E52" s="2"/>
      </tp>
      <tp t="s">
        <v>N/A</v>
        <stp/>
        <stp>VOLUME</stp>
        <stp>.QQQP497</stp>
        <tr r="K51" s="2"/>
        <tr r="G51" s="2"/>
        <tr r="F51" s="2"/>
        <tr r="E51" s="2"/>
        <tr r="B51" s="2"/>
        <tr r="C51" s="2"/>
        <tr r="D51" s="2"/>
      </tp>
      <tp t="s">
        <v>N/A</v>
        <stp/>
        <stp>VOLUME</stp>
        <stp>.QQQC497</stp>
        <tr r="K51" s="2"/>
        <tr r="G51" s="2"/>
        <tr r="F51" s="2"/>
        <tr r="E51" s="2"/>
        <tr r="B51" s="2"/>
        <tr r="C51" s="2"/>
        <tr r="D51" s="2"/>
      </tp>
      <tp t="s">
        <v>N/A</v>
        <stp/>
        <stp>VOLUME</stp>
        <stp>.QQQP490</stp>
        <tr r="D58" s="2"/>
        <tr r="K58" s="2"/>
        <tr r="B58" s="2"/>
        <tr r="G58" s="2"/>
        <tr r="E58" s="2"/>
        <tr r="C58" s="2"/>
        <tr r="F58" s="2"/>
      </tp>
      <tp t="s">
        <v>N/A</v>
        <stp/>
        <stp>VOLUME</stp>
        <stp>.QQQC490</stp>
        <tr r="D58" s="2"/>
        <tr r="K58" s="2"/>
        <tr r="B58" s="2"/>
        <tr r="G58" s="2"/>
        <tr r="E58" s="2"/>
        <tr r="C58" s="2"/>
        <tr r="F58" s="2"/>
      </tp>
      <tp t="s">
        <v>N/A</v>
        <stp/>
        <stp>VOLUME</stp>
        <stp>.QQQP491</stp>
        <tr r="K57" s="2"/>
        <tr r="C57" s="2"/>
        <tr r="D57" s="2"/>
        <tr r="G57" s="2"/>
        <tr r="B57" s="2"/>
        <tr r="F57" s="2"/>
        <tr r="E57" s="2"/>
      </tp>
      <tp t="s">
        <v>N/A</v>
        <stp/>
        <stp>VOLUME</stp>
        <stp>.QQQC491</stp>
        <tr r="K57" s="2"/>
        <tr r="C57" s="2"/>
        <tr r="D57" s="2"/>
        <tr r="G57" s="2"/>
        <tr r="B57" s="2"/>
        <tr r="F57" s="2"/>
        <tr r="E57" s="2"/>
      </tp>
      <tp t="s">
        <v>N/A</v>
        <stp/>
        <stp>VOLUME</stp>
        <stp>.QQQP492</stp>
        <tr r="K56" s="2"/>
        <tr r="F56" s="2"/>
        <tr r="B56" s="2"/>
        <tr r="D56" s="2"/>
        <tr r="E56" s="2"/>
        <tr r="G56" s="2"/>
        <tr r="C56" s="2"/>
      </tp>
      <tp t="s">
        <v>N/A</v>
        <stp/>
        <stp>VOLUME</stp>
        <stp>.QQQC492</stp>
        <tr r="K56" s="2"/>
        <tr r="F56" s="2"/>
        <tr r="B56" s="2"/>
        <tr r="D56" s="2"/>
        <tr r="E56" s="2"/>
        <tr r="G56" s="2"/>
        <tr r="C56" s="2"/>
      </tp>
      <tp t="s">
        <v>N/A</v>
        <stp/>
        <stp>VOLUME</stp>
        <stp>.QQQP493</stp>
        <tr r="K55" s="2"/>
        <tr r="D55" s="2"/>
        <tr r="F55" s="2"/>
        <tr r="C55" s="2"/>
        <tr r="E55" s="2"/>
        <tr r="G55" s="2"/>
        <tr r="B55" s="2"/>
      </tp>
      <tp t="s">
        <v>N/A</v>
        <stp/>
        <stp>VOLUME</stp>
        <stp>.QQQC493</stp>
        <tr r="K55" s="2"/>
        <tr r="D55" s="2"/>
        <tr r="F55" s="2"/>
        <tr r="C55" s="2"/>
        <tr r="E55" s="2"/>
        <tr r="G55" s="2"/>
        <tr r="B55" s="2"/>
      </tp>
      <tp t="s">
        <v>N/A</v>
        <stp/>
        <stp>VOLUME</stp>
        <stp>.SPXW250829C5640</stp>
        <tr r="P109" s="2"/>
      </tp>
      <tp t="s">
        <v>N/A</v>
        <stp/>
        <stp>VOLUME</stp>
        <stp>.SPXW250509C5440</stp>
        <tr r="BA128" s="1"/>
      </tp>
      <tp t="s">
        <v>N/A</v>
        <stp/>
        <stp>VOLUME</stp>
        <stp>.SPXW251128C5650</stp>
        <tr r="V108" s="2"/>
      </tp>
      <tp t="s">
        <v>N/A</v>
        <stp/>
        <stp>VOLUME</stp>
        <stp>.SPXW251128P5650</stp>
        <tr r="V108" s="2"/>
      </tp>
      <tp t="s">
        <v>N/A</v>
        <stp/>
        <stp>VOLUME</stp>
        <stp>.SPXW250829P5640</stp>
        <tr r="P109" s="2"/>
      </tp>
      <tp t="s">
        <v>N/A</v>
        <stp/>
        <stp>VOLUME</stp>
        <stp>.SPXW250509P5440</stp>
        <tr r="BB128" s="1"/>
      </tp>
      <tp t="s">
        <v>N/A</v>
        <stp/>
        <stp>VOLUME</stp>
        <stp>.SPXW250829C5670</stp>
        <tr r="P106" s="2"/>
      </tp>
      <tp t="s">
        <v>N/A</v>
        <stp/>
        <stp>VOLUME</stp>
        <stp>.SPXW250509C5470</stp>
        <tr r="BA125" s="1"/>
      </tp>
      <tp t="s">
        <v>N/A</v>
        <stp/>
        <stp>VOLUME</stp>
        <stp>.SPXW250606C5480</stp>
        <tr r="J125" s="2"/>
      </tp>
      <tp t="s">
        <v>N/A</v>
        <stp/>
        <stp>VOLUME</stp>
        <stp>.SPXW251128C5660</stp>
        <tr r="V107" s="2"/>
      </tp>
      <tp t="s">
        <v>N/A</v>
        <stp/>
        <stp>VOLUME</stp>
        <stp>.SPXW251128P5660</stp>
        <tr r="V107" s="2"/>
      </tp>
      <tp t="s">
        <v>N/A</v>
        <stp/>
        <stp>VOLUME</stp>
        <stp>.SPXW250829P5670</stp>
        <tr r="P106" s="2"/>
      </tp>
      <tp t="s">
        <v>N/A</v>
        <stp/>
        <stp>VOLUME</stp>
        <stp>.SPXW250509P5470</stp>
        <tr r="BB125" s="1"/>
      </tp>
      <tp t="s">
        <v>N/A</v>
        <stp/>
        <stp>VOLUME</stp>
        <stp>.SPXW250606P5480</stp>
        <tr r="J125" s="2"/>
      </tp>
      <tp t="s">
        <v>N/A</v>
        <stp/>
        <stp>VOLUME</stp>
        <stp>.SPXW250829C5660</stp>
        <tr r="P107" s="2"/>
      </tp>
      <tp t="s">
        <v>N/A</v>
        <stp/>
        <stp>VOLUME</stp>
        <stp>.SPXW250509C5460</stp>
        <tr r="BA126" s="1"/>
      </tp>
      <tp t="s">
        <v>N/A</v>
        <stp/>
        <stp>VOLUME</stp>
        <stp>.SPXW250606C5490</stp>
        <tr r="J124" s="2"/>
      </tp>
      <tp t="s">
        <v>N/A</v>
        <stp/>
        <stp>VOLUME</stp>
        <stp>.SPXW251128C5670</stp>
        <tr r="V106" s="2"/>
      </tp>
      <tp t="s">
        <v>N/A</v>
        <stp/>
        <stp>VOLUME</stp>
        <stp>.SPXW251128P5670</stp>
        <tr r="V106" s="2"/>
      </tp>
      <tp t="s">
        <v>N/A</v>
        <stp/>
        <stp>VOLUME</stp>
        <stp>.SPXW250829P5660</stp>
        <tr r="P107" s="2"/>
      </tp>
      <tp t="s">
        <v>N/A</v>
        <stp/>
        <stp>VOLUME</stp>
        <stp>.SPXW250509P5460</stp>
        <tr r="BB126" s="1"/>
      </tp>
      <tp t="s">
        <v>N/A</v>
        <stp/>
        <stp>VOLUME</stp>
        <stp>.SPXW250606P5490</stp>
        <tr r="J124" s="2"/>
      </tp>
      <tp t="s">
        <v>N/A</v>
        <stp/>
        <stp>VOLUME</stp>
        <stp>.NDXP251231P19850</stp>
        <tr r="X166" s="2"/>
      </tp>
      <tp t="s">
        <v>N/A</v>
        <stp/>
        <stp>VOLUME</stp>
        <stp>.NDXP251128P20150</stp>
        <tr r="V154" s="2"/>
      </tp>
      <tp t="s">
        <v>N/A</v>
        <stp/>
        <stp>VOLUME</stp>
        <stp>.NDXP251031P19850</stp>
        <tr r="T166" s="2"/>
      </tp>
      <tp t="s">
        <v>N/A</v>
        <stp/>
        <stp>VOLUME</stp>
        <stp>.SPXW250930C5700</stp>
        <tr r="R103" s="2"/>
      </tp>
      <tp t="s">
        <v>N/A</v>
        <stp/>
        <stp>VOLUME</stp>
        <stp>.SPXW250829C5690</stp>
        <tr r="P104" s="2"/>
      </tp>
      <tp t="s">
        <v>N/A</v>
        <stp/>
        <stp>VOLUME</stp>
        <stp>.SPXW250509C5490</stp>
        <tr r="BA123" s="1"/>
      </tp>
      <tp t="s">
        <v>N/A</v>
        <stp/>
        <stp>VOLUME</stp>
        <stp>.SPXW250530C5700</stp>
        <tr r="I103" s="2"/>
      </tp>
      <tp t="s">
        <v>N/A</v>
        <stp/>
        <stp>VOLUME</stp>
        <stp>.SPXW250731C5710</stp>
        <tr r="N102" s="2"/>
      </tp>
      <tp t="s">
        <v>N/A</v>
        <stp/>
        <stp>VOLUME</stp>
        <stp>.SPXW250606C5460</stp>
        <tr r="J127" s="2"/>
      </tp>
      <tp t="s">
        <v>N/A</v>
        <stp/>
        <stp>VOLUME</stp>
        <stp>.SPXW250630C5700</stp>
        <tr r="L103" s="2"/>
      </tp>
      <tp t="s">
        <v>N/A</v>
        <stp/>
        <stp>VOLUME</stp>
        <stp>.SPXW251128C5680</stp>
        <tr r="V105" s="2"/>
      </tp>
      <tp t="s">
        <v>N/A</v>
        <stp/>
        <stp>VOLUME</stp>
        <stp>.SPXW251031C5710</stp>
        <tr r="T102" s="2"/>
      </tp>
      <tp t="s">
        <v>N/A</v>
        <stp/>
        <stp>VOLUME</stp>
        <stp>.SPXW251231C5710</stp>
        <tr r="X102" s="2"/>
      </tp>
      <tp t="s">
        <v>N/A</v>
        <stp/>
        <stp>VOLUME</stp>
        <stp>.SPXW251128P5680</stp>
        <tr r="V105" s="2"/>
      </tp>
      <tp t="s">
        <v>N/A</v>
        <stp/>
        <stp>VOLUME</stp>
        <stp>.SPXW251031P5710</stp>
        <tr r="T102" s="2"/>
      </tp>
      <tp t="s">
        <v>N/A</v>
        <stp/>
        <stp>VOLUME</stp>
        <stp>.SPXW251231P5710</stp>
        <tr r="X102" s="2"/>
      </tp>
      <tp t="s">
        <v>N/A</v>
        <stp/>
        <stp>VOLUME</stp>
        <stp>.SPXW250930P5700</stp>
        <tr r="R103" s="2"/>
      </tp>
      <tp t="s">
        <v>N/A</v>
        <stp/>
        <stp>VOLUME</stp>
        <stp>.SPXW250829P5690</stp>
        <tr r="P104" s="2"/>
      </tp>
      <tp t="s">
        <v>N/A</v>
        <stp/>
        <stp>VOLUME</stp>
        <stp>.SPXW250509P5490</stp>
        <tr r="BB123" s="1"/>
      </tp>
      <tp t="s">
        <v>N/A</v>
        <stp/>
        <stp>VOLUME</stp>
        <stp>.SPXW250530P5700</stp>
        <tr r="I103" s="2"/>
      </tp>
      <tp t="s">
        <v>N/A</v>
        <stp/>
        <stp>VOLUME</stp>
        <stp>.SPXW250731P5710</stp>
        <tr r="N102" s="2"/>
      </tp>
      <tp t="s">
        <v>N/A</v>
        <stp/>
        <stp>VOLUME</stp>
        <stp>.SPXW250606P5460</stp>
        <tr r="J127" s="2"/>
      </tp>
      <tp t="s">
        <v>N/A</v>
        <stp/>
        <stp>VOLUME</stp>
        <stp>.SPXW250630P5700</stp>
        <tr r="L103" s="2"/>
      </tp>
      <tp t="s">
        <v>N/A</v>
        <stp/>
        <stp>VOLUME</stp>
        <stp>.NDXP250829P20050</stp>
        <tr r="P158" s="2"/>
      </tp>
      <tp t="s">
        <v>N/A</v>
        <stp/>
        <stp>VOLUME</stp>
        <stp>.NDXP250930P19950</stp>
        <tr r="R162" s="2"/>
      </tp>
      <tp t="s">
        <v>N/A</v>
        <stp/>
        <stp>VOLUME</stp>
        <stp>.NDXP250630P19950</stp>
        <tr r="L162" s="2"/>
      </tp>
      <tp>
        <v>542</v>
        <stp/>
        <stp>VOLUME</stp>
        <stp>.NDXP250509P20050</stp>
        <tr r="BB157" s="1"/>
        <tr r="BB157" s="1"/>
      </tp>
      <tp t="s">
        <v>N/A</v>
        <stp/>
        <stp>VOLUME</stp>
        <stp>.NDXP250731P19850</stp>
        <tr r="N166" s="2"/>
      </tp>
      <tp>
        <v>2</v>
        <stp/>
        <stp>VOLUME</stp>
        <stp>.NDXP250530P19950</stp>
        <tr r="I162" s="2"/>
        <tr r="I162" s="2"/>
      </tp>
      <tp t="s">
        <v>N/A</v>
        <stp/>
        <stp>VOLUME</stp>
        <stp>.SPXW250930C5710</stp>
        <tr r="R102" s="2"/>
      </tp>
      <tp t="s">
        <v>N/A</v>
        <stp/>
        <stp>VOLUME</stp>
        <stp>.SPXW250829C5680</stp>
        <tr r="P105" s="2"/>
      </tp>
      <tp t="s">
        <v>N/A</v>
        <stp/>
        <stp>VOLUME</stp>
        <stp>.SPXW250509C5480</stp>
        <tr r="BA124" s="1"/>
      </tp>
      <tp t="s">
        <v>N/A</v>
        <stp/>
        <stp>VOLUME</stp>
        <stp>.SPXW250530C5710</stp>
        <tr r="I102" s="2"/>
      </tp>
      <tp t="s">
        <v>N/A</v>
        <stp/>
        <stp>VOLUME</stp>
        <stp>.SPXW250731C5700</stp>
        <tr r="N103" s="2"/>
      </tp>
      <tp t="s">
        <v>N/A</v>
        <stp/>
        <stp>VOLUME</stp>
        <stp>.SPXW250606C5470</stp>
        <tr r="J126" s="2"/>
      </tp>
      <tp t="s">
        <v>N/A</v>
        <stp/>
        <stp>VOLUME</stp>
        <stp>.SPXW250630C5710</stp>
        <tr r="L102" s="2"/>
      </tp>
      <tp t="s">
        <v>N/A</v>
        <stp/>
        <stp>VOLUME</stp>
        <stp>.SPXW251128C5690</stp>
        <tr r="V104" s="2"/>
      </tp>
      <tp t="s">
        <v>N/A</v>
        <stp/>
        <stp>VOLUME</stp>
        <stp>.SPXW251031C5700</stp>
        <tr r="T103" s="2"/>
      </tp>
      <tp t="s">
        <v>N/A</v>
        <stp/>
        <stp>VOLUME</stp>
        <stp>.SPXW251231C5700</stp>
        <tr r="X103" s="2"/>
      </tp>
      <tp t="s">
        <v>N/A</v>
        <stp/>
        <stp>VOLUME</stp>
        <stp>.SPXW251128P5690</stp>
        <tr r="V104" s="2"/>
      </tp>
      <tp t="s">
        <v>N/A</v>
        <stp/>
        <stp>VOLUME</stp>
        <stp>.SPXW251031P5700</stp>
        <tr r="T103" s="2"/>
      </tp>
      <tp t="s">
        <v>N/A</v>
        <stp/>
        <stp>VOLUME</stp>
        <stp>.SPXW251231P5700</stp>
        <tr r="X103" s="2"/>
      </tp>
      <tp t="s">
        <v>N/A</v>
        <stp/>
        <stp>VOLUME</stp>
        <stp>.SPXW250930P5710</stp>
        <tr r="R102" s="2"/>
      </tp>
      <tp t="s">
        <v>N/A</v>
        <stp/>
        <stp>VOLUME</stp>
        <stp>.SPXW250829P5680</stp>
        <tr r="P105" s="2"/>
      </tp>
      <tp t="s">
        <v>N/A</v>
        <stp/>
        <stp>VOLUME</stp>
        <stp>.SPXW250509P5480</stp>
        <tr r="BB124" s="1"/>
      </tp>
      <tp t="s">
        <v>N/A</v>
        <stp/>
        <stp>VOLUME</stp>
        <stp>.SPXW250530P5710</stp>
        <tr r="I102" s="2"/>
      </tp>
      <tp t="s">
        <v>N/A</v>
        <stp/>
        <stp>VOLUME</stp>
        <stp>.SPXW250731P5700</stp>
        <tr r="N103" s="2"/>
      </tp>
      <tp t="s">
        <v>N/A</v>
        <stp/>
        <stp>VOLUME</stp>
        <stp>.SPXW250606P5470</stp>
        <tr r="J126" s="2"/>
      </tp>
      <tp t="s">
        <v>N/A</v>
        <stp/>
        <stp>VOLUME</stp>
        <stp>.SPXW250630P5710</stp>
        <tr r="L102" s="2"/>
      </tp>
      <tp t="s">
        <v>N/A</v>
        <stp/>
        <stp>VOLUME</stp>
        <stp>.QQQP468</stp>
        <tr r="B80" s="2"/>
        <tr r="G80" s="2"/>
        <tr r="E80" s="2"/>
        <tr r="F80" s="2"/>
        <tr r="K80" s="2"/>
        <tr r="C80" s="2"/>
        <tr r="D80" s="2"/>
      </tp>
      <tp t="s">
        <v>N/A</v>
        <stp/>
        <stp>VOLUME</stp>
        <stp>.QQQC468</stp>
        <tr r="B80" s="2"/>
        <tr r="G80" s="2"/>
        <tr r="E80" s="2"/>
        <tr r="F80" s="2"/>
        <tr r="K80" s="2"/>
        <tr r="C80" s="2"/>
        <tr r="D80" s="2"/>
      </tp>
      <tp t="s">
        <v>N/A</v>
        <stp/>
        <stp>VOLUME</stp>
        <stp>.QQQP469</stp>
        <tr r="B79" s="2"/>
        <tr r="E79" s="2"/>
        <tr r="C79" s="2"/>
        <tr r="D79" s="2"/>
        <tr r="F79" s="2"/>
        <tr r="G79" s="2"/>
        <tr r="K79" s="2"/>
      </tp>
      <tp t="s">
        <v>N/A</v>
        <stp/>
        <stp>VOLUME</stp>
        <stp>.QQQC469</stp>
        <tr r="B79" s="2"/>
        <tr r="E79" s="2"/>
        <tr r="C79" s="2"/>
        <tr r="D79" s="2"/>
        <tr r="F79" s="2"/>
        <tr r="G79" s="2"/>
        <tr r="K79" s="2"/>
      </tp>
      <tp t="s">
        <v>N/A</v>
        <stp/>
        <stp>VOLUME</stp>
        <stp>.NDXP251231P19875</stp>
        <tr r="X165" s="2"/>
      </tp>
      <tp t="s">
        <v>N/A</v>
        <stp/>
        <stp>VOLUME</stp>
        <stp>.NDXP251128P20175</stp>
        <tr r="V153" s="2"/>
      </tp>
      <tp t="s">
        <v>N/A</v>
        <stp/>
        <stp>VOLUME</stp>
        <stp>.NDXP251031P19875</stp>
        <tr r="T165" s="2"/>
      </tp>
      <tp t="s">
        <v>N/A</v>
        <stp/>
        <stp>VOLUME</stp>
        <stp>.SPXW250930C5720</stp>
        <tr r="R101" s="2"/>
      </tp>
      <tp t="s">
        <v>N/A</v>
        <stp/>
        <stp>VOLUME</stp>
        <stp>.SPXW250530C5720</stp>
        <tr r="I101" s="2"/>
      </tp>
      <tp t="s">
        <v>N/A</v>
        <stp/>
        <stp>VOLUME</stp>
        <stp>.SPXW250731C5730</stp>
        <tr r="N100" s="2"/>
      </tp>
      <tp t="s">
        <v>N/A</v>
        <stp/>
        <stp>VOLUME</stp>
        <stp>.SPXW250606C5440</stp>
        <tr r="J129" s="2"/>
      </tp>
      <tp t="s">
        <v>N/A</v>
        <stp/>
        <stp>VOLUME</stp>
        <stp>.SPXW250630C5720</stp>
        <tr r="L101" s="2"/>
      </tp>
      <tp t="s">
        <v>N/A</v>
        <stp/>
        <stp>VOLUME</stp>
        <stp>.SPXW251031C5730</stp>
        <tr r="T100" s="2"/>
      </tp>
      <tp t="s">
        <v>N/A</v>
        <stp/>
        <stp>VOLUME</stp>
        <stp>.SPXW251231C5730</stp>
        <tr r="X100" s="2"/>
      </tp>
      <tp t="s">
        <v>N/A</v>
        <stp/>
        <stp>VOLUME</stp>
        <stp>.SPXW251031P5730</stp>
        <tr r="T100" s="2"/>
      </tp>
      <tp t="s">
        <v>N/A</v>
        <stp/>
        <stp>VOLUME</stp>
        <stp>.SPXW251231P5730</stp>
        <tr r="X100" s="2"/>
      </tp>
      <tp t="s">
        <v>N/A</v>
        <stp/>
        <stp>VOLUME</stp>
        <stp>.SPXW250930P5720</stp>
        <tr r="R101" s="2"/>
      </tp>
      <tp t="s">
        <v>N/A</v>
        <stp/>
        <stp>VOLUME</stp>
        <stp>.SPXW250530P5720</stp>
        <tr r="I101" s="2"/>
      </tp>
      <tp t="s">
        <v>N/A</v>
        <stp/>
        <stp>VOLUME</stp>
        <stp>.SPXW250731P5730</stp>
        <tr r="N100" s="2"/>
      </tp>
      <tp t="s">
        <v>N/A</v>
        <stp/>
        <stp>VOLUME</stp>
        <stp>.SPXW250606P5440</stp>
        <tr r="J129" s="2"/>
      </tp>
      <tp t="s">
        <v>N/A</v>
        <stp/>
        <stp>VOLUME</stp>
        <stp>.SPXW250630P5720</stp>
        <tr r="L101" s="2"/>
      </tp>
      <tp t="s">
        <v>N/A</v>
        <stp/>
        <stp>VOLUME</stp>
        <stp>.QQQP478</stp>
        <tr r="G70" s="2"/>
        <tr r="E70" s="2"/>
        <tr r="F70" s="2"/>
        <tr r="K70" s="2"/>
        <tr r="C70" s="2"/>
        <tr r="B70" s="2"/>
        <tr r="D70" s="2"/>
      </tp>
      <tp t="s">
        <v>N/A</v>
        <stp/>
        <stp>VOLUME</stp>
        <stp>.QQQC478</stp>
        <tr r="G70" s="2"/>
        <tr r="E70" s="2"/>
        <tr r="F70" s="2"/>
        <tr r="K70" s="2"/>
        <tr r="C70" s="2"/>
        <tr r="B70" s="2"/>
        <tr r="D70" s="2"/>
      </tp>
      <tp t="s">
        <v>N/A</v>
        <stp/>
        <stp>VOLUME</stp>
        <stp>.QQQP479</stp>
        <tr r="F69" s="2"/>
        <tr r="D69" s="2"/>
        <tr r="B69" s="2"/>
        <tr r="E69" s="2"/>
        <tr r="G69" s="2"/>
        <tr r="K69" s="2"/>
        <tr r="C69" s="2"/>
      </tp>
      <tp t="s">
        <v>N/A</v>
        <stp/>
        <stp>VOLUME</stp>
        <stp>.QQQC479</stp>
        <tr r="F69" s="2"/>
        <tr r="D69" s="2"/>
        <tr r="B69" s="2"/>
        <tr r="E69" s="2"/>
        <tr r="G69" s="2"/>
        <tr r="K69" s="2"/>
        <tr r="C69" s="2"/>
      </tp>
      <tp t="s">
        <v>N/A</v>
        <stp/>
        <stp>VOLUME</stp>
        <stp>.QQQP474</stp>
        <tr r="B74" s="2"/>
        <tr r="E74" s="2"/>
        <tr r="F74" s="2"/>
        <tr r="D74" s="2"/>
        <tr r="K74" s="2"/>
        <tr r="G74" s="2"/>
        <tr r="C74" s="2"/>
      </tp>
      <tp t="s">
        <v>N/A</v>
        <stp/>
        <stp>VOLUME</stp>
        <stp>.QQQC474</stp>
        <tr r="B74" s="2"/>
        <tr r="E74" s="2"/>
        <tr r="F74" s="2"/>
        <tr r="D74" s="2"/>
        <tr r="K74" s="2"/>
        <tr r="G74" s="2"/>
        <tr r="C74" s="2"/>
      </tp>
      <tp t="s">
        <v>N/A</v>
        <stp/>
        <stp>VOLUME</stp>
        <stp>.QQQP475</stp>
        <tr r="E73" s="2"/>
        <tr r="B73" s="2"/>
        <tr r="D73" s="2"/>
        <tr r="C73" s="2"/>
        <tr r="F73" s="2"/>
        <tr r="G73" s="2"/>
        <tr r="K73" s="2"/>
      </tp>
      <tp t="s">
        <v>N/A</v>
        <stp/>
        <stp>VOLUME</stp>
        <stp>.QQQC475</stp>
        <tr r="E73" s="2"/>
        <tr r="B73" s="2"/>
        <tr r="D73" s="2"/>
        <tr r="C73" s="2"/>
        <tr r="F73" s="2"/>
        <tr r="G73" s="2"/>
        <tr r="K73" s="2"/>
      </tp>
      <tp t="s">
        <v>N/A</v>
        <stp/>
        <stp>VOLUME</stp>
        <stp>.QQQP476</stp>
        <tr r="F72" s="2"/>
        <tr r="D72" s="2"/>
        <tr r="E72" s="2"/>
        <tr r="G72" s="2"/>
        <tr r="B72" s="2"/>
        <tr r="C72" s="2"/>
        <tr r="K72" s="2"/>
      </tp>
      <tp t="s">
        <v>N/A</v>
        <stp/>
        <stp>VOLUME</stp>
        <stp>.QQQC476</stp>
        <tr r="F72" s="2"/>
        <tr r="D72" s="2"/>
        <tr r="E72" s="2"/>
        <tr r="G72" s="2"/>
        <tr r="B72" s="2"/>
        <tr r="C72" s="2"/>
        <tr r="K72" s="2"/>
      </tp>
      <tp t="s">
        <v>N/A</v>
        <stp/>
        <stp>VOLUME</stp>
        <stp>.QQQP477</stp>
        <tr r="B71" s="2"/>
        <tr r="F71" s="2"/>
        <tr r="G71" s="2"/>
        <tr r="C71" s="2"/>
        <tr r="E71" s="2"/>
        <tr r="K71" s="2"/>
        <tr r="D71" s="2"/>
      </tp>
      <tp t="s">
        <v>N/A</v>
        <stp/>
        <stp>VOLUME</stp>
        <stp>.QQQC477</stp>
        <tr r="B71" s="2"/>
        <tr r="F71" s="2"/>
        <tr r="G71" s="2"/>
        <tr r="C71" s="2"/>
        <tr r="E71" s="2"/>
        <tr r="K71" s="2"/>
        <tr r="D71" s="2"/>
      </tp>
      <tp t="s">
        <v>N/A</v>
        <stp/>
        <stp>VOLUME</stp>
        <stp>.QQQP470</stp>
        <tr r="F78" s="2"/>
        <tr r="C78" s="2"/>
        <tr r="K78" s="2"/>
        <tr r="D78" s="2"/>
        <tr r="G78" s="2"/>
        <tr r="B78" s="2"/>
        <tr r="E78" s="2"/>
      </tp>
      <tp t="s">
        <v>N/A</v>
        <stp/>
        <stp>VOLUME</stp>
        <stp>.QQQC470</stp>
        <tr r="F78" s="2"/>
        <tr r="C78" s="2"/>
        <tr r="K78" s="2"/>
        <tr r="D78" s="2"/>
        <tr r="G78" s="2"/>
        <tr r="B78" s="2"/>
        <tr r="E78" s="2"/>
      </tp>
      <tp t="s">
        <v>N/A</v>
        <stp/>
        <stp>VOLUME</stp>
        <stp>.QQQP471</stp>
        <tr r="K77" s="2"/>
        <tr r="G77" s="2"/>
        <tr r="B77" s="2"/>
        <tr r="C77" s="2"/>
        <tr r="F77" s="2"/>
        <tr r="D77" s="2"/>
        <tr r="E77" s="2"/>
      </tp>
      <tp t="s">
        <v>N/A</v>
        <stp/>
        <stp>VOLUME</stp>
        <stp>.QQQC471</stp>
        <tr r="K77" s="2"/>
        <tr r="G77" s="2"/>
        <tr r="B77" s="2"/>
        <tr r="C77" s="2"/>
        <tr r="F77" s="2"/>
        <tr r="D77" s="2"/>
        <tr r="E77" s="2"/>
      </tp>
      <tp t="s">
        <v>N/A</v>
        <stp/>
        <stp>VOLUME</stp>
        <stp>.QQQP472</stp>
        <tr r="D76" s="2"/>
        <tr r="B76" s="2"/>
        <tr r="F76" s="2"/>
        <tr r="C76" s="2"/>
        <tr r="K76" s="2"/>
        <tr r="E76" s="2"/>
        <tr r="G76" s="2"/>
      </tp>
      <tp t="s">
        <v>N/A</v>
        <stp/>
        <stp>VOLUME</stp>
        <stp>.QQQC472</stp>
        <tr r="D76" s="2"/>
        <tr r="B76" s="2"/>
        <tr r="F76" s="2"/>
        <tr r="C76" s="2"/>
        <tr r="K76" s="2"/>
        <tr r="E76" s="2"/>
        <tr r="G76" s="2"/>
      </tp>
      <tp t="s">
        <v>N/A</v>
        <stp/>
        <stp>VOLUME</stp>
        <stp>.QQQP473</stp>
        <tr r="E75" s="2"/>
        <tr r="K75" s="2"/>
        <tr r="B75" s="2"/>
        <tr r="G75" s="2"/>
        <tr r="C75" s="2"/>
        <tr r="F75" s="2"/>
        <tr r="D75" s="2"/>
      </tp>
      <tp t="s">
        <v>N/A</v>
        <stp/>
        <stp>VOLUME</stp>
        <stp>.QQQC473</stp>
        <tr r="E75" s="2"/>
        <tr r="K75" s="2"/>
        <tr r="B75" s="2"/>
        <tr r="G75" s="2"/>
        <tr r="C75" s="2"/>
        <tr r="F75" s="2"/>
        <tr r="D75" s="2"/>
      </tp>
      <tp t="s">
        <v>N/A</v>
        <stp/>
        <stp>VOLUME</stp>
        <stp>.NDXP250829P20075</stp>
        <tr r="P157" s="2"/>
      </tp>
      <tp t="s">
        <v>N/A</v>
        <stp/>
        <stp>VOLUME</stp>
        <stp>.NDXP250930P19975</stp>
        <tr r="R161" s="2"/>
      </tp>
      <tp t="s">
        <v>N/A</v>
        <stp/>
        <stp>VOLUME</stp>
        <stp>.NDXP250731P19875</stp>
        <tr r="N165" s="2"/>
      </tp>
      <tp t="s">
        <v>N/A</v>
        <stp/>
        <stp>VOLUME</stp>
        <stp>.NDXP250630P19975</stp>
        <tr r="L161" s="2"/>
      </tp>
      <tp>
        <v>165</v>
        <stp/>
        <stp>VOLUME</stp>
        <stp>.NDXP250509P20075</stp>
        <tr r="BB156" s="1"/>
        <tr r="BB156" s="1"/>
      </tp>
      <tp t="s">
        <v>N/A</v>
        <stp/>
        <stp>VOLUME</stp>
        <stp>.NDXP250530P19975</stp>
        <tr r="I161" s="2"/>
      </tp>
      <tp t="s">
        <v>N/A</v>
        <stp/>
        <stp>VOLUME</stp>
        <stp>.SPXW250930C5730</stp>
        <tr r="R100" s="2"/>
      </tp>
      <tp t="s">
        <v>N/A</v>
        <stp/>
        <stp>VOLUME</stp>
        <stp>.SPXW250530C5730</stp>
        <tr r="I100" s="2"/>
      </tp>
      <tp t="s">
        <v>N/A</v>
        <stp/>
        <stp>VOLUME</stp>
        <stp>.SPXW250731C5720</stp>
        <tr r="N101" s="2"/>
      </tp>
      <tp t="s">
        <v>N/A</v>
        <stp/>
        <stp>VOLUME</stp>
        <stp>.SPXW250606C5450</stp>
        <tr r="J128" s="2"/>
      </tp>
      <tp t="s">
        <v>N/A</v>
        <stp/>
        <stp>VOLUME</stp>
        <stp>.SPXW250630C5730</stp>
        <tr r="L100" s="2"/>
      </tp>
      <tp t="s">
        <v>N/A</v>
        <stp/>
        <stp>VOLUME</stp>
        <stp>.SPXW251031C5720</stp>
        <tr r="T101" s="2"/>
      </tp>
      <tp t="s">
        <v>N/A</v>
        <stp/>
        <stp>VOLUME</stp>
        <stp>.SPXW251231C5720</stp>
        <tr r="X101" s="2"/>
      </tp>
      <tp t="s">
        <v>N/A</v>
        <stp/>
        <stp>VOLUME</stp>
        <stp>.SPXW251031P5720</stp>
        <tr r="T101" s="2"/>
      </tp>
      <tp t="s">
        <v>N/A</v>
        <stp/>
        <stp>VOLUME</stp>
        <stp>.SPXW251231P5720</stp>
        <tr r="X101" s="2"/>
      </tp>
      <tp t="s">
        <v>N/A</v>
        <stp/>
        <stp>VOLUME</stp>
        <stp>.SPXW250930P5730</stp>
        <tr r="R100" s="2"/>
      </tp>
      <tp t="s">
        <v>N/A</v>
        <stp/>
        <stp>VOLUME</stp>
        <stp>.SPXW250530P5730</stp>
        <tr r="I100" s="2"/>
      </tp>
      <tp t="s">
        <v>N/A</v>
        <stp/>
        <stp>VOLUME</stp>
        <stp>.SPXW250731P5720</stp>
        <tr r="N101" s="2"/>
      </tp>
      <tp t="s">
        <v>N/A</v>
        <stp/>
        <stp>VOLUME</stp>
        <stp>.SPXW250606P5450</stp>
        <tr r="J128" s="2"/>
      </tp>
      <tp t="s">
        <v>N/A</v>
        <stp/>
        <stp>VOLUME</stp>
        <stp>.SPXW250630P5730</stp>
        <tr r="L100" s="2"/>
      </tp>
      <tp t="s">
        <v>N/A</v>
        <stp/>
        <stp>VOLUME</stp>
        <stp>.NDXP250829P20000</stp>
        <tr r="P160" s="2"/>
      </tp>
      <tp t="s">
        <v>N/A</v>
        <stp/>
        <stp>VOLUME</stp>
        <stp>.NDXP250930P19900</stp>
        <tr r="R164" s="2"/>
      </tp>
      <tp t="s">
        <v>N/A</v>
        <stp/>
        <stp>VOLUME</stp>
        <stp>.NDXP250630P19900</stp>
        <tr r="L164" s="2"/>
      </tp>
      <tp>
        <v>877</v>
        <stp/>
        <stp>VOLUME</stp>
        <stp>.NDXP250509P20000</stp>
        <tr r="BB159" s="1"/>
        <tr r="BB159" s="1"/>
      </tp>
      <tp t="s">
        <v>N/A</v>
        <stp/>
        <stp>VOLUME</stp>
        <stp>.NDXP250731P19800</stp>
        <tr r="N168" s="2"/>
      </tp>
      <tp>
        <v>4</v>
        <stp/>
        <stp>VOLUME</stp>
        <stp>.NDXP250530P19900</stp>
        <tr r="I164" s="2"/>
        <tr r="I164" s="2"/>
      </tp>
      <tp t="s">
        <v>N/A</v>
        <stp/>
        <stp>VOLUME</stp>
        <stp>.SPXW250930C5740</stp>
        <tr r="R99" s="2"/>
      </tp>
      <tp t="s">
        <v>N/A</v>
        <stp/>
        <stp>VOLUME</stp>
        <stp>.SPXW250530C5740</stp>
        <tr r="I99" s="2"/>
      </tp>
      <tp t="s">
        <v>N/A</v>
        <stp/>
        <stp>VOLUME</stp>
        <stp>.SPXW250731C5750</stp>
        <tr r="N98" s="2"/>
      </tp>
      <tp t="s">
        <v>N/A</v>
        <stp/>
        <stp>VOLUME</stp>
        <stp>.SPXW250606C5420</stp>
        <tr r="J131" s="2"/>
      </tp>
      <tp t="s">
        <v>N/A</v>
        <stp/>
        <stp>VOLUME</stp>
        <stp>.SPXW250630C5740</stp>
        <tr r="L99" s="2"/>
      </tp>
      <tp t="s">
        <v>N/A</v>
        <stp/>
        <stp>VOLUME</stp>
        <stp>.SPXW251031C5750</stp>
        <tr r="T98" s="2"/>
      </tp>
      <tp t="s">
        <v>N/A</v>
        <stp/>
        <stp>VOLUME</stp>
        <stp>.SPXW251231C5750</stp>
        <tr r="X98" s="2"/>
      </tp>
      <tp t="s">
        <v>N/A</v>
        <stp/>
        <stp>VOLUME</stp>
        <stp>.SPXW251031P5750</stp>
        <tr r="T98" s="2"/>
      </tp>
      <tp t="s">
        <v>N/A</v>
        <stp/>
        <stp>VOLUME</stp>
        <stp>.SPXW251231P5750</stp>
        <tr r="X98" s="2"/>
      </tp>
      <tp t="s">
        <v>N/A</v>
        <stp/>
        <stp>VOLUME</stp>
        <stp>.SPXW250930P5740</stp>
        <tr r="R99" s="2"/>
      </tp>
      <tp t="s">
        <v>N/A</v>
        <stp/>
        <stp>VOLUME</stp>
        <stp>.SPXW250530P5740</stp>
        <tr r="I99" s="2"/>
      </tp>
      <tp t="s">
        <v>N/A</v>
        <stp/>
        <stp>VOLUME</stp>
        <stp>.SPXW250731P5750</stp>
        <tr r="N98" s="2"/>
      </tp>
      <tp t="s">
        <v>N/A</v>
        <stp/>
        <stp>VOLUME</stp>
        <stp>.SPXW250606P5420</stp>
        <tr r="J131" s="2"/>
      </tp>
      <tp t="s">
        <v>N/A</v>
        <stp/>
        <stp>VOLUME</stp>
        <stp>.SPXW250630P5740</stp>
        <tr r="L99" s="2"/>
      </tp>
      <tp t="s">
        <v>N/A</v>
        <stp/>
        <stp>VOLUME</stp>
        <stp>.NDXP251231P19800</stp>
        <tr r="X168" s="2"/>
      </tp>
      <tp t="s">
        <v>N/A</v>
        <stp/>
        <stp>VOLUME</stp>
        <stp>.NDXP251128P20100</stp>
        <tr r="V156" s="2"/>
      </tp>
      <tp t="s">
        <v>N/A</v>
        <stp/>
        <stp>VOLUME</stp>
        <stp>.NDXP251031P19800</stp>
        <tr r="T168" s="2"/>
      </tp>
      <tp t="s">
        <v>N/A</v>
        <stp/>
        <stp>VOLUME</stp>
        <stp>.SPXW250930C5750</stp>
        <tr r="R98" s="2"/>
      </tp>
      <tp t="s">
        <v>N/A</v>
        <stp/>
        <stp>VOLUME</stp>
        <stp>.SPXW250530C5750</stp>
        <tr r="I98" s="2"/>
      </tp>
      <tp t="s">
        <v>N/A</v>
        <stp/>
        <stp>VOLUME</stp>
        <stp>.SPXW250731C5740</stp>
        <tr r="N99" s="2"/>
      </tp>
      <tp t="s">
        <v>N/A</v>
        <stp/>
        <stp>VOLUME</stp>
        <stp>.SPXW250606C5430</stp>
        <tr r="J130" s="2"/>
      </tp>
      <tp t="s">
        <v>N/A</v>
        <stp/>
        <stp>VOLUME</stp>
        <stp>.SPXW250630C5750</stp>
        <tr r="L98" s="2"/>
      </tp>
      <tp t="s">
        <v>N/A</v>
        <stp/>
        <stp>VOLUME</stp>
        <stp>.SPXW251031C5740</stp>
        <tr r="T99" s="2"/>
      </tp>
      <tp t="s">
        <v>N/A</v>
        <stp/>
        <stp>VOLUME</stp>
        <stp>.SPXW251231C5740</stp>
        <tr r="X99" s="2"/>
      </tp>
      <tp t="s">
        <v>N/A</v>
        <stp/>
        <stp>VOLUME</stp>
        <stp>.SPXW251031P5740</stp>
        <tr r="T99" s="2"/>
      </tp>
      <tp t="s">
        <v>N/A</v>
        <stp/>
        <stp>VOLUME</stp>
        <stp>.SPXW251231P5740</stp>
        <tr r="X99" s="2"/>
      </tp>
      <tp t="s">
        <v>N/A</v>
        <stp/>
        <stp>VOLUME</stp>
        <stp>.SPXW250930P5750</stp>
        <tr r="R98" s="2"/>
      </tp>
      <tp t="s">
        <v>N/A</v>
        <stp/>
        <stp>VOLUME</stp>
        <stp>.SPXW250530P5750</stp>
        <tr r="I98" s="2"/>
      </tp>
      <tp t="s">
        <v>N/A</v>
        <stp/>
        <stp>VOLUME</stp>
        <stp>.SPXW250731P5740</stp>
        <tr r="N99" s="2"/>
      </tp>
      <tp t="s">
        <v>N/A</v>
        <stp/>
        <stp>VOLUME</stp>
        <stp>.SPXW250606P5430</stp>
        <tr r="J130" s="2"/>
      </tp>
      <tp t="s">
        <v>N/A</v>
        <stp/>
        <stp>VOLUME</stp>
        <stp>.SPXW250630P5750</stp>
        <tr r="L98" s="2"/>
      </tp>
      <tp t="s">
        <v>N/A</v>
        <stp/>
        <stp>VOLUME</stp>
        <stp>.NDXP250829P20025</stp>
        <tr r="P159" s="2"/>
      </tp>
      <tp t="s">
        <v>N/A</v>
        <stp/>
        <stp>VOLUME</stp>
        <stp>.NDXP250930P19925</stp>
        <tr r="R163" s="2"/>
      </tp>
      <tp t="s">
        <v>N/A</v>
        <stp/>
        <stp>VOLUME</stp>
        <stp>.NDXP250731P19825</stp>
        <tr r="N167" s="2"/>
      </tp>
      <tp t="s">
        <v>N/A</v>
        <stp/>
        <stp>VOLUME</stp>
        <stp>.NDXP250630P19925</stp>
        <tr r="L163" s="2"/>
      </tp>
      <tp>
        <v>247</v>
        <stp/>
        <stp>VOLUME</stp>
        <stp>.NDXP250509P20025</stp>
        <tr r="BB158" s="1"/>
        <tr r="BB158" s="1"/>
      </tp>
      <tp t="s">
        <v>N/A</v>
        <stp/>
        <stp>VOLUME</stp>
        <stp>.NDXP250530P19925</stp>
        <tr r="I163" s="2"/>
      </tp>
      <tp t="s">
        <v>N/A</v>
        <stp/>
        <stp>VOLUME</stp>
        <stp>.SPXW250930C5760</stp>
        <tr r="R97" s="2"/>
      </tp>
      <tp t="s">
        <v>N/A</v>
        <stp/>
        <stp>VOLUME</stp>
        <stp>.SPXW250530C5760</stp>
        <tr r="I97" s="2"/>
      </tp>
      <tp t="s">
        <v>N/A</v>
        <stp/>
        <stp>VOLUME</stp>
        <stp>.SPXW250731C5770</stp>
        <tr r="N96" s="2"/>
      </tp>
      <tp t="s">
        <v>N/A</v>
        <stp/>
        <stp>VOLUME</stp>
        <stp>.SPXW250630C5760</stp>
        <tr r="L97" s="2"/>
      </tp>
      <tp t="s">
        <v>N/A</v>
        <stp/>
        <stp>VOLUME</stp>
        <stp>.SPXW251031C5770</stp>
        <tr r="T96" s="2"/>
      </tp>
      <tp t="s">
        <v>N/A</v>
        <stp/>
        <stp>VOLUME</stp>
        <stp>.SPXW251231C5770</stp>
        <tr r="X96" s="2"/>
      </tp>
      <tp t="s">
        <v>N/A</v>
        <stp/>
        <stp>VOLUME</stp>
        <stp>.SPXW251031P5770</stp>
        <tr r="T96" s="2"/>
      </tp>
      <tp t="s">
        <v>N/A</v>
        <stp/>
        <stp>VOLUME</stp>
        <stp>.SPXW251231P5770</stp>
        <tr r="X96" s="2"/>
      </tp>
      <tp t="s">
        <v>N/A</v>
        <stp/>
        <stp>VOLUME</stp>
        <stp>.SPXW250930P5760</stp>
        <tr r="R97" s="2"/>
      </tp>
      <tp t="s">
        <v>N/A</v>
        <stp/>
        <stp>VOLUME</stp>
        <stp>.SPXW250530P5760</stp>
        <tr r="I97" s="2"/>
      </tp>
      <tp t="s">
        <v>N/A</v>
        <stp/>
        <stp>VOLUME</stp>
        <stp>.SPXW250731P5770</stp>
        <tr r="N96" s="2"/>
      </tp>
      <tp t="s">
        <v>N/A</v>
        <stp/>
        <stp>VOLUME</stp>
        <stp>.SPXW250630P5760</stp>
        <tr r="L97" s="2"/>
      </tp>
      <tp t="s">
        <v>N/A</v>
        <stp/>
        <stp>VOLUME</stp>
        <stp>.NDXP251231P19825</stp>
        <tr r="X167" s="2"/>
      </tp>
      <tp t="s">
        <v>N/A</v>
        <stp/>
        <stp>VOLUME</stp>
        <stp>.NDXP251128P20125</stp>
        <tr r="V155" s="2"/>
      </tp>
      <tp t="s">
        <v>N/A</v>
        <stp/>
        <stp>VOLUME</stp>
        <stp>.NDXP251031P19825</stp>
        <tr r="T167" s="2"/>
      </tp>
      <tp t="s">
        <v>N/A</v>
        <stp/>
        <stp>VOLUME</stp>
        <stp>.SPXW250930C5770</stp>
        <tr r="R96" s="2"/>
      </tp>
      <tp t="s">
        <v>N/A</v>
        <stp/>
        <stp>VOLUME</stp>
        <stp>.SPXW250530C5770</stp>
        <tr r="I96" s="2"/>
      </tp>
      <tp t="s">
        <v>N/A</v>
        <stp/>
        <stp>VOLUME</stp>
        <stp>.SPXW250731C5760</stp>
        <tr r="N97" s="2"/>
      </tp>
      <tp t="s">
        <v>N/A</v>
        <stp/>
        <stp>VOLUME</stp>
        <stp>.SPXW250630C5770</stp>
        <tr r="L96" s="2"/>
      </tp>
      <tp t="s">
        <v>N/A</v>
        <stp/>
        <stp>VOLUME</stp>
        <stp>.SPXW251031C5760</stp>
        <tr r="T97" s="2"/>
      </tp>
      <tp t="s">
        <v>N/A</v>
        <stp/>
        <stp>VOLUME</stp>
        <stp>.SPXW251231C5760</stp>
        <tr r="X97" s="2"/>
      </tp>
      <tp t="s">
        <v>N/A</v>
        <stp/>
        <stp>VOLUME</stp>
        <stp>.SPXW251031P5760</stp>
        <tr r="T97" s="2"/>
      </tp>
      <tp t="s">
        <v>N/A</v>
        <stp/>
        <stp>VOLUME</stp>
        <stp>.SPXW251231P5760</stp>
        <tr r="X97" s="2"/>
      </tp>
      <tp t="s">
        <v>N/A</v>
        <stp/>
        <stp>VOLUME</stp>
        <stp>.SPXW250930P5770</stp>
        <tr r="R96" s="2"/>
      </tp>
      <tp t="s">
        <v>N/A</v>
        <stp/>
        <stp>VOLUME</stp>
        <stp>.SPXW250530P5770</stp>
        <tr r="I96" s="2"/>
      </tp>
      <tp t="s">
        <v>N/A</v>
        <stp/>
        <stp>VOLUME</stp>
        <stp>.SPXW250731P5760</stp>
        <tr r="N97" s="2"/>
      </tp>
      <tp t="s">
        <v>N/A</v>
        <stp/>
        <stp>VOLUME</stp>
        <stp>.SPXW250630P5770</stp>
        <tr r="L96" s="2"/>
      </tp>
      <tp>
        <v>-0.06</v>
        <stp/>
        <stp>DELTA</stp>
        <stp>.NDXP250509P20025</stp>
        <tr r="CE158" s="1"/>
        <tr r="CE158" s="1"/>
      </tp>
      <tp>
        <v>-0.01</v>
        <stp/>
        <stp>DELTA</stp>
        <stp>.NDXP250509P20000</stp>
        <tr r="CE159" s="1"/>
        <tr r="CE159" s="1"/>
      </tp>
      <tp>
        <v>-0.93</v>
        <stp/>
        <stp>DELTA</stp>
        <stp>.NDXP250509P20075</stp>
        <tr r="CE156" s="1"/>
        <tr r="CE156" s="1"/>
      </tp>
      <tp>
        <v>-0.11</v>
        <stp/>
        <stp>DELTA</stp>
        <stp>.NDXP250509P20050</stp>
        <tr r="CE157" s="1"/>
        <tr r="CE157" s="1"/>
      </tp>
      <tp>
        <v>1</v>
        <stp/>
        <stp>DELTA</stp>
        <stp>.NDXP250509C20000</stp>
        <tr r="CD159" s="1"/>
        <tr r="CD159" s="1"/>
      </tp>
      <tp>
        <v>1</v>
        <stp/>
        <stp>DELTA</stp>
        <stp>.NDXP250509C20025</stp>
        <tr r="CD158" s="1"/>
        <tr r="CD158" s="1"/>
      </tp>
      <tp>
        <v>0.76</v>
        <stp/>
        <stp>DELTA</stp>
        <stp>.NDXP250509C20050</stp>
        <tr r="CD157" s="1"/>
        <tr r="CD157" s="1"/>
      </tp>
      <tp>
        <v>0.09</v>
        <stp/>
        <stp>DELTA</stp>
        <stp>.NDXP250509C20075</stp>
        <tr r="CD156" s="1"/>
        <tr r="CD156" s="1"/>
      </tp>
      <tp t="s">
        <v>N/A</v>
        <stp/>
        <stp>VOLUME</stp>
        <stp>.NDXP250829C20375</stp>
        <tr r="P145" s="2"/>
      </tp>
      <tp t="s">
        <v>N/A</v>
        <stp/>
        <stp>VOLUME</stp>
        <stp>.NDXP250829C19375</stp>
        <tr r="P185" s="2"/>
      </tp>
      <tp>
        <v>117</v>
        <stp/>
        <stp>VOLUME</stp>
        <stp>.NDXP250509C20375</stp>
        <tr r="BA144" s="1"/>
        <tr r="BA144" s="1"/>
      </tp>
      <tp t="s">
        <v>N/A</v>
        <stp/>
        <stp>VOLUME</stp>
        <stp>.NDXP250509C19375</stp>
        <tr r="BA184" s="1"/>
      </tp>
      <tp t="s">
        <v>N/A</v>
        <stp/>
        <stp>VOLUME</stp>
        <stp>.NDXP251128C20275</stp>
        <tr r="V149" s="2"/>
      </tp>
      <tp t="s">
        <v>N/A</v>
        <stp/>
        <stp>VOLUME</stp>
        <stp>.NDXP251128C19275</stp>
        <tr r="V189" s="2"/>
      </tp>
      <tp t="s">
        <v>N/A</v>
        <stp/>
        <stp>VOLUME</stp>
        <stp>.NDXP250829C20350</stp>
        <tr r="P146" s="2"/>
      </tp>
      <tp t="s">
        <v>N/A</v>
        <stp/>
        <stp>VOLUME</stp>
        <stp>.NDXP250829C19350</stp>
        <tr r="P186" s="2"/>
      </tp>
      <tp>
        <v>360</v>
        <stp/>
        <stp>VOLUME</stp>
        <stp>.NDXP250509C20350</stp>
        <tr r="BA145" s="1"/>
        <tr r="BA145" s="1"/>
      </tp>
      <tp t="s">
        <v>N/A</v>
        <stp/>
        <stp>VOLUME</stp>
        <stp>.NDXP250509C19350</stp>
        <tr r="BA185" s="1"/>
      </tp>
      <tp t="s">
        <v>N/A</v>
        <stp/>
        <stp>VOLUME</stp>
        <stp>.NDXP251128C20250</stp>
        <tr r="V150" s="2"/>
      </tp>
      <tp t="s">
        <v>N/A</v>
        <stp/>
        <stp>VOLUME</stp>
        <stp>.NDXP251128C19250</stp>
        <tr r="V190" s="2"/>
      </tp>
      <tp t="s">
        <v>N/A</v>
        <stp/>
        <stp>VOLUME</stp>
        <stp>.NDXP251128C20225</stp>
        <tr r="V151" s="2"/>
      </tp>
      <tp t="s">
        <v>N/A</v>
        <stp/>
        <stp>VOLUME</stp>
        <stp>.NDXP250829C20325</stp>
        <tr r="P147" s="2"/>
      </tp>
      <tp t="s">
        <v>N/A</v>
        <stp/>
        <stp>VOLUME</stp>
        <stp>.NDXP250829C19325</stp>
        <tr r="P187" s="2"/>
      </tp>
      <tp>
        <v>100</v>
        <stp/>
        <stp>VOLUME</stp>
        <stp>.NDXP250509C20325</stp>
        <tr r="BA146" s="1"/>
        <tr r="BA146" s="1"/>
      </tp>
      <tp t="s">
        <v>N/A</v>
        <stp/>
        <stp>VOLUME</stp>
        <stp>.NDXP250509C19325</stp>
        <tr r="BA186" s="1"/>
      </tp>
      <tp t="s">
        <v>N/A</v>
        <stp/>
        <stp>VOLUME</stp>
        <stp>.NDXP251128C20200</stp>
        <tr r="V152" s="2"/>
      </tp>
      <tp t="s">
        <v>N/A</v>
        <stp/>
        <stp>VOLUME</stp>
        <stp>.NDXP250829C20300</stp>
        <tr r="P148" s="2"/>
      </tp>
      <tp t="s">
        <v>N/A</v>
        <stp/>
        <stp>VOLUME</stp>
        <stp>.NDXP250829C19300</stp>
        <tr r="P188" s="2"/>
      </tp>
      <tp>
        <v>755</v>
        <stp/>
        <stp>VOLUME</stp>
        <stp>.NDXP250509C20300</stp>
        <tr r="BA147" s="1"/>
        <tr r="BA147" s="1"/>
      </tp>
      <tp t="s">
        <v>N/A</v>
        <stp/>
        <stp>VOLUME</stp>
        <stp>.NDXP250509C19300</stp>
        <tr r="BA187" s="1"/>
      </tp>
      <tp t="s">
        <v>N/A</v>
        <stp/>
        <stp>VOLUME</stp>
        <stp>.SPXW250930C5480</stp>
        <tr r="R125" s="2"/>
      </tp>
      <tp t="s">
        <v>N/A</v>
        <stp/>
        <stp>VOLUME</stp>
        <stp>.SPXW250829C5510</stp>
        <tr r="P122" s="2"/>
      </tp>
      <tp t="s">
        <v>N/A</v>
        <stp/>
        <stp>VOLUME</stp>
        <stp>.SPXW250509C5710</stp>
        <tr r="BA101" s="1"/>
      </tp>
      <tp t="s">
        <v>N/A</v>
        <stp/>
        <stp>VOLUME</stp>
        <stp>.SPXW250530C5480</stp>
        <tr r="I125" s="2"/>
      </tp>
      <tp t="s">
        <v>N/A</v>
        <stp/>
        <stp>VOLUME</stp>
        <stp>.SPXW250731C5490</stp>
        <tr r="N124" s="2"/>
      </tp>
      <tp t="s">
        <v>N/A</v>
        <stp/>
        <stp>VOLUME</stp>
        <stp>.SPXW250630C5480</stp>
        <tr r="L125" s="2"/>
      </tp>
      <tp t="s">
        <v>N/A</v>
        <stp/>
        <stp>VOLUME</stp>
        <stp>.SPXW251128C5500</stp>
        <tr r="V123" s="2"/>
      </tp>
      <tp t="s">
        <v>N/A</v>
        <stp/>
        <stp>VOLUME</stp>
        <stp>.SPXW251031C5490</stp>
        <tr r="T124" s="2"/>
      </tp>
      <tp t="s">
        <v>N/A</v>
        <stp/>
        <stp>VOLUME</stp>
        <stp>.SPXW251231C5490</stp>
        <tr r="X124" s="2"/>
      </tp>
      <tp t="s">
        <v>N/A</v>
        <stp/>
        <stp>VOLUME</stp>
        <stp>.SPXW251128P5500</stp>
        <tr r="V123" s="2"/>
      </tp>
      <tp t="s">
        <v>N/A</v>
        <stp/>
        <stp>VOLUME</stp>
        <stp>.SPXW251031P5490</stp>
        <tr r="T124" s="2"/>
      </tp>
      <tp t="s">
        <v>N/A</v>
        <stp/>
        <stp>VOLUME</stp>
        <stp>.SPXW251231P5490</stp>
        <tr r="X124" s="2"/>
      </tp>
      <tp t="s">
        <v>N/A</v>
        <stp/>
        <stp>VOLUME</stp>
        <stp>.SPXW250930P5480</stp>
        <tr r="R125" s="2"/>
      </tp>
      <tp t="s">
        <v>N/A</v>
        <stp/>
        <stp>VOLUME</stp>
        <stp>.SPXW250829P5510</stp>
        <tr r="P122" s="2"/>
      </tp>
      <tp t="s">
        <v>N/A</v>
        <stp/>
        <stp>VOLUME</stp>
        <stp>.SPXW250509P5710</stp>
        <tr r="BB101" s="1"/>
      </tp>
      <tp t="s">
        <v>N/A</v>
        <stp/>
        <stp>VOLUME</stp>
        <stp>.SPXW250530P5480</stp>
        <tr r="I125" s="2"/>
      </tp>
      <tp t="s">
        <v>N/A</v>
        <stp/>
        <stp>VOLUME</stp>
        <stp>.SPXW250731P5490</stp>
        <tr r="N124" s="2"/>
      </tp>
      <tp t="s">
        <v>N/A</v>
        <stp/>
        <stp>VOLUME</stp>
        <stp>.SPXW250630P5480</stp>
        <tr r="L125" s="2"/>
      </tp>
      <tp t="s">
        <v>N/A</v>
        <stp/>
        <stp>VOLUME</stp>
        <stp>.SPXW250930C5490</stp>
        <tr r="R124" s="2"/>
      </tp>
      <tp t="s">
        <v>N/A</v>
        <stp/>
        <stp>VOLUME</stp>
        <stp>.SPXW250829C5500</stp>
        <tr r="P123" s="2"/>
      </tp>
      <tp t="s">
        <v>N/A</v>
        <stp/>
        <stp>VOLUME</stp>
        <stp>.SPXW250509C5700</stp>
        <tr r="BA102" s="1"/>
      </tp>
      <tp t="s">
        <v>N/A</v>
        <stp/>
        <stp>VOLUME</stp>
        <stp>.SPXW250530C5490</stp>
        <tr r="I124" s="2"/>
      </tp>
      <tp t="s">
        <v>N/A</v>
        <stp/>
        <stp>VOLUME</stp>
        <stp>.SPXW250731C5480</stp>
        <tr r="N125" s="2"/>
      </tp>
      <tp t="s">
        <v>N/A</v>
        <stp/>
        <stp>VOLUME</stp>
        <stp>.SPXW250630C5490</stp>
        <tr r="L124" s="2"/>
      </tp>
      <tp t="s">
        <v>N/A</v>
        <stp/>
        <stp>VOLUME</stp>
        <stp>.SPXW251128C5510</stp>
        <tr r="V122" s="2"/>
      </tp>
      <tp t="s">
        <v>N/A</v>
        <stp/>
        <stp>VOLUME</stp>
        <stp>.SPXW251031C5480</stp>
        <tr r="T125" s="2"/>
      </tp>
      <tp t="s">
        <v>N/A</v>
        <stp/>
        <stp>VOLUME</stp>
        <stp>.SPXW251231C5480</stp>
        <tr r="X125" s="2"/>
      </tp>
      <tp t="s">
        <v>N/A</v>
        <stp/>
        <stp>VOLUME</stp>
        <stp>.SPXW251128P5510</stp>
        <tr r="V122" s="2"/>
      </tp>
      <tp t="s">
        <v>N/A</v>
        <stp/>
        <stp>VOLUME</stp>
        <stp>.SPXW251031P5480</stp>
        <tr r="T125" s="2"/>
      </tp>
      <tp t="s">
        <v>N/A</v>
        <stp/>
        <stp>VOLUME</stp>
        <stp>.SPXW251231P5480</stp>
        <tr r="X125" s="2"/>
      </tp>
      <tp t="s">
        <v>N/A</v>
        <stp/>
        <stp>VOLUME</stp>
        <stp>.SPXW250930P5490</stp>
        <tr r="R124" s="2"/>
      </tp>
      <tp t="s">
        <v>N/A</v>
        <stp/>
        <stp>VOLUME</stp>
        <stp>.SPXW250829P5500</stp>
        <tr r="P123" s="2"/>
      </tp>
      <tp t="s">
        <v>N/A</v>
        <stp/>
        <stp>VOLUME</stp>
        <stp>.SPXW250509P5700</stp>
        <tr r="BB102" s="1"/>
      </tp>
      <tp t="s">
        <v>N/A</v>
        <stp/>
        <stp>VOLUME</stp>
        <stp>.SPXW250530P5490</stp>
        <tr r="I124" s="2"/>
      </tp>
      <tp t="s">
        <v>N/A</v>
        <stp/>
        <stp>VOLUME</stp>
        <stp>.SPXW250731P5480</stp>
        <tr r="N125" s="2"/>
      </tp>
      <tp t="s">
        <v>N/A</v>
        <stp/>
        <stp>VOLUME</stp>
        <stp>.SPXW250630P5490</stp>
        <tr r="L124" s="2"/>
      </tp>
      <tp t="s">
        <v>N/A</v>
        <stp/>
        <stp>VOLUME</stp>
        <stp>.SPXW250829C5530</stp>
        <tr r="P120" s="2"/>
      </tp>
      <tp t="s">
        <v>N/A</v>
        <stp/>
        <stp>VOLUME</stp>
        <stp>.SPXW250509C5730</stp>
        <tr r="BA99" s="1"/>
      </tp>
      <tp t="s">
        <v>N/A</v>
        <stp/>
        <stp>VOLUME</stp>
        <stp>.SPXW251128C5520</stp>
        <tr r="V121" s="2"/>
      </tp>
      <tp t="s">
        <v>N/A</v>
        <stp/>
        <stp>VOLUME</stp>
        <stp>.SPXW251128P5520</stp>
        <tr r="V121" s="2"/>
      </tp>
      <tp t="s">
        <v>N/A</v>
        <stp/>
        <stp>VOLUME</stp>
        <stp>.SPXW250829P5530</stp>
        <tr r="P120" s="2"/>
      </tp>
      <tp t="s">
        <v>N/A</v>
        <stp/>
        <stp>VOLUME</stp>
        <stp>.SPXW250509P5730</stp>
        <tr r="BB99" s="1"/>
      </tp>
      <tp t="s">
        <v>N/A</v>
        <stp/>
        <stp>VOLUME</stp>
        <stp>.SPXW250829C5520</stp>
        <tr r="P121" s="2"/>
      </tp>
      <tp t="s">
        <v>N/A</v>
        <stp/>
        <stp>VOLUME</stp>
        <stp>.SPXW250509C5720</stp>
        <tr r="BA100" s="1"/>
      </tp>
      <tp t="s">
        <v>N/A</v>
        <stp/>
        <stp>VOLUME</stp>
        <stp>.SPXW251128C5530</stp>
        <tr r="V120" s="2"/>
      </tp>
      <tp t="s">
        <v>N/A</v>
        <stp/>
        <stp>VOLUME</stp>
        <stp>.SPXW251128P5530</stp>
        <tr r="V120" s="2"/>
      </tp>
      <tp t="s">
        <v>N/A</v>
        <stp/>
        <stp>VOLUME</stp>
        <stp>.SPXW250829P5520</stp>
        <tr r="P121" s="2"/>
      </tp>
      <tp t="s">
        <v>N/A</v>
        <stp/>
        <stp>VOLUME</stp>
        <stp>.SPXW250509P5720</stp>
        <tr r="BB100" s="1"/>
      </tp>
      <tp t="s">
        <v>N/A</v>
        <stp/>
        <stp>VOLUME</stp>
        <stp>.SPXW250829C5550</stp>
        <tr r="P118" s="2"/>
      </tp>
      <tp t="s">
        <v>N/A</v>
        <stp/>
        <stp>VOLUME</stp>
        <stp>.SPXW250509C5750</stp>
        <tr r="BA97" s="1"/>
      </tp>
      <tp t="s">
        <v>N/A</v>
        <stp/>
        <stp>VOLUME</stp>
        <stp>.SPXW251128C5540</stp>
        <tr r="V119" s="2"/>
      </tp>
      <tp t="s">
        <v>N/A</v>
        <stp/>
        <stp>VOLUME</stp>
        <stp>.SPXW251128P5540</stp>
        <tr r="V119" s="2"/>
      </tp>
      <tp t="s">
        <v>N/A</v>
        <stp/>
        <stp>VOLUME</stp>
        <stp>.SPXW250829P5550</stp>
        <tr r="P118" s="2"/>
      </tp>
      <tp t="s">
        <v>N/A</v>
        <stp/>
        <stp>VOLUME</stp>
        <stp>.SPXW250509P5750</stp>
        <tr r="BB97" s="1"/>
      </tp>
      <tp t="s">
        <v>N/A</v>
        <stp/>
        <stp>VOLUME</stp>
        <stp>.SPYP580</stp>
        <tr r="G7" s="2"/>
        <tr r="D7" s="2"/>
        <tr r="E7" s="2"/>
        <tr r="B7" s="2"/>
        <tr r="F7" s="2"/>
        <tr r="C7" s="2"/>
        <tr r="K7" s="2"/>
      </tp>
      <tp t="s">
        <v>N/A</v>
        <stp/>
        <stp>VOLUME</stp>
        <stp>.SPYC580</stp>
        <tr r="G7" s="2"/>
        <tr r="D7" s="2"/>
        <tr r="E7" s="2"/>
        <tr r="B7" s="2"/>
        <tr r="F7" s="2"/>
        <tr r="C7" s="2"/>
        <tr r="K7" s="2"/>
      </tp>
      <tp t="s">
        <v>N/A</v>
        <stp/>
        <stp>VOLUME</stp>
        <stp>.SPYP581</stp>
        <tr r="B6" s="2"/>
        <tr r="E6" s="2"/>
        <tr r="C6" s="2"/>
        <tr r="G6" s="2"/>
        <tr r="K6" s="2"/>
        <tr r="D6" s="2"/>
        <tr r="F6" s="2"/>
      </tp>
      <tp t="s">
        <v>N/A</v>
        <stp/>
        <stp>VOLUME</stp>
        <stp>.SPYC581</stp>
        <tr r="B6" s="2"/>
        <tr r="E6" s="2"/>
        <tr r="C6" s="2"/>
        <tr r="G6" s="2"/>
        <tr r="K6" s="2"/>
        <tr r="D6" s="2"/>
        <tr r="F6" s="2"/>
      </tp>
      <tp t="s">
        <v>N/A</v>
        <stp/>
        <stp>VOLUME</stp>
        <stp>.SPYP582</stp>
        <tr r="K5" s="2"/>
        <tr r="G5" s="2"/>
        <tr r="F5" s="2"/>
        <tr r="E5" s="2"/>
        <tr r="D5" s="2"/>
        <tr r="C5" s="2"/>
        <tr r="B5" s="2"/>
      </tp>
      <tp t="s">
        <v>N/A</v>
        <stp/>
        <stp>VOLUME</stp>
        <stp>.SPYC582</stp>
        <tr r="K5" s="2"/>
        <tr r="G5" s="2"/>
        <tr r="F5" s="2"/>
        <tr r="E5" s="2"/>
        <tr r="D5" s="2"/>
        <tr r="C5" s="2"/>
        <tr r="B5" s="2"/>
      </tp>
      <tp t="s">
        <v>N/A</v>
        <stp/>
        <stp>VOLUME</stp>
        <stp>.SPXW250829C5540</stp>
        <tr r="P119" s="2"/>
      </tp>
      <tp t="s">
        <v>N/A</v>
        <stp/>
        <stp>VOLUME</stp>
        <stp>.SPXW250509C5740</stp>
        <tr r="BA98" s="1"/>
      </tp>
      <tp t="s">
        <v>N/A</v>
        <stp/>
        <stp>VOLUME</stp>
        <stp>.SPXW251128C5550</stp>
        <tr r="V118" s="2"/>
      </tp>
      <tp t="s">
        <v>N/A</v>
        <stp/>
        <stp>VOLUME</stp>
        <stp>.SPXW251128P5550</stp>
        <tr r="V118" s="2"/>
      </tp>
      <tp t="s">
        <v>N/A</v>
        <stp/>
        <stp>VOLUME</stp>
        <stp>.SPXW250829P5540</stp>
        <tr r="P119" s="2"/>
      </tp>
      <tp t="s">
        <v>N/A</v>
        <stp/>
        <stp>VOLUME</stp>
        <stp>.SPXW250509P5740</stp>
        <tr r="BB98" s="1"/>
      </tp>
      <tp t="s">
        <v>N/A</v>
        <stp/>
        <stp>VOLUME</stp>
        <stp>.SPXW250829C5570</stp>
        <tr r="P116" s="2"/>
      </tp>
      <tp t="s">
        <v>N/A</v>
        <stp/>
        <stp>VOLUME</stp>
        <stp>.SPXW250509C5770</stp>
        <tr r="BA95" s="1"/>
      </tp>
      <tp t="s">
        <v>N/A</v>
        <stp/>
        <stp>VOLUME</stp>
        <stp>.SPXW250606C5780</stp>
        <tr r="J95" s="2"/>
      </tp>
      <tp t="s">
        <v>N/A</v>
        <stp/>
        <stp>VOLUME</stp>
        <stp>.SPXW251128C5560</stp>
        <tr r="V117" s="2"/>
      </tp>
      <tp t="s">
        <v>N/A</v>
        <stp/>
        <stp>VOLUME</stp>
        <stp>.SPXW251128P5560</stp>
        <tr r="V117" s="2"/>
      </tp>
      <tp t="s">
        <v>N/A</v>
        <stp/>
        <stp>VOLUME</stp>
        <stp>.SPXW250829P5570</stp>
        <tr r="P116" s="2"/>
      </tp>
      <tp t="s">
        <v>N/A</v>
        <stp/>
        <stp>VOLUME</stp>
        <stp>.SPXW250509P5770</stp>
        <tr r="BB95" s="1"/>
      </tp>
      <tp t="s">
        <v>N/A</v>
        <stp/>
        <stp>VOLUME</stp>
        <stp>.SPXW250606P5780</stp>
        <tr r="J95" s="2"/>
      </tp>
      <tp t="s">
        <v>N/A</v>
        <stp/>
        <stp>VOLUME</stp>
        <stp>.SPXW250829C5560</stp>
        <tr r="P117" s="2"/>
      </tp>
      <tp t="s">
        <v>N/A</v>
        <stp/>
        <stp>VOLUME</stp>
        <stp>.SPXW250509C5760</stp>
        <tr r="BA96" s="1"/>
      </tp>
      <tp t="s">
        <v>N/A</v>
        <stp/>
        <stp>VOLUME</stp>
        <stp>.SPXW250606C5790</stp>
        <tr r="J94" s="2"/>
      </tp>
      <tp t="s">
        <v>N/A</v>
        <stp/>
        <stp>VOLUME</stp>
        <stp>.SPXW251128C5570</stp>
        <tr r="V116" s="2"/>
      </tp>
      <tp t="s">
        <v>N/A</v>
        <stp/>
        <stp>VOLUME</stp>
        <stp>.SPXW251128P5570</stp>
        <tr r="V116" s="2"/>
      </tp>
      <tp t="s">
        <v>N/A</v>
        <stp/>
        <stp>VOLUME</stp>
        <stp>.SPXW250829P5560</stp>
        <tr r="P117" s="2"/>
      </tp>
      <tp t="s">
        <v>N/A</v>
        <stp/>
        <stp>VOLUME</stp>
        <stp>.SPXW250509P5760</stp>
        <tr r="BB96" s="1"/>
      </tp>
      <tp t="s">
        <v>N/A</v>
        <stp/>
        <stp>VOLUME</stp>
        <stp>.SPXW250606P5790</stp>
        <tr r="J94" s="2"/>
      </tp>
      <tp t="s">
        <v>N/A</v>
        <stp/>
        <stp>VOLUME</stp>
        <stp>.SPYP554</stp>
        <tr r="E33" s="2"/>
        <tr r="K33" s="2"/>
        <tr r="D33" s="2"/>
        <tr r="B33" s="2"/>
        <tr r="F33" s="2"/>
        <tr r="C33" s="2"/>
        <tr r="G33" s="2"/>
      </tp>
      <tp t="s">
        <v>N/A</v>
        <stp/>
        <stp>VOLUME</stp>
        <stp>.SPYC554</stp>
        <tr r="E33" s="2"/>
        <tr r="K33" s="2"/>
        <tr r="D33" s="2"/>
        <tr r="B33" s="2"/>
        <tr r="F33" s="2"/>
        <tr r="C33" s="2"/>
        <tr r="G33" s="2"/>
      </tp>
      <tp t="s">
        <v>N/A</v>
        <stp/>
        <stp>VOLUME</stp>
        <stp>.SPYP555</stp>
        <tr r="E32" s="2"/>
        <tr r="G32" s="2"/>
        <tr r="K32" s="2"/>
        <tr r="F32" s="2"/>
        <tr r="B32" s="2"/>
        <tr r="C32" s="2"/>
        <tr r="D32" s="2"/>
      </tp>
      <tp t="s">
        <v>N/A</v>
        <stp/>
        <stp>VOLUME</stp>
        <stp>.SPYC555</stp>
        <tr r="E32" s="2"/>
        <tr r="G32" s="2"/>
        <tr r="K32" s="2"/>
        <tr r="F32" s="2"/>
        <tr r="B32" s="2"/>
        <tr r="C32" s="2"/>
        <tr r="D32" s="2"/>
      </tp>
      <tp t="s">
        <v>N/A</v>
        <stp/>
        <stp>VOLUME</stp>
        <stp>.SPYP556</stp>
        <tr r="B31" s="2"/>
        <tr r="D31" s="2"/>
        <tr r="F31" s="2"/>
        <tr r="K31" s="2"/>
        <tr r="G31" s="2"/>
        <tr r="E31" s="2"/>
        <tr r="C31" s="2"/>
      </tp>
      <tp t="s">
        <v>N/A</v>
        <stp/>
        <stp>VOLUME</stp>
        <stp>.SPYC556</stp>
        <tr r="B31" s="2"/>
        <tr r="D31" s="2"/>
        <tr r="F31" s="2"/>
        <tr r="K31" s="2"/>
        <tr r="G31" s="2"/>
        <tr r="E31" s="2"/>
        <tr r="C31" s="2"/>
      </tp>
      <tp t="s">
        <v>N/A</v>
        <stp/>
        <stp>VOLUME</stp>
        <stp>.SPYP557</stp>
        <tr r="F30" s="2"/>
        <tr r="B30" s="2"/>
        <tr r="K30" s="2"/>
        <tr r="G30" s="2"/>
        <tr r="D30" s="2"/>
        <tr r="C30" s="2"/>
        <tr r="E30" s="2"/>
      </tp>
      <tp t="s">
        <v>N/A</v>
        <stp/>
        <stp>VOLUME</stp>
        <stp>.SPYC557</stp>
        <tr r="F30" s="2"/>
        <tr r="B30" s="2"/>
        <tr r="K30" s="2"/>
        <tr r="G30" s="2"/>
        <tr r="D30" s="2"/>
        <tr r="C30" s="2"/>
        <tr r="E30" s="2"/>
      </tp>
      <tp t="s">
        <v>N/A</v>
        <stp/>
        <stp>VOLUME</stp>
        <stp>.SPYP550</stp>
        <tr r="C37" s="2"/>
        <tr r="G37" s="2"/>
        <tr r="D37" s="2"/>
        <tr r="F37" s="2"/>
        <tr r="E37" s="2"/>
        <tr r="B37" s="2"/>
        <tr r="K37" s="2"/>
      </tp>
      <tp t="s">
        <v>N/A</v>
        <stp/>
        <stp>VOLUME</stp>
        <stp>.SPYC550</stp>
        <tr r="C37" s="2"/>
        <tr r="G37" s="2"/>
        <tr r="D37" s="2"/>
        <tr r="F37" s="2"/>
        <tr r="E37" s="2"/>
        <tr r="B37" s="2"/>
        <tr r="K37" s="2"/>
      </tp>
      <tp t="s">
        <v>N/A</v>
        <stp/>
        <stp>VOLUME</stp>
        <stp>.SPYP551</stp>
        <tr r="B36" s="2"/>
        <tr r="C36" s="2"/>
        <tr r="F36" s="2"/>
        <tr r="E36" s="2"/>
        <tr r="K36" s="2"/>
        <tr r="D36" s="2"/>
        <tr r="G36" s="2"/>
      </tp>
      <tp t="s">
        <v>N/A</v>
        <stp/>
        <stp>VOLUME</stp>
        <stp>.SPYC551</stp>
        <tr r="B36" s="2"/>
        <tr r="C36" s="2"/>
        <tr r="F36" s="2"/>
        <tr r="E36" s="2"/>
        <tr r="K36" s="2"/>
        <tr r="D36" s="2"/>
        <tr r="G36" s="2"/>
      </tp>
      <tp t="s">
        <v>N/A</v>
        <stp/>
        <stp>VOLUME</stp>
        <stp>.SPYP552</stp>
        <tr r="B35" s="2"/>
        <tr r="C35" s="2"/>
        <tr r="D35" s="2"/>
        <tr r="G35" s="2"/>
        <tr r="F35" s="2"/>
        <tr r="K35" s="2"/>
        <tr r="E35" s="2"/>
      </tp>
      <tp t="s">
        <v>N/A</v>
        <stp/>
        <stp>VOLUME</stp>
        <stp>.SPYC552</stp>
        <tr r="B35" s="2"/>
        <tr r="C35" s="2"/>
        <tr r="D35" s="2"/>
        <tr r="G35" s="2"/>
        <tr r="F35" s="2"/>
        <tr r="K35" s="2"/>
        <tr r="E35" s="2"/>
      </tp>
      <tp t="s">
        <v>N/A</v>
        <stp/>
        <stp>VOLUME</stp>
        <stp>.SPYP553</stp>
        <tr r="D34" s="2"/>
        <tr r="K34" s="2"/>
        <tr r="B34" s="2"/>
        <tr r="G34" s="2"/>
        <tr r="C34" s="2"/>
        <tr r="E34" s="2"/>
        <tr r="F34" s="2"/>
      </tp>
      <tp t="s">
        <v>N/A</v>
        <stp/>
        <stp>VOLUME</stp>
        <stp>.SPYC553</stp>
        <tr r="D34" s="2"/>
        <tr r="K34" s="2"/>
        <tr r="B34" s="2"/>
        <tr r="G34" s="2"/>
        <tr r="C34" s="2"/>
        <tr r="E34" s="2"/>
        <tr r="F34" s="2"/>
      </tp>
      <tp t="s">
        <v>N/A</v>
        <stp/>
        <stp>VOLUME</stp>
        <stp>.SPYP558</stp>
        <tr r="C29" s="2"/>
        <tr r="E29" s="2"/>
        <tr r="K29" s="2"/>
        <tr r="G29" s="2"/>
        <tr r="D29" s="2"/>
        <tr r="B29" s="2"/>
        <tr r="F29" s="2"/>
      </tp>
      <tp t="s">
        <v>N/A</v>
        <stp/>
        <stp>VOLUME</stp>
        <stp>.SPYC558</stp>
        <tr r="C29" s="2"/>
        <tr r="E29" s="2"/>
        <tr r="K29" s="2"/>
        <tr r="G29" s="2"/>
        <tr r="D29" s="2"/>
        <tr r="B29" s="2"/>
        <tr r="F29" s="2"/>
      </tp>
      <tp t="s">
        <v>N/A</v>
        <stp/>
        <stp>VOLUME</stp>
        <stp>.SPYP559</stp>
        <tr r="F28" s="2"/>
        <tr r="E28" s="2"/>
        <tr r="D28" s="2"/>
        <tr r="G28" s="2"/>
        <tr r="C28" s="2"/>
        <tr r="B28" s="2"/>
        <tr r="K28" s="2"/>
      </tp>
      <tp t="s">
        <v>N/A</v>
        <stp/>
        <stp>VOLUME</stp>
        <stp>.SPYC559</stp>
        <tr r="F28" s="2"/>
        <tr r="E28" s="2"/>
        <tr r="D28" s="2"/>
        <tr r="G28" s="2"/>
        <tr r="C28" s="2"/>
        <tr r="B28" s="2"/>
        <tr r="K28" s="2"/>
      </tp>
      <tp t="s">
        <v>N/A</v>
        <stp/>
        <stp>VOLUME</stp>
        <stp>.NDXP251128P20250</stp>
        <tr r="V150" s="2"/>
      </tp>
      <tp t="s">
        <v>N/A</v>
        <stp/>
        <stp>VOLUME</stp>
        <stp>.NDXP251128P19250</stp>
        <tr r="V190" s="2"/>
      </tp>
      <tp t="s">
        <v>N/A</v>
        <stp/>
        <stp>VOLUME</stp>
        <stp>.SPXW250829C5590</stp>
        <tr r="P114" s="2"/>
      </tp>
      <tp t="s">
        <v>N/A</v>
        <stp/>
        <stp>VOLUME</stp>
        <stp>.SPXW250509C5790</stp>
        <tr r="BA93" s="1"/>
      </tp>
      <tp t="s">
        <v>N/A</v>
        <stp/>
        <stp>VOLUME</stp>
        <stp>.SPXW250606C5760</stp>
        <tr r="J97" s="2"/>
      </tp>
      <tp t="s">
        <v>N/A</v>
        <stp/>
        <stp>VOLUME</stp>
        <stp>.SPXW251128C5580</stp>
        <tr r="V115" s="2"/>
      </tp>
      <tp t="s">
        <v>N/A</v>
        <stp/>
        <stp>VOLUME</stp>
        <stp>.SPXW251128P5580</stp>
        <tr r="V115" s="2"/>
      </tp>
      <tp t="s">
        <v>N/A</v>
        <stp/>
        <stp>VOLUME</stp>
        <stp>.SPXW250829P5590</stp>
        <tr r="P114" s="2"/>
      </tp>
      <tp t="s">
        <v>N/A</v>
        <stp/>
        <stp>VOLUME</stp>
        <stp>.SPXW250509P5790</stp>
        <tr r="BB93" s="1"/>
      </tp>
      <tp t="s">
        <v>N/A</v>
        <stp/>
        <stp>VOLUME</stp>
        <stp>.SPXW250606P5760</stp>
        <tr r="J97" s="2"/>
      </tp>
      <tp t="s">
        <v>N/A</v>
        <stp/>
        <stp>VOLUME</stp>
        <stp>.SPYP548</stp>
        <tr r="F39" s="2"/>
        <tr r="G39" s="2"/>
        <tr r="K39" s="2"/>
        <tr r="B39" s="2"/>
        <tr r="C39" s="2"/>
        <tr r="E39" s="2"/>
        <tr r="D39" s="2"/>
      </tp>
      <tp t="s">
        <v>N/A</v>
        <stp/>
        <stp>VOLUME</stp>
        <stp>.SPYC548</stp>
        <tr r="F39" s="2"/>
        <tr r="G39" s="2"/>
        <tr r="K39" s="2"/>
        <tr r="B39" s="2"/>
        <tr r="C39" s="2"/>
        <tr r="E39" s="2"/>
        <tr r="D39" s="2"/>
      </tp>
      <tp t="s">
        <v>N/A</v>
        <stp/>
        <stp>VOLUME</stp>
        <stp>.SPYP549</stp>
        <tr r="K38" s="2"/>
        <tr r="F38" s="2"/>
        <tr r="B38" s="2"/>
        <tr r="C38" s="2"/>
        <tr r="D38" s="2"/>
        <tr r="E38" s="2"/>
        <tr r="G38" s="2"/>
      </tp>
      <tp t="s">
        <v>N/A</v>
        <stp/>
        <stp>VOLUME</stp>
        <stp>.SPYC549</stp>
        <tr r="K38" s="2"/>
        <tr r="F38" s="2"/>
        <tr r="B38" s="2"/>
        <tr r="C38" s="2"/>
        <tr r="D38" s="2"/>
        <tr r="E38" s="2"/>
        <tr r="G38" s="2"/>
      </tp>
      <tp t="s">
        <v>N/A</v>
        <stp/>
        <stp>VOLUME</stp>
        <stp>.NDXP250829P20350</stp>
        <tr r="P146" s="2"/>
      </tp>
      <tp t="s">
        <v>N/A</v>
        <stp/>
        <stp>VOLUME</stp>
        <stp>.NDXP250829P19350</stp>
        <tr r="P186" s="2"/>
      </tp>
      <tp>
        <v>8</v>
        <stp/>
        <stp>VOLUME</stp>
        <stp>.NDXP250509P20350</stp>
        <tr r="BB145" s="1"/>
        <tr r="BB145" s="1"/>
      </tp>
      <tp>
        <v>402</v>
        <stp/>
        <stp>VOLUME</stp>
        <stp>.NDXP250509P19350</stp>
        <tr r="BB185" s="1"/>
        <tr r="BB185" s="1"/>
      </tp>
      <tp t="s">
        <v>N/A</v>
        <stp/>
        <stp>VOLUME</stp>
        <stp>.SPXW250829C5580</stp>
        <tr r="P115" s="2"/>
      </tp>
      <tp t="s">
        <v>N/A</v>
        <stp/>
        <stp>VOLUME</stp>
        <stp>.SPXW250509C5780</stp>
        <tr r="BA94" s="1"/>
      </tp>
      <tp t="s">
        <v>N/A</v>
        <stp/>
        <stp>VOLUME</stp>
        <stp>.SPXW250606C5770</stp>
        <tr r="J96" s="2"/>
      </tp>
      <tp t="s">
        <v>N/A</v>
        <stp/>
        <stp>VOLUME</stp>
        <stp>.SPXW251128C5590</stp>
        <tr r="V114" s="2"/>
      </tp>
      <tp t="s">
        <v>N/A</v>
        <stp/>
        <stp>VOLUME</stp>
        <stp>.SPXW251128P5590</stp>
        <tr r="V114" s="2"/>
      </tp>
      <tp t="s">
        <v>N/A</v>
        <stp/>
        <stp>VOLUME</stp>
        <stp>.SPXW250829P5580</stp>
        <tr r="P115" s="2"/>
      </tp>
      <tp t="s">
        <v>N/A</v>
        <stp/>
        <stp>VOLUME</stp>
        <stp>.SPXW250509P5780</stp>
        <tr r="BB94" s="1"/>
      </tp>
      <tp t="s">
        <v>N/A</v>
        <stp/>
        <stp>VOLUME</stp>
        <stp>.SPXW250606P5770</stp>
        <tr r="J96" s="2"/>
      </tp>
      <tp t="s">
        <v>N/A</v>
        <stp/>
        <stp>VOLUME</stp>
        <stp>.SPYP574</stp>
        <tr r="G13" s="2"/>
        <tr r="F13" s="2"/>
        <tr r="D13" s="2"/>
        <tr r="K13" s="2"/>
        <tr r="E13" s="2"/>
        <tr r="B13" s="2"/>
        <tr r="C13" s="2"/>
      </tp>
      <tp t="s">
        <v>N/A</v>
        <stp/>
        <stp>VOLUME</stp>
        <stp>.SPYC574</stp>
        <tr r="G13" s="2"/>
        <tr r="F13" s="2"/>
        <tr r="D13" s="2"/>
        <tr r="K13" s="2"/>
        <tr r="E13" s="2"/>
        <tr r="B13" s="2"/>
        <tr r="C13" s="2"/>
      </tp>
      <tp t="s">
        <v>N/A</v>
        <stp/>
        <stp>VOLUME</stp>
        <stp>.SPYP575</stp>
        <tr r="C12" s="2"/>
        <tr r="B12" s="2"/>
        <tr r="K12" s="2"/>
        <tr r="E12" s="2"/>
        <tr r="G12" s="2"/>
        <tr r="F12" s="2"/>
        <tr r="D12" s="2"/>
      </tp>
      <tp t="s">
        <v>N/A</v>
        <stp/>
        <stp>VOLUME</stp>
        <stp>.SPYC575</stp>
        <tr r="C12" s="2"/>
        <tr r="B12" s="2"/>
        <tr r="K12" s="2"/>
        <tr r="E12" s="2"/>
        <tr r="G12" s="2"/>
        <tr r="F12" s="2"/>
        <tr r="D12" s="2"/>
      </tp>
      <tp t="s">
        <v>N/A</v>
        <stp/>
        <stp>VOLUME</stp>
        <stp>.SPYP576</stp>
        <tr r="D11" s="2"/>
        <tr r="K11" s="2"/>
        <tr r="C11" s="2"/>
        <tr r="G11" s="2"/>
        <tr r="F11" s="2"/>
        <tr r="E11" s="2"/>
        <tr r="B11" s="2"/>
      </tp>
      <tp t="s">
        <v>N/A</v>
        <stp/>
        <stp>VOLUME</stp>
        <stp>.SPYC576</stp>
        <tr r="D11" s="2"/>
        <tr r="K11" s="2"/>
        <tr r="C11" s="2"/>
        <tr r="G11" s="2"/>
        <tr r="F11" s="2"/>
        <tr r="E11" s="2"/>
        <tr r="B11" s="2"/>
      </tp>
      <tp t="s">
        <v>N/A</v>
        <stp/>
        <stp>VOLUME</stp>
        <stp>.SPYP577</stp>
        <tr r="K10" s="2"/>
        <tr r="B10" s="2"/>
        <tr r="G10" s="2"/>
        <tr r="E10" s="2"/>
        <tr r="F10" s="2"/>
        <tr r="C10" s="2"/>
        <tr r="D10" s="2"/>
      </tp>
      <tp t="s">
        <v>N/A</v>
        <stp/>
        <stp>VOLUME</stp>
        <stp>.SPYC577</stp>
        <tr r="K10" s="2"/>
        <tr r="B10" s="2"/>
        <tr r="G10" s="2"/>
        <tr r="E10" s="2"/>
        <tr r="F10" s="2"/>
        <tr r="C10" s="2"/>
        <tr r="D10" s="2"/>
      </tp>
      <tp t="s">
        <v>N/A</v>
        <stp/>
        <stp>VOLUME</stp>
        <stp>.SPYP570</stp>
        <tr r="C17" s="2"/>
        <tr r="D17" s="2"/>
        <tr r="G17" s="2"/>
        <tr r="E17" s="2"/>
        <tr r="B17" s="2"/>
        <tr r="K17" s="2"/>
        <tr r="F17" s="2"/>
      </tp>
      <tp t="s">
        <v>N/A</v>
        <stp/>
        <stp>VOLUME</stp>
        <stp>.SPYC570</stp>
        <tr r="C17" s="2"/>
        <tr r="D17" s="2"/>
        <tr r="G17" s="2"/>
        <tr r="E17" s="2"/>
        <tr r="B17" s="2"/>
        <tr r="K17" s="2"/>
        <tr r="F17" s="2"/>
      </tp>
      <tp t="s">
        <v>N/A</v>
        <stp/>
        <stp>VOLUME</stp>
        <stp>.SPYP571</stp>
        <tr r="F16" s="2"/>
        <tr r="K16" s="2"/>
        <tr r="G16" s="2"/>
        <tr r="E16" s="2"/>
        <tr r="D16" s="2"/>
        <tr r="B16" s="2"/>
        <tr r="C16" s="2"/>
      </tp>
      <tp t="s">
        <v>N/A</v>
        <stp/>
        <stp>VOLUME</stp>
        <stp>.SPYC571</stp>
        <tr r="F16" s="2"/>
        <tr r="K16" s="2"/>
        <tr r="G16" s="2"/>
        <tr r="E16" s="2"/>
        <tr r="D16" s="2"/>
        <tr r="B16" s="2"/>
        <tr r="C16" s="2"/>
      </tp>
      <tp t="s">
        <v>N/A</v>
        <stp/>
        <stp>VOLUME</stp>
        <stp>.SPYP572</stp>
        <tr r="K15" s="2"/>
        <tr r="D15" s="2"/>
        <tr r="B15" s="2"/>
        <tr r="F15" s="2"/>
        <tr r="E15" s="2"/>
        <tr r="G15" s="2"/>
        <tr r="C15" s="2"/>
      </tp>
      <tp t="s">
        <v>N/A</v>
        <stp/>
        <stp>VOLUME</stp>
        <stp>.SPYC572</stp>
        <tr r="K15" s="2"/>
        <tr r="D15" s="2"/>
        <tr r="B15" s="2"/>
        <tr r="F15" s="2"/>
        <tr r="E15" s="2"/>
        <tr r="G15" s="2"/>
        <tr r="C15" s="2"/>
      </tp>
      <tp t="s">
        <v>N/A</v>
        <stp/>
        <stp>VOLUME</stp>
        <stp>.SPYP573</stp>
        <tr r="B14" s="2"/>
        <tr r="K14" s="2"/>
        <tr r="E14" s="2"/>
        <tr r="F14" s="2"/>
        <tr r="G14" s="2"/>
        <tr r="C14" s="2"/>
        <tr r="D14" s="2"/>
      </tp>
      <tp t="s">
        <v>N/A</v>
        <stp/>
        <stp>VOLUME</stp>
        <stp>.SPYC573</stp>
        <tr r="B14" s="2"/>
        <tr r="K14" s="2"/>
        <tr r="E14" s="2"/>
        <tr r="F14" s="2"/>
        <tr r="G14" s="2"/>
        <tr r="C14" s="2"/>
        <tr r="D14" s="2"/>
      </tp>
      <tp t="s">
        <v>N/A</v>
        <stp/>
        <stp>VOLUME</stp>
        <stp>.SPYP578</stp>
        <tr r="E9" s="2"/>
        <tr r="B9" s="2"/>
        <tr r="G9" s="2"/>
        <tr r="C9" s="2"/>
        <tr r="F9" s="2"/>
        <tr r="K9" s="2"/>
        <tr r="D9" s="2"/>
      </tp>
      <tp t="s">
        <v>N/A</v>
        <stp/>
        <stp>VOLUME</stp>
        <stp>.SPYC578</stp>
        <tr r="E9" s="2"/>
        <tr r="B9" s="2"/>
        <tr r="G9" s="2"/>
        <tr r="C9" s="2"/>
        <tr r="F9" s="2"/>
        <tr r="K9" s="2"/>
        <tr r="D9" s="2"/>
      </tp>
      <tp t="s">
        <v>N/A</v>
        <stp/>
        <stp>VOLUME</stp>
        <stp>.SPYP579</stp>
        <tr r="G8" s="2"/>
        <tr r="K8" s="2"/>
        <tr r="C8" s="2"/>
        <tr r="D8" s="2"/>
        <tr r="F8" s="2"/>
        <tr r="E8" s="2"/>
        <tr r="B8" s="2"/>
      </tp>
      <tp t="s">
        <v>N/A</v>
        <stp/>
        <stp>VOLUME</stp>
        <stp>.SPYC579</stp>
        <tr r="G8" s="2"/>
        <tr r="K8" s="2"/>
        <tr r="C8" s="2"/>
        <tr r="D8" s="2"/>
        <tr r="F8" s="2"/>
        <tr r="E8" s="2"/>
        <tr r="B8" s="2"/>
      </tp>
      <tp t="s">
        <v>N/A</v>
        <stp/>
        <stp>VOLUME</stp>
        <stp>.NDXP251128P20275</stp>
        <tr r="V149" s="2"/>
      </tp>
      <tp t="s">
        <v>N/A</v>
        <stp/>
        <stp>VOLUME</stp>
        <stp>.NDXP251128P19275</stp>
        <tr r="V189" s="2"/>
      </tp>
      <tp t="s">
        <v>N/A</v>
        <stp/>
        <stp>VOLUME</stp>
        <stp>.SPXW250930C5420</stp>
        <tr r="R131" s="2"/>
      </tp>
      <tp t="s">
        <v>N/A</v>
        <stp/>
        <stp>VOLUME</stp>
        <stp>.SPXW250530C5420</stp>
        <tr r="I131" s="2"/>
      </tp>
      <tp t="s">
        <v>N/A</v>
        <stp/>
        <stp>VOLUME</stp>
        <stp>.SPXW250731C5430</stp>
        <tr r="N130" s="2"/>
      </tp>
      <tp t="s">
        <v>N/A</v>
        <stp/>
        <stp>VOLUME</stp>
        <stp>.SPXW250606C5740</stp>
        <tr r="J99" s="2"/>
      </tp>
      <tp t="s">
        <v>N/A</v>
        <stp/>
        <stp>VOLUME</stp>
        <stp>.SPXW250630C5420</stp>
        <tr r="L131" s="2"/>
      </tp>
      <tp t="s">
        <v>N/A</v>
        <stp/>
        <stp>VOLUME</stp>
        <stp>.SPXW251031C5430</stp>
        <tr r="T130" s="2"/>
      </tp>
      <tp t="s">
        <v>N/A</v>
        <stp/>
        <stp>VOLUME</stp>
        <stp>.SPXW251231C5430</stp>
        <tr r="X130" s="2"/>
      </tp>
      <tp t="s">
        <v>N/A</v>
        <stp/>
        <stp>VOLUME</stp>
        <stp>.SPXW251031P5430</stp>
        <tr r="T130" s="2"/>
      </tp>
      <tp t="s">
        <v>N/A</v>
        <stp/>
        <stp>VOLUME</stp>
        <stp>.SPXW251231P5430</stp>
        <tr r="X130" s="2"/>
      </tp>
      <tp t="s">
        <v>N/A</v>
        <stp/>
        <stp>VOLUME</stp>
        <stp>.SPXW250930P5420</stp>
        <tr r="R131" s="2"/>
      </tp>
      <tp t="s">
        <v>N/A</v>
        <stp/>
        <stp>VOLUME</stp>
        <stp>.SPXW250530P5420</stp>
        <tr r="I131" s="2"/>
      </tp>
      <tp t="s">
        <v>N/A</v>
        <stp/>
        <stp>VOLUME</stp>
        <stp>.SPXW250731P5430</stp>
        <tr r="N130" s="2"/>
      </tp>
      <tp t="s">
        <v>N/A</v>
        <stp/>
        <stp>VOLUME</stp>
        <stp>.SPXW250606P5740</stp>
        <tr r="J99" s="2"/>
      </tp>
      <tp t="s">
        <v>N/A</v>
        <stp/>
        <stp>VOLUME</stp>
        <stp>.SPXW250630P5420</stp>
        <tr r="L131" s="2"/>
      </tp>
      <tp t="s">
        <v>N/A</v>
        <stp/>
        <stp>VOLUME</stp>
        <stp>.SPYP564</stp>
        <tr r="D23" s="2"/>
        <tr r="G23" s="2"/>
        <tr r="B23" s="2"/>
        <tr r="C23" s="2"/>
        <tr r="K23" s="2"/>
        <tr r="E23" s="2"/>
        <tr r="F23" s="2"/>
      </tp>
      <tp t="s">
        <v>N/A</v>
        <stp/>
        <stp>VOLUME</stp>
        <stp>.SPYC564</stp>
        <tr r="D23" s="2"/>
        <tr r="G23" s="2"/>
        <tr r="B23" s="2"/>
        <tr r="C23" s="2"/>
        <tr r="K23" s="2"/>
        <tr r="E23" s="2"/>
        <tr r="F23" s="2"/>
      </tp>
      <tp t="s">
        <v>N/A</v>
        <stp/>
        <stp>VOLUME</stp>
        <stp>.SPYP565</stp>
        <tr r="E22" s="2"/>
        <tr r="K22" s="2"/>
        <tr r="F22" s="2"/>
        <tr r="B22" s="2"/>
        <tr r="G22" s="2"/>
        <tr r="D22" s="2"/>
        <tr r="C22" s="2"/>
      </tp>
      <tp t="s">
        <v>N/A</v>
        <stp/>
        <stp>VOLUME</stp>
        <stp>.SPYC565</stp>
        <tr r="E22" s="2"/>
        <tr r="K22" s="2"/>
        <tr r="F22" s="2"/>
        <tr r="B22" s="2"/>
        <tr r="G22" s="2"/>
        <tr r="D22" s="2"/>
        <tr r="C22" s="2"/>
      </tp>
      <tp t="s">
        <v>N/A</v>
        <stp/>
        <stp>VOLUME</stp>
        <stp>.SPYP566</stp>
        <tr r="B21" s="2"/>
        <tr r="G21" s="2"/>
        <tr r="C21" s="2"/>
        <tr r="D21" s="2"/>
        <tr r="E21" s="2"/>
        <tr r="F21" s="2"/>
        <tr r="K21" s="2"/>
      </tp>
      <tp t="s">
        <v>N/A</v>
        <stp/>
        <stp>VOLUME</stp>
        <stp>.SPYC566</stp>
        <tr r="B21" s="2"/>
        <tr r="G21" s="2"/>
        <tr r="C21" s="2"/>
        <tr r="D21" s="2"/>
        <tr r="E21" s="2"/>
        <tr r="F21" s="2"/>
        <tr r="K21" s="2"/>
      </tp>
      <tp t="s">
        <v>N/A</v>
        <stp/>
        <stp>VOLUME</stp>
        <stp>.SPYP567</stp>
        <tr r="C20" s="2"/>
        <tr r="F20" s="2"/>
        <tr r="G20" s="2"/>
        <tr r="D20" s="2"/>
        <tr r="E20" s="2"/>
        <tr r="B20" s="2"/>
        <tr r="K20" s="2"/>
      </tp>
      <tp t="s">
        <v>N/A</v>
        <stp/>
        <stp>VOLUME</stp>
        <stp>.SPYC567</stp>
        <tr r="C20" s="2"/>
        <tr r="F20" s="2"/>
        <tr r="G20" s="2"/>
        <tr r="D20" s="2"/>
        <tr r="E20" s="2"/>
        <tr r="B20" s="2"/>
        <tr r="K20" s="2"/>
      </tp>
      <tp t="s">
        <v>N/A</v>
        <stp/>
        <stp>VOLUME</stp>
        <stp>.SPYP560</stp>
        <tr r="D27" s="2"/>
        <tr r="E27" s="2"/>
        <tr r="C27" s="2"/>
        <tr r="B27" s="2"/>
        <tr r="K27" s="2"/>
        <tr r="F27" s="2"/>
        <tr r="G27" s="2"/>
      </tp>
      <tp t="s">
        <v>N/A</v>
        <stp/>
        <stp>VOLUME</stp>
        <stp>.SPYC560</stp>
        <tr r="D27" s="2"/>
        <tr r="E27" s="2"/>
        <tr r="C27" s="2"/>
        <tr r="B27" s="2"/>
        <tr r="K27" s="2"/>
        <tr r="F27" s="2"/>
        <tr r="G27" s="2"/>
      </tp>
      <tp t="s">
        <v>N/A</v>
        <stp/>
        <stp>VOLUME</stp>
        <stp>.SPYP561</stp>
        <tr r="G26" s="2"/>
        <tr r="F26" s="2"/>
        <tr r="E26" s="2"/>
        <tr r="B26" s="2"/>
        <tr r="D26" s="2"/>
        <tr r="C26" s="2"/>
        <tr r="K26" s="2"/>
      </tp>
      <tp t="s">
        <v>N/A</v>
        <stp/>
        <stp>VOLUME</stp>
        <stp>.SPYC561</stp>
        <tr r="G26" s="2"/>
        <tr r="F26" s="2"/>
        <tr r="E26" s="2"/>
        <tr r="B26" s="2"/>
        <tr r="D26" s="2"/>
        <tr r="C26" s="2"/>
        <tr r="K26" s="2"/>
      </tp>
      <tp t="s">
        <v>N/A</v>
        <stp/>
        <stp>VOLUME</stp>
        <stp>.SPYP562</stp>
        <tr r="D25" s="2"/>
        <tr r="B25" s="2"/>
        <tr r="F25" s="2"/>
        <tr r="K25" s="2"/>
        <tr r="C25" s="2"/>
        <tr r="E25" s="2"/>
        <tr r="G25" s="2"/>
      </tp>
      <tp t="s">
        <v>N/A</v>
        <stp/>
        <stp>VOLUME</stp>
        <stp>.SPYC562</stp>
        <tr r="D25" s="2"/>
        <tr r="B25" s="2"/>
        <tr r="F25" s="2"/>
        <tr r="K25" s="2"/>
        <tr r="C25" s="2"/>
        <tr r="E25" s="2"/>
        <tr r="G25" s="2"/>
      </tp>
      <tp t="s">
        <v>N/A</v>
        <stp/>
        <stp>VOLUME</stp>
        <stp>.SPYP563</stp>
        <tr r="D24" s="2"/>
        <tr r="C24" s="2"/>
        <tr r="G24" s="2"/>
        <tr r="K24" s="2"/>
        <tr r="E24" s="2"/>
        <tr r="F24" s="2"/>
        <tr r="B24" s="2"/>
      </tp>
      <tp t="s">
        <v>N/A</v>
        <stp/>
        <stp>VOLUME</stp>
        <stp>.SPYC563</stp>
        <tr r="D24" s="2"/>
        <tr r="C24" s="2"/>
        <tr r="G24" s="2"/>
        <tr r="K24" s="2"/>
        <tr r="E24" s="2"/>
        <tr r="F24" s="2"/>
        <tr r="B24" s="2"/>
      </tp>
      <tp t="s">
        <v>N/A</v>
        <stp/>
        <stp>VOLUME</stp>
        <stp>.SPYP568</stp>
        <tr r="B19" s="2"/>
        <tr r="D19" s="2"/>
        <tr r="K19" s="2"/>
        <tr r="E19" s="2"/>
        <tr r="G19" s="2"/>
        <tr r="C19" s="2"/>
        <tr r="F19" s="2"/>
      </tp>
      <tp t="s">
        <v>N/A</v>
        <stp/>
        <stp>VOLUME</stp>
        <stp>.SPYC568</stp>
        <tr r="B19" s="2"/>
        <tr r="D19" s="2"/>
        <tr r="K19" s="2"/>
        <tr r="E19" s="2"/>
        <tr r="G19" s="2"/>
        <tr r="C19" s="2"/>
        <tr r="F19" s="2"/>
      </tp>
      <tp t="s">
        <v>N/A</v>
        <stp/>
        <stp>VOLUME</stp>
        <stp>.SPYP569</stp>
        <tr r="F18" s="2"/>
        <tr r="G18" s="2"/>
        <tr r="D18" s="2"/>
        <tr r="C18" s="2"/>
        <tr r="B18" s="2"/>
        <tr r="E18" s="2"/>
        <tr r="K18" s="2"/>
      </tp>
      <tp t="s">
        <v>N/A</v>
        <stp/>
        <stp>VOLUME</stp>
        <stp>.SPYC569</stp>
        <tr r="F18" s="2"/>
        <tr r="G18" s="2"/>
        <tr r="D18" s="2"/>
        <tr r="C18" s="2"/>
        <tr r="B18" s="2"/>
        <tr r="E18" s="2"/>
        <tr r="K18" s="2"/>
      </tp>
      <tp t="s">
        <v>N/A</v>
        <stp/>
        <stp>VOLUME</stp>
        <stp>.NDXP250829P20375</stp>
        <tr r="P145" s="2"/>
      </tp>
      <tp t="s">
        <v>N/A</v>
        <stp/>
        <stp>VOLUME</stp>
        <stp>.NDXP250829P19375</stp>
        <tr r="P185" s="2"/>
      </tp>
      <tp t="s">
        <v>N/A</v>
        <stp/>
        <stp>VOLUME</stp>
        <stp>.NDXP250509P20375</stp>
        <tr r="BB144" s="1"/>
      </tp>
      <tp>
        <v>1</v>
        <stp/>
        <stp>VOLUME</stp>
        <stp>.NDXP250509P19375</stp>
        <tr r="BB184" s="1"/>
        <tr r="BB184" s="1"/>
      </tp>
      <tp t="s">
        <v>N/A</v>
        <stp/>
        <stp>VOLUME</stp>
        <stp>.SPXW250930C5430</stp>
        <tr r="R130" s="2"/>
      </tp>
      <tp t="s">
        <v>N/A</v>
        <stp/>
        <stp>VOLUME</stp>
        <stp>.SPXW250530C5430</stp>
        <tr r="I130" s="2"/>
      </tp>
      <tp t="s">
        <v>N/A</v>
        <stp/>
        <stp>VOLUME</stp>
        <stp>.SPXW250731C5420</stp>
        <tr r="N131" s="2"/>
      </tp>
      <tp t="s">
        <v>N/A</v>
        <stp/>
        <stp>VOLUME</stp>
        <stp>.SPXW250606C5750</stp>
        <tr r="J98" s="2"/>
      </tp>
      <tp t="s">
        <v>N/A</v>
        <stp/>
        <stp>VOLUME</stp>
        <stp>.SPXW250630C5430</stp>
        <tr r="L130" s="2"/>
      </tp>
      <tp t="s">
        <v>N/A</v>
        <stp/>
        <stp>VOLUME</stp>
        <stp>.SPXW251031C5420</stp>
        <tr r="T131" s="2"/>
      </tp>
      <tp t="s">
        <v>N/A</v>
        <stp/>
        <stp>VOLUME</stp>
        <stp>.SPXW251231C5420</stp>
        <tr r="X131" s="2"/>
      </tp>
      <tp t="s">
        <v>N/A</v>
        <stp/>
        <stp>VOLUME</stp>
        <stp>.SPXW251031P5420</stp>
        <tr r="T131" s="2"/>
      </tp>
      <tp t="s">
        <v>N/A</v>
        <stp/>
        <stp>VOLUME</stp>
        <stp>.SPXW251231P5420</stp>
        <tr r="X131" s="2"/>
      </tp>
      <tp t="s">
        <v>N/A</v>
        <stp/>
        <stp>VOLUME</stp>
        <stp>.SPXW250930P5430</stp>
        <tr r="R130" s="2"/>
      </tp>
      <tp t="s">
        <v>N/A</v>
        <stp/>
        <stp>VOLUME</stp>
        <stp>.SPXW250530P5430</stp>
        <tr r="I130" s="2"/>
      </tp>
      <tp t="s">
        <v>N/A</v>
        <stp/>
        <stp>VOLUME</stp>
        <stp>.SPXW250731P5420</stp>
        <tr r="N131" s="2"/>
      </tp>
      <tp t="s">
        <v>N/A</v>
        <stp/>
        <stp>VOLUME</stp>
        <stp>.SPXW250606P5750</stp>
        <tr r="J98" s="2"/>
      </tp>
      <tp t="s">
        <v>N/A</v>
        <stp/>
        <stp>VOLUME</stp>
        <stp>.SPXW250630P5430</stp>
        <tr r="L130" s="2"/>
      </tp>
      <tp t="s">
        <v>N/A</v>
        <stp/>
        <stp>VOLUME</stp>
        <stp>.NDXP250829P20300</stp>
        <tr r="P148" s="2"/>
      </tp>
      <tp t="s">
        <v>N/A</v>
        <stp/>
        <stp>VOLUME</stp>
        <stp>.NDXP250829P19300</stp>
        <tr r="P188" s="2"/>
      </tp>
      <tp>
        <v>3</v>
        <stp/>
        <stp>VOLUME</stp>
        <stp>.NDXP250509P20300</stp>
        <tr r="BB147" s="1"/>
        <tr r="BB147" s="1"/>
      </tp>
      <tp>
        <v>214</v>
        <stp/>
        <stp>VOLUME</stp>
        <stp>.NDXP250509P19300</stp>
        <tr r="BB187" s="1"/>
        <tr r="BB187" s="1"/>
      </tp>
      <tp t="s">
        <v>N/A</v>
        <stp/>
        <stp>VOLUME</stp>
        <stp>.SPXW250930C5440</stp>
        <tr r="R129" s="2"/>
      </tp>
      <tp t="s">
        <v>N/A</v>
        <stp/>
        <stp>VOLUME</stp>
        <stp>.SPXW250530C5440</stp>
        <tr r="I129" s="2"/>
      </tp>
      <tp t="s">
        <v>N/A</v>
        <stp/>
        <stp>VOLUME</stp>
        <stp>.SPXW250731C5450</stp>
        <tr r="N128" s="2"/>
      </tp>
      <tp t="s">
        <v>N/A</v>
        <stp/>
        <stp>VOLUME</stp>
        <stp>.SPXW250606C5720</stp>
        <tr r="J101" s="2"/>
      </tp>
      <tp t="s">
        <v>N/A</v>
        <stp/>
        <stp>VOLUME</stp>
        <stp>.SPXW250630C5440</stp>
        <tr r="L129" s="2"/>
      </tp>
      <tp t="s">
        <v>N/A</v>
        <stp/>
        <stp>VOLUME</stp>
        <stp>.SPXW251031C5450</stp>
        <tr r="T128" s="2"/>
      </tp>
      <tp t="s">
        <v>N/A</v>
        <stp/>
        <stp>VOLUME</stp>
        <stp>.SPXW251231C5450</stp>
        <tr r="X128" s="2"/>
      </tp>
      <tp t="s">
        <v>N/A</v>
        <stp/>
        <stp>VOLUME</stp>
        <stp>.SPXW251031P5450</stp>
        <tr r="T128" s="2"/>
      </tp>
      <tp t="s">
        <v>N/A</v>
        <stp/>
        <stp>VOLUME</stp>
        <stp>.SPXW251231P5450</stp>
        <tr r="X128" s="2"/>
      </tp>
      <tp t="s">
        <v>N/A</v>
        <stp/>
        <stp>VOLUME</stp>
        <stp>.SPXW250930P5440</stp>
        <tr r="R129" s="2"/>
      </tp>
      <tp t="s">
        <v>N/A</v>
        <stp/>
        <stp>VOLUME</stp>
        <stp>.SPXW250530P5440</stp>
        <tr r="I129" s="2"/>
      </tp>
      <tp t="s">
        <v>N/A</v>
        <stp/>
        <stp>VOLUME</stp>
        <stp>.SPXW250731P5450</stp>
        <tr r="N128" s="2"/>
      </tp>
      <tp t="s">
        <v>N/A</v>
        <stp/>
        <stp>VOLUME</stp>
        <stp>.SPXW250606P5720</stp>
        <tr r="J101" s="2"/>
      </tp>
      <tp t="s">
        <v>N/A</v>
        <stp/>
        <stp>VOLUME</stp>
        <stp>.SPXW250630P5440</stp>
        <tr r="L129" s="2"/>
      </tp>
      <tp t="s">
        <v>N/A</v>
        <stp/>
        <stp>VOLUME</stp>
        <stp>.NDXP251128P20200</stp>
        <tr r="V152" s="2"/>
      </tp>
      <tp t="s">
        <v>N/A</v>
        <stp/>
        <stp>VOLUME</stp>
        <stp>.SPXW250930C5450</stp>
        <tr r="R128" s="2"/>
      </tp>
      <tp t="s">
        <v>N/A</v>
        <stp/>
        <stp>VOLUME</stp>
        <stp>.SPXW250530C5450</stp>
        <tr r="I128" s="2"/>
      </tp>
      <tp t="s">
        <v>N/A</v>
        <stp/>
        <stp>VOLUME</stp>
        <stp>.SPXW250731C5440</stp>
        <tr r="N129" s="2"/>
      </tp>
      <tp t="s">
        <v>N/A</v>
        <stp/>
        <stp>VOLUME</stp>
        <stp>.SPXW250606C5730</stp>
        <tr r="J100" s="2"/>
      </tp>
      <tp t="s">
        <v>N/A</v>
        <stp/>
        <stp>VOLUME</stp>
        <stp>.SPXW250630C5450</stp>
        <tr r="L128" s="2"/>
      </tp>
      <tp t="s">
        <v>N/A</v>
        <stp/>
        <stp>VOLUME</stp>
        <stp>.SPXW251031C5440</stp>
        <tr r="T129" s="2"/>
      </tp>
      <tp t="s">
        <v>N/A</v>
        <stp/>
        <stp>VOLUME</stp>
        <stp>.SPXW251231C5440</stp>
        <tr r="X129" s="2"/>
      </tp>
      <tp t="s">
        <v>N/A</v>
        <stp/>
        <stp>VOLUME</stp>
        <stp>.SPXW251031P5440</stp>
        <tr r="T129" s="2"/>
      </tp>
      <tp t="s">
        <v>N/A</v>
        <stp/>
        <stp>VOLUME</stp>
        <stp>.SPXW251231P5440</stp>
        <tr r="X129" s="2"/>
      </tp>
      <tp t="s">
        <v>N/A</v>
        <stp/>
        <stp>VOLUME</stp>
        <stp>.SPXW250930P5450</stp>
        <tr r="R128" s="2"/>
      </tp>
      <tp t="s">
        <v>N/A</v>
        <stp/>
        <stp>VOLUME</stp>
        <stp>.SPXW250530P5450</stp>
        <tr r="I128" s="2"/>
      </tp>
      <tp t="s">
        <v>N/A</v>
        <stp/>
        <stp>VOLUME</stp>
        <stp>.SPXW250731P5440</stp>
        <tr r="N129" s="2"/>
      </tp>
      <tp t="s">
        <v>N/A</v>
        <stp/>
        <stp>VOLUME</stp>
        <stp>.SPXW250606P5730</stp>
        <tr r="J100" s="2"/>
      </tp>
      <tp>
        <v>4</v>
        <stp/>
        <stp>VOLUME</stp>
        <stp>.SPXW250630P5450</stp>
        <tr r="L128" s="2"/>
        <tr r="L128" s="2"/>
      </tp>
      <tp t="s">
        <v>N/A</v>
        <stp/>
        <stp>VOLUME</stp>
        <stp>.NDXP250829P20325</stp>
        <tr r="P147" s="2"/>
      </tp>
      <tp t="s">
        <v>N/A</v>
        <stp/>
        <stp>VOLUME</stp>
        <stp>.NDXP250829P19325</stp>
        <tr r="P187" s="2"/>
      </tp>
      <tp t="s">
        <v>N/A</v>
        <stp/>
        <stp>VOLUME</stp>
        <stp>.NDXP250509P20325</stp>
        <tr r="BB146" s="1"/>
      </tp>
      <tp>
        <v>1</v>
        <stp/>
        <stp>VOLUME</stp>
        <stp>.NDXP250509P19325</stp>
        <tr r="BB186" s="1"/>
        <tr r="BB186" s="1"/>
      </tp>
      <tp t="s">
        <v>N/A</v>
        <stp/>
        <stp>VOLUME</stp>
        <stp>.SPXW250930C5460</stp>
        <tr r="R127" s="2"/>
      </tp>
      <tp t="s">
        <v>N/A</v>
        <stp/>
        <stp>VOLUME</stp>
        <stp>.SPXW250530C5460</stp>
        <tr r="I127" s="2"/>
      </tp>
      <tp t="s">
        <v>N/A</v>
        <stp/>
        <stp>VOLUME</stp>
        <stp>.SPXW250731C5470</stp>
        <tr r="N126" s="2"/>
      </tp>
      <tp t="s">
        <v>N/A</v>
        <stp/>
        <stp>VOLUME</stp>
        <stp>.SPXW250606C5700</stp>
        <tr r="J103" s="2"/>
      </tp>
      <tp t="s">
        <v>N/A</v>
        <stp/>
        <stp>VOLUME</stp>
        <stp>.SPXW250630C5460</stp>
        <tr r="L127" s="2"/>
      </tp>
      <tp t="s">
        <v>N/A</v>
        <stp/>
        <stp>VOLUME</stp>
        <stp>.SPXW251031C5470</stp>
        <tr r="T126" s="2"/>
      </tp>
      <tp t="s">
        <v>N/A</v>
        <stp/>
        <stp>VOLUME</stp>
        <stp>.SPXW251231C5470</stp>
        <tr r="X126" s="2"/>
      </tp>
      <tp t="s">
        <v>N/A</v>
        <stp/>
        <stp>VOLUME</stp>
        <stp>.SPXW251031P5470</stp>
        <tr r="T126" s="2"/>
      </tp>
      <tp t="s">
        <v>N/A</v>
        <stp/>
        <stp>VOLUME</stp>
        <stp>.SPXW251231P5470</stp>
        <tr r="X126" s="2"/>
      </tp>
      <tp t="s">
        <v>N/A</v>
        <stp/>
        <stp>VOLUME</stp>
        <stp>.SPXW250930P5460</stp>
        <tr r="R127" s="2"/>
      </tp>
      <tp t="s">
        <v>N/A</v>
        <stp/>
        <stp>VOLUME</stp>
        <stp>.SPXW250530P5460</stp>
        <tr r="I127" s="2"/>
      </tp>
      <tp t="s">
        <v>N/A</v>
        <stp/>
        <stp>VOLUME</stp>
        <stp>.SPXW250731P5470</stp>
        <tr r="N126" s="2"/>
      </tp>
      <tp t="s">
        <v>N/A</v>
        <stp/>
        <stp>VOLUME</stp>
        <stp>.SPXW250606P5700</stp>
        <tr r="J103" s="2"/>
      </tp>
      <tp t="s">
        <v>N/A</v>
        <stp/>
        <stp>VOLUME</stp>
        <stp>.SPXW250630P5460</stp>
        <tr r="L127" s="2"/>
      </tp>
      <tp t="s">
        <v>N/A</v>
        <stp/>
        <stp>VOLUME</stp>
        <stp>.NDXP251128P20225</stp>
        <tr r="V151" s="2"/>
      </tp>
      <tp t="s">
        <v>N/A</v>
        <stp/>
        <stp>VOLUME</stp>
        <stp>.SPXW250930C5470</stp>
        <tr r="R126" s="2"/>
      </tp>
      <tp t="s">
        <v>N/A</v>
        <stp/>
        <stp>VOLUME</stp>
        <stp>.SPXW250530C5470</stp>
        <tr r="I126" s="2"/>
      </tp>
      <tp t="s">
        <v>N/A</v>
        <stp/>
        <stp>VOLUME</stp>
        <stp>.SPXW250731C5460</stp>
        <tr r="N127" s="2"/>
      </tp>
      <tp t="s">
        <v>N/A</v>
        <stp/>
        <stp>VOLUME</stp>
        <stp>.SPXW250606C5710</stp>
        <tr r="J102" s="2"/>
      </tp>
      <tp t="s">
        <v>N/A</v>
        <stp/>
        <stp>VOLUME</stp>
        <stp>.SPXW250630C5470</stp>
        <tr r="L126" s="2"/>
      </tp>
      <tp t="s">
        <v>N/A</v>
        <stp/>
        <stp>VOLUME</stp>
        <stp>.SPXW251031C5460</stp>
        <tr r="T127" s="2"/>
      </tp>
      <tp t="s">
        <v>N/A</v>
        <stp/>
        <stp>VOLUME</stp>
        <stp>.SPXW251231C5460</stp>
        <tr r="X127" s="2"/>
      </tp>
      <tp t="s">
        <v>N/A</v>
        <stp/>
        <stp>VOLUME</stp>
        <stp>.SPXW251031P5460</stp>
        <tr r="T127" s="2"/>
      </tp>
      <tp t="s">
        <v>N/A</v>
        <stp/>
        <stp>VOLUME</stp>
        <stp>.SPXW251231P5460</stp>
        <tr r="X127" s="2"/>
      </tp>
      <tp t="s">
        <v>N/A</v>
        <stp/>
        <stp>VOLUME</stp>
        <stp>.SPXW250930P5470</stp>
        <tr r="R126" s="2"/>
      </tp>
      <tp t="s">
        <v>N/A</v>
        <stp/>
        <stp>VOLUME</stp>
        <stp>.SPXW250530P5470</stp>
        <tr r="I126" s="2"/>
      </tp>
      <tp t="s">
        <v>N/A</v>
        <stp/>
        <stp>VOLUME</stp>
        <stp>.SPXW250731P5460</stp>
        <tr r="N127" s="2"/>
      </tp>
      <tp t="s">
        <v>N/A</v>
        <stp/>
        <stp>VOLUME</stp>
        <stp>.SPXW250606P5710</stp>
        <tr r="J102" s="2"/>
      </tp>
      <tp t="s">
        <v>N/A</v>
        <stp/>
        <stp>VOLUME</stp>
        <stp>.SPXW250630P5470</stp>
        <tr r="L126" s="2"/>
      </tp>
      <tp>
        <v>-1</v>
        <stp/>
        <stp>DELTA</stp>
        <stp>.NDXP250509P20125</stp>
        <tr r="CE154" s="1"/>
        <tr r="CE154" s="1"/>
      </tp>
      <tp>
        <v>-1</v>
        <stp/>
        <stp>DELTA</stp>
        <stp>.NDXP250509P20100</stp>
        <tr r="CE155" s="1"/>
        <tr r="CE155" s="1"/>
      </tp>
      <tp>
        <v>-0.88</v>
        <stp/>
        <stp>DELTA</stp>
        <stp>.NDXP250509P20175</stp>
        <tr r="CE152" s="1"/>
        <tr r="CE152" s="1"/>
      </tp>
      <tp>
        <v>-0.86</v>
        <stp/>
        <stp>DELTA</stp>
        <stp>.NDXP250509P20150</stp>
        <tr r="CE153" s="1"/>
        <tr r="CE153" s="1"/>
      </tp>
      <tp>
        <v>0.05</v>
        <stp/>
        <stp>DELTA</stp>
        <stp>.NDXP250509C20100</stp>
        <tr r="CD155" s="1"/>
        <tr r="CD155" s="1"/>
      </tp>
      <tp>
        <v>0</v>
        <stp/>
        <stp>DELTA</stp>
        <stp>.NDXP250509C20125</stp>
        <tr r="CD154" s="1"/>
        <tr r="CD154" s="1"/>
      </tp>
      <tp>
        <v>0</v>
        <stp/>
        <stp>DELTA</stp>
        <stp>.NDXP250509C20150</stp>
        <tr r="CD153" s="1"/>
        <tr r="CD153" s="1"/>
      </tp>
      <tp>
        <v>0.16</v>
        <stp/>
        <stp>DELTA</stp>
        <stp>.NDXP250509C20175</stp>
        <tr r="CD152" s="1"/>
        <tr r="CD152" s="1"/>
      </tp>
      <tp t="s">
        <v>N/A</v>
        <stp/>
        <stp>VOLUME</stp>
        <stp>.NDXP250829C20275</stp>
        <tr r="P149" s="2"/>
      </tp>
      <tp t="s">
        <v>N/A</v>
        <stp/>
        <stp>VOLUME</stp>
        <stp>.NDXP250829C19275</stp>
        <tr r="P189" s="2"/>
      </tp>
      <tp>
        <v>110</v>
        <stp/>
        <stp>VOLUME</stp>
        <stp>.NDXP250509C20275</stp>
        <tr r="BA148" s="1"/>
        <tr r="BA148" s="1"/>
      </tp>
      <tp t="s">
        <v>N/A</v>
        <stp/>
        <stp>VOLUME</stp>
        <stp>.NDXP250509C19275</stp>
        <tr r="BA188" s="1"/>
      </tp>
      <tp t="s">
        <v>N/A</v>
        <stp/>
        <stp>VOLUME</stp>
        <stp>.NDXP251128C20375</stp>
        <tr r="V145" s="2"/>
      </tp>
      <tp t="s">
        <v>N/A</v>
        <stp/>
        <stp>VOLUME</stp>
        <stp>.NDXP251128C19375</stp>
        <tr r="V185" s="2"/>
      </tp>
      <tp t="s">
        <v>N/A</v>
        <stp/>
        <stp>VOLUME</stp>
        <stp>.NDXP250829C20250</stp>
        <tr r="P150" s="2"/>
      </tp>
      <tp t="s">
        <v>N/A</v>
        <stp/>
        <stp>VOLUME</stp>
        <stp>.NDXP250829C19250</stp>
        <tr r="P190" s="2"/>
      </tp>
      <tp>
        <v>400</v>
        <stp/>
        <stp>VOLUME</stp>
        <stp>.NDXP250509C20250</stp>
        <tr r="BA149" s="1"/>
        <tr r="BA149" s="1"/>
      </tp>
      <tp t="s">
        <v>N/A</v>
        <stp/>
        <stp>VOLUME</stp>
        <stp>.NDXP250509C19250</stp>
        <tr r="BA189" s="1"/>
      </tp>
      <tp t="s">
        <v>N/A</v>
        <stp/>
        <stp>VOLUME</stp>
        <stp>.NDXP251128C20350</stp>
        <tr r="V146" s="2"/>
      </tp>
      <tp t="s">
        <v>N/A</v>
        <stp/>
        <stp>VOLUME</stp>
        <stp>.NDXP251128C19350</stp>
        <tr r="V186" s="2"/>
      </tp>
      <tp t="s">
        <v>N/A</v>
        <stp/>
        <stp>VOLUME</stp>
        <stp>.NDXP251128C20325</stp>
        <tr r="V147" s="2"/>
      </tp>
      <tp t="s">
        <v>N/A</v>
        <stp/>
        <stp>VOLUME</stp>
        <stp>.NDXP251128C19325</stp>
        <tr r="V187" s="2"/>
      </tp>
      <tp t="s">
        <v>N/A</v>
        <stp/>
        <stp>VOLUME</stp>
        <stp>.NDXP250829C20225</stp>
        <tr r="P151" s="2"/>
      </tp>
      <tp>
        <v>97</v>
        <stp/>
        <stp>VOLUME</stp>
        <stp>.NDXP250509C20225</stp>
        <tr r="BA150" s="1"/>
        <tr r="BA150" s="1"/>
      </tp>
      <tp t="s">
        <v>N/A</v>
        <stp/>
        <stp>VOLUME</stp>
        <stp>.NDXP251128C20300</stp>
        <tr r="V148" s="2"/>
      </tp>
      <tp t="s">
        <v>N/A</v>
        <stp/>
        <stp>VOLUME</stp>
        <stp>.NDXP251128C19300</stp>
        <tr r="V188" s="2"/>
      </tp>
      <tp t="s">
        <v>N/A</v>
        <stp/>
        <stp>VOLUME</stp>
        <stp>.NDXP250829C20200</stp>
        <tr r="P152" s="2"/>
      </tp>
      <tp>
        <v>1232</v>
        <stp/>
        <stp>VOLUME</stp>
        <stp>.NDXP250509C20200</stp>
        <tr r="BA151" s="1"/>
        <tr r="BA151" s="1"/>
      </tp>
      <tp t="s">
        <v>N/A</v>
        <stp/>
        <stp>VOLUME</stp>
        <stp>.SPXW250930C5580</stp>
        <tr r="R115" s="2"/>
      </tp>
      <tp t="s">
        <v>N/A</v>
        <stp/>
        <stp>VOLUME</stp>
        <stp>.SPXW250509C5610</stp>
        <tr r="BA111" s="1"/>
      </tp>
      <tp t="s">
        <v>N/A</v>
        <stp/>
        <stp>VOLUME</stp>
        <stp>.SPXW250530C5580</stp>
        <tr r="I115" s="2"/>
      </tp>
      <tp t="s">
        <v>N/A</v>
        <stp/>
        <stp>VOLUME</stp>
        <stp>.SPXW250731C5590</stp>
        <tr r="N114" s="2"/>
      </tp>
      <tp t="s">
        <v>N/A</v>
        <stp/>
        <stp>VOLUME</stp>
        <stp>.SPXW250630C5580</stp>
        <tr r="L115" s="2"/>
      </tp>
      <tp t="s">
        <v>N/A</v>
        <stp/>
        <stp>VOLUME</stp>
        <stp>.SPXW251031C5590</stp>
        <tr r="T114" s="2"/>
      </tp>
      <tp t="s">
        <v>N/A</v>
        <stp/>
        <stp>VOLUME</stp>
        <stp>.SPXW251231C5590</stp>
        <tr r="X114" s="2"/>
      </tp>
      <tp t="s">
        <v>N/A</v>
        <stp/>
        <stp>VOLUME</stp>
        <stp>.SPXW251031P5590</stp>
        <tr r="T114" s="2"/>
      </tp>
      <tp t="s">
        <v>N/A</v>
        <stp/>
        <stp>VOLUME</stp>
        <stp>.SPXW251231P5590</stp>
        <tr r="X114" s="2"/>
      </tp>
      <tp t="s">
        <v>N/A</v>
        <stp/>
        <stp>VOLUME</stp>
        <stp>.SPXW250930P5580</stp>
        <tr r="R115" s="2"/>
      </tp>
      <tp t="s">
        <v>N/A</v>
        <stp/>
        <stp>VOLUME</stp>
        <stp>.SPXW250509P5610</stp>
        <tr r="BB111" s="1"/>
      </tp>
      <tp t="s">
        <v>N/A</v>
        <stp/>
        <stp>VOLUME</stp>
        <stp>.SPXW250530P5580</stp>
        <tr r="I115" s="2"/>
      </tp>
      <tp t="s">
        <v>N/A</v>
        <stp/>
        <stp>VOLUME</stp>
        <stp>.SPXW250731P5590</stp>
        <tr r="N114" s="2"/>
      </tp>
      <tp t="s">
        <v>N/A</v>
        <stp/>
        <stp>VOLUME</stp>
        <stp>.SPXW250630P5580</stp>
        <tr r="L115" s="2"/>
      </tp>
      <tp t="s">
        <v>N/A</v>
        <stp/>
        <stp>VOLUME</stp>
        <stp>.SPXW250930C5590</stp>
        <tr r="R114" s="2"/>
      </tp>
      <tp t="s">
        <v>N/A</v>
        <stp/>
        <stp>VOLUME</stp>
        <stp>.SPXW250509C5600</stp>
        <tr r="BA112" s="1"/>
      </tp>
      <tp t="s">
        <v>N/A</v>
        <stp/>
        <stp>VOLUME</stp>
        <stp>.SPXW250530C5590</stp>
        <tr r="I114" s="2"/>
      </tp>
      <tp t="s">
        <v>N/A</v>
        <stp/>
        <stp>VOLUME</stp>
        <stp>.SPXW250731C5580</stp>
        <tr r="N115" s="2"/>
      </tp>
      <tp t="s">
        <v>N/A</v>
        <stp/>
        <stp>VOLUME</stp>
        <stp>.SPXW250630C5590</stp>
        <tr r="L114" s="2"/>
      </tp>
      <tp t="s">
        <v>N/A</v>
        <stp/>
        <stp>VOLUME</stp>
        <stp>.SPXW251031C5580</stp>
        <tr r="T115" s="2"/>
      </tp>
      <tp t="s">
        <v>N/A</v>
        <stp/>
        <stp>VOLUME</stp>
        <stp>.SPXW251231C5580</stp>
        <tr r="X115" s="2"/>
      </tp>
      <tp t="s">
        <v>N/A</v>
        <stp/>
        <stp>VOLUME</stp>
        <stp>.SPXW251031P5580</stp>
        <tr r="T115" s="2"/>
      </tp>
      <tp t="s">
        <v>N/A</v>
        <stp/>
        <stp>VOLUME</stp>
        <stp>.SPXW251231P5580</stp>
        <tr r="X115" s="2"/>
      </tp>
      <tp t="s">
        <v>N/A</v>
        <stp/>
        <stp>VOLUME</stp>
        <stp>.SPXW250930P5590</stp>
        <tr r="R114" s="2"/>
      </tp>
      <tp t="s">
        <v>N/A</v>
        <stp/>
        <stp>VOLUME</stp>
        <stp>.SPXW250509P5600</stp>
        <tr r="BB112" s="1"/>
      </tp>
      <tp t="s">
        <v>N/A</v>
        <stp/>
        <stp>VOLUME</stp>
        <stp>.SPXW250530P5590</stp>
        <tr r="I114" s="2"/>
      </tp>
      <tp t="s">
        <v>N/A</v>
        <stp/>
        <stp>VOLUME</stp>
        <stp>.SPXW250731P5580</stp>
        <tr r="N115" s="2"/>
      </tp>
      <tp t="s">
        <v>N/A</v>
        <stp/>
        <stp>VOLUME</stp>
        <stp>.SPXW250630P5590</stp>
        <tr r="L114" s="2"/>
      </tp>
      <tp t="s">
        <v>N/A</v>
        <stp/>
        <stp>VOLUME</stp>
        <stp>.SPXW250829C5430</stp>
        <tr r="P130" s="2"/>
      </tp>
      <tp t="s">
        <v>N/A</v>
        <stp/>
        <stp>VOLUME</stp>
        <stp>.SPXW250509C5630</stp>
        <tr r="BA109" s="1"/>
      </tp>
      <tp t="s">
        <v>N/A</v>
        <stp/>
        <stp>VOLUME</stp>
        <stp>.SPXW251128C5420</stp>
        <tr r="V131" s="2"/>
      </tp>
      <tp t="s">
        <v>N/A</v>
        <stp/>
        <stp>VOLUME</stp>
        <stp>.SPXW251128P5420</stp>
        <tr r="V131" s="2"/>
      </tp>
      <tp t="s">
        <v>N/A</v>
        <stp/>
        <stp>VOLUME</stp>
        <stp>.SPXW250829P5430</stp>
        <tr r="P130" s="2"/>
      </tp>
      <tp t="s">
        <v>N/A</v>
        <stp/>
        <stp>VOLUME</stp>
        <stp>.SPXW250509P5630</stp>
        <tr r="BB109" s="1"/>
      </tp>
      <tp t="s">
        <v>N/A</v>
        <stp/>
        <stp>VOLUME</stp>
        <stp>.SPXW250829C5420</stp>
        <tr r="P131" s="2"/>
      </tp>
      <tp t="s">
        <v>N/A</v>
        <stp/>
        <stp>VOLUME</stp>
        <stp>.SPXW250509C5620</stp>
        <tr r="BA110" s="1"/>
      </tp>
      <tp t="s">
        <v>N/A</v>
        <stp/>
        <stp>VOLUME</stp>
        <stp>.SPXW251128C5430</stp>
        <tr r="V130" s="2"/>
      </tp>
      <tp t="s">
        <v>N/A</v>
        <stp/>
        <stp>VOLUME</stp>
        <stp>.SPXW251128P5430</stp>
        <tr r="V130" s="2"/>
      </tp>
      <tp t="s">
        <v>N/A</v>
        <stp/>
        <stp>VOLUME</stp>
        <stp>.SPXW250829P5420</stp>
        <tr r="P131" s="2"/>
      </tp>
      <tp t="s">
        <v>N/A</v>
        <stp/>
        <stp>VOLUME</stp>
        <stp>.SPXW250509P5620</stp>
        <tr r="BB110" s="1"/>
      </tp>
      <tp t="s">
        <v>N/A</v>
        <stp/>
        <stp>VOLUME</stp>
        <stp>.SPXW250829C5450</stp>
        <tr r="P128" s="2"/>
      </tp>
      <tp t="s">
        <v>N/A</v>
        <stp/>
        <stp>VOLUME</stp>
        <stp>.SPXW250509C5650</stp>
        <tr r="BA107" s="1"/>
      </tp>
      <tp t="s">
        <v>N/A</v>
        <stp/>
        <stp>VOLUME</stp>
        <stp>.SPXW251128C5440</stp>
        <tr r="V129" s="2"/>
      </tp>
      <tp t="s">
        <v>N/A</v>
        <stp/>
        <stp>VOLUME</stp>
        <stp>.SPXW251128P5440</stp>
        <tr r="V129" s="2"/>
      </tp>
      <tp t="s">
        <v>N/A</v>
        <stp/>
        <stp>VOLUME</stp>
        <stp>.SPXW250829P5450</stp>
        <tr r="P128" s="2"/>
      </tp>
      <tp t="s">
        <v>N/A</v>
        <stp/>
        <stp>VOLUME</stp>
        <stp>.SPXW250509P5650</stp>
        <tr r="BB107" s="1"/>
      </tp>
      <tp t="s">
        <v>N/A</v>
        <stp/>
        <stp>VOLUME</stp>
        <stp>.SPXW250829C5440</stp>
        <tr r="P129" s="2"/>
      </tp>
      <tp t="s">
        <v>N/A</v>
        <stp/>
        <stp>VOLUME</stp>
        <stp>.SPXW250509C5640</stp>
        <tr r="BA108" s="1"/>
      </tp>
      <tp t="s">
        <v>N/A</v>
        <stp/>
        <stp>VOLUME</stp>
        <stp>.SPXW251128C5450</stp>
        <tr r="V128" s="2"/>
      </tp>
      <tp t="s">
        <v>N/A</v>
        <stp/>
        <stp>VOLUME</stp>
        <stp>.SPXW251128P5450</stp>
        <tr r="V128" s="2"/>
      </tp>
      <tp t="s">
        <v>N/A</v>
        <stp/>
        <stp>VOLUME</stp>
        <stp>.SPXW250829P5440</stp>
        <tr r="P129" s="2"/>
      </tp>
      <tp t="s">
        <v>N/A</v>
        <stp/>
        <stp>VOLUME</stp>
        <stp>.SPXW250509P5640</stp>
        <tr r="BB108" s="1"/>
      </tp>
      <tp t="s">
        <v>N/A</v>
        <stp/>
        <stp>VOLUME</stp>
        <stp>.SPXW250829C5470</stp>
        <tr r="P126" s="2"/>
      </tp>
      <tp t="s">
        <v>N/A</v>
        <stp/>
        <stp>VOLUME</stp>
        <stp>.SPXW250509C5670</stp>
        <tr r="BA105" s="1"/>
      </tp>
      <tp t="s">
        <v>N/A</v>
        <stp/>
        <stp>VOLUME</stp>
        <stp>.SPXW250606C5680</stp>
        <tr r="J105" s="2"/>
      </tp>
      <tp t="s">
        <v>N/A</v>
        <stp/>
        <stp>VOLUME</stp>
        <stp>.SPXW251128C5460</stp>
        <tr r="V127" s="2"/>
      </tp>
      <tp t="s">
        <v>N/A</v>
        <stp/>
        <stp>VOLUME</stp>
        <stp>.SPXW251128P5460</stp>
        <tr r="V127" s="2"/>
      </tp>
      <tp t="s">
        <v>N/A</v>
        <stp/>
        <stp>VOLUME</stp>
        <stp>.SPXW250829P5470</stp>
        <tr r="P126" s="2"/>
      </tp>
      <tp t="s">
        <v>N/A</v>
        <stp/>
        <stp>VOLUME</stp>
        <stp>.SPXW250509P5670</stp>
        <tr r="BB105" s="1"/>
      </tp>
      <tp t="s">
        <v>N/A</v>
        <stp/>
        <stp>VOLUME</stp>
        <stp>.SPXW250606P5680</stp>
        <tr r="J105" s="2"/>
      </tp>
      <tp t="s">
        <v>N/A</v>
        <stp/>
        <stp>VOLUME</stp>
        <stp>.SPXW250829C5460</stp>
        <tr r="P127" s="2"/>
      </tp>
      <tp t="s">
        <v>N/A</v>
        <stp/>
        <stp>VOLUME</stp>
        <stp>.SPXW250509C5660</stp>
        <tr r="BA106" s="1"/>
      </tp>
      <tp t="s">
        <v>N/A</v>
        <stp/>
        <stp>VOLUME</stp>
        <stp>.SPXW250606C5690</stp>
        <tr r="J104" s="2"/>
      </tp>
      <tp t="s">
        <v>N/A</v>
        <stp/>
        <stp>VOLUME</stp>
        <stp>.SPXW251128C5470</stp>
        <tr r="V126" s="2"/>
      </tp>
      <tp t="s">
        <v>N/A</v>
        <stp/>
        <stp>VOLUME</stp>
        <stp>.SPXW251128P5470</stp>
        <tr r="V126" s="2"/>
      </tp>
      <tp t="s">
        <v>N/A</v>
        <stp/>
        <stp>VOLUME</stp>
        <stp>.SPXW250829P5460</stp>
        <tr r="P127" s="2"/>
      </tp>
      <tp t="s">
        <v>N/A</v>
        <stp/>
        <stp>VOLUME</stp>
        <stp>.SPXW250509P5660</stp>
        <tr r="BB106" s="1"/>
      </tp>
      <tp t="s">
        <v>N/A</v>
        <stp/>
        <stp>VOLUME</stp>
        <stp>.SPXW250606P5690</stp>
        <tr r="J104" s="2"/>
      </tp>
      <tp t="s">
        <v>N/A</v>
        <stp/>
        <stp>VOLUME</stp>
        <stp>.NDXP251128P20350</stp>
        <tr r="V146" s="2"/>
      </tp>
      <tp t="s">
        <v>N/A</v>
        <stp/>
        <stp>VOLUME</stp>
        <stp>.NDXP251128P19350</stp>
        <tr r="V186" s="2"/>
      </tp>
      <tp t="s">
        <v>N/A</v>
        <stp/>
        <stp>VOLUME</stp>
        <stp>.SPXW250930C5500</stp>
        <tr r="R123" s="2"/>
      </tp>
      <tp t="s">
        <v>N/A</v>
        <stp/>
        <stp>VOLUME</stp>
        <stp>.SPXW250829C5490</stp>
        <tr r="P124" s="2"/>
      </tp>
      <tp t="s">
        <v>N/A</v>
        <stp/>
        <stp>VOLUME</stp>
        <stp>.SPXW250509C5690</stp>
        <tr r="BA103" s="1"/>
      </tp>
      <tp t="s">
        <v>N/A</v>
        <stp/>
        <stp>VOLUME</stp>
        <stp>.SPXW250530C5500</stp>
        <tr r="I123" s="2"/>
      </tp>
      <tp t="s">
        <v>N/A</v>
        <stp/>
        <stp>VOLUME</stp>
        <stp>.SPXW250731C5510</stp>
        <tr r="N122" s="2"/>
      </tp>
      <tp t="s">
        <v>N/A</v>
        <stp/>
        <stp>VOLUME</stp>
        <stp>.SPXW250606C5660</stp>
        <tr r="J107" s="2"/>
      </tp>
      <tp t="s">
        <v>N/A</v>
        <stp/>
        <stp>VOLUME</stp>
        <stp>.SPXW250630C5500</stp>
        <tr r="L123" s="2"/>
      </tp>
      <tp t="s">
        <v>N/A</v>
        <stp/>
        <stp>VOLUME</stp>
        <stp>.SPXW251128C5480</stp>
        <tr r="V125" s="2"/>
      </tp>
      <tp t="s">
        <v>N/A</v>
        <stp/>
        <stp>VOLUME</stp>
        <stp>.SPXW251031C5510</stp>
        <tr r="T122" s="2"/>
      </tp>
      <tp t="s">
        <v>N/A</v>
        <stp/>
        <stp>VOLUME</stp>
        <stp>.SPXW251231C5510</stp>
        <tr r="X122" s="2"/>
      </tp>
      <tp t="s">
        <v>N/A</v>
        <stp/>
        <stp>VOLUME</stp>
        <stp>.SPXW251128P5480</stp>
        <tr r="V125" s="2"/>
      </tp>
      <tp t="s">
        <v>N/A</v>
        <stp/>
        <stp>VOLUME</stp>
        <stp>.SPXW251031P5510</stp>
        <tr r="T122" s="2"/>
      </tp>
      <tp t="s">
        <v>N/A</v>
        <stp/>
        <stp>VOLUME</stp>
        <stp>.SPXW251231P5510</stp>
        <tr r="X122" s="2"/>
      </tp>
      <tp t="s">
        <v>N/A</v>
        <stp/>
        <stp>VOLUME</stp>
        <stp>.SPXW250930P5500</stp>
        <tr r="R123" s="2"/>
      </tp>
      <tp t="s">
        <v>N/A</v>
        <stp/>
        <stp>VOLUME</stp>
        <stp>.SPXW250829P5490</stp>
        <tr r="P124" s="2"/>
      </tp>
      <tp t="s">
        <v>N/A</v>
        <stp/>
        <stp>VOLUME</stp>
        <stp>.SPXW250509P5690</stp>
        <tr r="BB103" s="1"/>
      </tp>
      <tp t="s">
        <v>N/A</v>
        <stp/>
        <stp>VOLUME</stp>
        <stp>.SPXW250530P5500</stp>
        <tr r="I123" s="2"/>
      </tp>
      <tp t="s">
        <v>N/A</v>
        <stp/>
        <stp>VOLUME</stp>
        <stp>.SPXW250731P5510</stp>
        <tr r="N122" s="2"/>
      </tp>
      <tp t="s">
        <v>N/A</v>
        <stp/>
        <stp>VOLUME</stp>
        <stp>.SPXW250606P5660</stp>
        <tr r="J107" s="2"/>
      </tp>
      <tp t="s">
        <v>N/A</v>
        <stp/>
        <stp>VOLUME</stp>
        <stp>.SPXW250630P5500</stp>
        <tr r="L123" s="2"/>
      </tp>
      <tp t="s">
        <v>N/A</v>
        <stp/>
        <stp>VOLUME</stp>
        <stp>.NDXP250829P20250</stp>
        <tr r="P150" s="2"/>
      </tp>
      <tp t="s">
        <v>N/A</v>
        <stp/>
        <stp>VOLUME</stp>
        <stp>.NDXP250829P19250</stp>
        <tr r="P190" s="2"/>
      </tp>
      <tp>
        <v>27</v>
        <stp/>
        <stp>VOLUME</stp>
        <stp>.NDXP250509P20250</stp>
        <tr r="BB149" s="1"/>
        <tr r="BB149" s="1"/>
      </tp>
      <tp>
        <v>8</v>
        <stp/>
        <stp>VOLUME</stp>
        <stp>.NDXP250509P19250</stp>
        <tr r="BB189" s="1"/>
        <tr r="BB189" s="1"/>
      </tp>
      <tp t="s">
        <v>N/A</v>
        <stp/>
        <stp>VOLUME</stp>
        <stp>.SPXW250930C5510</stp>
        <tr r="R122" s="2"/>
      </tp>
      <tp t="s">
        <v>N/A</v>
        <stp/>
        <stp>VOLUME</stp>
        <stp>.SPXW250829C5480</stp>
        <tr r="P125" s="2"/>
      </tp>
      <tp t="s">
        <v>N/A</v>
        <stp/>
        <stp>VOLUME</stp>
        <stp>.SPXW250509C5680</stp>
        <tr r="BA104" s="1"/>
      </tp>
      <tp t="s">
        <v>N/A</v>
        <stp/>
        <stp>VOLUME</stp>
        <stp>.SPXW250530C5510</stp>
        <tr r="I122" s="2"/>
      </tp>
      <tp t="s">
        <v>N/A</v>
        <stp/>
        <stp>VOLUME</stp>
        <stp>.SPXW250731C5500</stp>
        <tr r="N123" s="2"/>
      </tp>
      <tp t="s">
        <v>N/A</v>
        <stp/>
        <stp>VOLUME</stp>
        <stp>.SPXW250606C5670</stp>
        <tr r="J106" s="2"/>
      </tp>
      <tp t="s">
        <v>N/A</v>
        <stp/>
        <stp>VOLUME</stp>
        <stp>.SPXW250630C5510</stp>
        <tr r="L122" s="2"/>
      </tp>
      <tp t="s">
        <v>N/A</v>
        <stp/>
        <stp>VOLUME</stp>
        <stp>.SPXW251128C5490</stp>
        <tr r="V124" s="2"/>
      </tp>
      <tp t="s">
        <v>N/A</v>
        <stp/>
        <stp>VOLUME</stp>
        <stp>.SPXW251031C5500</stp>
        <tr r="T123" s="2"/>
      </tp>
      <tp t="s">
        <v>N/A</v>
        <stp/>
        <stp>VOLUME</stp>
        <stp>.SPXW251231C5500</stp>
        <tr r="X123" s="2"/>
      </tp>
      <tp t="s">
        <v>N/A</v>
        <stp/>
        <stp>VOLUME</stp>
        <stp>.SPXW251128P5490</stp>
        <tr r="V124" s="2"/>
      </tp>
      <tp t="s">
        <v>N/A</v>
        <stp/>
        <stp>VOLUME</stp>
        <stp>.SPXW251031P5500</stp>
        <tr r="T123" s="2"/>
      </tp>
      <tp t="s">
        <v>N/A</v>
        <stp/>
        <stp>VOLUME</stp>
        <stp>.SPXW251231P5500</stp>
        <tr r="X123" s="2"/>
      </tp>
      <tp t="s">
        <v>N/A</v>
        <stp/>
        <stp>VOLUME</stp>
        <stp>.SPXW250930P5510</stp>
        <tr r="R122" s="2"/>
      </tp>
      <tp t="s">
        <v>N/A</v>
        <stp/>
        <stp>VOLUME</stp>
        <stp>.SPXW250829P5480</stp>
        <tr r="P125" s="2"/>
      </tp>
      <tp t="s">
        <v>N/A</v>
        <stp/>
        <stp>VOLUME</stp>
        <stp>.SPXW250509P5680</stp>
        <tr r="BB104" s="1"/>
      </tp>
      <tp t="s">
        <v>N/A</v>
        <stp/>
        <stp>VOLUME</stp>
        <stp>.SPXW250530P5510</stp>
        <tr r="I122" s="2"/>
      </tp>
      <tp t="s">
        <v>N/A</v>
        <stp/>
        <stp>VOLUME</stp>
        <stp>.SPXW250731P5500</stp>
        <tr r="N123" s="2"/>
      </tp>
      <tp t="s">
        <v>N/A</v>
        <stp/>
        <stp>VOLUME</stp>
        <stp>.SPXW250606P5670</stp>
        <tr r="J106" s="2"/>
      </tp>
      <tp t="s">
        <v>N/A</v>
        <stp/>
        <stp>VOLUME</stp>
        <stp>.SPXW250630P5510</stp>
        <tr r="L122" s="2"/>
      </tp>
      <tp t="s">
        <v>N/A</v>
        <stp/>
        <stp>VOLUME</stp>
        <stp>.NDXP251128P20375</stp>
        <tr r="V145" s="2"/>
      </tp>
      <tp t="s">
        <v>N/A</v>
        <stp/>
        <stp>VOLUME</stp>
        <stp>.NDXP251128P19375</stp>
        <tr r="V185" s="2"/>
      </tp>
      <tp t="s">
        <v>N/A</v>
        <stp/>
        <stp>VOLUME</stp>
        <stp>.SPXW250930C5520</stp>
        <tr r="R121" s="2"/>
      </tp>
      <tp t="s">
        <v>N/A</v>
        <stp/>
        <stp>VOLUME</stp>
        <stp>.SPXW250530C5520</stp>
        <tr r="I121" s="2"/>
      </tp>
      <tp t="s">
        <v>N/A</v>
        <stp/>
        <stp>VOLUME</stp>
        <stp>.SPXW250731C5530</stp>
        <tr r="N120" s="2"/>
      </tp>
      <tp t="s">
        <v>N/A</v>
        <stp/>
        <stp>VOLUME</stp>
        <stp>.SPXW250606C5640</stp>
        <tr r="J109" s="2"/>
      </tp>
      <tp t="s">
        <v>N/A</v>
        <stp/>
        <stp>VOLUME</stp>
        <stp>.SPXW250630C5520</stp>
        <tr r="L121" s="2"/>
      </tp>
      <tp t="s">
        <v>N/A</v>
        <stp/>
        <stp>VOLUME</stp>
        <stp>.SPXW251031C5530</stp>
        <tr r="T120" s="2"/>
      </tp>
      <tp t="s">
        <v>N/A</v>
        <stp/>
        <stp>VOLUME</stp>
        <stp>.SPXW251231C5530</stp>
        <tr r="X120" s="2"/>
      </tp>
      <tp t="s">
        <v>N/A</v>
        <stp/>
        <stp>VOLUME</stp>
        <stp>.SPXW251031P5530</stp>
        <tr r="T120" s="2"/>
      </tp>
      <tp t="s">
        <v>N/A</v>
        <stp/>
        <stp>VOLUME</stp>
        <stp>.SPXW251231P5530</stp>
        <tr r="X120" s="2"/>
      </tp>
      <tp t="s">
        <v>N/A</v>
        <stp/>
        <stp>VOLUME</stp>
        <stp>.SPXW250930P5520</stp>
        <tr r="R121" s="2"/>
      </tp>
      <tp t="s">
        <v>N/A</v>
        <stp/>
        <stp>VOLUME</stp>
        <stp>.SPXW250530P5520</stp>
        <tr r="I121" s="2"/>
      </tp>
      <tp t="s">
        <v>N/A</v>
        <stp/>
        <stp>VOLUME</stp>
        <stp>.SPXW250731P5530</stp>
        <tr r="N120" s="2"/>
      </tp>
      <tp t="s">
        <v>N/A</v>
        <stp/>
        <stp>VOLUME</stp>
        <stp>.SPXW250606P5640</stp>
        <tr r="J109" s="2"/>
      </tp>
      <tp t="s">
        <v>N/A</v>
        <stp/>
        <stp>VOLUME</stp>
        <stp>.SPXW250630P5520</stp>
        <tr r="L121" s="2"/>
      </tp>
      <tp t="s">
        <v>N/A</v>
        <stp/>
        <stp>VOLUME</stp>
        <stp>.NDXP250829P20275</stp>
        <tr r="P149" s="2"/>
      </tp>
      <tp t="s">
        <v>N/A</v>
        <stp/>
        <stp>VOLUME</stp>
        <stp>.NDXP250829P19275</stp>
        <tr r="P189" s="2"/>
      </tp>
      <tp>
        <v>1</v>
        <stp/>
        <stp>VOLUME</stp>
        <stp>.NDXP250509P20275</stp>
        <tr r="BB148" s="1"/>
        <tr r="BB148" s="1"/>
      </tp>
      <tp>
        <v>1</v>
        <stp/>
        <stp>VOLUME</stp>
        <stp>.NDXP250509P19275</stp>
        <tr r="BB188" s="1"/>
        <tr r="BB188" s="1"/>
      </tp>
      <tp t="s">
        <v>N/A</v>
        <stp/>
        <stp>VOLUME</stp>
        <stp>.SPXW250930C5530</stp>
        <tr r="R120" s="2"/>
      </tp>
      <tp t="s">
        <v>N/A</v>
        <stp/>
        <stp>VOLUME</stp>
        <stp>.SPXW250530C5530</stp>
        <tr r="I120" s="2"/>
      </tp>
      <tp t="s">
        <v>N/A</v>
        <stp/>
        <stp>VOLUME</stp>
        <stp>.SPXW250731C5520</stp>
        <tr r="N121" s="2"/>
      </tp>
      <tp t="s">
        <v>N/A</v>
        <stp/>
        <stp>VOLUME</stp>
        <stp>.SPXW250606C5650</stp>
        <tr r="J108" s="2"/>
      </tp>
      <tp t="s">
        <v>N/A</v>
        <stp/>
        <stp>VOLUME</stp>
        <stp>.SPXW250630C5530</stp>
        <tr r="L120" s="2"/>
      </tp>
      <tp t="s">
        <v>N/A</v>
        <stp/>
        <stp>VOLUME</stp>
        <stp>.SPXW251031C5520</stp>
        <tr r="T121" s="2"/>
      </tp>
      <tp t="s">
        <v>N/A</v>
        <stp/>
        <stp>VOLUME</stp>
        <stp>.SPXW251231C5520</stp>
        <tr r="X121" s="2"/>
      </tp>
      <tp t="s">
        <v>N/A</v>
        <stp/>
        <stp>VOLUME</stp>
        <stp>.SPXW251031P5520</stp>
        <tr r="T121" s="2"/>
      </tp>
      <tp t="s">
        <v>N/A</v>
        <stp/>
        <stp>VOLUME</stp>
        <stp>.SPXW251231P5520</stp>
        <tr r="X121" s="2"/>
      </tp>
      <tp t="s">
        <v>N/A</v>
        <stp/>
        <stp>VOLUME</stp>
        <stp>.SPXW250930P5530</stp>
        <tr r="R120" s="2"/>
      </tp>
      <tp t="s">
        <v>N/A</v>
        <stp/>
        <stp>VOLUME</stp>
        <stp>.SPXW250530P5530</stp>
        <tr r="I120" s="2"/>
      </tp>
      <tp t="s">
        <v>N/A</v>
        <stp/>
        <stp>VOLUME</stp>
        <stp>.SPXW250731P5520</stp>
        <tr r="N121" s="2"/>
      </tp>
      <tp t="s">
        <v>N/A</v>
        <stp/>
        <stp>VOLUME</stp>
        <stp>.SPXW250606P5650</stp>
        <tr r="J108" s="2"/>
      </tp>
      <tp t="s">
        <v>N/A</v>
        <stp/>
        <stp>VOLUME</stp>
        <stp>.SPXW250630P5530</stp>
        <tr r="L120" s="2"/>
      </tp>
      <tp t="s">
        <v>N/A</v>
        <stp/>
        <stp>VOLUME</stp>
        <stp>.NDXP250829P20200</stp>
        <tr r="P152" s="2"/>
      </tp>
      <tp>
        <v>58</v>
        <stp/>
        <stp>VOLUME</stp>
        <stp>.NDXP250509P20200</stp>
        <tr r="BB151" s="1"/>
        <tr r="BB151" s="1"/>
      </tp>
      <tp t="s">
        <v>N/A</v>
        <stp/>
        <stp>VOLUME</stp>
        <stp>.SPXW250930C5540</stp>
        <tr r="R119" s="2"/>
      </tp>
      <tp t="s">
        <v>N/A</v>
        <stp/>
        <stp>VOLUME</stp>
        <stp>.SPXW250530C5540</stp>
        <tr r="I119" s="2"/>
      </tp>
      <tp t="s">
        <v>N/A</v>
        <stp/>
        <stp>VOLUME</stp>
        <stp>.SPXW250731C5550</stp>
        <tr r="N118" s="2"/>
      </tp>
      <tp t="s">
        <v>N/A</v>
        <stp/>
        <stp>VOLUME</stp>
        <stp>.SPXW250606C5620</stp>
        <tr r="J111" s="2"/>
      </tp>
      <tp t="s">
        <v>N/A</v>
        <stp/>
        <stp>VOLUME</stp>
        <stp>.SPXW250630C5540</stp>
        <tr r="L119" s="2"/>
      </tp>
      <tp t="s">
        <v>N/A</v>
        <stp/>
        <stp>VOLUME</stp>
        <stp>.SPXW251031C5550</stp>
        <tr r="T118" s="2"/>
      </tp>
      <tp t="s">
        <v>N/A</v>
        <stp/>
        <stp>VOLUME</stp>
        <stp>.SPXW251231C5550</stp>
        <tr r="X118" s="2"/>
      </tp>
      <tp t="s">
        <v>N/A</v>
        <stp/>
        <stp>VOLUME</stp>
        <stp>.SPXW251031P5550</stp>
        <tr r="T118" s="2"/>
      </tp>
      <tp t="s">
        <v>N/A</v>
        <stp/>
        <stp>VOLUME</stp>
        <stp>.SPXW251231P5550</stp>
        <tr r="X118" s="2"/>
      </tp>
      <tp t="s">
        <v>N/A</v>
        <stp/>
        <stp>VOLUME</stp>
        <stp>.SPXW250930P5540</stp>
        <tr r="R119" s="2"/>
      </tp>
      <tp t="s">
        <v>N/A</v>
        <stp/>
        <stp>VOLUME</stp>
        <stp>.SPXW250530P5540</stp>
        <tr r="I119" s="2"/>
      </tp>
      <tp t="s">
        <v>N/A</v>
        <stp/>
        <stp>VOLUME</stp>
        <stp>.SPXW250731P5550</stp>
        <tr r="N118" s="2"/>
      </tp>
      <tp t="s">
        <v>N/A</v>
        <stp/>
        <stp>VOLUME</stp>
        <stp>.SPXW250606P5620</stp>
        <tr r="J111" s="2"/>
      </tp>
      <tp t="s">
        <v>N/A</v>
        <stp/>
        <stp>VOLUME</stp>
        <stp>.SPXW250630P5540</stp>
        <tr r="L119" s="2"/>
      </tp>
      <tp t="s">
        <v>N/A</v>
        <stp/>
        <stp>VOLUME</stp>
        <stp>.NDXP251128P20300</stp>
        <tr r="V148" s="2"/>
      </tp>
      <tp t="s">
        <v>N/A</v>
        <stp/>
        <stp>VOLUME</stp>
        <stp>.NDXP251128P19300</stp>
        <tr r="V188" s="2"/>
      </tp>
      <tp t="s">
        <v>N/A</v>
        <stp/>
        <stp>VOLUME</stp>
        <stp>.SPXW250930C5550</stp>
        <tr r="R118" s="2"/>
      </tp>
      <tp t="s">
        <v>N/A</v>
        <stp/>
        <stp>VOLUME</stp>
        <stp>.SPXW250530C5550</stp>
        <tr r="I118" s="2"/>
      </tp>
      <tp t="s">
        <v>N/A</v>
        <stp/>
        <stp>VOLUME</stp>
        <stp>.SPXW250731C5540</stp>
        <tr r="N119" s="2"/>
      </tp>
      <tp t="s">
        <v>N/A</v>
        <stp/>
        <stp>VOLUME</stp>
        <stp>.SPXW250606C5630</stp>
        <tr r="J110" s="2"/>
      </tp>
      <tp t="s">
        <v>N/A</v>
        <stp/>
        <stp>VOLUME</stp>
        <stp>.SPXW250630C5550</stp>
        <tr r="L118" s="2"/>
      </tp>
      <tp t="s">
        <v>N/A</v>
        <stp/>
        <stp>VOLUME</stp>
        <stp>.SPXW251031C5540</stp>
        <tr r="T119" s="2"/>
      </tp>
      <tp t="s">
        <v>N/A</v>
        <stp/>
        <stp>VOLUME</stp>
        <stp>.SPXW251231C5540</stp>
        <tr r="X119" s="2"/>
      </tp>
      <tp t="s">
        <v>N/A</v>
        <stp/>
        <stp>VOLUME</stp>
        <stp>.SPXW251031P5540</stp>
        <tr r="T119" s="2"/>
      </tp>
      <tp t="s">
        <v>N/A</v>
        <stp/>
        <stp>VOLUME</stp>
        <stp>.SPXW251231P5540</stp>
        <tr r="X119" s="2"/>
      </tp>
      <tp t="s">
        <v>N/A</v>
        <stp/>
        <stp>VOLUME</stp>
        <stp>.SPXW250930P5550</stp>
        <tr r="R118" s="2"/>
      </tp>
      <tp t="s">
        <v>N/A</v>
        <stp/>
        <stp>VOLUME</stp>
        <stp>.SPXW250530P5550</stp>
        <tr r="I118" s="2"/>
      </tp>
      <tp t="s">
        <v>N/A</v>
        <stp/>
        <stp>VOLUME</stp>
        <stp>.SPXW250731P5540</stp>
        <tr r="N119" s="2"/>
      </tp>
      <tp t="s">
        <v>N/A</v>
        <stp/>
        <stp>VOLUME</stp>
        <stp>.SPXW250606P5630</stp>
        <tr r="J110" s="2"/>
      </tp>
      <tp t="s">
        <v>N/A</v>
        <stp/>
        <stp>VOLUME</stp>
        <stp>.SPXW250630P5550</stp>
        <tr r="L118" s="2"/>
      </tp>
      <tp t="s">
        <v>N/A</v>
        <stp/>
        <stp>VOLUME</stp>
        <stp>.NDXP250829P20225</stp>
        <tr r="P151" s="2"/>
      </tp>
      <tp>
        <v>33</v>
        <stp/>
        <stp>VOLUME</stp>
        <stp>.NDXP250509P20225</stp>
        <tr r="BB150" s="1"/>
        <tr r="BB150" s="1"/>
      </tp>
      <tp t="s">
        <v>N/A</v>
        <stp/>
        <stp>VOLUME</stp>
        <stp>.SPXW250930C5560</stp>
        <tr r="R117" s="2"/>
      </tp>
      <tp t="s">
        <v>N/A</v>
        <stp/>
        <stp>VOLUME</stp>
        <stp>.SPXW250530C5560</stp>
        <tr r="I117" s="2"/>
      </tp>
      <tp t="s">
        <v>N/A</v>
        <stp/>
        <stp>VOLUME</stp>
        <stp>.SPXW250731C5570</stp>
        <tr r="N116" s="2"/>
      </tp>
      <tp t="s">
        <v>N/A</v>
        <stp/>
        <stp>VOLUME</stp>
        <stp>.SPXW250606C5600</stp>
        <tr r="J113" s="2"/>
      </tp>
      <tp t="s">
        <v>N/A</v>
        <stp/>
        <stp>VOLUME</stp>
        <stp>.SPXW250630C5560</stp>
        <tr r="L117" s="2"/>
      </tp>
      <tp t="s">
        <v>N/A</v>
        <stp/>
        <stp>VOLUME</stp>
        <stp>.SPXW251031C5570</stp>
        <tr r="T116" s="2"/>
      </tp>
      <tp t="s">
        <v>N/A</v>
        <stp/>
        <stp>VOLUME</stp>
        <stp>.SPXW251231C5570</stp>
        <tr r="X116" s="2"/>
      </tp>
      <tp t="s">
        <v>N/A</v>
        <stp/>
        <stp>VOLUME</stp>
        <stp>.SPXW251031P5570</stp>
        <tr r="T116" s="2"/>
      </tp>
      <tp t="s">
        <v>N/A</v>
        <stp/>
        <stp>VOLUME</stp>
        <stp>.SPXW251231P5570</stp>
        <tr r="X116" s="2"/>
      </tp>
      <tp t="s">
        <v>N/A</v>
        <stp/>
        <stp>VOLUME</stp>
        <stp>.SPXW250930P5560</stp>
        <tr r="R117" s="2"/>
      </tp>
      <tp t="s">
        <v>N/A</v>
        <stp/>
        <stp>VOLUME</stp>
        <stp>.SPXW250530P5560</stp>
        <tr r="I117" s="2"/>
      </tp>
      <tp t="s">
        <v>N/A</v>
        <stp/>
        <stp>VOLUME</stp>
        <stp>.SPXW250731P5570</stp>
        <tr r="N116" s="2"/>
      </tp>
      <tp t="s">
        <v>N/A</v>
        <stp/>
        <stp>VOLUME</stp>
        <stp>.SPXW250606P5600</stp>
        <tr r="J113" s="2"/>
      </tp>
      <tp t="s">
        <v>N/A</v>
        <stp/>
        <stp>VOLUME</stp>
        <stp>.SPXW250630P5560</stp>
        <tr r="L117" s="2"/>
      </tp>
      <tp t="s">
        <v>N/A</v>
        <stp/>
        <stp>VOLUME</stp>
        <stp>.NDXP251128P20325</stp>
        <tr r="V147" s="2"/>
      </tp>
      <tp t="s">
        <v>N/A</v>
        <stp/>
        <stp>VOLUME</stp>
        <stp>.NDXP251128P19325</stp>
        <tr r="V187" s="2"/>
      </tp>
      <tp t="s">
        <v>N/A</v>
        <stp/>
        <stp>VOLUME</stp>
        <stp>.SPXW250930C5570</stp>
        <tr r="R116" s="2"/>
      </tp>
      <tp t="s">
        <v>N/A</v>
        <stp/>
        <stp>VOLUME</stp>
        <stp>.SPXW250530C5570</stp>
        <tr r="I116" s="2"/>
      </tp>
      <tp t="s">
        <v>N/A</v>
        <stp/>
        <stp>VOLUME</stp>
        <stp>.SPXW250731C5560</stp>
        <tr r="N117" s="2"/>
      </tp>
      <tp t="s">
        <v>N/A</v>
        <stp/>
        <stp>VOLUME</stp>
        <stp>.SPXW250606C5610</stp>
        <tr r="J112" s="2"/>
      </tp>
      <tp t="s">
        <v>N/A</v>
        <stp/>
        <stp>VOLUME</stp>
        <stp>.SPXW250630C5570</stp>
        <tr r="L116" s="2"/>
      </tp>
      <tp t="s">
        <v>N/A</v>
        <stp/>
        <stp>VOLUME</stp>
        <stp>.SPXW251031C5560</stp>
        <tr r="T117" s="2"/>
      </tp>
      <tp t="s">
        <v>N/A</v>
        <stp/>
        <stp>VOLUME</stp>
        <stp>.SPXW251231C5560</stp>
        <tr r="X117" s="2"/>
      </tp>
      <tp t="s">
        <v>N/A</v>
        <stp/>
        <stp>VOLUME</stp>
        <stp>.SPXW251031P5560</stp>
        <tr r="T117" s="2"/>
      </tp>
      <tp t="s">
        <v>N/A</v>
        <stp/>
        <stp>VOLUME</stp>
        <stp>.SPXW251231P5560</stp>
        <tr r="X117" s="2"/>
      </tp>
      <tp t="s">
        <v>N/A</v>
        <stp/>
        <stp>VOLUME</stp>
        <stp>.SPXW250930P5570</stp>
        <tr r="R116" s="2"/>
      </tp>
      <tp t="s">
        <v>N/A</v>
        <stp/>
        <stp>VOLUME</stp>
        <stp>.SPXW250530P5570</stp>
        <tr r="I116" s="2"/>
      </tp>
      <tp t="s">
        <v>N/A</v>
        <stp/>
        <stp>VOLUME</stp>
        <stp>.SPXW250731P5560</stp>
        <tr r="N117" s="2"/>
      </tp>
      <tp t="s">
        <v>N/A</v>
        <stp/>
        <stp>VOLUME</stp>
        <stp>.SPXW250606P5610</stp>
        <tr r="J112" s="2"/>
      </tp>
      <tp t="s">
        <v>N/A</v>
        <stp/>
        <stp>VOLUME</stp>
        <stp>.SPXW250630P5570</stp>
        <tr r="L116" s="2"/>
      </tp>
      <tp>
        <v>9</v>
        <stp/>
        <stp>OPEN_INT</stp>
        <stp>.NDXP250509C19400</stp>
        <tr r="AS183" s="1"/>
        <tr r="AS183" s="1"/>
      </tp>
      <tp>
        <v>66</v>
        <stp/>
        <stp>OPEN_INT</stp>
        <stp>.NDXP250509C20400</stp>
        <tr r="AS143" s="1"/>
        <tr r="AS143" s="1"/>
      </tp>
      <tp>
        <v>1</v>
        <stp/>
        <stp>OPEN_INT</stp>
        <stp>.NDXP250509C19425</stp>
        <tr r="AS182" s="1"/>
        <tr r="AS182" s="1"/>
      </tp>
      <tp>
        <v>4</v>
        <stp/>
        <stp>OPEN_INT</stp>
        <stp>.NDXP250509C20425</stp>
        <tr r="AS142" s="1"/>
        <tr r="AS142" s="1"/>
      </tp>
      <tp>
        <v>8</v>
        <stp/>
        <stp>OPEN_INT</stp>
        <stp>.NDXP250509C19450</stp>
        <tr r="AS181" s="1"/>
        <tr r="AS181" s="1"/>
      </tp>
      <tp>
        <v>40</v>
        <stp/>
        <stp>OPEN_INT</stp>
        <stp>.NDXP250509C20450</stp>
        <tr r="AS141" s="1"/>
        <tr r="AS141" s="1"/>
      </tp>
      <tp>
        <v>1</v>
        <stp/>
        <stp>OPEN_INT</stp>
        <stp>.NDXP250509C19475</stp>
        <tr r="AS180" s="1"/>
        <tr r="AS180" s="1"/>
      </tp>
      <tp>
        <v>10</v>
        <stp/>
        <stp>OPEN_INT</stp>
        <stp>.NDXP250509C20475</stp>
        <tr r="AS140" s="1"/>
        <tr r="AS140" s="1"/>
      </tp>
      <tp>
        <v>36</v>
        <stp/>
        <stp>OPEN_INT</stp>
        <stp>.NDXP250509P19425</stp>
        <tr r="AT182" s="1"/>
        <tr r="AT182" s="1"/>
      </tp>
      <tp>
        <v>3</v>
        <stp/>
        <stp>OPEN_INT</stp>
        <stp>.NDXP250509P20425</stp>
        <tr r="AT142" s="1"/>
        <tr r="AT142" s="1"/>
      </tp>
      <tp>
        <v>40</v>
        <stp/>
        <stp>OPEN_INT</stp>
        <stp>.NDXP250509P19400</stp>
        <tr r="AT183" s="1"/>
        <tr r="AT183" s="1"/>
      </tp>
      <tp>
        <v>1</v>
        <stp/>
        <stp>OPEN_INT</stp>
        <stp>.NDXP250509P20400</stp>
        <tr r="AT143" s="1"/>
        <tr r="AT143" s="1"/>
      </tp>
      <tp>
        <v>10</v>
        <stp/>
        <stp>OPEN_INT</stp>
        <stp>.NDXP250509P19475</stp>
        <tr r="AT180" s="1"/>
        <tr r="AT180" s="1"/>
      </tp>
      <tp>
        <v>0</v>
        <stp/>
        <stp>OPEN_INT</stp>
        <stp>.NDXP250509P20475</stp>
        <tr r="AT140" s="1"/>
        <tr r="AT140" s="1"/>
      </tp>
      <tp>
        <v>18</v>
        <stp/>
        <stp>OPEN_INT</stp>
        <stp>.NDXP250509P19450</stp>
        <tr r="AT181" s="1"/>
        <tr r="AT181" s="1"/>
      </tp>
      <tp>
        <v>2</v>
        <stp/>
        <stp>OPEN_INT</stp>
        <stp>.NDXP250509P20450</stp>
        <tr r="AT141" s="1"/>
        <tr r="AT141" s="1"/>
      </tp>
      <tp t="s">
        <v>N/A</v>
        <stp/>
        <stp>VOLUME</stp>
        <stp>.NDXP250930C20475</stp>
        <tr r="R141" s="2"/>
      </tp>
      <tp t="s">
        <v>N/A</v>
        <stp/>
        <stp>VOLUME</stp>
        <stp>.NDXP250930C19475</stp>
        <tr r="R181" s="2"/>
      </tp>
      <tp t="s">
        <v>N/A</v>
        <stp/>
        <stp>VOLUME</stp>
        <stp>.NDXP250731C19575</stp>
        <tr r="N177" s="2"/>
      </tp>
      <tp t="s">
        <v>N/A</v>
        <stp/>
        <stp>VOLUME</stp>
        <stp>.NDXP250606C19275</stp>
        <tr r="J189" s="2"/>
      </tp>
      <tp t="s">
        <v>N/A</v>
        <stp/>
        <stp>VOLUME</stp>
        <stp>.NDXP250630C19475</stp>
        <tr r="L181" s="2"/>
      </tp>
      <tp t="s">
        <v>N/A</v>
        <stp/>
        <stp>VOLUME</stp>
        <stp>.NDXP250530C20475</stp>
        <tr r="I141" s="2"/>
      </tp>
      <tp t="s">
        <v>N/A</v>
        <stp/>
        <stp>VOLUME</stp>
        <stp>.NDXP250530C19475</stp>
        <tr r="I181" s="2"/>
      </tp>
      <tp t="s">
        <v>N/A</v>
        <stp/>
        <stp>VOLUME</stp>
        <stp>.NDXP250606C20275</stp>
        <tr r="J149" s="2"/>
      </tp>
      <tp t="s">
        <v>N/A</v>
        <stp/>
        <stp>VOLUME</stp>
        <stp>.NDXP250630C20475</stp>
        <tr r="L141" s="2"/>
      </tp>
      <tp t="s">
        <v>N/A</v>
        <stp/>
        <stp>VOLUME</stp>
        <stp>.NDXP251231C19575</stp>
        <tr r="X177" s="2"/>
      </tp>
      <tp t="s">
        <v>N/A</v>
        <stp/>
        <stp>VOLUME</stp>
        <stp>.NDXP251031C19575</stp>
        <tr r="T177" s="2"/>
      </tp>
      <tp t="s">
        <v>N/A</v>
        <stp/>
        <stp>VOLUME</stp>
        <stp>.NDXP250930C20450</stp>
        <tr r="R142" s="2"/>
      </tp>
      <tp t="s">
        <v>N/A</v>
        <stp/>
        <stp>VOLUME</stp>
        <stp>.NDXP250930C19450</stp>
        <tr r="R182" s="2"/>
      </tp>
      <tp>
        <v>1</v>
        <stp/>
        <stp>VOLUME</stp>
        <stp>.NDXP250606C19250</stp>
        <tr r="J190" s="2"/>
        <tr r="J190" s="2"/>
      </tp>
      <tp t="s">
        <v>N/A</v>
        <stp/>
        <stp>VOLUME</stp>
        <stp>.NDXP250630C19450</stp>
        <tr r="L182" s="2"/>
      </tp>
      <tp t="s">
        <v>N/A</v>
        <stp/>
        <stp>VOLUME</stp>
        <stp>.NDXP250530C20450</stp>
        <tr r="I142" s="2"/>
      </tp>
      <tp t="s">
        <v>N/A</v>
        <stp/>
        <stp>VOLUME</stp>
        <stp>.NDXP250731C19550</stp>
        <tr r="N178" s="2"/>
      </tp>
      <tp t="s">
        <v>N/A</v>
        <stp/>
        <stp>VOLUME</stp>
        <stp>.NDXP250731C20550</stp>
        <tr r="N138" s="2"/>
      </tp>
      <tp t="s">
        <v>N/A</v>
        <stp/>
        <stp>VOLUME</stp>
        <stp>.NDXP250530C19450</stp>
        <tr r="I182" s="2"/>
      </tp>
      <tp>
        <v>1</v>
        <stp/>
        <stp>VOLUME</stp>
        <stp>.NDXP250606C20250</stp>
        <tr r="J150" s="2"/>
        <tr r="J150" s="2"/>
      </tp>
      <tp t="s">
        <v>N/A</v>
        <stp/>
        <stp>VOLUME</stp>
        <stp>.NDXP250630C20450</stp>
        <tr r="L142" s="2"/>
      </tp>
      <tp t="s">
        <v>N/A</v>
        <stp/>
        <stp>VOLUME</stp>
        <stp>.NDXP251231C19550</stp>
        <tr r="X178" s="2"/>
      </tp>
      <tp t="s">
        <v>N/A</v>
        <stp/>
        <stp>VOLUME</stp>
        <stp>.NDXP251031C20550</stp>
        <tr r="T138" s="2"/>
      </tp>
      <tp t="s">
        <v>N/A</v>
        <stp/>
        <stp>VOLUME</stp>
        <stp>.NDXP251031C19550</stp>
        <tr r="T178" s="2"/>
      </tp>
      <tp t="s">
        <v>N/A</v>
        <stp/>
        <stp>VOLUME</stp>
        <stp>.NDXP251231C20550</stp>
        <tr r="X138" s="2"/>
      </tp>
      <tp t="s">
        <v>N/A</v>
        <stp/>
        <stp>VOLUME</stp>
        <stp>.NDXP251031C20525</stp>
        <tr r="T139" s="2"/>
      </tp>
      <tp t="s">
        <v>N/A</v>
        <stp/>
        <stp>VOLUME</stp>
        <stp>.NDXP251231C19525</stp>
        <tr r="X179" s="2"/>
      </tp>
      <tp t="s">
        <v>N/A</v>
        <stp/>
        <stp>VOLUME</stp>
        <stp>.NDXP251231C20525</stp>
        <tr r="X139" s="2"/>
      </tp>
      <tp t="s">
        <v>N/A</v>
        <stp/>
        <stp>VOLUME</stp>
        <stp>.NDXP251031C19525</stp>
        <tr r="T179" s="2"/>
      </tp>
      <tp t="s">
        <v>N/A</v>
        <stp/>
        <stp>VOLUME</stp>
        <stp>.NDXP250930C20425</stp>
        <tr r="R143" s="2"/>
      </tp>
      <tp t="s">
        <v>N/A</v>
        <stp/>
        <stp>VOLUME</stp>
        <stp>.NDXP250930C19425</stp>
        <tr r="R183" s="2"/>
      </tp>
      <tp t="s">
        <v>N/A</v>
        <stp/>
        <stp>VOLUME</stp>
        <stp>.NDXP250731C19525</stp>
        <tr r="N179" s="2"/>
      </tp>
      <tp t="s">
        <v>N/A</v>
        <stp/>
        <stp>VOLUME</stp>
        <stp>.NDXP250630C19425</stp>
        <tr r="L183" s="2"/>
      </tp>
      <tp t="s">
        <v>N/A</v>
        <stp/>
        <stp>VOLUME</stp>
        <stp>.NDXP250530C20425</stp>
        <tr r="I143" s="2"/>
      </tp>
      <tp t="s">
        <v>N/A</v>
        <stp/>
        <stp>VOLUME</stp>
        <stp>.NDXP250530C19425</stp>
        <tr r="I183" s="2"/>
      </tp>
      <tp t="s">
        <v>N/A</v>
        <stp/>
        <stp>VOLUME</stp>
        <stp>.NDXP250606C20225</stp>
        <tr r="J151" s="2"/>
      </tp>
      <tp t="s">
        <v>N/A</v>
        <stp/>
        <stp>VOLUME</stp>
        <stp>.NDXP250630C20425</stp>
        <tr r="L143" s="2"/>
      </tp>
      <tp t="s">
        <v>N/A</v>
        <stp/>
        <stp>VOLUME</stp>
        <stp>.NDXP250731C20525</stp>
        <tr r="N139" s="2"/>
      </tp>
      <tp t="s">
        <v>N/A</v>
        <stp/>
        <stp>VOLUME</stp>
        <stp>.NDXP251231C19500</stp>
        <tr r="X180" s="2"/>
      </tp>
      <tp t="s">
        <v>N/A</v>
        <stp/>
        <stp>VOLUME</stp>
        <stp>.NDXP251031C20500</stp>
        <tr r="T140" s="2"/>
      </tp>
      <tp t="s">
        <v>N/A</v>
        <stp/>
        <stp>VOLUME</stp>
        <stp>.NDXP251031C19500</stp>
        <tr r="T180" s="2"/>
      </tp>
      <tp t="s">
        <v>N/A</v>
        <stp/>
        <stp>VOLUME</stp>
        <stp>.NDXP251231C20500</stp>
        <tr r="X140" s="2"/>
      </tp>
      <tp t="s">
        <v>N/A</v>
        <stp/>
        <stp>VOLUME</stp>
        <stp>.NDXP250930C20400</stp>
        <tr r="R144" s="2"/>
      </tp>
      <tp t="s">
        <v>N/A</v>
        <stp/>
        <stp>VOLUME</stp>
        <stp>.NDXP250930C19400</stp>
        <tr r="R184" s="2"/>
      </tp>
      <tp t="s">
        <v>N/A</v>
        <stp/>
        <stp>VOLUME</stp>
        <stp>.NDXP250630C19400</stp>
        <tr r="L184" s="2"/>
      </tp>
      <tp>
        <v>9</v>
        <stp/>
        <stp>VOLUME</stp>
        <stp>.NDXP250530C20400</stp>
        <tr r="I144" s="2"/>
        <tr r="I144" s="2"/>
      </tp>
      <tp t="s">
        <v>N/A</v>
        <stp/>
        <stp>VOLUME</stp>
        <stp>.NDXP250731C19500</stp>
        <tr r="N180" s="2"/>
      </tp>
      <tp t="s">
        <v>N/A</v>
        <stp/>
        <stp>VOLUME</stp>
        <stp>.NDXP250731C20500</stp>
        <tr r="N140" s="2"/>
      </tp>
      <tp t="s">
        <v>N/A</v>
        <stp/>
        <stp>VOLUME</stp>
        <stp>.NDXP250530C19400</stp>
        <tr r="I184" s="2"/>
      </tp>
      <tp>
        <v>2</v>
        <stp/>
        <stp>VOLUME</stp>
        <stp>.NDXP250606C20200</stp>
        <tr r="J152" s="2"/>
        <tr r="J152" s="2"/>
      </tp>
      <tp t="s">
        <v>N/A</v>
        <stp/>
        <stp>VOLUME</stp>
        <stp>.NDXP250630C20400</stp>
        <tr r="L144" s="2"/>
      </tp>
      <tp t="s">
        <v>N/A</v>
        <stp/>
        <stp>VOLUME</stp>
        <stp>.NDXP251231P19550</stp>
        <tr r="X178" s="2"/>
      </tp>
      <tp t="s">
        <v>N/A</v>
        <stp/>
        <stp>VOLUME</stp>
        <stp>.NDXP251031P20550</stp>
        <tr r="T138" s="2"/>
      </tp>
      <tp t="s">
        <v>N/A</v>
        <stp/>
        <stp>VOLUME</stp>
        <stp>.NDXP251031P19550</stp>
        <tr r="T178" s="2"/>
      </tp>
      <tp t="s">
        <v>N/A</v>
        <stp/>
        <stp>VOLUME</stp>
        <stp>.NDXP251231P20550</stp>
        <tr r="X138" s="2"/>
      </tp>
      <tp t="s">
        <v>N/A</v>
        <stp/>
        <stp>VOLUME</stp>
        <stp>.NDXP250930P20450</stp>
        <tr r="R142" s="2"/>
      </tp>
      <tp t="s">
        <v>N/A</v>
        <stp/>
        <stp>VOLUME</stp>
        <stp>.NDXP250930P19450</stp>
        <tr r="R182" s="2"/>
      </tp>
      <tp t="s">
        <v>N/A</v>
        <stp/>
        <stp>VOLUME</stp>
        <stp>.NDXP250606P19250</stp>
        <tr r="J190" s="2"/>
      </tp>
      <tp t="s">
        <v>N/A</v>
        <stp/>
        <stp>VOLUME</stp>
        <stp>.NDXP250630P19450</stp>
        <tr r="L182" s="2"/>
      </tp>
      <tp t="s">
        <v>N/A</v>
        <stp/>
        <stp>VOLUME</stp>
        <stp>.NDXP250530P20450</stp>
        <tr r="I142" s="2"/>
      </tp>
      <tp t="s">
        <v>N/A</v>
        <stp/>
        <stp>VOLUME</stp>
        <stp>.NDXP250731P19550</stp>
        <tr r="N178" s="2"/>
      </tp>
      <tp t="s">
        <v>N/A</v>
        <stp/>
        <stp>VOLUME</stp>
        <stp>.NDXP250731P20550</stp>
        <tr r="N138" s="2"/>
      </tp>
      <tp t="s">
        <v>N/A</v>
        <stp/>
        <stp>VOLUME</stp>
        <stp>.NDXP250530P19450</stp>
        <tr r="I182" s="2"/>
      </tp>
      <tp t="s">
        <v>N/A</v>
        <stp/>
        <stp>VOLUME</stp>
        <stp>.NDXP250606P20250</stp>
        <tr r="J150" s="2"/>
      </tp>
      <tp t="s">
        <v>N/A</v>
        <stp/>
        <stp>VOLUME</stp>
        <stp>.NDXP250630P20450</stp>
        <tr r="L142" s="2"/>
      </tp>
      <tp t="s">
        <v>N/A</v>
        <stp/>
        <stp>VOLUME</stp>
        <stp>.NDXP251231P19575</stp>
        <tr r="X177" s="2"/>
      </tp>
      <tp t="s">
        <v>N/A</v>
        <stp/>
        <stp>VOLUME</stp>
        <stp>.NDXP251031P19575</stp>
        <tr r="T177" s="2"/>
      </tp>
      <tp t="s">
        <v>N/A</v>
        <stp/>
        <stp>VOLUME</stp>
        <stp>.NDXP250930P20475</stp>
        <tr r="R141" s="2"/>
      </tp>
      <tp t="s">
        <v>N/A</v>
        <stp/>
        <stp>VOLUME</stp>
        <stp>.NDXP250930P19475</stp>
        <tr r="R181" s="2"/>
      </tp>
      <tp t="s">
        <v>N/A</v>
        <stp/>
        <stp>VOLUME</stp>
        <stp>.NDXP250731P19575</stp>
        <tr r="N177" s="2"/>
      </tp>
      <tp t="s">
        <v>N/A</v>
        <stp/>
        <stp>VOLUME</stp>
        <stp>.NDXP250606P19275</stp>
        <tr r="J189" s="2"/>
      </tp>
      <tp t="s">
        <v>N/A</v>
        <stp/>
        <stp>VOLUME</stp>
        <stp>.NDXP250630P19475</stp>
        <tr r="L181" s="2"/>
      </tp>
      <tp t="s">
        <v>N/A</v>
        <stp/>
        <stp>VOLUME</stp>
        <stp>.NDXP250530P20475</stp>
        <tr r="I141" s="2"/>
      </tp>
      <tp t="s">
        <v>N/A</v>
        <stp/>
        <stp>VOLUME</stp>
        <stp>.NDXP250530P19475</stp>
        <tr r="I181" s="2"/>
      </tp>
      <tp t="s">
        <v>N/A</v>
        <stp/>
        <stp>VOLUME</stp>
        <stp>.NDXP250606P20275</stp>
        <tr r="J149" s="2"/>
      </tp>
      <tp t="s">
        <v>N/A</v>
        <stp/>
        <stp>VOLUME</stp>
        <stp>.NDXP250630P20475</stp>
        <tr r="L141" s="2"/>
      </tp>
      <tp t="s">
        <v>N/A</v>
        <stp/>
        <stp>VOLUME</stp>
        <stp>.NDXP250930P20400</stp>
        <tr r="R144" s="2"/>
      </tp>
      <tp t="s">
        <v>N/A</v>
        <stp/>
        <stp>VOLUME</stp>
        <stp>.NDXP250930P19400</stp>
        <tr r="R184" s="2"/>
      </tp>
      <tp t="s">
        <v>N/A</v>
        <stp/>
        <stp>VOLUME</stp>
        <stp>.NDXP250630P19400</stp>
        <tr r="L184" s="2"/>
      </tp>
      <tp t="s">
        <v>N/A</v>
        <stp/>
        <stp>VOLUME</stp>
        <stp>.NDXP250530P20400</stp>
        <tr r="I144" s="2"/>
      </tp>
      <tp t="s">
        <v>N/A</v>
        <stp/>
        <stp>VOLUME</stp>
        <stp>.NDXP250731P19500</stp>
        <tr r="N180" s="2"/>
      </tp>
      <tp t="s">
        <v>N/A</v>
        <stp/>
        <stp>VOLUME</stp>
        <stp>.NDXP250731P20500</stp>
        <tr r="N140" s="2"/>
      </tp>
      <tp t="s">
        <v>N/A</v>
        <stp/>
        <stp>VOLUME</stp>
        <stp>.NDXP250530P19400</stp>
        <tr r="I184" s="2"/>
      </tp>
      <tp t="s">
        <v>N/A</v>
        <stp/>
        <stp>VOLUME</stp>
        <stp>.NDXP250606P20200</stp>
        <tr r="J152" s="2"/>
      </tp>
      <tp t="s">
        <v>N/A</v>
        <stp/>
        <stp>VOLUME</stp>
        <stp>.NDXP250630P20400</stp>
        <tr r="L144" s="2"/>
      </tp>
      <tp t="s">
        <v>N/A</v>
        <stp/>
        <stp>VOLUME</stp>
        <stp>.NDXP251231P19500</stp>
        <tr r="X180" s="2"/>
      </tp>
      <tp t="s">
        <v>N/A</v>
        <stp/>
        <stp>VOLUME</stp>
        <stp>.NDXP251031P20500</stp>
        <tr r="T140" s="2"/>
      </tp>
      <tp t="s">
        <v>N/A</v>
        <stp/>
        <stp>VOLUME</stp>
        <stp>.NDXP251031P19500</stp>
        <tr r="T180" s="2"/>
      </tp>
      <tp t="s">
        <v>N/A</v>
        <stp/>
        <stp>VOLUME</stp>
        <stp>.NDXP251231P20500</stp>
        <tr r="X140" s="2"/>
      </tp>
      <tp t="s">
        <v>N/A</v>
        <stp/>
        <stp>VOLUME</stp>
        <stp>.NDXP250930P20425</stp>
        <tr r="R143" s="2"/>
      </tp>
      <tp t="s">
        <v>N/A</v>
        <stp/>
        <stp>VOLUME</stp>
        <stp>.NDXP250930P19425</stp>
        <tr r="R183" s="2"/>
      </tp>
      <tp t="s">
        <v>N/A</v>
        <stp/>
        <stp>VOLUME</stp>
        <stp>.NDXP250731P19525</stp>
        <tr r="N179" s="2"/>
      </tp>
      <tp t="s">
        <v>N/A</v>
        <stp/>
        <stp>VOLUME</stp>
        <stp>.NDXP250630P19425</stp>
        <tr r="L183" s="2"/>
      </tp>
      <tp t="s">
        <v>N/A</v>
        <stp/>
        <stp>VOLUME</stp>
        <stp>.NDXP250530P20425</stp>
        <tr r="I143" s="2"/>
      </tp>
      <tp t="s">
        <v>N/A</v>
        <stp/>
        <stp>VOLUME</stp>
        <stp>.NDXP250530P19425</stp>
        <tr r="I183" s="2"/>
      </tp>
      <tp t="s">
        <v>N/A</v>
        <stp/>
        <stp>VOLUME</stp>
        <stp>.NDXP250606P20225</stp>
        <tr r="J151" s="2"/>
      </tp>
      <tp t="s">
        <v>N/A</v>
        <stp/>
        <stp>VOLUME</stp>
        <stp>.NDXP250630P20425</stp>
        <tr r="L143" s="2"/>
      </tp>
      <tp t="s">
        <v>N/A</v>
        <stp/>
        <stp>VOLUME</stp>
        <stp>.NDXP250731P20525</stp>
        <tr r="N139" s="2"/>
      </tp>
      <tp t="s">
        <v>N/A</v>
        <stp/>
        <stp>VOLUME</stp>
        <stp>.NDXP251031P20525</stp>
        <tr r="T139" s="2"/>
      </tp>
      <tp t="s">
        <v>N/A</v>
        <stp/>
        <stp>VOLUME</stp>
        <stp>.NDXP251231P19525</stp>
        <tr r="X179" s="2"/>
      </tp>
      <tp t="s">
        <v>N/A</v>
        <stp/>
        <stp>VOLUME</stp>
        <stp>.NDXP251231P20525</stp>
        <tr r="X139" s="2"/>
      </tp>
      <tp t="s">
        <v>N/A</v>
        <stp/>
        <stp>VOLUME</stp>
        <stp>.NDXP251031P19525</stp>
        <tr r="T179" s="2"/>
      </tp>
      <tp>
        <v>15</v>
        <stp/>
        <stp>OPEN_INT</stp>
        <stp>.NDXP250509C19500</stp>
        <tr r="AS179" s="1"/>
        <tr r="AS179" s="1"/>
      </tp>
      <tp>
        <v>63</v>
        <stp/>
        <stp>OPEN_INT</stp>
        <stp>.NDXP250509C20500</stp>
        <tr r="AS139" s="1"/>
        <tr r="AS139" s="1"/>
      </tp>
      <tp>
        <v>4</v>
        <stp/>
        <stp>OPEN_INT</stp>
        <stp>.NDXP250509C19525</stp>
        <tr r="AS178" s="1"/>
        <tr r="AS178" s="1"/>
      </tp>
      <tp>
        <v>8</v>
        <stp/>
        <stp>OPEN_INT</stp>
        <stp>.NDXP250509C20525</stp>
        <tr r="AS138" s="1"/>
        <tr r="AS138" s="1"/>
      </tp>
      <tp>
        <v>5</v>
        <stp/>
        <stp>OPEN_INT</stp>
        <stp>.NDXP250509C19550</stp>
        <tr r="AS177" s="1"/>
        <tr r="AS177" s="1"/>
      </tp>
      <tp>
        <v>35</v>
        <stp/>
        <stp>OPEN_INT</stp>
        <stp>.NDXP250509C20550</stp>
        <tr r="AS137" s="1"/>
        <tr r="AS137" s="1"/>
      </tp>
      <tp>
        <v>16</v>
        <stp/>
        <stp>OPEN_INT</stp>
        <stp>.NDXP250509C19575</stp>
        <tr r="AS176" s="1"/>
        <tr r="AS176" s="1"/>
      </tp>
      <tp>
        <v>6</v>
        <stp/>
        <stp>OPEN_INT</stp>
        <stp>.NDXP250509P19525</stp>
        <tr r="AT178" s="1"/>
        <tr r="AT178" s="1"/>
      </tp>
      <tp>
        <v>0</v>
        <stp/>
        <stp>OPEN_INT</stp>
        <stp>.NDXP250509P20525</stp>
        <tr r="AT138" s="1"/>
        <tr r="AT138" s="1"/>
      </tp>
      <tp>
        <v>37</v>
        <stp/>
        <stp>OPEN_INT</stp>
        <stp>.NDXP250509P19500</stp>
        <tr r="AT179" s="1"/>
        <tr r="AT179" s="1"/>
      </tp>
      <tp>
        <v>10</v>
        <stp/>
        <stp>OPEN_INT</stp>
        <stp>.NDXP250509P20500</stp>
        <tr r="AT139" s="1"/>
        <tr r="AT139" s="1"/>
      </tp>
      <tp>
        <v>6</v>
        <stp/>
        <stp>OPEN_INT</stp>
        <stp>.NDXP250509P19575</stp>
        <tr r="AT176" s="1"/>
        <tr r="AT176" s="1"/>
      </tp>
      <tp>
        <v>12</v>
        <stp/>
        <stp>OPEN_INT</stp>
        <stp>.NDXP250509P19550</stp>
        <tr r="AT177" s="1"/>
        <tr r="AT177" s="1"/>
      </tp>
      <tp>
        <v>3</v>
        <stp/>
        <stp>OPEN_INT</stp>
        <stp>.NDXP250509P20550</stp>
        <tr r="AT137" s="1"/>
        <tr r="AT137" s="1"/>
      </tp>
      <tp t="s">
        <v>N/A</v>
        <stp/>
        <stp>VOLUME</stp>
        <stp>.NDXP250930C19575</stp>
        <tr r="R177" s="2"/>
      </tp>
      <tp t="s">
        <v>N/A</v>
        <stp/>
        <stp>VOLUME</stp>
        <stp>.NDXP250731C19475</stp>
        <tr r="N181" s="2"/>
      </tp>
      <tp t="s">
        <v>N/A</v>
        <stp/>
        <stp>VOLUME</stp>
        <stp>.NDXP250606C19375</stp>
        <tr r="J185" s="2"/>
      </tp>
      <tp t="s">
        <v>N/A</v>
        <stp/>
        <stp>VOLUME</stp>
        <stp>.NDXP250630C19575</stp>
        <tr r="L177" s="2"/>
      </tp>
      <tp t="s">
        <v>N/A</v>
        <stp/>
        <stp>VOLUME</stp>
        <stp>.NDXP250530C19575</stp>
        <tr r="I177" s="2"/>
      </tp>
      <tp t="s">
        <v>N/A</v>
        <stp/>
        <stp>VOLUME</stp>
        <stp>.NDXP250606C20375</stp>
        <tr r="J145" s="2"/>
      </tp>
      <tp t="s">
        <v>N/A</v>
        <stp/>
        <stp>VOLUME</stp>
        <stp>.NDXP250731C20475</stp>
        <tr r="N141" s="2"/>
      </tp>
      <tp t="s">
        <v>N/A</v>
        <stp/>
        <stp>VOLUME</stp>
        <stp>.NDXP251031C20475</stp>
        <tr r="T141" s="2"/>
      </tp>
      <tp t="s">
        <v>N/A</v>
        <stp/>
        <stp>VOLUME</stp>
        <stp>.NDXP251231C19475</stp>
        <tr r="X181" s="2"/>
      </tp>
      <tp t="s">
        <v>N/A</v>
        <stp/>
        <stp>VOLUME</stp>
        <stp>.NDXP251231C20475</stp>
        <tr r="X141" s="2"/>
      </tp>
      <tp t="s">
        <v>N/A</v>
        <stp/>
        <stp>VOLUME</stp>
        <stp>.NDXP251031C19475</stp>
        <tr r="T181" s="2"/>
      </tp>
      <tp t="s">
        <v>N/A</v>
        <stp/>
        <stp>VOLUME</stp>
        <stp>.NDXP250930C20550</stp>
        <tr r="R138" s="2"/>
      </tp>
      <tp t="s">
        <v>N/A</v>
        <stp/>
        <stp>VOLUME</stp>
        <stp>.NDXP250930C19550</stp>
        <tr r="R178" s="2"/>
      </tp>
      <tp t="s">
        <v>N/A</v>
        <stp/>
        <stp>VOLUME</stp>
        <stp>.NDXP250606C19350</stp>
        <tr r="J186" s="2"/>
      </tp>
      <tp t="s">
        <v>N/A</v>
        <stp/>
        <stp>VOLUME</stp>
        <stp>.NDXP250630C19550</stp>
        <tr r="L178" s="2"/>
      </tp>
      <tp>
        <v>1</v>
        <stp/>
        <stp>VOLUME</stp>
        <stp>.NDXP250530C20550</stp>
        <tr r="I138" s="2"/>
        <tr r="I138" s="2"/>
      </tp>
      <tp t="s">
        <v>N/A</v>
        <stp/>
        <stp>VOLUME</stp>
        <stp>.NDXP250731C19450</stp>
        <tr r="N182" s="2"/>
      </tp>
      <tp t="s">
        <v>N/A</v>
        <stp/>
        <stp>VOLUME</stp>
        <stp>.NDXP250731C20450</stp>
        <tr r="N142" s="2"/>
      </tp>
      <tp>
        <v>1</v>
        <stp/>
        <stp>VOLUME</stp>
        <stp>.NDXP250530C19550</stp>
        <tr r="I178" s="2"/>
        <tr r="I178" s="2"/>
      </tp>
      <tp t="s">
        <v>N/A</v>
        <stp/>
        <stp>VOLUME</stp>
        <stp>.NDXP250606C20350</stp>
        <tr r="J146" s="2"/>
      </tp>
      <tp t="s">
        <v>N/A</v>
        <stp/>
        <stp>VOLUME</stp>
        <stp>.NDXP250630C20550</stp>
        <tr r="L138" s="2"/>
      </tp>
      <tp t="s">
        <v>N/A</v>
        <stp/>
        <stp>VOLUME</stp>
        <stp>.NDXP251231C19450</stp>
        <tr r="X182" s="2"/>
      </tp>
      <tp t="s">
        <v>N/A</v>
        <stp/>
        <stp>VOLUME</stp>
        <stp>.NDXP251031C20450</stp>
        <tr r="T142" s="2"/>
      </tp>
      <tp t="s">
        <v>N/A</v>
        <stp/>
        <stp>VOLUME</stp>
        <stp>.NDXP251031C19450</stp>
        <tr r="T182" s="2"/>
      </tp>
      <tp t="s">
        <v>N/A</v>
        <stp/>
        <stp>VOLUME</stp>
        <stp>.NDXP251231C20450</stp>
        <tr r="X142" s="2"/>
      </tp>
      <tp t="s">
        <v>N/A</v>
        <stp/>
        <stp>VOLUME</stp>
        <stp>.NDXP251031C20425</stp>
        <tr r="T143" s="2"/>
      </tp>
      <tp t="s">
        <v>N/A</v>
        <stp/>
        <stp>VOLUME</stp>
        <stp>.NDXP251231C19425</stp>
        <tr r="X183" s="2"/>
      </tp>
      <tp t="s">
        <v>N/A</v>
        <stp/>
        <stp>VOLUME</stp>
        <stp>.NDXP251231C20425</stp>
        <tr r="X143" s="2"/>
      </tp>
      <tp t="s">
        <v>N/A</v>
        <stp/>
        <stp>VOLUME</stp>
        <stp>.NDXP251031C19425</stp>
        <tr r="T183" s="2"/>
      </tp>
      <tp t="s">
        <v>N/A</v>
        <stp/>
        <stp>VOLUME</stp>
        <stp>.NDXP250930C20525</stp>
        <tr r="R139" s="2"/>
      </tp>
      <tp t="s">
        <v>N/A</v>
        <stp/>
        <stp>VOLUME</stp>
        <stp>.NDXP250930C19525</stp>
        <tr r="R179" s="2"/>
      </tp>
      <tp t="s">
        <v>N/A</v>
        <stp/>
        <stp>VOLUME</stp>
        <stp>.NDXP250731C19425</stp>
        <tr r="N183" s="2"/>
      </tp>
      <tp t="s">
        <v>N/A</v>
        <stp/>
        <stp>VOLUME</stp>
        <stp>.NDXP250606C19325</stp>
        <tr r="J187" s="2"/>
      </tp>
      <tp t="s">
        <v>N/A</v>
        <stp/>
        <stp>VOLUME</stp>
        <stp>.NDXP250630C19525</stp>
        <tr r="L179" s="2"/>
      </tp>
      <tp t="s">
        <v>N/A</v>
        <stp/>
        <stp>VOLUME</stp>
        <stp>.NDXP250530C20525</stp>
        <tr r="I139" s="2"/>
      </tp>
      <tp t="s">
        <v>N/A</v>
        <stp/>
        <stp>VOLUME</stp>
        <stp>.NDXP250530C19525</stp>
        <tr r="I179" s="2"/>
      </tp>
      <tp t="s">
        <v>N/A</v>
        <stp/>
        <stp>VOLUME</stp>
        <stp>.NDXP250606C20325</stp>
        <tr r="J147" s="2"/>
      </tp>
      <tp t="s">
        <v>N/A</v>
        <stp/>
        <stp>VOLUME</stp>
        <stp>.NDXP250630C20525</stp>
        <tr r="L139" s="2"/>
      </tp>
      <tp t="s">
        <v>N/A</v>
        <stp/>
        <stp>VOLUME</stp>
        <stp>.NDXP250731C20425</stp>
        <tr r="N143" s="2"/>
      </tp>
      <tp t="s">
        <v>N/A</v>
        <stp/>
        <stp>VOLUME</stp>
        <stp>.NDXP251231C19400</stp>
        <tr r="X184" s="2"/>
      </tp>
      <tp t="s">
        <v>N/A</v>
        <stp/>
        <stp>VOLUME</stp>
        <stp>.NDXP251031C20400</stp>
        <tr r="T144" s="2"/>
      </tp>
      <tp t="s">
        <v>N/A</v>
        <stp/>
        <stp>VOLUME</stp>
        <stp>.NDXP251031C19400</stp>
        <tr r="T184" s="2"/>
      </tp>
      <tp t="s">
        <v>N/A</v>
        <stp/>
        <stp>VOLUME</stp>
        <stp>.NDXP251231C20400</stp>
        <tr r="X144" s="2"/>
      </tp>
      <tp t="s">
        <v>N/A</v>
        <stp/>
        <stp>VOLUME</stp>
        <stp>.NDXP250930C20500</stp>
        <tr r="R140" s="2"/>
      </tp>
      <tp t="s">
        <v>N/A</v>
        <stp/>
        <stp>VOLUME</stp>
        <stp>.NDXP250930C19500</stp>
        <tr r="R180" s="2"/>
      </tp>
      <tp t="s">
        <v>N/A</v>
        <stp/>
        <stp>VOLUME</stp>
        <stp>.NDXP250606C19300</stp>
        <tr r="J188" s="2"/>
      </tp>
      <tp t="s">
        <v>N/A</v>
        <stp/>
        <stp>VOLUME</stp>
        <stp>.NDXP250630C19500</stp>
        <tr r="L180" s="2"/>
      </tp>
      <tp>
        <v>1</v>
        <stp/>
        <stp>VOLUME</stp>
        <stp>.NDXP250530C20500</stp>
        <tr r="I140" s="2"/>
        <tr r="I140" s="2"/>
      </tp>
      <tp t="s">
        <v>N/A</v>
        <stp/>
        <stp>VOLUME</stp>
        <stp>.NDXP250731C19400</stp>
        <tr r="N184" s="2"/>
      </tp>
      <tp t="s">
        <v>N/A</v>
        <stp/>
        <stp>VOLUME</stp>
        <stp>.NDXP250731C20400</stp>
        <tr r="N144" s="2"/>
      </tp>
      <tp>
        <v>1</v>
        <stp/>
        <stp>VOLUME</stp>
        <stp>.NDXP250530C19500</stp>
        <tr r="I180" s="2"/>
        <tr r="I180" s="2"/>
      </tp>
      <tp>
        <v>3</v>
        <stp/>
        <stp>VOLUME</stp>
        <stp>.NDXP250606C20300</stp>
        <tr r="J148" s="2"/>
        <tr r="J148" s="2"/>
      </tp>
      <tp t="s">
        <v>N/A</v>
        <stp/>
        <stp>VOLUME</stp>
        <stp>.NDXP250630C20500</stp>
        <tr r="L140" s="2"/>
      </tp>
      <tp t="s">
        <v>N/A</v>
        <stp/>
        <stp>VOLUME</stp>
        <stp>.SPXW250509C5810</stp>
        <tr r="BA91" s="1"/>
      </tp>
      <tp t="s">
        <v>N/A</v>
        <stp/>
        <stp>VOLUME</stp>
        <stp>.SPXW250509P5810</stp>
        <tr r="BB91" s="1"/>
      </tp>
      <tp t="s">
        <v>N/A</v>
        <stp/>
        <stp>VOLUME</stp>
        <stp>.SPXW250509C5800</stp>
        <tr r="BA92" s="1"/>
      </tp>
      <tp t="s">
        <v>N/A</v>
        <stp/>
        <stp>VOLUME</stp>
        <stp>.SPXW250509P5800</stp>
        <tr r="BB92" s="1"/>
      </tp>
      <tp t="s">
        <v>N/A</v>
        <stp/>
        <stp>VOLUME</stp>
        <stp>.SPXW250509C5830</stp>
        <tr r="BA89" s="1"/>
      </tp>
      <tp t="s">
        <v>N/A</v>
        <stp/>
        <stp>VOLUME</stp>
        <stp>.SPXW250509P5830</stp>
        <tr r="BB89" s="1"/>
      </tp>
      <tp t="s">
        <v>N/A</v>
        <stp/>
        <stp>VOLUME</stp>
        <stp>.SPXW250509C5820</stp>
        <tr r="BA90" s="1"/>
      </tp>
      <tp t="s">
        <v>N/A</v>
        <stp/>
        <stp>VOLUME</stp>
        <stp>.SPXW250509P5820</stp>
        <tr r="BB90" s="1"/>
      </tp>
      <tp t="s">
        <v>N/A</v>
        <stp/>
        <stp>VOLUME</stp>
        <stp>.SPXW250509C5850</stp>
        <tr r="BA87" s="1"/>
      </tp>
      <tp t="s">
        <v>N/A</v>
        <stp/>
        <stp>VOLUME</stp>
        <stp>.SPXW250509P5850</stp>
        <tr r="BB87" s="1"/>
      </tp>
      <tp t="s">
        <v>N/A</v>
        <stp/>
        <stp>VOLUME</stp>
        <stp>.SPXW250509C5840</stp>
        <tr r="BA88" s="1"/>
      </tp>
      <tp t="s">
        <v>N/A</v>
        <stp/>
        <stp>VOLUME</stp>
        <stp>.SPXW250509P5840</stp>
        <tr r="BB88" s="1"/>
      </tp>
      <tp t="s">
        <v>N/A</v>
        <stp/>
        <stp>VOLUME</stp>
        <stp>.SPXW250509C5870</stp>
        <tr r="BA85" s="1"/>
      </tp>
      <tp t="s">
        <v>N/A</v>
        <stp/>
        <stp>VOLUME</stp>
        <stp>.SPXW250509P5870</stp>
        <tr r="BB85" s="1"/>
      </tp>
      <tp t="s">
        <v>N/A</v>
        <stp/>
        <stp>VOLUME</stp>
        <stp>.SPXW250509C5860</stp>
        <tr r="BA86" s="1"/>
      </tp>
      <tp t="s">
        <v>N/A</v>
        <stp/>
        <stp>VOLUME</stp>
        <stp>.SPXW250509P5860</stp>
        <tr r="BB86" s="1"/>
      </tp>
      <tp t="s">
        <v>N/A</v>
        <stp/>
        <stp>VOLUME</stp>
        <stp>.NDXP251231P19450</stp>
        <tr r="X182" s="2"/>
      </tp>
      <tp t="s">
        <v>N/A</v>
        <stp/>
        <stp>VOLUME</stp>
        <stp>.NDXP251031P20450</stp>
        <tr r="T142" s="2"/>
      </tp>
      <tp t="s">
        <v>N/A</v>
        <stp/>
        <stp>VOLUME</stp>
        <stp>.NDXP251031P19450</stp>
        <tr r="T182" s="2"/>
      </tp>
      <tp t="s">
        <v>N/A</v>
        <stp/>
        <stp>VOLUME</stp>
        <stp>.NDXP251231P20450</stp>
        <tr r="X142" s="2"/>
      </tp>
      <tp t="s">
        <v>N/A</v>
        <stp/>
        <stp>VOLUME</stp>
        <stp>.SPXW250606C5860</stp>
        <tr r="J87" s="2"/>
      </tp>
      <tp t="s">
        <v>N/A</v>
        <stp/>
        <stp>VOLUME</stp>
        <stp>.SPXW250606P5860</stp>
        <tr r="J87" s="2"/>
      </tp>
      <tp t="s">
        <v>N/A</v>
        <stp/>
        <stp>VOLUME</stp>
        <stp>.NDXP250930P20550</stp>
        <tr r="R138" s="2"/>
      </tp>
      <tp t="s">
        <v>N/A</v>
        <stp/>
        <stp>VOLUME</stp>
        <stp>.NDXP250930P19550</stp>
        <tr r="R178" s="2"/>
      </tp>
      <tp>
        <v>4</v>
        <stp/>
        <stp>VOLUME</stp>
        <stp>.NDXP250606P19350</stp>
        <tr r="J186" s="2"/>
        <tr r="J186" s="2"/>
      </tp>
      <tp t="s">
        <v>N/A</v>
        <stp/>
        <stp>VOLUME</stp>
        <stp>.NDXP250630P19550</stp>
        <tr r="L178" s="2"/>
      </tp>
      <tp t="s">
        <v>N/A</v>
        <stp/>
        <stp>VOLUME</stp>
        <stp>.NDXP250530P20550</stp>
        <tr r="I138" s="2"/>
      </tp>
      <tp t="s">
        <v>N/A</v>
        <stp/>
        <stp>VOLUME</stp>
        <stp>.NDXP250731P19450</stp>
        <tr r="N182" s="2"/>
      </tp>
      <tp t="s">
        <v>N/A</v>
        <stp/>
        <stp>VOLUME</stp>
        <stp>.NDXP250731P20450</stp>
        <tr r="N142" s="2"/>
      </tp>
      <tp>
        <v>2</v>
        <stp/>
        <stp>VOLUME</stp>
        <stp>.NDXP250530P19550</stp>
        <tr r="I178" s="2"/>
        <tr r="I178" s="2"/>
      </tp>
      <tp t="s">
        <v>N/A</v>
        <stp/>
        <stp>VOLUME</stp>
        <stp>.NDXP250606P20350</stp>
        <tr r="J146" s="2"/>
      </tp>
      <tp t="s">
        <v>N/A</v>
        <stp/>
        <stp>VOLUME</stp>
        <stp>.NDXP250630P20550</stp>
        <tr r="L138" s="2"/>
      </tp>
      <tp t="s">
        <v>N/A</v>
        <stp/>
        <stp>VOLUME</stp>
        <stp>.SPXW250606C5870</stp>
        <tr r="J86" s="2"/>
      </tp>
      <tp t="s">
        <v>N/A</v>
        <stp/>
        <stp>VOLUME</stp>
        <stp>.SPXW250606P5870</stp>
        <tr r="J86" s="2"/>
      </tp>
      <tp t="s">
        <v>N/A</v>
        <stp/>
        <stp>VOLUME</stp>
        <stp>.NDXP251031P20475</stp>
        <tr r="T141" s="2"/>
      </tp>
      <tp t="s">
        <v>N/A</v>
        <stp/>
        <stp>VOLUME</stp>
        <stp>.NDXP251231P19475</stp>
        <tr r="X181" s="2"/>
      </tp>
      <tp t="s">
        <v>N/A</v>
        <stp/>
        <stp>VOLUME</stp>
        <stp>.NDXP251231P20475</stp>
        <tr r="X141" s="2"/>
      </tp>
      <tp t="s">
        <v>N/A</v>
        <stp/>
        <stp>VOLUME</stp>
        <stp>.NDXP251031P19475</stp>
        <tr r="T181" s="2"/>
      </tp>
      <tp t="s">
        <v>N/A</v>
        <stp/>
        <stp>VOLUME</stp>
        <stp>.SPXW250606C5840</stp>
        <tr r="J89" s="2"/>
      </tp>
      <tp t="s">
        <v>N/A</v>
        <stp/>
        <stp>VOLUME</stp>
        <stp>.SPXW250606P5840</stp>
        <tr r="J89" s="2"/>
      </tp>
      <tp t="s">
        <v>N/A</v>
        <stp/>
        <stp>VOLUME</stp>
        <stp>.NDXP250930P19575</stp>
        <tr r="R177" s="2"/>
      </tp>
      <tp t="s">
        <v>N/A</v>
        <stp/>
        <stp>VOLUME</stp>
        <stp>.NDXP250731P19475</stp>
        <tr r="N181" s="2"/>
      </tp>
      <tp t="s">
        <v>N/A</v>
        <stp/>
        <stp>VOLUME</stp>
        <stp>.NDXP250606P19375</stp>
        <tr r="J185" s="2"/>
      </tp>
      <tp t="s">
        <v>N/A</v>
        <stp/>
        <stp>VOLUME</stp>
        <stp>.NDXP250630P19575</stp>
        <tr r="L177" s="2"/>
      </tp>
      <tp t="s">
        <v>N/A</v>
        <stp/>
        <stp>VOLUME</stp>
        <stp>.NDXP250530P19575</stp>
        <tr r="I177" s="2"/>
      </tp>
      <tp t="s">
        <v>N/A</v>
        <stp/>
        <stp>VOLUME</stp>
        <stp>.NDXP250606P20375</stp>
        <tr r="J145" s="2"/>
      </tp>
      <tp t="s">
        <v>N/A</v>
        <stp/>
        <stp>VOLUME</stp>
        <stp>.NDXP250731P20475</stp>
        <tr r="N141" s="2"/>
      </tp>
      <tp t="s">
        <v>N/A</v>
        <stp/>
        <stp>VOLUME</stp>
        <stp>.SPXW250606C5850</stp>
        <tr r="J88" s="2"/>
      </tp>
      <tp t="s">
        <v>N/A</v>
        <stp/>
        <stp>VOLUME</stp>
        <stp>.SPXW250606P5850</stp>
        <tr r="J88" s="2"/>
      </tp>
      <tp t="s">
        <v>N/A</v>
        <stp/>
        <stp>VOLUME</stp>
        <stp>.NDXP250930P20500</stp>
        <tr r="R140" s="2"/>
      </tp>
      <tp t="s">
        <v>N/A</v>
        <stp/>
        <stp>VOLUME</stp>
        <stp>.NDXP250930P19500</stp>
        <tr r="R180" s="2"/>
      </tp>
      <tp>
        <v>3</v>
        <stp/>
        <stp>VOLUME</stp>
        <stp>.NDXP250606P19300</stp>
        <tr r="J188" s="2"/>
        <tr r="J188" s="2"/>
      </tp>
      <tp t="s">
        <v>N/A</v>
        <stp/>
        <stp>VOLUME</stp>
        <stp>.NDXP250630P19500</stp>
        <tr r="L180" s="2"/>
      </tp>
      <tp t="s">
        <v>N/A</v>
        <stp/>
        <stp>VOLUME</stp>
        <stp>.NDXP250530P20500</stp>
        <tr r="I140" s="2"/>
      </tp>
      <tp t="s">
        <v>N/A</v>
        <stp/>
        <stp>VOLUME</stp>
        <stp>.NDXP250731P19400</stp>
        <tr r="N184" s="2"/>
      </tp>
      <tp t="s">
        <v>N/A</v>
        <stp/>
        <stp>VOLUME</stp>
        <stp>.NDXP250731P20400</stp>
        <tr r="N144" s="2"/>
      </tp>
      <tp>
        <v>3</v>
        <stp/>
        <stp>VOLUME</stp>
        <stp>.NDXP250530P19500</stp>
        <tr r="I180" s="2"/>
        <tr r="I180" s="2"/>
      </tp>
      <tp t="s">
        <v>N/A</v>
        <stp/>
        <stp>VOLUME</stp>
        <stp>.NDXP250606P20300</stp>
        <tr r="J148" s="2"/>
      </tp>
      <tp t="s">
        <v>N/A</v>
        <stp/>
        <stp>VOLUME</stp>
        <stp>.NDXP250630P20500</stp>
        <tr r="L140" s="2"/>
      </tp>
      <tp t="s">
        <v>N/A</v>
        <stp/>
        <stp>VOLUME</stp>
        <stp>.SPXW250606C5820</stp>
        <tr r="J91" s="2"/>
      </tp>
      <tp t="s">
        <v>N/A</v>
        <stp/>
        <stp>VOLUME</stp>
        <stp>.SPXW250606P5820</stp>
        <tr r="J91" s="2"/>
      </tp>
      <tp t="s">
        <v>N/A</v>
        <stp/>
        <stp>VOLUME</stp>
        <stp>.NDXP251231P19400</stp>
        <tr r="X184" s="2"/>
      </tp>
      <tp t="s">
        <v>N/A</v>
        <stp/>
        <stp>VOLUME</stp>
        <stp>.NDXP251031P20400</stp>
        <tr r="T144" s="2"/>
      </tp>
      <tp t="s">
        <v>N/A</v>
        <stp/>
        <stp>VOLUME</stp>
        <stp>.NDXP251031P19400</stp>
        <tr r="T184" s="2"/>
      </tp>
      <tp t="s">
        <v>N/A</v>
        <stp/>
        <stp>VOLUME</stp>
        <stp>.NDXP251231P20400</stp>
        <tr r="X144" s="2"/>
      </tp>
      <tp t="s">
        <v>N/A</v>
        <stp/>
        <stp>VOLUME</stp>
        <stp>.SPXW250606C5830</stp>
        <tr r="J90" s="2"/>
      </tp>
      <tp t="s">
        <v>N/A</v>
        <stp/>
        <stp>VOLUME</stp>
        <stp>.SPXW250606P5830</stp>
        <tr r="J90" s="2"/>
      </tp>
      <tp t="s">
        <v>N/A</v>
        <stp/>
        <stp>VOLUME</stp>
        <stp>.NDXP250930P20525</stp>
        <tr r="R139" s="2"/>
      </tp>
      <tp t="s">
        <v>N/A</v>
        <stp/>
        <stp>VOLUME</stp>
        <stp>.NDXP250930P19525</stp>
        <tr r="R179" s="2"/>
      </tp>
      <tp t="s">
        <v>N/A</v>
        <stp/>
        <stp>VOLUME</stp>
        <stp>.NDXP250731P19425</stp>
        <tr r="N183" s="2"/>
      </tp>
      <tp t="s">
        <v>N/A</v>
        <stp/>
        <stp>VOLUME</stp>
        <stp>.NDXP250606P19325</stp>
        <tr r="J187" s="2"/>
      </tp>
      <tp t="s">
        <v>N/A</v>
        <stp/>
        <stp>VOLUME</stp>
        <stp>.NDXP250630P19525</stp>
        <tr r="L179" s="2"/>
      </tp>
      <tp t="s">
        <v>N/A</v>
        <stp/>
        <stp>VOLUME</stp>
        <stp>.NDXP250530P20525</stp>
        <tr r="I139" s="2"/>
      </tp>
      <tp t="s">
        <v>N/A</v>
        <stp/>
        <stp>VOLUME</stp>
        <stp>.NDXP250530P19525</stp>
        <tr r="I179" s="2"/>
      </tp>
      <tp t="s">
        <v>N/A</v>
        <stp/>
        <stp>VOLUME</stp>
        <stp>.NDXP250606P20325</stp>
        <tr r="J147" s="2"/>
      </tp>
      <tp t="s">
        <v>N/A</v>
        <stp/>
        <stp>VOLUME</stp>
        <stp>.NDXP250630P20525</stp>
        <tr r="L139" s="2"/>
      </tp>
      <tp t="s">
        <v>N/A</v>
        <stp/>
        <stp>VOLUME</stp>
        <stp>.NDXP250731P20425</stp>
        <tr r="N143" s="2"/>
      </tp>
      <tp t="s">
        <v>N/A</v>
        <stp/>
        <stp>VOLUME</stp>
        <stp>.SPXW250606C5800</stp>
        <tr r="J93" s="2"/>
      </tp>
      <tp t="s">
        <v>N/A</v>
        <stp/>
        <stp>VOLUME</stp>
        <stp>.SPXW250606P5800</stp>
        <tr r="J93" s="2"/>
      </tp>
      <tp t="s">
        <v>N/A</v>
        <stp/>
        <stp>VOLUME</stp>
        <stp>.NDXP251031P20425</stp>
        <tr r="T143" s="2"/>
      </tp>
      <tp t="s">
        <v>N/A</v>
        <stp/>
        <stp>VOLUME</stp>
        <stp>.NDXP251231P19425</stp>
        <tr r="X183" s="2"/>
      </tp>
      <tp t="s">
        <v>N/A</v>
        <stp/>
        <stp>VOLUME</stp>
        <stp>.NDXP251231P20425</stp>
        <tr r="X143" s="2"/>
      </tp>
      <tp t="s">
        <v>N/A</v>
        <stp/>
        <stp>VOLUME</stp>
        <stp>.NDXP251031P19425</stp>
        <tr r="T183" s="2"/>
      </tp>
      <tp t="s">
        <v>N/A</v>
        <stp/>
        <stp>VOLUME</stp>
        <stp>.SPXW250606C5810</stp>
        <tr r="J92" s="2"/>
      </tp>
      <tp t="s">
        <v>N/A</v>
        <stp/>
        <stp>VOLUME</stp>
        <stp>.SPXW250606P5810</stp>
        <tr r="J92" s="2"/>
      </tp>
      <tp>
        <v>11</v>
        <stp/>
        <stp>OPEN_INT</stp>
        <stp>.NDXP250509C19600</stp>
        <tr r="AS175" s="1"/>
        <tr r="AS175" s="1"/>
      </tp>
      <tp>
        <v>4</v>
        <stp/>
        <stp>OPEN_INT</stp>
        <stp>.NDXP250509C19625</stp>
        <tr r="AS174" s="1"/>
        <tr r="AS174" s="1"/>
      </tp>
      <tp>
        <v>95</v>
        <stp/>
        <stp>OPEN_INT</stp>
        <stp>.NDXP250509C19650</stp>
        <tr r="AS173" s="1"/>
        <tr r="AS173" s="1"/>
      </tp>
      <tp>
        <v>5</v>
        <stp/>
        <stp>OPEN_INT</stp>
        <stp>.NDXP250509C19675</stp>
        <tr r="AS172" s="1"/>
        <tr r="AS172" s="1"/>
      </tp>
      <tp>
        <v>4</v>
        <stp/>
        <stp>OPEN_INT</stp>
        <stp>.NDXP250509P19625</stp>
        <tr r="AT174" s="1"/>
        <tr r="AT174" s="1"/>
      </tp>
      <tp>
        <v>22</v>
        <stp/>
        <stp>OPEN_INT</stp>
        <stp>.NDXP250509P19600</stp>
        <tr r="AT175" s="1"/>
        <tr r="AT175" s="1"/>
      </tp>
      <tp>
        <v>7</v>
        <stp/>
        <stp>OPEN_INT</stp>
        <stp>.NDXP250509P19675</stp>
        <tr r="AT172" s="1"/>
        <tr r="AT172" s="1"/>
      </tp>
      <tp>
        <v>24</v>
        <stp/>
        <stp>OPEN_INT</stp>
        <stp>.NDXP250509P19650</stp>
        <tr r="AT173" s="1"/>
        <tr r="AT173" s="1"/>
      </tp>
      <tp t="s">
        <v>N/A</v>
        <stp/>
        <stp>VOLUME</stp>
        <stp>.NDXP250930C19675</stp>
        <tr r="R173" s="2"/>
      </tp>
      <tp t="s">
        <v>N/A</v>
        <stp/>
        <stp>VOLUME</stp>
        <stp>.NDXP250731C19775</stp>
        <tr r="N169" s="2"/>
      </tp>
      <tp t="s">
        <v>N/A</v>
        <stp/>
        <stp>VOLUME</stp>
        <stp>.NDXP250630C19675</stp>
        <tr r="L173" s="2"/>
      </tp>
      <tp t="s">
        <v>N/A</v>
        <stp/>
        <stp>VOLUME</stp>
        <stp>.NDXP250530C19675</stp>
        <tr r="I173" s="2"/>
      </tp>
      <tp t="s">
        <v>N/A</v>
        <stp/>
        <stp>VOLUME</stp>
        <stp>.NDXP250606C20075</stp>
        <tr r="J157" s="2"/>
      </tp>
      <tp t="s">
        <v>N/A</v>
        <stp/>
        <stp>VOLUME</stp>
        <stp>.NDXP251231C19775</stp>
        <tr r="X169" s="2"/>
      </tp>
      <tp t="s">
        <v>N/A</v>
        <stp/>
        <stp>VOLUME</stp>
        <stp>.NDXP251031C19775</stp>
        <tr r="T169" s="2"/>
      </tp>
      <tp t="s">
        <v>N/A</v>
        <stp/>
        <stp>VOLUME</stp>
        <stp>.NDXP250930C19650</stp>
        <tr r="R174" s="2"/>
      </tp>
      <tp t="s">
        <v>N/A</v>
        <stp/>
        <stp>VOLUME</stp>
        <stp>.NDXP250630C19650</stp>
        <tr r="L174" s="2"/>
      </tp>
      <tp t="s">
        <v>N/A</v>
        <stp/>
        <stp>VOLUME</stp>
        <stp>.NDXP250731C19750</stp>
        <tr r="N170" s="2"/>
      </tp>
      <tp t="s">
        <v>N/A</v>
        <stp/>
        <stp>VOLUME</stp>
        <stp>.NDXP250530C19650</stp>
        <tr r="I174" s="2"/>
      </tp>
      <tp t="s">
        <v>N/A</v>
        <stp/>
        <stp>VOLUME</stp>
        <stp>.NDXP250606C20050</stp>
        <tr r="J158" s="2"/>
      </tp>
      <tp t="s">
        <v>N/A</v>
        <stp/>
        <stp>VOLUME</stp>
        <stp>.NDXP251231C19750</stp>
        <tr r="X170" s="2"/>
      </tp>
      <tp t="s">
        <v>N/A</v>
        <stp/>
        <stp>VOLUME</stp>
        <stp>.NDXP251031C19750</stp>
        <tr r="T170" s="2"/>
      </tp>
      <tp t="s">
        <v>N/A</v>
        <stp/>
        <stp>VOLUME</stp>
        <stp>.NDXP251231C19725</stp>
        <tr r="X171" s="2"/>
      </tp>
      <tp t="s">
        <v>N/A</v>
        <stp/>
        <stp>VOLUME</stp>
        <stp>.NDXP251031C19725</stp>
        <tr r="T171" s="2"/>
      </tp>
      <tp t="s">
        <v>N/A</v>
        <stp/>
        <stp>VOLUME</stp>
        <stp>.NDXP250930C19625</stp>
        <tr r="R175" s="2"/>
      </tp>
      <tp t="s">
        <v>N/A</v>
        <stp/>
        <stp>VOLUME</stp>
        <stp>.NDXP250731C19725</stp>
        <tr r="N171" s="2"/>
      </tp>
      <tp t="s">
        <v>N/A</v>
        <stp/>
        <stp>VOLUME</stp>
        <stp>.NDXP250630C19625</stp>
        <tr r="L175" s="2"/>
      </tp>
      <tp t="s">
        <v>N/A</v>
        <stp/>
        <stp>VOLUME</stp>
        <stp>.NDXP250530C19625</stp>
        <tr r="I175" s="2"/>
      </tp>
      <tp t="s">
        <v>N/A</v>
        <stp/>
        <stp>VOLUME</stp>
        <stp>.NDXP250606C20025</stp>
        <tr r="J159" s="2"/>
      </tp>
      <tp t="s">
        <v>N/A</v>
        <stp/>
        <stp>VOLUME</stp>
        <stp>.NDXP251231C19700</stp>
        <tr r="X172" s="2"/>
      </tp>
      <tp t="s">
        <v>N/A</v>
        <stp/>
        <stp>VOLUME</stp>
        <stp>.NDXP251031C19700</stp>
        <tr r="T172" s="2"/>
      </tp>
      <tp t="s">
        <v>N/A</v>
        <stp/>
        <stp>VOLUME</stp>
        <stp>.NDXP250930C19600</stp>
        <tr r="R176" s="2"/>
      </tp>
      <tp t="s">
        <v>N/A</v>
        <stp/>
        <stp>VOLUME</stp>
        <stp>.NDXP250630C19600</stp>
        <tr r="L176" s="2"/>
      </tp>
      <tp t="s">
        <v>N/A</v>
        <stp/>
        <stp>VOLUME</stp>
        <stp>.NDXP250731C19700</stp>
        <tr r="N172" s="2"/>
      </tp>
      <tp t="s">
        <v>N/A</v>
        <stp/>
        <stp>VOLUME</stp>
        <stp>.NDXP250530C19600</stp>
        <tr r="I176" s="2"/>
      </tp>
      <tp t="s">
        <v>N/A</v>
        <stp/>
        <stp>VOLUME</stp>
        <stp>.NDXP250606C20000</stp>
        <tr r="J160" s="2"/>
      </tp>
      <tp t="s">
        <v>N/A</v>
        <stp/>
        <stp>VOLUME</stp>
        <stp>.NDXP251231P19750</stp>
        <tr r="X170" s="2"/>
      </tp>
      <tp t="s">
        <v>N/A</v>
        <stp/>
        <stp>VOLUME</stp>
        <stp>.NDXP251031P19750</stp>
        <tr r="T170" s="2"/>
      </tp>
      <tp t="s">
        <v>N/A</v>
        <stp/>
        <stp>VOLUME</stp>
        <stp>.SPXW250930C5800</stp>
        <tr r="R93" s="2"/>
      </tp>
      <tp t="s">
        <v>N/A</v>
        <stp/>
        <stp>VOLUME</stp>
        <stp>.SPXW250530C5800</stp>
        <tr r="I93" s="2"/>
      </tp>
      <tp t="s">
        <v>N/A</v>
        <stp/>
        <stp>VOLUME</stp>
        <stp>.SPXW250731C5810</stp>
        <tr r="N92" s="2"/>
      </tp>
      <tp t="s">
        <v>N/A</v>
        <stp/>
        <stp>VOLUME</stp>
        <stp>.SPXW250630C5800</stp>
        <tr r="L93" s="2"/>
      </tp>
      <tp t="s">
        <v>N/A</v>
        <stp/>
        <stp>VOLUME</stp>
        <stp>.SPXW251031C5810</stp>
        <tr r="T92" s="2"/>
      </tp>
      <tp t="s">
        <v>N/A</v>
        <stp/>
        <stp>VOLUME</stp>
        <stp>.SPXW251231C5810</stp>
        <tr r="X92" s="2"/>
      </tp>
      <tp t="s">
        <v>N/A</v>
        <stp/>
        <stp>VOLUME</stp>
        <stp>.SPXW251031P5810</stp>
        <tr r="T92" s="2"/>
      </tp>
      <tp t="s">
        <v>N/A</v>
        <stp/>
        <stp>VOLUME</stp>
        <stp>.SPXW251231P5810</stp>
        <tr r="X92" s="2"/>
      </tp>
      <tp t="s">
        <v>N/A</v>
        <stp/>
        <stp>VOLUME</stp>
        <stp>.SPXW250930P5800</stp>
        <tr r="R93" s="2"/>
      </tp>
      <tp t="s">
        <v>N/A</v>
        <stp/>
        <stp>VOLUME</stp>
        <stp>.SPXW250530P5800</stp>
        <tr r="I93" s="2"/>
      </tp>
      <tp t="s">
        <v>N/A</v>
        <stp/>
        <stp>VOLUME</stp>
        <stp>.SPXW250731P5810</stp>
        <tr r="N92" s="2"/>
      </tp>
      <tp t="s">
        <v>N/A</v>
        <stp/>
        <stp>VOLUME</stp>
        <stp>.SPXW250630P5800</stp>
        <tr r="L93" s="2"/>
      </tp>
      <tp t="s">
        <v>N/A</v>
        <stp/>
        <stp>VOLUME</stp>
        <stp>.NDXP250930P19650</stp>
        <tr r="R174" s="2"/>
      </tp>
      <tp t="s">
        <v>N/A</v>
        <stp/>
        <stp>VOLUME</stp>
        <stp>.NDXP250630P19650</stp>
        <tr r="L174" s="2"/>
      </tp>
      <tp t="s">
        <v>N/A</v>
        <stp/>
        <stp>VOLUME</stp>
        <stp>.NDXP250731P19750</stp>
        <tr r="N170" s="2"/>
      </tp>
      <tp t="s">
        <v>N/A</v>
        <stp/>
        <stp>VOLUME</stp>
        <stp>.NDXP250530P19650</stp>
        <tr r="I174" s="2"/>
      </tp>
      <tp t="s">
        <v>N/A</v>
        <stp/>
        <stp>VOLUME</stp>
        <stp>.NDXP250606P20050</stp>
        <tr r="J158" s="2"/>
      </tp>
      <tp t="s">
        <v>N/A</v>
        <stp/>
        <stp>VOLUME</stp>
        <stp>.SPXW250930C5810</stp>
        <tr r="R92" s="2"/>
      </tp>
      <tp t="s">
        <v>N/A</v>
        <stp/>
        <stp>VOLUME</stp>
        <stp>.SPXW250530C5810</stp>
        <tr r="I92" s="2"/>
      </tp>
      <tp t="s">
        <v>N/A</v>
        <stp/>
        <stp>VOLUME</stp>
        <stp>.SPXW250731C5800</stp>
        <tr r="N93" s="2"/>
      </tp>
      <tp t="s">
        <v>N/A</v>
        <stp/>
        <stp>VOLUME</stp>
        <stp>.SPXW250630C5810</stp>
        <tr r="L92" s="2"/>
      </tp>
      <tp t="s">
        <v>N/A</v>
        <stp/>
        <stp>VOLUME</stp>
        <stp>.SPXW251031C5800</stp>
        <tr r="T93" s="2"/>
      </tp>
      <tp t="s">
        <v>N/A</v>
        <stp/>
        <stp>VOLUME</stp>
        <stp>.SPXW251231C5800</stp>
        <tr r="X93" s="2"/>
      </tp>
      <tp t="s">
        <v>N/A</v>
        <stp/>
        <stp>VOLUME</stp>
        <stp>.SPXW251031P5800</stp>
        <tr r="T93" s="2"/>
      </tp>
      <tp t="s">
        <v>N/A</v>
        <stp/>
        <stp>VOLUME</stp>
        <stp>.SPXW251231P5800</stp>
        <tr r="X93" s="2"/>
      </tp>
      <tp t="s">
        <v>N/A</v>
        <stp/>
        <stp>VOLUME</stp>
        <stp>.SPXW250930P5810</stp>
        <tr r="R92" s="2"/>
      </tp>
      <tp t="s">
        <v>N/A</v>
        <stp/>
        <stp>VOLUME</stp>
        <stp>.SPXW250530P5810</stp>
        <tr r="I92" s="2"/>
      </tp>
      <tp t="s">
        <v>N/A</v>
        <stp/>
        <stp>VOLUME</stp>
        <stp>.SPXW250731P5800</stp>
        <tr r="N93" s="2"/>
      </tp>
      <tp t="s">
        <v>N/A</v>
        <stp/>
        <stp>VOLUME</stp>
        <stp>.SPXW250630P5810</stp>
        <tr r="L92" s="2"/>
      </tp>
      <tp t="s">
        <v>N/A</v>
        <stp/>
        <stp>VOLUME</stp>
        <stp>.NDXP251231P19775</stp>
        <tr r="X169" s="2"/>
      </tp>
      <tp t="s">
        <v>N/A</v>
        <stp/>
        <stp>VOLUME</stp>
        <stp>.NDXP251031P19775</stp>
        <tr r="T169" s="2"/>
      </tp>
      <tp t="s">
        <v>N/A</v>
        <stp/>
        <stp>VOLUME</stp>
        <stp>.SPXW250930C5820</stp>
        <tr r="R91" s="2"/>
      </tp>
      <tp t="s">
        <v>N/A</v>
        <stp/>
        <stp>VOLUME</stp>
        <stp>.SPXW250530C5820</stp>
        <tr r="I91" s="2"/>
      </tp>
      <tp t="s">
        <v>N/A</v>
        <stp/>
        <stp>VOLUME</stp>
        <stp>.SPXW250731C5830</stp>
        <tr r="N90" s="2"/>
      </tp>
      <tp t="s">
        <v>N/A</v>
        <stp/>
        <stp>VOLUME</stp>
        <stp>.SPXW250630C5820</stp>
        <tr r="L91" s="2"/>
      </tp>
      <tp t="s">
        <v>N/A</v>
        <stp/>
        <stp>VOLUME</stp>
        <stp>.SPXW251031C5830</stp>
        <tr r="T90" s="2"/>
      </tp>
      <tp t="s">
        <v>N/A</v>
        <stp/>
        <stp>VOLUME</stp>
        <stp>.SPXW251231C5830</stp>
        <tr r="X90" s="2"/>
      </tp>
      <tp t="s">
        <v>N/A</v>
        <stp/>
        <stp>VOLUME</stp>
        <stp>.SPXW251031P5830</stp>
        <tr r="T90" s="2"/>
      </tp>
      <tp t="s">
        <v>N/A</v>
        <stp/>
        <stp>VOLUME</stp>
        <stp>.SPXW251231P5830</stp>
        <tr r="X90" s="2"/>
      </tp>
      <tp t="s">
        <v>N/A</v>
        <stp/>
        <stp>VOLUME</stp>
        <stp>.SPXW250930P5820</stp>
        <tr r="R91" s="2"/>
      </tp>
      <tp t="s">
        <v>N/A</v>
        <stp/>
        <stp>VOLUME</stp>
        <stp>.SPXW250530P5820</stp>
        <tr r="I91" s="2"/>
      </tp>
      <tp t="s">
        <v>N/A</v>
        <stp/>
        <stp>VOLUME</stp>
        <stp>.SPXW250731P5830</stp>
        <tr r="N90" s="2"/>
      </tp>
      <tp t="s">
        <v>N/A</v>
        <stp/>
        <stp>VOLUME</stp>
        <stp>.SPXW250630P5820</stp>
        <tr r="L91" s="2"/>
      </tp>
      <tp t="s">
        <v>N/A</v>
        <stp/>
        <stp>VOLUME</stp>
        <stp>.NDXP250930P19675</stp>
        <tr r="R173" s="2"/>
      </tp>
      <tp t="s">
        <v>N/A</v>
        <stp/>
        <stp>VOLUME</stp>
        <stp>.NDXP250731P19775</stp>
        <tr r="N169" s="2"/>
      </tp>
      <tp t="s">
        <v>N/A</v>
        <stp/>
        <stp>VOLUME</stp>
        <stp>.NDXP250630P19675</stp>
        <tr r="L173" s="2"/>
      </tp>
      <tp>
        <v>2</v>
        <stp/>
        <stp>VOLUME</stp>
        <stp>.NDXP250530P19675</stp>
        <tr r="I173" s="2"/>
        <tr r="I173" s="2"/>
      </tp>
      <tp t="s">
        <v>N/A</v>
        <stp/>
        <stp>VOLUME</stp>
        <stp>.NDXP250606P20075</stp>
        <tr r="J157" s="2"/>
      </tp>
      <tp t="s">
        <v>N/A</v>
        <stp/>
        <stp>VOLUME</stp>
        <stp>.SPXW250930C5830</stp>
        <tr r="R90" s="2"/>
      </tp>
      <tp t="s">
        <v>N/A</v>
        <stp/>
        <stp>VOLUME</stp>
        <stp>.SPXW250530C5830</stp>
        <tr r="I90" s="2"/>
      </tp>
      <tp t="s">
        <v>N/A</v>
        <stp/>
        <stp>VOLUME</stp>
        <stp>.SPXW250731C5820</stp>
        <tr r="N91" s="2"/>
      </tp>
      <tp t="s">
        <v>N/A</v>
        <stp/>
        <stp>VOLUME</stp>
        <stp>.SPXW250630C5830</stp>
        <tr r="L90" s="2"/>
      </tp>
      <tp t="s">
        <v>N/A</v>
        <stp/>
        <stp>VOLUME</stp>
        <stp>.SPXW251031C5820</stp>
        <tr r="T91" s="2"/>
      </tp>
      <tp t="s">
        <v>N/A</v>
        <stp/>
        <stp>VOLUME</stp>
        <stp>.SPXW251231C5820</stp>
        <tr r="X91" s="2"/>
      </tp>
      <tp t="s">
        <v>N/A</v>
        <stp/>
        <stp>VOLUME</stp>
        <stp>.SPXW251031P5820</stp>
        <tr r="T91" s="2"/>
      </tp>
      <tp t="s">
        <v>N/A</v>
        <stp/>
        <stp>VOLUME</stp>
        <stp>.SPXW251231P5820</stp>
        <tr r="X91" s="2"/>
      </tp>
      <tp t="s">
        <v>N/A</v>
        <stp/>
        <stp>VOLUME</stp>
        <stp>.SPXW250930P5830</stp>
        <tr r="R90" s="2"/>
      </tp>
      <tp t="s">
        <v>N/A</v>
        <stp/>
        <stp>VOLUME</stp>
        <stp>.SPXW250530P5830</stp>
        <tr r="I90" s="2"/>
      </tp>
      <tp t="s">
        <v>N/A</v>
        <stp/>
        <stp>VOLUME</stp>
        <stp>.SPXW250731P5820</stp>
        <tr r="N91" s="2"/>
      </tp>
      <tp t="s">
        <v>N/A</v>
        <stp/>
        <stp>VOLUME</stp>
        <stp>.SPXW250630P5830</stp>
        <tr r="L90" s="2"/>
      </tp>
      <tp t="s">
        <v>N/A</v>
        <stp/>
        <stp>VOLUME</stp>
        <stp>.NDXP250930P19600</stp>
        <tr r="R176" s="2"/>
      </tp>
      <tp t="s">
        <v>N/A</v>
        <stp/>
        <stp>VOLUME</stp>
        <stp>.NDXP250630P19600</stp>
        <tr r="L176" s="2"/>
      </tp>
      <tp t="s">
        <v>N/A</v>
        <stp/>
        <stp>VOLUME</stp>
        <stp>.NDXP250731P19700</stp>
        <tr r="N172" s="2"/>
      </tp>
      <tp t="s">
        <v>N/A</v>
        <stp/>
        <stp>VOLUME</stp>
        <stp>.NDXP250530P19600</stp>
        <tr r="I176" s="2"/>
      </tp>
      <tp t="s">
        <v>N/A</v>
        <stp/>
        <stp>VOLUME</stp>
        <stp>.NDXP250606P20000</stp>
        <tr r="J160" s="2"/>
      </tp>
      <tp t="s">
        <v>N/A</v>
        <stp/>
        <stp>VOLUME</stp>
        <stp>.SPXW250930C5840</stp>
        <tr r="R89" s="2"/>
      </tp>
      <tp t="s">
        <v>N/A</v>
        <stp/>
        <stp>VOLUME</stp>
        <stp>.SPXW250530C5840</stp>
        <tr r="I89" s="2"/>
      </tp>
      <tp t="s">
        <v>N/A</v>
        <stp/>
        <stp>VOLUME</stp>
        <stp>.SPXW250731C5850</stp>
        <tr r="N88" s="2"/>
      </tp>
      <tp t="s">
        <v>N/A</v>
        <stp/>
        <stp>VOLUME</stp>
        <stp>.SPXW250630C5840</stp>
        <tr r="L89" s="2"/>
      </tp>
      <tp t="s">
        <v>N/A</v>
        <stp/>
        <stp>VOLUME</stp>
        <stp>.SPXW251031C5850</stp>
        <tr r="T88" s="2"/>
      </tp>
      <tp t="s">
        <v>N/A</v>
        <stp/>
        <stp>VOLUME</stp>
        <stp>.SPXW251231C5850</stp>
        <tr r="X88" s="2"/>
      </tp>
      <tp t="s">
        <v>N/A</v>
        <stp/>
        <stp>VOLUME</stp>
        <stp>.SPXW251031P5850</stp>
        <tr r="T88" s="2"/>
      </tp>
      <tp t="s">
        <v>N/A</v>
        <stp/>
        <stp>VOLUME</stp>
        <stp>.SPXW251231P5850</stp>
        <tr r="X88" s="2"/>
      </tp>
      <tp t="s">
        <v>N/A</v>
        <stp/>
        <stp>VOLUME</stp>
        <stp>.SPXW250930P5840</stp>
        <tr r="R89" s="2"/>
      </tp>
      <tp t="s">
        <v>N/A</v>
        <stp/>
        <stp>VOLUME</stp>
        <stp>.SPXW250530P5840</stp>
        <tr r="I89" s="2"/>
      </tp>
      <tp t="s">
        <v>N/A</v>
        <stp/>
        <stp>VOLUME</stp>
        <stp>.SPXW250731P5850</stp>
        <tr r="N88" s="2"/>
      </tp>
      <tp t="s">
        <v>N/A</v>
        <stp/>
        <stp>VOLUME</stp>
        <stp>.SPXW250630P5840</stp>
        <tr r="L89" s="2"/>
      </tp>
      <tp t="s">
        <v>N/A</v>
        <stp/>
        <stp>VOLUME</stp>
        <stp>.NDXP251231P19700</stp>
        <tr r="X172" s="2"/>
      </tp>
      <tp t="s">
        <v>N/A</v>
        <stp/>
        <stp>VOLUME</stp>
        <stp>.NDXP251031P19700</stp>
        <tr r="T172" s="2"/>
      </tp>
      <tp t="s">
        <v>N/A</v>
        <stp/>
        <stp>VOLUME</stp>
        <stp>.SPXW250930C5850</stp>
        <tr r="R88" s="2"/>
      </tp>
      <tp t="s">
        <v>N/A</v>
        <stp/>
        <stp>VOLUME</stp>
        <stp>.SPXW250530C5850</stp>
        <tr r="I88" s="2"/>
      </tp>
      <tp t="s">
        <v>N/A</v>
        <stp/>
        <stp>VOLUME</stp>
        <stp>.SPXW250731C5840</stp>
        <tr r="N89" s="2"/>
      </tp>
      <tp t="s">
        <v>N/A</v>
        <stp/>
        <stp>VOLUME</stp>
        <stp>.SPXW250630C5850</stp>
        <tr r="L88" s="2"/>
      </tp>
      <tp t="s">
        <v>N/A</v>
        <stp/>
        <stp>VOLUME</stp>
        <stp>.SPXW251031C5840</stp>
        <tr r="T89" s="2"/>
      </tp>
      <tp t="s">
        <v>N/A</v>
        <stp/>
        <stp>VOLUME</stp>
        <stp>.SPXW251231C5840</stp>
        <tr r="X89" s="2"/>
      </tp>
      <tp t="s">
        <v>N/A</v>
        <stp/>
        <stp>VOLUME</stp>
        <stp>.SPXW251031P5840</stp>
        <tr r="T89" s="2"/>
      </tp>
      <tp t="s">
        <v>N/A</v>
        <stp/>
        <stp>VOLUME</stp>
        <stp>.SPXW251231P5840</stp>
        <tr r="X89" s="2"/>
      </tp>
      <tp t="s">
        <v>N/A</v>
        <stp/>
        <stp>VOLUME</stp>
        <stp>.SPXW250930P5850</stp>
        <tr r="R88" s="2"/>
      </tp>
      <tp t="s">
        <v>N/A</v>
        <stp/>
        <stp>VOLUME</stp>
        <stp>.SPXW250530P5850</stp>
        <tr r="I88" s="2"/>
      </tp>
      <tp t="s">
        <v>N/A</v>
        <stp/>
        <stp>VOLUME</stp>
        <stp>.SPXW250731P5840</stp>
        <tr r="N89" s="2"/>
      </tp>
      <tp t="s">
        <v>N/A</v>
        <stp/>
        <stp>VOLUME</stp>
        <stp>.SPXW250630P5850</stp>
        <tr r="L88" s="2"/>
      </tp>
      <tp t="s">
        <v>N/A</v>
        <stp/>
        <stp>VOLUME</stp>
        <stp>.NDXP250930P19625</stp>
        <tr r="R175" s="2"/>
      </tp>
      <tp t="s">
        <v>N/A</v>
        <stp/>
        <stp>VOLUME</stp>
        <stp>.NDXP250731P19725</stp>
        <tr r="N171" s="2"/>
      </tp>
      <tp t="s">
        <v>N/A</v>
        <stp/>
        <stp>VOLUME</stp>
        <stp>.NDXP250630P19625</stp>
        <tr r="L175" s="2"/>
      </tp>
      <tp t="s">
        <v>N/A</v>
        <stp/>
        <stp>VOLUME</stp>
        <stp>.NDXP250530P19625</stp>
        <tr r="I175" s="2"/>
      </tp>
      <tp t="s">
        <v>N/A</v>
        <stp/>
        <stp>VOLUME</stp>
        <stp>.NDXP250606P20025</stp>
        <tr r="J159" s="2"/>
      </tp>
      <tp t="s">
        <v>N/A</v>
        <stp/>
        <stp>VOLUME</stp>
        <stp>.SPXW250930C5860</stp>
        <tr r="R87" s="2"/>
      </tp>
      <tp t="s">
        <v>N/A</v>
        <stp/>
        <stp>VOLUME</stp>
        <stp>.SPXW250530C5860</stp>
        <tr r="I87" s="2"/>
      </tp>
      <tp t="s">
        <v>N/A</v>
        <stp/>
        <stp>VOLUME</stp>
        <stp>.SPXW250731C5870</stp>
        <tr r="N86" s="2"/>
      </tp>
      <tp t="s">
        <v>N/A</v>
        <stp/>
        <stp>VOLUME</stp>
        <stp>.SPXW250630C5860</stp>
        <tr r="L87" s="2"/>
      </tp>
      <tp t="s">
        <v>N/A</v>
        <stp/>
        <stp>VOLUME</stp>
        <stp>.SPXW251031C5870</stp>
        <tr r="T86" s="2"/>
      </tp>
      <tp t="s">
        <v>N/A</v>
        <stp/>
        <stp>VOLUME</stp>
        <stp>.SPXW251231C5870</stp>
        <tr r="X86" s="2"/>
      </tp>
      <tp t="s">
        <v>N/A</v>
        <stp/>
        <stp>VOLUME</stp>
        <stp>.SPXW251031P5870</stp>
        <tr r="T86" s="2"/>
      </tp>
      <tp t="s">
        <v>N/A</v>
        <stp/>
        <stp>VOLUME</stp>
        <stp>.SPXW251231P5870</stp>
        <tr r="X86" s="2"/>
      </tp>
      <tp t="s">
        <v>N/A</v>
        <stp/>
        <stp>VOLUME</stp>
        <stp>.SPXW250930P5860</stp>
        <tr r="R87" s="2"/>
      </tp>
      <tp t="s">
        <v>N/A</v>
        <stp/>
        <stp>VOLUME</stp>
        <stp>.SPXW250530P5860</stp>
        <tr r="I87" s="2"/>
      </tp>
      <tp t="s">
        <v>N/A</v>
        <stp/>
        <stp>VOLUME</stp>
        <stp>.SPXW250731P5870</stp>
        <tr r="N86" s="2"/>
      </tp>
      <tp t="s">
        <v>N/A</v>
        <stp/>
        <stp>VOLUME</stp>
        <stp>.SPXW250630P5860</stp>
        <tr r="L87" s="2"/>
      </tp>
      <tp t="s">
        <v>N/A</v>
        <stp/>
        <stp>VOLUME</stp>
        <stp>.NDXP251231P19725</stp>
        <tr r="X171" s="2"/>
      </tp>
      <tp t="s">
        <v>N/A</v>
        <stp/>
        <stp>VOLUME</stp>
        <stp>.NDXP251031P19725</stp>
        <tr r="T171" s="2"/>
      </tp>
      <tp t="s">
        <v>N/A</v>
        <stp/>
        <stp>VOLUME</stp>
        <stp>.SPXW250930C5870</stp>
        <tr r="R86" s="2"/>
      </tp>
      <tp t="s">
        <v>N/A</v>
        <stp/>
        <stp>VOLUME</stp>
        <stp>.SPXW250530C5870</stp>
        <tr r="I86" s="2"/>
      </tp>
      <tp t="s">
        <v>N/A</v>
        <stp/>
        <stp>VOLUME</stp>
        <stp>.SPXW250731C5860</stp>
        <tr r="N87" s="2"/>
      </tp>
      <tp t="s">
        <v>N/A</v>
        <stp/>
        <stp>VOLUME</stp>
        <stp>.SPXW250630C5870</stp>
        <tr r="L86" s="2"/>
      </tp>
      <tp t="s">
        <v>N/A</v>
        <stp/>
        <stp>VOLUME</stp>
        <stp>.SPXW251031C5860</stp>
        <tr r="T87" s="2"/>
      </tp>
      <tp t="s">
        <v>N/A</v>
        <stp/>
        <stp>VOLUME</stp>
        <stp>.SPXW251231C5860</stp>
        <tr r="X87" s="2"/>
      </tp>
      <tp t="s">
        <v>N/A</v>
        <stp/>
        <stp>VOLUME</stp>
        <stp>.SPXW251031P5860</stp>
        <tr r="T87" s="2"/>
      </tp>
      <tp t="s">
        <v>N/A</v>
        <stp/>
        <stp>VOLUME</stp>
        <stp>.SPXW251231P5860</stp>
        <tr r="X87" s="2"/>
      </tp>
      <tp t="s">
        <v>N/A</v>
        <stp/>
        <stp>VOLUME</stp>
        <stp>.SPXW250930P5870</stp>
        <tr r="R86" s="2"/>
      </tp>
      <tp t="s">
        <v>N/A</v>
        <stp/>
        <stp>VOLUME</stp>
        <stp>.SPXW250530P5870</stp>
        <tr r="I86" s="2"/>
      </tp>
      <tp t="s">
        <v>N/A</v>
        <stp/>
        <stp>VOLUME</stp>
        <stp>.SPXW250731P5860</stp>
        <tr r="N87" s="2"/>
      </tp>
      <tp t="s">
        <v>N/A</v>
        <stp/>
        <stp>VOLUME</stp>
        <stp>.SPXW250630P5870</stp>
        <tr r="L86" s="2"/>
      </tp>
      <tp>
        <v>6</v>
        <stp/>
        <stp>OPEN_INT</stp>
        <stp>.NDXP250509C19700</stp>
        <tr r="AS171" s="1"/>
        <tr r="AS171" s="1"/>
      </tp>
      <tp>
        <v>9</v>
        <stp/>
        <stp>OPEN_INT</stp>
        <stp>.NDXP250509C19725</stp>
        <tr r="AS170" s="1"/>
        <tr r="AS170" s="1"/>
      </tp>
      <tp>
        <v>12</v>
        <stp/>
        <stp>OPEN_INT</stp>
        <stp>.NDXP250509C19750</stp>
        <tr r="AS169" s="1"/>
        <tr r="AS169" s="1"/>
      </tp>
      <tp>
        <v>12</v>
        <stp/>
        <stp>OPEN_INT</stp>
        <stp>.NDXP250509C19775</stp>
        <tr r="AS168" s="1"/>
        <tr r="AS168" s="1"/>
      </tp>
      <tp>
        <v>9</v>
        <stp/>
        <stp>OPEN_INT</stp>
        <stp>.NDXP250509P19725</stp>
        <tr r="AT170" s="1"/>
        <tr r="AT170" s="1"/>
      </tp>
      <tp>
        <v>20</v>
        <stp/>
        <stp>OPEN_INT</stp>
        <stp>.NDXP250509P19700</stp>
        <tr r="AT171" s="1"/>
        <tr r="AT171" s="1"/>
      </tp>
      <tp>
        <v>3</v>
        <stp/>
        <stp>OPEN_INT</stp>
        <stp>.NDXP250509P19775</stp>
        <tr r="AT168" s="1"/>
        <tr r="AT168" s="1"/>
      </tp>
      <tp>
        <v>15</v>
        <stp/>
        <stp>OPEN_INT</stp>
        <stp>.NDXP250509P19750</stp>
        <tr r="AT169" s="1"/>
        <tr r="AT169" s="1"/>
      </tp>
      <tp t="s">
        <v>N/A</v>
        <stp/>
        <stp>VOLUME</stp>
        <stp>.NDXP250930C19775</stp>
        <tr r="R169" s="2"/>
      </tp>
      <tp t="s">
        <v>N/A</v>
        <stp/>
        <stp>VOLUME</stp>
        <stp>.NDXP250731C19675</stp>
        <tr r="N173" s="2"/>
      </tp>
      <tp t="s">
        <v>N/A</v>
        <stp/>
        <stp>VOLUME</stp>
        <stp>.NDXP250630C19775</stp>
        <tr r="L169" s="2"/>
      </tp>
      <tp t="s">
        <v>N/A</v>
        <stp/>
        <stp>VOLUME</stp>
        <stp>.NDXP250530C19775</stp>
        <tr r="I169" s="2"/>
      </tp>
      <tp t="s">
        <v>N/A</v>
        <stp/>
        <stp>VOLUME</stp>
        <stp>.NDXP250606C20175</stp>
        <tr r="J153" s="2"/>
      </tp>
      <tp t="s">
        <v>N/A</v>
        <stp/>
        <stp>VOLUME</stp>
        <stp>.NDXP251231C19675</stp>
        <tr r="X173" s="2"/>
      </tp>
      <tp t="s">
        <v>N/A</v>
        <stp/>
        <stp>VOLUME</stp>
        <stp>.NDXP251031C19675</stp>
        <tr r="T173" s="2"/>
      </tp>
      <tp t="s">
        <v>N/A</v>
        <stp/>
        <stp>VOLUME</stp>
        <stp>.NDXP250930C19750</stp>
        <tr r="R170" s="2"/>
      </tp>
      <tp t="s">
        <v>N/A</v>
        <stp/>
        <stp>VOLUME</stp>
        <stp>.NDXP250630C19750</stp>
        <tr r="L170" s="2"/>
      </tp>
      <tp t="s">
        <v>N/A</v>
        <stp/>
        <stp>VOLUME</stp>
        <stp>.NDXP250731C19650</stp>
        <tr r="N174" s="2"/>
      </tp>
      <tp t="s">
        <v>N/A</v>
        <stp/>
        <stp>VOLUME</stp>
        <stp>.NDXP250530C19750</stp>
        <tr r="I170" s="2"/>
      </tp>
      <tp>
        <v>1</v>
        <stp/>
        <stp>VOLUME</stp>
        <stp>.NDXP250606C20150</stp>
        <tr r="J154" s="2"/>
        <tr r="J154" s="2"/>
      </tp>
      <tp t="s">
        <v>N/A</v>
        <stp/>
        <stp>VOLUME</stp>
        <stp>.NDXP251231C19650</stp>
        <tr r="X174" s="2"/>
      </tp>
      <tp t="s">
        <v>N/A</v>
        <stp/>
        <stp>VOLUME</stp>
        <stp>.NDXP251031C19650</stp>
        <tr r="T174" s="2"/>
      </tp>
      <tp t="s">
        <v>N/A</v>
        <stp/>
        <stp>VOLUME</stp>
        <stp>.NDXP251231C19625</stp>
        <tr r="X175" s="2"/>
      </tp>
      <tp t="s">
        <v>N/A</v>
        <stp/>
        <stp>VOLUME</stp>
        <stp>.NDXP251031C19625</stp>
        <tr r="T175" s="2"/>
      </tp>
      <tp t="s">
        <v>N/A</v>
        <stp/>
        <stp>VOLUME</stp>
        <stp>.NDXP250930C19725</stp>
        <tr r="R171" s="2"/>
      </tp>
      <tp t="s">
        <v>N/A</v>
        <stp/>
        <stp>VOLUME</stp>
        <stp>.NDXP250731C19625</stp>
        <tr r="N175" s="2"/>
      </tp>
      <tp t="s">
        <v>N/A</v>
        <stp/>
        <stp>VOLUME</stp>
        <stp>.NDXP250630C19725</stp>
        <tr r="L171" s="2"/>
      </tp>
      <tp t="s">
        <v>N/A</v>
        <stp/>
        <stp>VOLUME</stp>
        <stp>.NDXP250530C19725</stp>
        <tr r="I171" s="2"/>
      </tp>
      <tp>
        <v>1</v>
        <stp/>
        <stp>VOLUME</stp>
        <stp>.NDXP250606C20125</stp>
        <tr r="J155" s="2"/>
        <tr r="J155" s="2"/>
      </tp>
      <tp t="s">
        <v>N/A</v>
        <stp/>
        <stp>VOLUME</stp>
        <stp>.NDXP251231C19600</stp>
        <tr r="X176" s="2"/>
      </tp>
      <tp t="s">
        <v>N/A</v>
        <stp/>
        <stp>VOLUME</stp>
        <stp>.NDXP251031C19600</stp>
        <tr r="T176" s="2"/>
      </tp>
      <tp t="s">
        <v>N/A</v>
        <stp/>
        <stp>VOLUME</stp>
        <stp>.NDXP250930C19700</stp>
        <tr r="R172" s="2"/>
      </tp>
      <tp t="s">
        <v>N/A</v>
        <stp/>
        <stp>VOLUME</stp>
        <stp>.NDXP250630C19700</stp>
        <tr r="L172" s="2"/>
      </tp>
      <tp t="s">
        <v>N/A</v>
        <stp/>
        <stp>VOLUME</stp>
        <stp>.NDXP250731C19600</stp>
        <tr r="N176" s="2"/>
      </tp>
      <tp>
        <v>2</v>
        <stp/>
        <stp>VOLUME</stp>
        <stp>.NDXP250530C19700</stp>
        <tr r="I172" s="2"/>
        <tr r="I172" s="2"/>
      </tp>
      <tp t="s">
        <v>N/A</v>
        <stp/>
        <stp>VOLUME</stp>
        <stp>.NDXP250606C20100</stp>
        <tr r="J156" s="2"/>
      </tp>
      <tp t="s">
        <v>N/A</v>
        <stp/>
        <stp>VOLUME</stp>
        <stp>.SPXW250829C5810</stp>
        <tr r="P92" s="2"/>
      </tp>
      <tp t="s">
        <v>N/A</v>
        <stp/>
        <stp>VOLUME</stp>
        <stp>.SPXW251128C5800</stp>
        <tr r="V93" s="2"/>
      </tp>
      <tp t="s">
        <v>N/A</v>
        <stp/>
        <stp>VOLUME</stp>
        <stp>.SPXW251128P5800</stp>
        <tr r="V93" s="2"/>
      </tp>
      <tp t="s">
        <v>N/A</v>
        <stp/>
        <stp>VOLUME</stp>
        <stp>.SPXW250829P5810</stp>
        <tr r="P92" s="2"/>
      </tp>
      <tp t="s">
        <v>N/A</v>
        <stp/>
        <stp>VOLUME</stp>
        <stp>.SPXW250829C5800</stp>
        <tr r="P93" s="2"/>
      </tp>
      <tp t="s">
        <v>N/A</v>
        <stp/>
        <stp>VOLUME</stp>
        <stp>.SPXW251128C5810</stp>
        <tr r="V92" s="2"/>
      </tp>
      <tp t="s">
        <v>N/A</v>
        <stp/>
        <stp>VOLUME</stp>
        <stp>.SPXW251128P5810</stp>
        <tr r="V92" s="2"/>
      </tp>
      <tp t="s">
        <v>N/A</v>
        <stp/>
        <stp>VOLUME</stp>
        <stp>.SPXW250829P5800</stp>
        <tr r="P93" s="2"/>
      </tp>
      <tp t="s">
        <v>N/A</v>
        <stp/>
        <stp>VOLUME</stp>
        <stp>.SPXW250829C5830</stp>
        <tr r="P90" s="2"/>
      </tp>
      <tp t="s">
        <v>N/A</v>
        <stp/>
        <stp>VOLUME</stp>
        <stp>.SPXW251128C5820</stp>
        <tr r="V91" s="2"/>
      </tp>
      <tp t="s">
        <v>N/A</v>
        <stp/>
        <stp>VOLUME</stp>
        <stp>.SPXW251128P5820</stp>
        <tr r="V91" s="2"/>
      </tp>
      <tp t="s">
        <v>N/A</v>
        <stp/>
        <stp>VOLUME</stp>
        <stp>.SPXW250829P5830</stp>
        <tr r="P90" s="2"/>
      </tp>
      <tp t="s">
        <v>N/A</v>
        <stp/>
        <stp>VOLUME</stp>
        <stp>.SPXW250829C5820</stp>
        <tr r="P91" s="2"/>
      </tp>
      <tp t="s">
        <v>N/A</v>
        <stp/>
        <stp>VOLUME</stp>
        <stp>.SPXW251128C5830</stp>
        <tr r="V90" s="2"/>
      </tp>
      <tp t="s">
        <v>N/A</v>
        <stp/>
        <stp>VOLUME</stp>
        <stp>.SPXW251128P5830</stp>
        <tr r="V90" s="2"/>
      </tp>
      <tp t="s">
        <v>N/A</v>
        <stp/>
        <stp>VOLUME</stp>
        <stp>.SPXW250829P5820</stp>
        <tr r="P91" s="2"/>
      </tp>
      <tp t="s">
        <v>N/A</v>
        <stp/>
        <stp>VOLUME</stp>
        <stp>.SPXW250829C5850</stp>
        <tr r="P88" s="2"/>
      </tp>
      <tp t="s">
        <v>N/A</v>
        <stp/>
        <stp>VOLUME</stp>
        <stp>.SPXW251128C5840</stp>
        <tr r="V89" s="2"/>
      </tp>
      <tp t="s">
        <v>N/A</v>
        <stp/>
        <stp>VOLUME</stp>
        <stp>.SPXW251128P5840</stp>
        <tr r="V89" s="2"/>
      </tp>
      <tp t="s">
        <v>N/A</v>
        <stp/>
        <stp>VOLUME</stp>
        <stp>.SPXW250829P5850</stp>
        <tr r="P88" s="2"/>
      </tp>
      <tp t="s">
        <v>N/A</v>
        <stp/>
        <stp>VOLUME</stp>
        <stp>.SPXW250829C5840</stp>
        <tr r="P89" s="2"/>
      </tp>
      <tp t="s">
        <v>N/A</v>
        <stp/>
        <stp>VOLUME</stp>
        <stp>.SPXW251128C5850</stp>
        <tr r="V88" s="2"/>
      </tp>
      <tp t="s">
        <v>N/A</v>
        <stp/>
        <stp>VOLUME</stp>
        <stp>.SPXW251128P5850</stp>
        <tr r="V88" s="2"/>
      </tp>
      <tp t="s">
        <v>N/A</v>
        <stp/>
        <stp>VOLUME</stp>
        <stp>.SPXW250829P5840</stp>
        <tr r="P89" s="2"/>
      </tp>
      <tp t="s">
        <v>N/A</v>
        <stp/>
        <stp>VOLUME</stp>
        <stp>.SPXW250829C5870</stp>
        <tr r="P86" s="2"/>
      </tp>
      <tp t="s">
        <v>N/A</v>
        <stp/>
        <stp>VOLUME</stp>
        <stp>.SPXW251128C5860</stp>
        <tr r="V87" s="2"/>
      </tp>
      <tp t="s">
        <v>N/A</v>
        <stp/>
        <stp>VOLUME</stp>
        <stp>.SPXW251128P5860</stp>
        <tr r="V87" s="2"/>
      </tp>
      <tp t="s">
        <v>N/A</v>
        <stp/>
        <stp>VOLUME</stp>
        <stp>.SPXW250829P5870</stp>
        <tr r="P86" s="2"/>
      </tp>
      <tp t="s">
        <v>N/A</v>
        <stp/>
        <stp>VOLUME</stp>
        <stp>.SPXW250829C5860</stp>
        <tr r="P87" s="2"/>
      </tp>
      <tp t="s">
        <v>N/A</v>
        <stp/>
        <stp>VOLUME</stp>
        <stp>.SPXW251128C5870</stp>
        <tr r="V86" s="2"/>
      </tp>
      <tp t="s">
        <v>N/A</v>
        <stp/>
        <stp>VOLUME</stp>
        <stp>.SPXW251128P5870</stp>
        <tr r="V86" s="2"/>
      </tp>
      <tp t="s">
        <v>N/A</v>
        <stp/>
        <stp>VOLUME</stp>
        <stp>.SPXW250829P5860</stp>
        <tr r="P87" s="2"/>
      </tp>
      <tp t="s">
        <v>N/A</v>
        <stp/>
        <stp>VOLUME</stp>
        <stp>.NDXP251231P19650</stp>
        <tr r="X174" s="2"/>
      </tp>
      <tp t="s">
        <v>N/A</v>
        <stp/>
        <stp>VOLUME</stp>
        <stp>.NDXP251031P19650</stp>
        <tr r="T174" s="2"/>
      </tp>
      <tp t="s">
        <v>N/A</v>
        <stp/>
        <stp>VOLUME</stp>
        <stp>.NDXP250930P19750</stp>
        <tr r="R170" s="2"/>
      </tp>
      <tp t="s">
        <v>N/A</v>
        <stp/>
        <stp>VOLUME</stp>
        <stp>.NDXP250630P19750</stp>
        <tr r="L170" s="2"/>
      </tp>
      <tp t="s">
        <v>N/A</v>
        <stp/>
        <stp>VOLUME</stp>
        <stp>.NDXP250731P19650</stp>
        <tr r="N174" s="2"/>
      </tp>
      <tp t="s">
        <v>N/A</v>
        <stp/>
        <stp>VOLUME</stp>
        <stp>.NDXP250530P19750</stp>
        <tr r="I170" s="2"/>
      </tp>
      <tp t="s">
        <v>N/A</v>
        <stp/>
        <stp>VOLUME</stp>
        <stp>.NDXP250606P20150</stp>
        <tr r="J154" s="2"/>
      </tp>
      <tp t="s">
        <v>N/A</v>
        <stp/>
        <stp>VOLUME</stp>
        <stp>.NDXP251231P19675</stp>
        <tr r="X173" s="2"/>
      </tp>
      <tp t="s">
        <v>N/A</v>
        <stp/>
        <stp>VOLUME</stp>
        <stp>.NDXP251031P19675</stp>
        <tr r="T173" s="2"/>
      </tp>
      <tp t="s">
        <v>N/A</v>
        <stp/>
        <stp>VOLUME</stp>
        <stp>.NDXP250930P19775</stp>
        <tr r="R169" s="2"/>
      </tp>
      <tp t="s">
        <v>N/A</v>
        <stp/>
        <stp>VOLUME</stp>
        <stp>.NDXP250731P19675</stp>
        <tr r="N173" s="2"/>
      </tp>
      <tp t="s">
        <v>N/A</v>
        <stp/>
        <stp>VOLUME</stp>
        <stp>.NDXP250630P19775</stp>
        <tr r="L169" s="2"/>
      </tp>
      <tp t="s">
        <v>N/A</v>
        <stp/>
        <stp>VOLUME</stp>
        <stp>.NDXP250530P19775</stp>
        <tr r="I169" s="2"/>
      </tp>
      <tp t="s">
        <v>N/A</v>
        <stp/>
        <stp>VOLUME</stp>
        <stp>.NDXP250606P20175</stp>
        <tr r="J153" s="2"/>
      </tp>
      <tp t="s">
        <v>N/A</v>
        <stp/>
        <stp>VOLUME</stp>
        <stp>.NDXP250930P19700</stp>
        <tr r="R172" s="2"/>
      </tp>
      <tp t="s">
        <v>N/A</v>
        <stp/>
        <stp>VOLUME</stp>
        <stp>.NDXP250630P19700</stp>
        <tr r="L172" s="2"/>
      </tp>
      <tp t="s">
        <v>N/A</v>
        <stp/>
        <stp>VOLUME</stp>
        <stp>.NDXP250731P19600</stp>
        <tr r="N176" s="2"/>
      </tp>
      <tp>
        <v>2</v>
        <stp/>
        <stp>VOLUME</stp>
        <stp>.NDXP250530P19700</stp>
        <tr r="I172" s="2"/>
        <tr r="I172" s="2"/>
      </tp>
      <tp t="s">
        <v>N/A</v>
        <stp/>
        <stp>VOLUME</stp>
        <stp>.NDXP250606P20100</stp>
        <tr r="J156" s="2"/>
      </tp>
      <tp t="s">
        <v>N/A</v>
        <stp/>
        <stp>VOLUME</stp>
        <stp>.NDXP251231P19600</stp>
        <tr r="X176" s="2"/>
      </tp>
      <tp t="s">
        <v>N/A</v>
        <stp/>
        <stp>VOLUME</stp>
        <stp>.NDXP251031P19600</stp>
        <tr r="T176" s="2"/>
      </tp>
      <tp t="s">
        <v>N/A</v>
        <stp/>
        <stp>VOLUME</stp>
        <stp>.NDXP250930P19725</stp>
        <tr r="R171" s="2"/>
      </tp>
      <tp t="s">
        <v>N/A</v>
        <stp/>
        <stp>VOLUME</stp>
        <stp>.NDXP250731P19625</stp>
        <tr r="N175" s="2"/>
      </tp>
      <tp t="s">
        <v>N/A</v>
        <stp/>
        <stp>VOLUME</stp>
        <stp>.NDXP250630P19725</stp>
        <tr r="L171" s="2"/>
      </tp>
      <tp t="s">
        <v>N/A</v>
        <stp/>
        <stp>VOLUME</stp>
        <stp>.NDXP250530P19725</stp>
        <tr r="I171" s="2"/>
      </tp>
      <tp t="s">
        <v>N/A</v>
        <stp/>
        <stp>VOLUME</stp>
        <stp>.NDXP250606P20125</stp>
        <tr r="J155" s="2"/>
      </tp>
      <tp t="s">
        <v>N/A</v>
        <stp/>
        <stp>VOLUME</stp>
        <stp>.NDXP251231P19625</stp>
        <tr r="X175" s="2"/>
      </tp>
      <tp t="s">
        <v>N/A</v>
        <stp/>
        <stp>VOLUME</stp>
        <stp>.NDXP251031P19625</stp>
        <tr r="T175" s="2"/>
      </tp>
      <tp>
        <v>9</v>
        <stp/>
        <stp>OPEN_INT</stp>
        <stp>.NDXP250509C20000</stp>
        <tr r="AS159" s="1"/>
        <tr r="AS159" s="1"/>
      </tp>
      <tp>
        <v>8</v>
        <stp/>
        <stp>OPEN_INT</stp>
        <stp>.NDXP250509C20025</stp>
        <tr r="AS158" s="1"/>
        <tr r="AS158" s="1"/>
      </tp>
      <tp>
        <v>73</v>
        <stp/>
        <stp>OPEN_INT</stp>
        <stp>.NDXP250509C20050</stp>
        <tr r="AS157" s="1"/>
        <tr r="AS157" s="1"/>
      </tp>
      <tp>
        <v>6</v>
        <stp/>
        <stp>OPEN_INT</stp>
        <stp>.NDXP250509C20075</stp>
        <tr r="AS156" s="1"/>
        <tr r="AS156" s="1"/>
      </tp>
      <tp>
        <v>3</v>
        <stp/>
        <stp>OPEN_INT</stp>
        <stp>.NDXP250509P20025</stp>
        <tr r="AT158" s="1"/>
        <tr r="AT158" s="1"/>
      </tp>
      <tp>
        <v>27</v>
        <stp/>
        <stp>OPEN_INT</stp>
        <stp>.NDXP250509P20000</stp>
        <tr r="AT159" s="1"/>
        <tr r="AT159" s="1"/>
      </tp>
      <tp>
        <v>3</v>
        <stp/>
        <stp>OPEN_INT</stp>
        <stp>.NDXP250509P20075</stp>
        <tr r="AT156" s="1"/>
        <tr r="AT156" s="1"/>
      </tp>
      <tp>
        <v>9</v>
        <stp/>
        <stp>OPEN_INT</stp>
        <stp>.NDXP250509P20050</stp>
        <tr r="AT157" s="1"/>
        <tr r="AT157" s="1"/>
      </tp>
      <tp t="s">
        <v>N/A</v>
        <stp/>
        <stp>VOLUME</stp>
        <stp>.NDXP250930C20075</stp>
        <tr r="R157" s="2"/>
      </tp>
      <tp t="s">
        <v>N/A</v>
        <stp/>
        <stp>VOLUME</stp>
        <stp>.NDXP250829C19975</stp>
        <tr r="P161" s="2"/>
      </tp>
      <tp t="s">
        <v>N/A</v>
        <stp/>
        <stp>VOLUME</stp>
        <stp>.NDXP250606C19675</stp>
        <tr r="J173" s="2"/>
      </tp>
      <tp t="s">
        <v>N/A</v>
        <stp/>
        <stp>VOLUME</stp>
        <stp>.NDXP250530C20075</stp>
        <tr r="I157" s="2"/>
      </tp>
      <tp>
        <v>6</v>
        <stp/>
        <stp>VOLUME</stp>
        <stp>.NDXP250509C19975</stp>
        <tr r="BA160" s="1"/>
        <tr r="BA160" s="1"/>
      </tp>
      <tp t="s">
        <v>N/A</v>
        <stp/>
        <stp>VOLUME</stp>
        <stp>.NDXP250630C20075</stp>
        <tr r="L157" s="2"/>
      </tp>
      <tp t="s">
        <v>N/A</v>
        <stp/>
        <stp>VOLUME</stp>
        <stp>.NDXP250731C20175</stp>
        <tr r="N153" s="2"/>
      </tp>
      <tp t="s">
        <v>N/A</v>
        <stp/>
        <stp>VOLUME</stp>
        <stp>.NDXP251031C20175</stp>
        <tr r="T153" s="2"/>
      </tp>
      <tp t="s">
        <v>N/A</v>
        <stp/>
        <stp>VOLUME</stp>
        <stp>.NDXP251128C19875</stp>
        <tr r="V165" s="2"/>
      </tp>
      <tp t="s">
        <v>N/A</v>
        <stp/>
        <stp>VOLUME</stp>
        <stp>.NDXP251231C20175</stp>
        <tr r="X153" s="2"/>
      </tp>
      <tp t="s">
        <v>N/A</v>
        <stp/>
        <stp>VOLUME</stp>
        <stp>.NDXP250930C20050</stp>
        <tr r="R158" s="2"/>
      </tp>
      <tp t="s">
        <v>N/A</v>
        <stp/>
        <stp>VOLUME</stp>
        <stp>.NDXP250829C19950</stp>
        <tr r="P162" s="2"/>
      </tp>
      <tp t="s">
        <v>N/A</v>
        <stp/>
        <stp>VOLUME</stp>
        <stp>.NDXP250606C19650</stp>
        <tr r="J174" s="2"/>
      </tp>
      <tp>
        <v>2</v>
        <stp/>
        <stp>VOLUME</stp>
        <stp>.NDXP250530C20050</stp>
        <tr r="I158" s="2"/>
        <tr r="I158" s="2"/>
      </tp>
      <tp t="s">
        <v>N/A</v>
        <stp/>
        <stp>VOLUME</stp>
        <stp>.NDXP250731C20150</stp>
        <tr r="N154" s="2"/>
      </tp>
      <tp>
        <v>22</v>
        <stp/>
        <stp>VOLUME</stp>
        <stp>.NDXP250509C19950</stp>
        <tr r="BA161" s="1"/>
        <tr r="BA161" s="1"/>
      </tp>
      <tp>
        <v>1</v>
        <stp/>
        <stp>VOLUME</stp>
        <stp>.NDXP250630C20050</stp>
        <tr r="L158" s="2"/>
        <tr r="L158" s="2"/>
      </tp>
      <tp t="s">
        <v>N/A</v>
        <stp/>
        <stp>VOLUME</stp>
        <stp>.NDXP251031C20150</stp>
        <tr r="T154" s="2"/>
      </tp>
      <tp t="s">
        <v>N/A</v>
        <stp/>
        <stp>VOLUME</stp>
        <stp>.NDXP251128C19850</stp>
        <tr r="V166" s="2"/>
      </tp>
      <tp t="s">
        <v>N/A</v>
        <stp/>
        <stp>VOLUME</stp>
        <stp>.NDXP251231C20150</stp>
        <tr r="X154" s="2"/>
      </tp>
      <tp t="s">
        <v>N/A</v>
        <stp/>
        <stp>VOLUME</stp>
        <stp>.NDXP251031C20125</stp>
        <tr r="T155" s="2"/>
      </tp>
      <tp t="s">
        <v>N/A</v>
        <stp/>
        <stp>VOLUME</stp>
        <stp>.NDXP251128C19825</stp>
        <tr r="V167" s="2"/>
      </tp>
      <tp t="s">
        <v>N/A</v>
        <stp/>
        <stp>VOLUME</stp>
        <stp>.NDXP251231C20125</stp>
        <tr r="X155" s="2"/>
      </tp>
      <tp t="s">
        <v>N/A</v>
        <stp/>
        <stp>VOLUME</stp>
        <stp>.NDXP250930C20025</stp>
        <tr r="R159" s="2"/>
      </tp>
      <tp t="s">
        <v>N/A</v>
        <stp/>
        <stp>VOLUME</stp>
        <stp>.NDXP250829C19925</stp>
        <tr r="P163" s="2"/>
      </tp>
      <tp t="s">
        <v>N/A</v>
        <stp/>
        <stp>VOLUME</stp>
        <stp>.NDXP250606C19625</stp>
        <tr r="J175" s="2"/>
      </tp>
      <tp t="s">
        <v>N/A</v>
        <stp/>
        <stp>VOLUME</stp>
        <stp>.NDXP250530C20025</stp>
        <tr r="I159" s="2"/>
      </tp>
      <tp>
        <v>5</v>
        <stp/>
        <stp>VOLUME</stp>
        <stp>.NDXP250509C19925</stp>
        <tr r="BA162" s="1"/>
        <tr r="BA162" s="1"/>
      </tp>
      <tp t="s">
        <v>N/A</v>
        <stp/>
        <stp>VOLUME</stp>
        <stp>.NDXP250630C20025</stp>
        <tr r="L159" s="2"/>
      </tp>
      <tp t="s">
        <v>N/A</v>
        <stp/>
        <stp>VOLUME</stp>
        <stp>.NDXP250731C20125</stp>
        <tr r="N155" s="2"/>
      </tp>
      <tp t="s">
        <v>N/A</v>
        <stp/>
        <stp>VOLUME</stp>
        <stp>.NDXP251031C20100</stp>
        <tr r="T156" s="2"/>
      </tp>
      <tp t="s">
        <v>N/A</v>
        <stp/>
        <stp>VOLUME</stp>
        <stp>.NDXP251128C19800</stp>
        <tr r="V168" s="2"/>
      </tp>
      <tp t="s">
        <v>N/A</v>
        <stp/>
        <stp>VOLUME</stp>
        <stp>.NDXP251231C20100</stp>
        <tr r="X156" s="2"/>
      </tp>
      <tp t="s">
        <v>N/A</v>
        <stp/>
        <stp>VOLUME</stp>
        <stp>.NDXP250930C20000</stp>
        <tr r="R160" s="2"/>
      </tp>
      <tp t="s">
        <v>N/A</v>
        <stp/>
        <stp>VOLUME</stp>
        <stp>.NDXP250829C19900</stp>
        <tr r="P164" s="2"/>
      </tp>
      <tp t="s">
        <v>N/A</v>
        <stp/>
        <stp>VOLUME</stp>
        <stp>.NDXP250606C19600</stp>
        <tr r="J176" s="2"/>
      </tp>
      <tp t="s">
        <v>N/A</v>
        <stp/>
        <stp>VOLUME</stp>
        <stp>.NDXP250530C20000</stp>
        <tr r="I160" s="2"/>
      </tp>
      <tp t="s">
        <v>N/A</v>
        <stp/>
        <stp>VOLUME</stp>
        <stp>.NDXP250731C20100</stp>
        <tr r="N156" s="2"/>
      </tp>
      <tp>
        <v>4</v>
        <stp/>
        <stp>VOLUME</stp>
        <stp>.NDXP250509C19900</stp>
        <tr r="BA163" s="1"/>
        <tr r="BA163" s="1"/>
      </tp>
      <tp t="s">
        <v>N/A</v>
        <stp/>
        <stp>VOLUME</stp>
        <stp>.NDXP250630C20000</stp>
        <tr r="L160" s="2"/>
      </tp>
      <tp t="s">
        <v>N/A</v>
        <stp/>
        <stp>VOLUME</stp>
        <stp>.NDXP251031P20150</stp>
        <tr r="T154" s="2"/>
      </tp>
      <tp t="s">
        <v>N/A</v>
        <stp/>
        <stp>VOLUME</stp>
        <stp>.NDXP251128P19850</stp>
        <tr r="V166" s="2"/>
      </tp>
      <tp t="s">
        <v>N/A</v>
        <stp/>
        <stp>VOLUME</stp>
        <stp>.NDXP251231P20150</stp>
        <tr r="X154" s="2"/>
      </tp>
      <tp t="s">
        <v>N/A</v>
        <stp/>
        <stp>VOLUME</stp>
        <stp>.NDXP250930P20050</stp>
        <tr r="R158" s="2"/>
      </tp>
      <tp t="s">
        <v>N/A</v>
        <stp/>
        <stp>VOLUME</stp>
        <stp>.NDXP250829P19950</stp>
        <tr r="P162" s="2"/>
      </tp>
      <tp t="s">
        <v>N/A</v>
        <stp/>
        <stp>VOLUME</stp>
        <stp>.NDXP250606P19650</stp>
        <tr r="J174" s="2"/>
      </tp>
      <tp t="s">
        <v>N/A</v>
        <stp/>
        <stp>VOLUME</stp>
        <stp>.NDXP250530P20050</stp>
        <tr r="I158" s="2"/>
      </tp>
      <tp t="s">
        <v>N/A</v>
        <stp/>
        <stp>VOLUME</stp>
        <stp>.NDXP250731P20150</stp>
        <tr r="N154" s="2"/>
      </tp>
      <tp>
        <v>480</v>
        <stp/>
        <stp>VOLUME</stp>
        <stp>.NDXP250509P19950</stp>
        <tr r="BB161" s="1"/>
        <tr r="BB161" s="1"/>
      </tp>
      <tp>
        <v>10</v>
        <stp/>
        <stp>VOLUME</stp>
        <stp>.NDXP250630P20050</stp>
        <tr r="L158" s="2"/>
        <tr r="L158" s="2"/>
      </tp>
      <tp t="s">
        <v>N/A</v>
        <stp/>
        <stp>VOLUME</stp>
        <stp>.NDXP251031P20175</stp>
        <tr r="T153" s="2"/>
      </tp>
      <tp t="s">
        <v>N/A</v>
        <stp/>
        <stp>VOLUME</stp>
        <stp>.NDXP251128P19875</stp>
        <tr r="V165" s="2"/>
      </tp>
      <tp t="s">
        <v>N/A</v>
        <stp/>
        <stp>VOLUME</stp>
        <stp>.NDXP251231P20175</stp>
        <tr r="X153" s="2"/>
      </tp>
      <tp t="s">
        <v>N/A</v>
        <stp/>
        <stp>VOLUME</stp>
        <stp>.NDXP250930P20075</stp>
        <tr r="R157" s="2"/>
      </tp>
      <tp t="s">
        <v>N/A</v>
        <stp/>
        <stp>VOLUME</stp>
        <stp>.NDXP250829P19975</stp>
        <tr r="P161" s="2"/>
      </tp>
      <tp t="s">
        <v>N/A</v>
        <stp/>
        <stp>VOLUME</stp>
        <stp>.NDXP250606P19675</stp>
        <tr r="J173" s="2"/>
      </tp>
      <tp>
        <v>1</v>
        <stp/>
        <stp>VOLUME</stp>
        <stp>.NDXP250530P20075</stp>
        <tr r="I157" s="2"/>
        <tr r="I157" s="2"/>
      </tp>
      <tp>
        <v>224</v>
        <stp/>
        <stp>VOLUME</stp>
        <stp>.NDXP250509P19975</stp>
        <tr r="BB160" s="1"/>
        <tr r="BB160" s="1"/>
      </tp>
      <tp t="s">
        <v>N/A</v>
        <stp/>
        <stp>VOLUME</stp>
        <stp>.NDXP250630P20075</stp>
        <tr r="L157" s="2"/>
      </tp>
      <tp t="s">
        <v>N/A</v>
        <stp/>
        <stp>VOLUME</stp>
        <stp>.NDXP250731P20175</stp>
        <tr r="N153" s="2"/>
      </tp>
      <tp t="s">
        <v>N/A</v>
        <stp/>
        <stp>VOLUME</stp>
        <stp>.NDXP250930P20000</stp>
        <tr r="R160" s="2"/>
      </tp>
      <tp t="s">
        <v>N/A</v>
        <stp/>
        <stp>VOLUME</stp>
        <stp>.NDXP250829P19900</stp>
        <tr r="P164" s="2"/>
      </tp>
      <tp t="s">
        <v>N/A</v>
        <stp/>
        <stp>VOLUME</stp>
        <stp>.NDXP250606P19600</stp>
        <tr r="J176" s="2"/>
      </tp>
      <tp t="s">
        <v>N/A</v>
        <stp/>
        <stp>VOLUME</stp>
        <stp>.NDXP250530P20000</stp>
        <tr r="I160" s="2"/>
      </tp>
      <tp t="s">
        <v>N/A</v>
        <stp/>
        <stp>VOLUME</stp>
        <stp>.NDXP250731P20100</stp>
        <tr r="N156" s="2"/>
      </tp>
      <tp>
        <v>713</v>
        <stp/>
        <stp>VOLUME</stp>
        <stp>.NDXP250509P19900</stp>
        <tr r="BB163" s="1"/>
        <tr r="BB163" s="1"/>
      </tp>
      <tp t="s">
        <v>N/A</v>
        <stp/>
        <stp>VOLUME</stp>
        <stp>.NDXP250630P20000</stp>
        <tr r="L160" s="2"/>
      </tp>
      <tp t="s">
        <v>N/A</v>
        <stp/>
        <stp>VOLUME</stp>
        <stp>.NDXP251031P20100</stp>
        <tr r="T156" s="2"/>
      </tp>
      <tp t="s">
        <v>N/A</v>
        <stp/>
        <stp>VOLUME</stp>
        <stp>.NDXP251128P19800</stp>
        <tr r="V168" s="2"/>
      </tp>
      <tp t="s">
        <v>N/A</v>
        <stp/>
        <stp>VOLUME</stp>
        <stp>.NDXP251231P20100</stp>
        <tr r="X156" s="2"/>
      </tp>
      <tp t="s">
        <v>N/A</v>
        <stp/>
        <stp>VOLUME</stp>
        <stp>.NDXP250930P20025</stp>
        <tr r="R159" s="2"/>
      </tp>
      <tp t="s">
        <v>N/A</v>
        <stp/>
        <stp>VOLUME</stp>
        <stp>.NDXP250829P19925</stp>
        <tr r="P163" s="2"/>
      </tp>
      <tp t="s">
        <v>N/A</v>
        <stp/>
        <stp>VOLUME</stp>
        <stp>.NDXP250606P19625</stp>
        <tr r="J175" s="2"/>
      </tp>
      <tp>
        <v>3</v>
        <stp/>
        <stp>VOLUME</stp>
        <stp>.NDXP250530P20025</stp>
        <tr r="I159" s="2"/>
        <tr r="I159" s="2"/>
      </tp>
      <tp>
        <v>138</v>
        <stp/>
        <stp>VOLUME</stp>
        <stp>.NDXP250509P19925</stp>
        <tr r="BB162" s="1"/>
        <tr r="BB162" s="1"/>
      </tp>
      <tp t="s">
        <v>N/A</v>
        <stp/>
        <stp>VOLUME</stp>
        <stp>.NDXP250630P20025</stp>
        <tr r="L159" s="2"/>
      </tp>
      <tp t="s">
        <v>N/A</v>
        <stp/>
        <stp>VOLUME</stp>
        <stp>.NDXP250731P20125</stp>
        <tr r="N155" s="2"/>
      </tp>
      <tp t="s">
        <v>N/A</v>
        <stp/>
        <stp>VOLUME</stp>
        <stp>.NDXP251031P20125</stp>
        <tr r="T155" s="2"/>
      </tp>
      <tp t="s">
        <v>N/A</v>
        <stp/>
        <stp>VOLUME</stp>
        <stp>.NDXP251128P19825</stp>
        <tr r="V167" s="2"/>
      </tp>
      <tp t="s">
        <v>N/A</v>
        <stp/>
        <stp>VOLUME</stp>
        <stp>.NDXP251231P20125</stp>
        <tr r="X155" s="2"/>
      </tp>
      <tp>
        <v>18</v>
        <stp/>
        <stp>OPEN_INT</stp>
        <stp>.NDXP250509C20100</stp>
        <tr r="AS155" s="1"/>
        <tr r="AS155" s="1"/>
      </tp>
      <tp>
        <v>7</v>
        <stp/>
        <stp>OPEN_INT</stp>
        <stp>.NDXP250509C20125</stp>
        <tr r="AS154" s="1"/>
        <tr r="AS154" s="1"/>
      </tp>
      <tp>
        <v>14</v>
        <stp/>
        <stp>OPEN_INT</stp>
        <stp>.NDXP250509C20150</stp>
        <tr r="AS153" s="1"/>
        <tr r="AS153" s="1"/>
      </tp>
      <tp>
        <v>21</v>
        <stp/>
        <stp>OPEN_INT</stp>
        <stp>.NDXP250509C20175</stp>
        <tr r="AS152" s="1"/>
        <tr r="AS152" s="1"/>
      </tp>
      <tp>
        <v>4</v>
        <stp/>
        <stp>OPEN_INT</stp>
        <stp>.NDXP250509P20125</stp>
        <tr r="AT154" s="1"/>
        <tr r="AT154" s="1"/>
      </tp>
      <tp>
        <v>19</v>
        <stp/>
        <stp>OPEN_INT</stp>
        <stp>.NDXP250509P20100</stp>
        <tr r="AT155" s="1"/>
        <tr r="AT155" s="1"/>
      </tp>
      <tp>
        <v>1</v>
        <stp/>
        <stp>OPEN_INT</stp>
        <stp>.NDXP250509P20175</stp>
        <tr r="AT152" s="1"/>
        <tr r="AT152" s="1"/>
      </tp>
      <tp>
        <v>23</v>
        <stp/>
        <stp>OPEN_INT</stp>
        <stp>.NDXP250509P20150</stp>
        <tr r="AT153" s="1"/>
        <tr r="AT153" s="1"/>
      </tp>
      <tp t="s">
        <v>N/A</v>
        <stp/>
        <stp>VOLUME</stp>
        <stp>.NDXP250930C20175</stp>
        <tr r="R153" s="2"/>
      </tp>
      <tp t="s">
        <v>N/A</v>
        <stp/>
        <stp>VOLUME</stp>
        <stp>.NDXP250829C19875</stp>
        <tr r="P165" s="2"/>
      </tp>
      <tp t="s">
        <v>N/A</v>
        <stp/>
        <stp>VOLUME</stp>
        <stp>.NDXP250606C19775</stp>
        <tr r="J169" s="2"/>
      </tp>
      <tp t="s">
        <v>N/A</v>
        <stp/>
        <stp>VOLUME</stp>
        <stp>.NDXP250530C20175</stp>
        <tr r="I153" s="2"/>
      </tp>
      <tp t="s">
        <v>N/A</v>
        <stp/>
        <stp>VOLUME</stp>
        <stp>.NDXP250509C19875</stp>
        <tr r="BA164" s="1"/>
      </tp>
      <tp t="s">
        <v>N/A</v>
        <stp/>
        <stp>VOLUME</stp>
        <stp>.NDXP250630C20175</stp>
        <tr r="L153" s="2"/>
      </tp>
      <tp t="s">
        <v>N/A</v>
        <stp/>
        <stp>VOLUME</stp>
        <stp>.NDXP250731C20075</stp>
        <tr r="N157" s="2"/>
      </tp>
      <tp t="s">
        <v>N/A</v>
        <stp/>
        <stp>VOLUME</stp>
        <stp>.NDXP251031C20075</stp>
        <tr r="T157" s="2"/>
      </tp>
      <tp t="s">
        <v>N/A</v>
        <stp/>
        <stp>VOLUME</stp>
        <stp>.NDXP251128C19975</stp>
        <tr r="V161" s="2"/>
      </tp>
      <tp t="s">
        <v>N/A</v>
        <stp/>
        <stp>VOLUME</stp>
        <stp>.NDXP251231C20075</stp>
        <tr r="X157" s="2"/>
      </tp>
      <tp t="s">
        <v>N/A</v>
        <stp/>
        <stp>VOLUME</stp>
        <stp>.NDXP250930C20150</stp>
        <tr r="R154" s="2"/>
      </tp>
      <tp t="s">
        <v>N/A</v>
        <stp/>
        <stp>VOLUME</stp>
        <stp>.NDXP250829C19850</stp>
        <tr r="P166" s="2"/>
      </tp>
      <tp t="s">
        <v>N/A</v>
        <stp/>
        <stp>VOLUME</stp>
        <stp>.NDXP250606C19750</stp>
        <tr r="J170" s="2"/>
      </tp>
      <tp t="s">
        <v>N/A</v>
        <stp/>
        <stp>VOLUME</stp>
        <stp>.NDXP250530C20150</stp>
        <tr r="I154" s="2"/>
      </tp>
      <tp t="s">
        <v>N/A</v>
        <stp/>
        <stp>VOLUME</stp>
        <stp>.NDXP250731C20050</stp>
        <tr r="N158" s="2"/>
      </tp>
      <tp>
        <v>3</v>
        <stp/>
        <stp>VOLUME</stp>
        <stp>.NDXP250509C19850</stp>
        <tr r="BA165" s="1"/>
        <tr r="BA165" s="1"/>
      </tp>
      <tp t="s">
        <v>N/A</v>
        <stp/>
        <stp>VOLUME</stp>
        <stp>.NDXP250630C20150</stp>
        <tr r="L154" s="2"/>
      </tp>
      <tp t="s">
        <v>N/A</v>
        <stp/>
        <stp>VOLUME</stp>
        <stp>.NDXP251031C20050</stp>
        <tr r="T158" s="2"/>
      </tp>
      <tp t="s">
        <v>N/A</v>
        <stp/>
        <stp>VOLUME</stp>
        <stp>.NDXP251128C19950</stp>
        <tr r="V162" s="2"/>
      </tp>
      <tp t="s">
        <v>N/A</v>
        <stp/>
        <stp>VOLUME</stp>
        <stp>.NDXP251231C20050</stp>
        <tr r="X158" s="2"/>
      </tp>
      <tp t="s">
        <v>N/A</v>
        <stp/>
        <stp>VOLUME</stp>
        <stp>.NDXP251031C20025</stp>
        <tr r="T159" s="2"/>
      </tp>
      <tp t="s">
        <v>N/A</v>
        <stp/>
        <stp>VOLUME</stp>
        <stp>.NDXP251128C19925</stp>
        <tr r="V163" s="2"/>
      </tp>
      <tp t="s">
        <v>N/A</v>
        <stp/>
        <stp>VOLUME</stp>
        <stp>.NDXP251231C20025</stp>
        <tr r="X159" s="2"/>
      </tp>
      <tp t="s">
        <v>N/A</v>
        <stp/>
        <stp>VOLUME</stp>
        <stp>.NDXP250930C20125</stp>
        <tr r="R155" s="2"/>
      </tp>
      <tp t="s">
        <v>N/A</v>
        <stp/>
        <stp>VOLUME</stp>
        <stp>.NDXP250829C19825</stp>
        <tr r="P167" s="2"/>
      </tp>
      <tp t="s">
        <v>N/A</v>
        <stp/>
        <stp>VOLUME</stp>
        <stp>.NDXP250606C19725</stp>
        <tr r="J171" s="2"/>
      </tp>
      <tp t="s">
        <v>N/A</v>
        <stp/>
        <stp>VOLUME</stp>
        <stp>.NDXP250530C20125</stp>
        <tr r="I155" s="2"/>
      </tp>
      <tp t="s">
        <v>N/A</v>
        <stp/>
        <stp>VOLUME</stp>
        <stp>.NDXP250509C19825</stp>
        <tr r="BA166" s="1"/>
      </tp>
      <tp t="s">
        <v>N/A</v>
        <stp/>
        <stp>VOLUME</stp>
        <stp>.NDXP250630C20125</stp>
        <tr r="L155" s="2"/>
      </tp>
      <tp t="s">
        <v>N/A</v>
        <stp/>
        <stp>VOLUME</stp>
        <stp>.NDXP250731C20025</stp>
        <tr r="N159" s="2"/>
      </tp>
      <tp t="s">
        <v>N/A</v>
        <stp/>
        <stp>VOLUME</stp>
        <stp>.NDXP251031C20000</stp>
        <tr r="T160" s="2"/>
      </tp>
      <tp t="s">
        <v>N/A</v>
        <stp/>
        <stp>VOLUME</stp>
        <stp>.NDXP251128C19900</stp>
        <tr r="V164" s="2"/>
      </tp>
      <tp t="s">
        <v>N/A</v>
        <stp/>
        <stp>VOLUME</stp>
        <stp>.NDXP251231C20000</stp>
        <tr r="X160" s="2"/>
      </tp>
      <tp t="s">
        <v>N/A</v>
        <stp/>
        <stp>VOLUME</stp>
        <stp>.NDXP250930C20100</stp>
        <tr r="R156" s="2"/>
      </tp>
      <tp t="s">
        <v>N/A</v>
        <stp/>
        <stp>VOLUME</stp>
        <stp>.NDXP250829C19800</stp>
        <tr r="P168" s="2"/>
      </tp>
      <tp t="s">
        <v>N/A</v>
        <stp/>
        <stp>VOLUME</stp>
        <stp>.NDXP250606C19700</stp>
        <tr r="J172" s="2"/>
      </tp>
      <tp t="s">
        <v>N/A</v>
        <stp/>
        <stp>VOLUME</stp>
        <stp>.NDXP250530C20100</stp>
        <tr r="I156" s="2"/>
      </tp>
      <tp t="s">
        <v>N/A</v>
        <stp/>
        <stp>VOLUME</stp>
        <stp>.NDXP250731C20000</stp>
        <tr r="N160" s="2"/>
      </tp>
      <tp>
        <v>17</v>
        <stp/>
        <stp>VOLUME</stp>
        <stp>.NDXP250509C19800</stp>
        <tr r="BA167" s="1"/>
        <tr r="BA167" s="1"/>
      </tp>
      <tp t="s">
        <v>N/A</v>
        <stp/>
        <stp>VOLUME</stp>
        <stp>.NDXP250630C20100</stp>
        <tr r="L156" s="2"/>
      </tp>
      <tp t="s">
        <v>N/A</v>
        <stp/>
        <stp>VOLUME</stp>
        <stp>.NDXP251031P20050</stp>
        <tr r="T158" s="2"/>
      </tp>
      <tp t="s">
        <v>N/A</v>
        <stp/>
        <stp>VOLUME</stp>
        <stp>.NDXP251128P19950</stp>
        <tr r="V162" s="2"/>
      </tp>
      <tp t="s">
        <v>N/A</v>
        <stp/>
        <stp>VOLUME</stp>
        <stp>.NDXP251231P20050</stp>
        <tr r="X158" s="2"/>
      </tp>
      <tp t="s">
        <v>N/A</v>
        <stp/>
        <stp>VOLUME</stp>
        <stp>.NDXP250930P20150</stp>
        <tr r="R154" s="2"/>
      </tp>
      <tp t="s">
        <v>N/A</v>
        <stp/>
        <stp>VOLUME</stp>
        <stp>.NDXP250829P19850</stp>
        <tr r="P166" s="2"/>
      </tp>
      <tp t="s">
        <v>N/A</v>
        <stp/>
        <stp>VOLUME</stp>
        <stp>.NDXP250606P19750</stp>
        <tr r="J170" s="2"/>
      </tp>
      <tp t="s">
        <v>N/A</v>
        <stp/>
        <stp>VOLUME</stp>
        <stp>.NDXP250530P20150</stp>
        <tr r="I154" s="2"/>
      </tp>
      <tp t="s">
        <v>N/A</v>
        <stp/>
        <stp>VOLUME</stp>
        <stp>.NDXP250731P20050</stp>
        <tr r="N158" s="2"/>
      </tp>
      <tp>
        <v>238</v>
        <stp/>
        <stp>VOLUME</stp>
        <stp>.NDXP250509P19850</stp>
        <tr r="BB165" s="1"/>
        <tr r="BB165" s="1"/>
      </tp>
      <tp t="s">
        <v>N/A</v>
        <stp/>
        <stp>VOLUME</stp>
        <stp>.NDXP250630P20150</stp>
        <tr r="L154" s="2"/>
      </tp>
      <tp t="s">
        <v>N/A</v>
        <stp/>
        <stp>VOLUME</stp>
        <stp>.NDXP251031P20075</stp>
        <tr r="T157" s="2"/>
      </tp>
      <tp t="s">
        <v>N/A</v>
        <stp/>
        <stp>VOLUME</stp>
        <stp>.NDXP251128P19975</stp>
        <tr r="V161" s="2"/>
      </tp>
      <tp t="s">
        <v>N/A</v>
        <stp/>
        <stp>VOLUME</stp>
        <stp>.NDXP251231P20075</stp>
        <tr r="X157" s="2"/>
      </tp>
      <tp t="s">
        <v>N/A</v>
        <stp/>
        <stp>VOLUME</stp>
        <stp>.NDXP250930P20175</stp>
        <tr r="R153" s="2"/>
      </tp>
      <tp t="s">
        <v>N/A</v>
        <stp/>
        <stp>VOLUME</stp>
        <stp>.NDXP250829P19875</stp>
        <tr r="P165" s="2"/>
      </tp>
      <tp t="s">
        <v>N/A</v>
        <stp/>
        <stp>VOLUME</stp>
        <stp>.NDXP250606P19775</stp>
        <tr r="J169" s="2"/>
      </tp>
      <tp t="s">
        <v>N/A</v>
        <stp/>
        <stp>VOLUME</stp>
        <stp>.NDXP250530P20175</stp>
        <tr r="I153" s="2"/>
      </tp>
      <tp>
        <v>140</v>
        <stp/>
        <stp>VOLUME</stp>
        <stp>.NDXP250509P19875</stp>
        <tr r="BB164" s="1"/>
        <tr r="BB164" s="1"/>
      </tp>
      <tp t="s">
        <v>N/A</v>
        <stp/>
        <stp>VOLUME</stp>
        <stp>.NDXP250630P20175</stp>
        <tr r="L153" s="2"/>
      </tp>
      <tp t="s">
        <v>N/A</v>
        <stp/>
        <stp>VOLUME</stp>
        <stp>.NDXP250731P20075</stp>
        <tr r="N157" s="2"/>
      </tp>
      <tp t="s">
        <v>N/A</v>
        <stp/>
        <stp>VOLUME</stp>
        <stp>.NDXP250930P20100</stp>
        <tr r="R156" s="2"/>
      </tp>
      <tp t="s">
        <v>N/A</v>
        <stp/>
        <stp>VOLUME</stp>
        <stp>.NDXP250829P19800</stp>
        <tr r="P168" s="2"/>
      </tp>
      <tp t="s">
        <v>N/A</v>
        <stp/>
        <stp>VOLUME</stp>
        <stp>.NDXP250606P19700</stp>
        <tr r="J172" s="2"/>
      </tp>
      <tp>
        <v>8</v>
        <stp/>
        <stp>VOLUME</stp>
        <stp>.NDXP250530P20100</stp>
        <tr r="I156" s="2"/>
        <tr r="I156" s="2"/>
      </tp>
      <tp t="s">
        <v>N/A</v>
        <stp/>
        <stp>VOLUME</stp>
        <stp>.NDXP250731P20000</stp>
        <tr r="N160" s="2"/>
      </tp>
      <tp>
        <v>2752</v>
        <stp/>
        <stp>VOLUME</stp>
        <stp>.NDXP250509P19800</stp>
        <tr r="BB167" s="1"/>
        <tr r="BB167" s="1"/>
      </tp>
      <tp t="s">
        <v>N/A</v>
        <stp/>
        <stp>VOLUME</stp>
        <stp>.NDXP250630P20100</stp>
        <tr r="L156" s="2"/>
      </tp>
      <tp t="s">
        <v>N/A</v>
        <stp/>
        <stp>VOLUME</stp>
        <stp>.NDXP251031P20000</stp>
        <tr r="T160" s="2"/>
      </tp>
      <tp t="s">
        <v>N/A</v>
        <stp/>
        <stp>VOLUME</stp>
        <stp>.NDXP251128P19900</stp>
        <tr r="V164" s="2"/>
      </tp>
      <tp t="s">
        <v>N/A</v>
        <stp/>
        <stp>VOLUME</stp>
        <stp>.NDXP251231P20000</stp>
        <tr r="X160" s="2"/>
      </tp>
      <tp t="s">
        <v>N/A</v>
        <stp/>
        <stp>VOLUME</stp>
        <stp>.NDXP250930P20125</stp>
        <tr r="R155" s="2"/>
      </tp>
      <tp t="s">
        <v>N/A</v>
        <stp/>
        <stp>VOLUME</stp>
        <stp>.NDXP250829P19825</stp>
        <tr r="P167" s="2"/>
      </tp>
      <tp t="s">
        <v>N/A</v>
        <stp/>
        <stp>VOLUME</stp>
        <stp>.NDXP250606P19725</stp>
        <tr r="J171" s="2"/>
      </tp>
      <tp>
        <v>1</v>
        <stp/>
        <stp>VOLUME</stp>
        <stp>.NDXP250530P20125</stp>
        <tr r="I155" s="2"/>
        <tr r="I155" s="2"/>
      </tp>
      <tp>
        <v>152</v>
        <stp/>
        <stp>VOLUME</stp>
        <stp>.NDXP250509P19825</stp>
        <tr r="BB166" s="1"/>
        <tr r="BB166" s="1"/>
      </tp>
      <tp t="s">
        <v>N/A</v>
        <stp/>
        <stp>VOLUME</stp>
        <stp>.NDXP250630P20125</stp>
        <tr r="L155" s="2"/>
      </tp>
      <tp t="s">
        <v>N/A</v>
        <stp/>
        <stp>VOLUME</stp>
        <stp>.NDXP250731P20025</stp>
        <tr r="N159" s="2"/>
      </tp>
      <tp t="s">
        <v>N/A</v>
        <stp/>
        <stp>VOLUME</stp>
        <stp>.NDXP251031P20025</stp>
        <tr r="T159" s="2"/>
      </tp>
      <tp t="s">
        <v>N/A</v>
        <stp/>
        <stp>VOLUME</stp>
        <stp>.NDXP251128P19925</stp>
        <tr r="V163" s="2"/>
      </tp>
      <tp t="s">
        <v>N/A</v>
        <stp/>
        <stp>VOLUME</stp>
        <stp>.NDXP251231P20025</stp>
        <tr r="X159" s="2"/>
      </tp>
      <tp>
        <v>51</v>
        <stp/>
        <stp>OPEN_INT</stp>
        <stp>.NDXP250509C20200</stp>
        <tr r="AS151" s="1"/>
        <tr r="AS151" s="1"/>
      </tp>
      <tp>
        <v>10</v>
        <stp/>
        <stp>OPEN_INT</stp>
        <stp>.NDXP250509C20225</stp>
        <tr r="AS150" s="1"/>
        <tr r="AS150" s="1"/>
      </tp>
      <tp>
        <v>2</v>
        <stp/>
        <stp>OPEN_INT</stp>
        <stp>.NDXP250509C19250</stp>
        <tr r="AS189" s="1"/>
        <tr r="AS189" s="1"/>
      </tp>
      <tp>
        <v>72</v>
        <stp/>
        <stp>OPEN_INT</stp>
        <stp>.NDXP250509C20250</stp>
        <tr r="AS149" s="1"/>
        <tr r="AS149" s="1"/>
      </tp>
      <tp>
        <v>7</v>
        <stp/>
        <stp>OPEN_INT</stp>
        <stp>.NDXP250509C19275</stp>
        <tr r="AS188" s="1"/>
        <tr r="AS188" s="1"/>
      </tp>
      <tp>
        <v>28</v>
        <stp/>
        <stp>OPEN_INT</stp>
        <stp>.NDXP250509C20275</stp>
        <tr r="AS148" s="1"/>
        <tr r="AS148" s="1"/>
      </tp>
      <tp>
        <v>16</v>
        <stp/>
        <stp>OPEN_INT</stp>
        <stp>.NDXP250509P20225</stp>
        <tr r="AT150" s="1"/>
        <tr r="AT150" s="1"/>
      </tp>
      <tp>
        <v>12</v>
        <stp/>
        <stp>OPEN_INT</stp>
        <stp>.NDXP250509P20200</stp>
        <tr r="AT151" s="1"/>
        <tr r="AT151" s="1"/>
      </tp>
      <tp>
        <v>10</v>
        <stp/>
        <stp>OPEN_INT</stp>
        <stp>.NDXP250509P19275</stp>
        <tr r="AT188" s="1"/>
        <tr r="AT188" s="1"/>
      </tp>
      <tp>
        <v>1</v>
        <stp/>
        <stp>OPEN_INT</stp>
        <stp>.NDXP250509P20275</stp>
        <tr r="AT148" s="1"/>
        <tr r="AT148" s="1"/>
      </tp>
      <tp>
        <v>36</v>
        <stp/>
        <stp>OPEN_INT</stp>
        <stp>.NDXP250509P19250</stp>
        <tr r="AT189" s="1"/>
        <tr r="AT189" s="1"/>
      </tp>
      <tp>
        <v>8</v>
        <stp/>
        <stp>OPEN_INT</stp>
        <stp>.NDXP250509P20250</stp>
        <tr r="AT149" s="1"/>
        <tr r="AT149" s="1"/>
      </tp>
      <tp>
        <v>-0.11</v>
        <stp/>
        <stp>DELTA</stp>
        <stp>.NDXP250509P19825</stp>
        <tr r="CE166" s="1"/>
        <tr r="CE166" s="1"/>
      </tp>
      <tp>
        <v>0</v>
        <stp/>
        <stp>DELTA</stp>
        <stp>.NDXP250509P19800</stp>
        <tr r="CE167" s="1"/>
        <tr r="CE167" s="1"/>
      </tp>
      <tp>
        <v>-0.12</v>
        <stp/>
        <stp>DELTA</stp>
        <stp>.NDXP250509P19875</stp>
        <tr r="CE164" s="1"/>
        <tr r="CE164" s="1"/>
      </tp>
      <tp>
        <v>-0.11</v>
        <stp/>
        <stp>DELTA</stp>
        <stp>.NDXP250509P19850</stp>
        <tr r="CE165" s="1"/>
        <tr r="CE165" s="1"/>
      </tp>
      <tp>
        <v>1</v>
        <stp/>
        <stp>DELTA</stp>
        <stp>.NDXP250509C19800</stp>
        <tr r="CD167" s="1"/>
        <tr r="CD167" s="1"/>
      </tp>
      <tp>
        <v>0.98</v>
        <stp/>
        <stp>DELTA</stp>
        <stp>.NDXP250509C19825</stp>
        <tr r="CD166" s="1"/>
        <tr r="CD166" s="1"/>
      </tp>
      <tp>
        <v>1</v>
        <stp/>
        <stp>DELTA</stp>
        <stp>.NDXP250509C19850</stp>
        <tr r="CD165" s="1"/>
        <tr r="CD165" s="1"/>
      </tp>
      <tp>
        <v>1</v>
        <stp/>
        <stp>DELTA</stp>
        <stp>.NDXP250509C19875</stp>
        <tr r="CD164" s="1"/>
        <tr r="CD164" s="1"/>
      </tp>
      <tp t="s">
        <v>N/A</v>
        <stp/>
        <stp>VOLUME</stp>
        <stp>.NDXP250930C20275</stp>
        <tr r="R149" s="2"/>
      </tp>
      <tp t="s">
        <v>N/A</v>
        <stp/>
        <stp>VOLUME</stp>
        <stp>.NDXP250930C19275</stp>
        <tr r="R189" s="2"/>
      </tp>
      <tp t="s">
        <v>N/A</v>
        <stp/>
        <stp>VOLUME</stp>
        <stp>.NDXP250731C19375</stp>
        <tr r="N185" s="2"/>
      </tp>
      <tp t="s">
        <v>N/A</v>
        <stp/>
        <stp>VOLUME</stp>
        <stp>.NDXP250606C19475</stp>
        <tr r="J181" s="2"/>
      </tp>
      <tp t="s">
        <v>N/A</v>
        <stp/>
        <stp>VOLUME</stp>
        <stp>.NDXP250630C19275</stp>
        <tr r="L189" s="2"/>
      </tp>
      <tp t="s">
        <v>N/A</v>
        <stp/>
        <stp>VOLUME</stp>
        <stp>.NDXP250530C20275</stp>
        <tr r="I149" s="2"/>
      </tp>
      <tp t="s">
        <v>N/A</v>
        <stp/>
        <stp>VOLUME</stp>
        <stp>.NDXP250530C19275</stp>
        <tr r="I189" s="2"/>
      </tp>
      <tp t="s">
        <v>N/A</v>
        <stp/>
        <stp>VOLUME</stp>
        <stp>.NDXP250606C20475</stp>
        <tr r="J141" s="2"/>
      </tp>
      <tp>
        <v>2</v>
        <stp/>
        <stp>VOLUME</stp>
        <stp>.NDXP250630C20275</stp>
        <tr r="L149" s="2"/>
        <tr r="L149" s="2"/>
      </tp>
      <tp t="s">
        <v>N/A</v>
        <stp/>
        <stp>VOLUME</stp>
        <stp>.NDXP250731C20375</stp>
        <tr r="N145" s="2"/>
      </tp>
      <tp t="s">
        <v>N/A</v>
        <stp/>
        <stp>VOLUME</stp>
        <stp>.NDXP251031C20375</stp>
        <tr r="T145" s="2"/>
      </tp>
      <tp t="s">
        <v>N/A</v>
        <stp/>
        <stp>VOLUME</stp>
        <stp>.NDXP251231C19375</stp>
        <tr r="X185" s="2"/>
      </tp>
      <tp t="s">
        <v>N/A</v>
        <stp/>
        <stp>VOLUME</stp>
        <stp>.NDXP251231C20375</stp>
        <tr r="X145" s="2"/>
      </tp>
      <tp t="s">
        <v>N/A</v>
        <stp/>
        <stp>VOLUME</stp>
        <stp>.NDXP251031C19375</stp>
        <tr r="T185" s="2"/>
      </tp>
      <tp t="s">
        <v>N/A</v>
        <stp/>
        <stp>VOLUME</stp>
        <stp>.NDXP250930C20250</stp>
        <tr r="R150" s="2"/>
      </tp>
      <tp t="s">
        <v>N/A</v>
        <stp/>
        <stp>VOLUME</stp>
        <stp>.NDXP250930C19250</stp>
        <tr r="R190" s="2"/>
      </tp>
      <tp t="s">
        <v>N/A</v>
        <stp/>
        <stp>VOLUME</stp>
        <stp>.NDXP250606C19450</stp>
        <tr r="J182" s="2"/>
      </tp>
      <tp t="s">
        <v>N/A</v>
        <stp/>
        <stp>VOLUME</stp>
        <stp>.NDXP250630C19250</stp>
        <tr r="L190" s="2"/>
      </tp>
      <tp t="s">
        <v>N/A</v>
        <stp/>
        <stp>VOLUME</stp>
        <stp>.NDXP250530C20250</stp>
        <tr r="I150" s="2"/>
      </tp>
      <tp t="s">
        <v>N/A</v>
        <stp/>
        <stp>VOLUME</stp>
        <stp>.NDXP250731C19350</stp>
        <tr r="N186" s="2"/>
      </tp>
      <tp t="s">
        <v>N/A</v>
        <stp/>
        <stp>VOLUME</stp>
        <stp>.NDXP250731C20350</stp>
        <tr r="N146" s="2"/>
      </tp>
      <tp t="s">
        <v>N/A</v>
        <stp/>
        <stp>VOLUME</stp>
        <stp>.NDXP250530C19250</stp>
        <tr r="I190" s="2"/>
      </tp>
      <tp>
        <v>16</v>
        <stp/>
        <stp>VOLUME</stp>
        <stp>.NDXP250606C20450</stp>
        <tr r="J142" s="2"/>
        <tr r="J142" s="2"/>
      </tp>
      <tp t="s">
        <v>N/A</v>
        <stp/>
        <stp>VOLUME</stp>
        <stp>.NDXP250630C20250</stp>
        <tr r="L150" s="2"/>
      </tp>
      <tp t="s">
        <v>N/A</v>
        <stp/>
        <stp>VOLUME</stp>
        <stp>.NDXP251231C19350</stp>
        <tr r="X186" s="2"/>
      </tp>
      <tp t="s">
        <v>N/A</v>
        <stp/>
        <stp>VOLUME</stp>
        <stp>.NDXP251031C20350</stp>
        <tr r="T146" s="2"/>
      </tp>
      <tp t="s">
        <v>N/A</v>
        <stp/>
        <stp>VOLUME</stp>
        <stp>.NDXP251031C19350</stp>
        <tr r="T186" s="2"/>
      </tp>
      <tp t="s">
        <v>N/A</v>
        <stp/>
        <stp>VOLUME</stp>
        <stp>.NDXP251231C20350</stp>
        <tr r="X146" s="2"/>
      </tp>
      <tp t="s">
        <v>N/A</v>
        <stp/>
        <stp>VOLUME</stp>
        <stp>.NDXP251031C20325</stp>
        <tr r="T147" s="2"/>
      </tp>
      <tp t="s">
        <v>N/A</v>
        <stp/>
        <stp>VOLUME</stp>
        <stp>.NDXP251231C19325</stp>
        <tr r="X187" s="2"/>
      </tp>
      <tp t="s">
        <v>N/A</v>
        <stp/>
        <stp>VOLUME</stp>
        <stp>.NDXP251231C20325</stp>
        <tr r="X147" s="2"/>
      </tp>
      <tp t="s">
        <v>N/A</v>
        <stp/>
        <stp>VOLUME</stp>
        <stp>.NDXP251031C19325</stp>
        <tr r="T187" s="2"/>
      </tp>
      <tp t="s">
        <v>N/A</v>
        <stp/>
        <stp>VOLUME</stp>
        <stp>.NDXP250930C20225</stp>
        <tr r="R151" s="2"/>
      </tp>
      <tp t="s">
        <v>N/A</v>
        <stp/>
        <stp>VOLUME</stp>
        <stp>.NDXP250731C19325</stp>
        <tr r="N187" s="2"/>
      </tp>
      <tp t="s">
        <v>N/A</v>
        <stp/>
        <stp>VOLUME</stp>
        <stp>.NDXP250606C19425</stp>
        <tr r="J183" s="2"/>
      </tp>
      <tp t="s">
        <v>N/A</v>
        <stp/>
        <stp>VOLUME</stp>
        <stp>.NDXP250530C20225</stp>
        <tr r="I151" s="2"/>
      </tp>
      <tp t="s">
        <v>N/A</v>
        <stp/>
        <stp>VOLUME</stp>
        <stp>.NDXP250606C20425</stp>
        <tr r="J143" s="2"/>
      </tp>
      <tp t="s">
        <v>N/A</v>
        <stp/>
        <stp>VOLUME</stp>
        <stp>.NDXP250630C20225</stp>
        <tr r="L151" s="2"/>
      </tp>
      <tp t="s">
        <v>N/A</v>
        <stp/>
        <stp>VOLUME</stp>
        <stp>.NDXP250731C20325</stp>
        <tr r="N147" s="2"/>
      </tp>
      <tp t="s">
        <v>N/A</v>
        <stp/>
        <stp>VOLUME</stp>
        <stp>.NDXP251231C19300</stp>
        <tr r="X188" s="2"/>
      </tp>
      <tp t="s">
        <v>N/A</v>
        <stp/>
        <stp>VOLUME</stp>
        <stp>.NDXP251031C20300</stp>
        <tr r="T148" s="2"/>
      </tp>
      <tp t="s">
        <v>N/A</v>
        <stp/>
        <stp>VOLUME</stp>
        <stp>.NDXP251031C19300</stp>
        <tr r="T188" s="2"/>
      </tp>
      <tp t="s">
        <v>N/A</v>
        <stp/>
        <stp>VOLUME</stp>
        <stp>.NDXP251231C20300</stp>
        <tr r="X148" s="2"/>
      </tp>
      <tp t="s">
        <v>N/A</v>
        <stp/>
        <stp>VOLUME</stp>
        <stp>.NDXP250930C20200</stp>
        <tr r="R152" s="2"/>
      </tp>
      <tp t="s">
        <v>N/A</v>
        <stp/>
        <stp>VOLUME</stp>
        <stp>.NDXP250606C19400</stp>
        <tr r="J184" s="2"/>
      </tp>
      <tp t="s">
        <v>N/A</v>
        <stp/>
        <stp>VOLUME</stp>
        <stp>.NDXP250530C20200</stp>
        <tr r="I152" s="2"/>
      </tp>
      <tp t="s">
        <v>N/A</v>
        <stp/>
        <stp>VOLUME</stp>
        <stp>.NDXP250731C19300</stp>
        <tr r="N188" s="2"/>
      </tp>
      <tp t="s">
        <v>N/A</v>
        <stp/>
        <stp>VOLUME</stp>
        <stp>.NDXP250731C20300</stp>
        <tr r="N148" s="2"/>
      </tp>
      <tp t="s">
        <v>N/A</v>
        <stp/>
        <stp>VOLUME</stp>
        <stp>.NDXP250606C20400</stp>
        <tr r="J144" s="2"/>
      </tp>
      <tp t="s">
        <v>N/A</v>
        <stp/>
        <stp>VOLUME</stp>
        <stp>.NDXP250630C20200</stp>
        <tr r="L152" s="2"/>
      </tp>
      <tp t="s">
        <v>N/A</v>
        <stp/>
        <stp>VOLUME</stp>
        <stp>.NDXP251231P19350</stp>
        <tr r="X186" s="2"/>
      </tp>
      <tp t="s">
        <v>N/A</v>
        <stp/>
        <stp>VOLUME</stp>
        <stp>.NDXP251031P20350</stp>
        <tr r="T146" s="2"/>
      </tp>
      <tp t="s">
        <v>N/A</v>
        <stp/>
        <stp>VOLUME</stp>
        <stp>.NDXP251031P19350</stp>
        <tr r="T186" s="2"/>
      </tp>
      <tp t="s">
        <v>N/A</v>
        <stp/>
        <stp>VOLUME</stp>
        <stp>.NDXP251231P20350</stp>
        <tr r="X146" s="2"/>
      </tp>
      <tp t="s">
        <v>N/A</v>
        <stp/>
        <stp>VOLUME</stp>
        <stp>.NDXP250930P20250</stp>
        <tr r="R150" s="2"/>
      </tp>
      <tp t="s">
        <v>N/A</v>
        <stp/>
        <stp>VOLUME</stp>
        <stp>.NDXP250930P19250</stp>
        <tr r="R190" s="2"/>
      </tp>
      <tp>
        <v>2</v>
        <stp/>
        <stp>VOLUME</stp>
        <stp>.NDXP250606P19450</stp>
        <tr r="J182" s="2"/>
        <tr r="J182" s="2"/>
      </tp>
      <tp t="s">
        <v>N/A</v>
        <stp/>
        <stp>VOLUME</stp>
        <stp>.NDXP250630P19250</stp>
        <tr r="L190" s="2"/>
      </tp>
      <tp t="s">
        <v>N/A</v>
        <stp/>
        <stp>VOLUME</stp>
        <stp>.NDXP250530P20250</stp>
        <tr r="I150" s="2"/>
      </tp>
      <tp t="s">
        <v>N/A</v>
        <stp/>
        <stp>VOLUME</stp>
        <stp>.NDXP250731P19350</stp>
        <tr r="N186" s="2"/>
      </tp>
      <tp t="s">
        <v>N/A</v>
        <stp/>
        <stp>VOLUME</stp>
        <stp>.NDXP250731P20350</stp>
        <tr r="N146" s="2"/>
      </tp>
      <tp t="s">
        <v>N/A</v>
        <stp/>
        <stp>VOLUME</stp>
        <stp>.NDXP250530P19250</stp>
        <tr r="I190" s="2"/>
      </tp>
      <tp t="s">
        <v>N/A</v>
        <stp/>
        <stp>VOLUME</stp>
        <stp>.NDXP250606P20450</stp>
        <tr r="J142" s="2"/>
      </tp>
      <tp t="s">
        <v>N/A</v>
        <stp/>
        <stp>VOLUME</stp>
        <stp>.NDXP250630P20250</stp>
        <tr r="L150" s="2"/>
      </tp>
      <tp t="s">
        <v>N/A</v>
        <stp/>
        <stp>VOLUME</stp>
        <stp>.NDXP251031P20375</stp>
        <tr r="T145" s="2"/>
      </tp>
      <tp t="s">
        <v>N/A</v>
        <stp/>
        <stp>VOLUME</stp>
        <stp>.NDXP251231P19375</stp>
        <tr r="X185" s="2"/>
      </tp>
      <tp t="s">
        <v>N/A</v>
        <stp/>
        <stp>VOLUME</stp>
        <stp>.NDXP251231P20375</stp>
        <tr r="X145" s="2"/>
      </tp>
      <tp t="s">
        <v>N/A</v>
        <stp/>
        <stp>VOLUME</stp>
        <stp>.NDXP251031P19375</stp>
        <tr r="T185" s="2"/>
      </tp>
      <tp t="s">
        <v>N/A</v>
        <stp/>
        <stp>VOLUME</stp>
        <stp>.NDXP250930P20275</stp>
        <tr r="R149" s="2"/>
      </tp>
      <tp t="s">
        <v>N/A</v>
        <stp/>
        <stp>VOLUME</stp>
        <stp>.NDXP250930P19275</stp>
        <tr r="R189" s="2"/>
      </tp>
      <tp t="s">
        <v>N/A</v>
        <stp/>
        <stp>VOLUME</stp>
        <stp>.NDXP250731P19375</stp>
        <tr r="N185" s="2"/>
      </tp>
      <tp t="s">
        <v>N/A</v>
        <stp/>
        <stp>VOLUME</stp>
        <stp>.NDXP250606P19475</stp>
        <tr r="J181" s="2"/>
      </tp>
      <tp t="s">
        <v>N/A</v>
        <stp/>
        <stp>VOLUME</stp>
        <stp>.NDXP250630P19275</stp>
        <tr r="L189" s="2"/>
      </tp>
      <tp t="s">
        <v>N/A</v>
        <stp/>
        <stp>VOLUME</stp>
        <stp>.NDXP250530P20275</stp>
        <tr r="I149" s="2"/>
      </tp>
      <tp t="s">
        <v>N/A</v>
        <stp/>
        <stp>VOLUME</stp>
        <stp>.NDXP250530P19275</stp>
        <tr r="I189" s="2"/>
      </tp>
      <tp t="s">
        <v>N/A</v>
        <stp/>
        <stp>VOLUME</stp>
        <stp>.NDXP250606P20475</stp>
        <tr r="J141" s="2"/>
      </tp>
      <tp t="s">
        <v>N/A</v>
        <stp/>
        <stp>VOLUME</stp>
        <stp>.NDXP250630P20275</stp>
        <tr r="L149" s="2"/>
      </tp>
      <tp t="s">
        <v>N/A</v>
        <stp/>
        <stp>VOLUME</stp>
        <stp>.NDXP250731P20375</stp>
        <tr r="N145" s="2"/>
      </tp>
      <tp t="s">
        <v>N/A</v>
        <stp/>
        <stp>VOLUME</stp>
        <stp>.NDXP250930P20200</stp>
        <tr r="R152" s="2"/>
      </tp>
      <tp t="s">
        <v>N/A</v>
        <stp/>
        <stp>VOLUME</stp>
        <stp>.NDXP250606P19400</stp>
        <tr r="J184" s="2"/>
      </tp>
      <tp>
        <v>2</v>
        <stp/>
        <stp>VOLUME</stp>
        <stp>.NDXP250530P20200</stp>
        <tr r="I152" s="2"/>
        <tr r="I152" s="2"/>
      </tp>
      <tp t="s">
        <v>N/A</v>
        <stp/>
        <stp>VOLUME</stp>
        <stp>.NDXP250731P19300</stp>
        <tr r="N188" s="2"/>
      </tp>
      <tp t="s">
        <v>N/A</v>
        <stp/>
        <stp>VOLUME</stp>
        <stp>.NDXP250731P20300</stp>
        <tr r="N148" s="2"/>
      </tp>
      <tp t="s">
        <v>N/A</v>
        <stp/>
        <stp>VOLUME</stp>
        <stp>.NDXP250606P20400</stp>
        <tr r="J144" s="2"/>
      </tp>
      <tp t="s">
        <v>N/A</v>
        <stp/>
        <stp>VOLUME</stp>
        <stp>.NDXP250630P20200</stp>
        <tr r="L152" s="2"/>
      </tp>
      <tp t="s">
        <v>N/A</v>
        <stp/>
        <stp>VOLUME</stp>
        <stp>.NDXP251231P19300</stp>
        <tr r="X188" s="2"/>
      </tp>
      <tp t="s">
        <v>N/A</v>
        <stp/>
        <stp>VOLUME</stp>
        <stp>.NDXP251031P20300</stp>
        <tr r="T148" s="2"/>
      </tp>
      <tp t="s">
        <v>N/A</v>
        <stp/>
        <stp>VOLUME</stp>
        <stp>.NDXP251031P19300</stp>
        <tr r="T188" s="2"/>
      </tp>
      <tp t="s">
        <v>N/A</v>
        <stp/>
        <stp>VOLUME</stp>
        <stp>.NDXP251231P20300</stp>
        <tr r="X148" s="2"/>
      </tp>
      <tp t="s">
        <v>N/A</v>
        <stp/>
        <stp>VOLUME</stp>
        <stp>.NDXP250930P20225</stp>
        <tr r="R151" s="2"/>
      </tp>
      <tp t="s">
        <v>N/A</v>
        <stp/>
        <stp>VOLUME</stp>
        <stp>.NDXP250731P19325</stp>
        <tr r="N187" s="2"/>
      </tp>
      <tp>
        <v>6</v>
        <stp/>
        <stp>VOLUME</stp>
        <stp>.NDXP250606P19425</stp>
        <tr r="J183" s="2"/>
        <tr r="J183" s="2"/>
      </tp>
      <tp t="s">
        <v>N/A</v>
        <stp/>
        <stp>VOLUME</stp>
        <stp>.NDXP250530P20225</stp>
        <tr r="I151" s="2"/>
      </tp>
      <tp t="s">
        <v>N/A</v>
        <stp/>
        <stp>VOLUME</stp>
        <stp>.NDXP250606P20425</stp>
        <tr r="J143" s="2"/>
      </tp>
      <tp t="s">
        <v>N/A</v>
        <stp/>
        <stp>VOLUME</stp>
        <stp>.NDXP250630P20225</stp>
        <tr r="L151" s="2"/>
      </tp>
      <tp t="s">
        <v>N/A</v>
        <stp/>
        <stp>VOLUME</stp>
        <stp>.NDXP250731P20325</stp>
        <tr r="N147" s="2"/>
      </tp>
      <tp t="s">
        <v>N/A</v>
        <stp/>
        <stp>VOLUME</stp>
        <stp>.NDXP251031P20325</stp>
        <tr r="T147" s="2"/>
      </tp>
      <tp t="s">
        <v>N/A</v>
        <stp/>
        <stp>VOLUME</stp>
        <stp>.NDXP251231P19325</stp>
        <tr r="X187" s="2"/>
      </tp>
      <tp t="s">
        <v>N/A</v>
        <stp/>
        <stp>VOLUME</stp>
        <stp>.NDXP251231P20325</stp>
        <tr r="X147" s="2"/>
      </tp>
      <tp t="s">
        <v>N/A</v>
        <stp/>
        <stp>VOLUME</stp>
        <stp>.NDXP251031P19325</stp>
        <tr r="T187" s="2"/>
      </tp>
      <tp>
        <v>4</v>
        <stp/>
        <stp>OPEN_INT</stp>
        <stp>.NDXP250509C19300</stp>
        <tr r="AS187" s="1"/>
        <tr r="AS187" s="1"/>
      </tp>
      <tp>
        <v>23</v>
        <stp/>
        <stp>OPEN_INT</stp>
        <stp>.NDXP250509C20300</stp>
        <tr r="AS147" s="1"/>
        <tr r="AS147" s="1"/>
      </tp>
      <tp>
        <v>1</v>
        <stp/>
        <stp>OPEN_INT</stp>
        <stp>.NDXP250509C19325</stp>
        <tr r="AS186" s="1"/>
        <tr r="AS186" s="1"/>
      </tp>
      <tp>
        <v>3</v>
        <stp/>
        <stp>OPEN_INT</stp>
        <stp>.NDXP250509C20325</stp>
        <tr r="AS146" s="1"/>
        <tr r="AS146" s="1"/>
      </tp>
      <tp>
        <v>4</v>
        <stp/>
        <stp>OPEN_INT</stp>
        <stp>.NDXP250509C19350</stp>
        <tr r="AS185" s="1"/>
        <tr r="AS185" s="1"/>
      </tp>
      <tp>
        <v>60</v>
        <stp/>
        <stp>OPEN_INT</stp>
        <stp>.NDXP250509C20350</stp>
        <tr r="AS145" s="1"/>
        <tr r="AS145" s="1"/>
      </tp>
      <tp>
        <v>0</v>
        <stp/>
        <stp>OPEN_INT</stp>
        <stp>.NDXP250509C19375</stp>
        <tr r="AS184" s="1"/>
        <tr r="AS184" s="1"/>
      </tp>
      <tp>
        <v>7</v>
        <stp/>
        <stp>OPEN_INT</stp>
        <stp>.NDXP250509C20375</stp>
        <tr r="AS144" s="1"/>
        <tr r="AS144" s="1"/>
      </tp>
      <tp>
        <v>32</v>
        <stp/>
        <stp>OPEN_INT</stp>
        <stp>.NDXP250509P19325</stp>
        <tr r="AT186" s="1"/>
        <tr r="AT186" s="1"/>
      </tp>
      <tp>
        <v>0</v>
        <stp/>
        <stp>OPEN_INT</stp>
        <stp>.NDXP250509P20325</stp>
        <tr r="AT146" s="1"/>
        <tr r="AT146" s="1"/>
      </tp>
      <tp>
        <v>63</v>
        <stp/>
        <stp>OPEN_INT</stp>
        <stp>.NDXP250509P19300</stp>
        <tr r="AT187" s="1"/>
        <tr r="AT187" s="1"/>
      </tp>
      <tp>
        <v>3</v>
        <stp/>
        <stp>OPEN_INT</stp>
        <stp>.NDXP250509P20300</stp>
        <tr r="AT147" s="1"/>
        <tr r="AT147" s="1"/>
      </tp>
      <tp>
        <v>26</v>
        <stp/>
        <stp>OPEN_INT</stp>
        <stp>.NDXP250509P19375</stp>
        <tr r="AT184" s="1"/>
        <tr r="AT184" s="1"/>
      </tp>
      <tp>
        <v>1</v>
        <stp/>
        <stp>OPEN_INT</stp>
        <stp>.NDXP250509P20375</stp>
        <tr r="AT144" s="1"/>
        <tr r="AT144" s="1"/>
      </tp>
      <tp>
        <v>45</v>
        <stp/>
        <stp>OPEN_INT</stp>
        <stp>.NDXP250509P19350</stp>
        <tr r="AT185" s="1"/>
        <tr r="AT185" s="1"/>
      </tp>
      <tp>
        <v>0</v>
        <stp/>
        <stp>OPEN_INT</stp>
        <stp>.NDXP250509P20350</stp>
        <tr r="AT145" s="1"/>
        <tr r="AT145" s="1"/>
      </tp>
      <tp>
        <v>0</v>
        <stp/>
        <stp>DELTA</stp>
        <stp>.NDXP250509P19925</stp>
        <tr r="CE162" s="1"/>
        <tr r="CE162" s="1"/>
      </tp>
      <tp>
        <v>0</v>
        <stp/>
        <stp>DELTA</stp>
        <stp>.NDXP250509P19900</stp>
        <tr r="CE163" s="1"/>
        <tr r="CE163" s="1"/>
      </tp>
      <tp>
        <v>-0.19</v>
        <stp/>
        <stp>DELTA</stp>
        <stp>.NDXP250509P19975</stp>
        <tr r="CE160" s="1"/>
        <tr r="CE160" s="1"/>
      </tp>
      <tp>
        <v>-0.04</v>
        <stp/>
        <stp>DELTA</stp>
        <stp>.NDXP250509P19950</stp>
        <tr r="CE161" s="1"/>
        <tr r="CE161" s="1"/>
      </tp>
      <tp>
        <v>1</v>
        <stp/>
        <stp>DELTA</stp>
        <stp>.NDXP250509C19900</stp>
        <tr r="CD163" s="1"/>
        <tr r="CD163" s="1"/>
      </tp>
      <tp>
        <v>1</v>
        <stp/>
        <stp>DELTA</stp>
        <stp>.NDXP250509C19925</stp>
        <tr r="CD162" s="1"/>
        <tr r="CD162" s="1"/>
      </tp>
      <tp>
        <v>1</v>
        <stp/>
        <stp>DELTA</stp>
        <stp>.NDXP250509C19950</stp>
        <tr r="CD161" s="1"/>
        <tr r="CD161" s="1"/>
      </tp>
      <tp>
        <v>1</v>
        <stp/>
        <stp>DELTA</stp>
        <stp>.NDXP250509C19975</stp>
        <tr r="CD160" s="1"/>
        <tr r="CD160" s="1"/>
      </tp>
      <tp t="s">
        <v>N/A</v>
        <stp/>
        <stp>VOLUME</stp>
        <stp>.NDXP250930C20375</stp>
        <tr r="R145" s="2"/>
      </tp>
      <tp t="s">
        <v>N/A</v>
        <stp/>
        <stp>VOLUME</stp>
        <stp>.NDXP250930C19375</stp>
        <tr r="R185" s="2"/>
      </tp>
      <tp t="s">
        <v>N/A</v>
        <stp/>
        <stp>VOLUME</stp>
        <stp>.NDXP250731C19275</stp>
        <tr r="N189" s="2"/>
      </tp>
      <tp t="s">
        <v>N/A</v>
        <stp/>
        <stp>VOLUME</stp>
        <stp>.NDXP250606C19575</stp>
        <tr r="J177" s="2"/>
      </tp>
      <tp t="s">
        <v>N/A</v>
        <stp/>
        <stp>VOLUME</stp>
        <stp>.NDXP250630C19375</stp>
        <tr r="L185" s="2"/>
      </tp>
      <tp>
        <v>2</v>
        <stp/>
        <stp>VOLUME</stp>
        <stp>.NDXP250530C20375</stp>
        <tr r="I145" s="2"/>
        <tr r="I145" s="2"/>
      </tp>
      <tp t="s">
        <v>N/A</v>
        <stp/>
        <stp>VOLUME</stp>
        <stp>.NDXP250530C19375</stp>
        <tr r="I185" s="2"/>
      </tp>
      <tp t="s">
        <v>N/A</v>
        <stp/>
        <stp>VOLUME</stp>
        <stp>.NDXP250630C20375</stp>
        <tr r="L145" s="2"/>
      </tp>
      <tp t="s">
        <v>N/A</v>
        <stp/>
        <stp>VOLUME</stp>
        <stp>.NDXP250731C20275</stp>
        <tr r="N149" s="2"/>
      </tp>
      <tp t="s">
        <v>N/A</v>
        <stp/>
        <stp>VOLUME</stp>
        <stp>.NDXP251031C20275</stp>
        <tr r="T149" s="2"/>
      </tp>
      <tp t="s">
        <v>N/A</v>
        <stp/>
        <stp>VOLUME</stp>
        <stp>.NDXP251231C19275</stp>
        <tr r="X189" s="2"/>
      </tp>
      <tp t="s">
        <v>N/A</v>
        <stp/>
        <stp>VOLUME</stp>
        <stp>.NDXP251231C20275</stp>
        <tr r="X149" s="2"/>
      </tp>
      <tp t="s">
        <v>N/A</v>
        <stp/>
        <stp>VOLUME</stp>
        <stp>.NDXP251031C19275</stp>
        <tr r="T189" s="2"/>
      </tp>
      <tp t="s">
        <v>N/A</v>
        <stp/>
        <stp>VOLUME</stp>
        <stp>.NDXP250930C20350</stp>
        <tr r="R146" s="2"/>
      </tp>
      <tp t="s">
        <v>N/A</v>
        <stp/>
        <stp>VOLUME</stp>
        <stp>.NDXP250930C19350</stp>
        <tr r="R186" s="2"/>
      </tp>
      <tp t="s">
        <v>N/A</v>
        <stp/>
        <stp>VOLUME</stp>
        <stp>.NDXP250606C19550</stp>
        <tr r="J178" s="2"/>
      </tp>
      <tp t="s">
        <v>N/A</v>
        <stp/>
        <stp>VOLUME</stp>
        <stp>.NDXP250630C19350</stp>
        <tr r="L186" s="2"/>
      </tp>
      <tp t="s">
        <v>N/A</v>
        <stp/>
        <stp>VOLUME</stp>
        <stp>.NDXP250530C20350</stp>
        <tr r="I146" s="2"/>
      </tp>
      <tp t="s">
        <v>N/A</v>
        <stp/>
        <stp>VOLUME</stp>
        <stp>.NDXP250731C19250</stp>
        <tr r="N190" s="2"/>
      </tp>
      <tp t="s">
        <v>N/A</v>
        <stp/>
        <stp>VOLUME</stp>
        <stp>.NDXP250731C20250</stp>
        <tr r="N150" s="2"/>
      </tp>
      <tp t="s">
        <v>N/A</v>
        <stp/>
        <stp>VOLUME</stp>
        <stp>.NDXP250530C19350</stp>
        <tr r="I186" s="2"/>
      </tp>
      <tp t="s">
        <v>N/A</v>
        <stp/>
        <stp>VOLUME</stp>
        <stp>.NDXP250606C20550</stp>
        <tr r="J138" s="2"/>
      </tp>
      <tp t="s">
        <v>N/A</v>
        <stp/>
        <stp>VOLUME</stp>
        <stp>.NDXP250630C20350</stp>
        <tr r="L146" s="2"/>
      </tp>
      <tp t="s">
        <v>N/A</v>
        <stp/>
        <stp>VOLUME</stp>
        <stp>.NDXP251231C19250</stp>
        <tr r="X190" s="2"/>
      </tp>
      <tp t="s">
        <v>N/A</v>
        <stp/>
        <stp>VOLUME</stp>
        <stp>.NDXP251031C20250</stp>
        <tr r="T150" s="2"/>
      </tp>
      <tp t="s">
        <v>N/A</v>
        <stp/>
        <stp>VOLUME</stp>
        <stp>.NDXP251031C19250</stp>
        <tr r="T190" s="2"/>
      </tp>
      <tp t="s">
        <v>N/A</v>
        <stp/>
        <stp>VOLUME</stp>
        <stp>.NDXP251231C20250</stp>
        <tr r="X150" s="2"/>
      </tp>
      <tp t="s">
        <v>N/A</v>
        <stp/>
        <stp>VOLUME</stp>
        <stp>.NDXP251031C20225</stp>
        <tr r="T151" s="2"/>
      </tp>
      <tp t="s">
        <v>N/A</v>
        <stp/>
        <stp>VOLUME</stp>
        <stp>.NDXP251231C20225</stp>
        <tr r="X151" s="2"/>
      </tp>
      <tp t="s">
        <v>N/A</v>
        <stp/>
        <stp>VOLUME</stp>
        <stp>.NDXP250930C20325</stp>
        <tr r="R147" s="2"/>
      </tp>
      <tp t="s">
        <v>N/A</v>
        <stp/>
        <stp>VOLUME</stp>
        <stp>.NDXP250930C19325</stp>
        <tr r="R187" s="2"/>
      </tp>
      <tp t="s">
        <v>N/A</v>
        <stp/>
        <stp>VOLUME</stp>
        <stp>.NDXP250606C19525</stp>
        <tr r="J179" s="2"/>
      </tp>
      <tp t="s">
        <v>N/A</v>
        <stp/>
        <stp>VOLUME</stp>
        <stp>.NDXP250630C19325</stp>
        <tr r="L187" s="2"/>
      </tp>
      <tp t="s">
        <v>N/A</v>
        <stp/>
        <stp>VOLUME</stp>
        <stp>.NDXP250530C20325</stp>
        <tr r="I147" s="2"/>
      </tp>
      <tp t="s">
        <v>N/A</v>
        <stp/>
        <stp>VOLUME</stp>
        <stp>.NDXP250530C19325</stp>
        <tr r="I187" s="2"/>
      </tp>
      <tp t="s">
        <v>N/A</v>
        <stp/>
        <stp>VOLUME</stp>
        <stp>.NDXP250606C20525</stp>
        <tr r="J139" s="2"/>
      </tp>
      <tp t="s">
        <v>N/A</v>
        <stp/>
        <stp>VOLUME</stp>
        <stp>.NDXP250630C20325</stp>
        <tr r="L147" s="2"/>
      </tp>
      <tp t="s">
        <v>N/A</v>
        <stp/>
        <stp>VOLUME</stp>
        <stp>.NDXP250731C20225</stp>
        <tr r="N151" s="2"/>
      </tp>
      <tp t="s">
        <v>N/A</v>
        <stp/>
        <stp>VOLUME</stp>
        <stp>.NDXP251031C20200</stp>
        <tr r="T152" s="2"/>
      </tp>
      <tp t="s">
        <v>N/A</v>
        <stp/>
        <stp>VOLUME</stp>
        <stp>.NDXP251231C20200</stp>
        <tr r="X152" s="2"/>
      </tp>
      <tp t="s">
        <v>N/A</v>
        <stp/>
        <stp>VOLUME</stp>
        <stp>.NDXP250930C20300</stp>
        <tr r="R148" s="2"/>
      </tp>
      <tp t="s">
        <v>N/A</v>
        <stp/>
        <stp>VOLUME</stp>
        <stp>.NDXP250930C19300</stp>
        <tr r="R188" s="2"/>
      </tp>
      <tp t="s">
        <v>N/A</v>
        <stp/>
        <stp>VOLUME</stp>
        <stp>.NDXP250606C19500</stp>
        <tr r="J180" s="2"/>
      </tp>
      <tp t="s">
        <v>N/A</v>
        <stp/>
        <stp>VOLUME</stp>
        <stp>.NDXP250630C19300</stp>
        <tr r="L188" s="2"/>
      </tp>
      <tp>
        <v>5</v>
        <stp/>
        <stp>VOLUME</stp>
        <stp>.NDXP250530C20300</stp>
        <tr r="I148" s="2"/>
        <tr r="I148" s="2"/>
      </tp>
      <tp t="s">
        <v>N/A</v>
        <stp/>
        <stp>VOLUME</stp>
        <stp>.NDXP250731C20200</stp>
        <tr r="N152" s="2"/>
      </tp>
      <tp t="s">
        <v>N/A</v>
        <stp/>
        <stp>VOLUME</stp>
        <stp>.NDXP250530C19300</stp>
        <tr r="I188" s="2"/>
      </tp>
      <tp>
        <v>4</v>
        <stp/>
        <stp>VOLUME</stp>
        <stp>.NDXP250606C20500</stp>
        <tr r="J140" s="2"/>
        <tr r="J140" s="2"/>
      </tp>
      <tp t="s">
        <v>N/A</v>
        <stp/>
        <stp>VOLUME</stp>
        <stp>.NDXP250630C20300</stp>
        <tr r="L148" s="2"/>
      </tp>
      <tp t="s">
        <v>N/A</v>
        <stp/>
        <stp>VOLUME</stp>
        <stp>.NDXP251231P19250</stp>
        <tr r="X190" s="2"/>
      </tp>
      <tp t="s">
        <v>N/A</v>
        <stp/>
        <stp>VOLUME</stp>
        <stp>.NDXP251031P20250</stp>
        <tr r="T150" s="2"/>
      </tp>
      <tp t="s">
        <v>N/A</v>
        <stp/>
        <stp>VOLUME</stp>
        <stp>.NDXP251031P19250</stp>
        <tr r="T190" s="2"/>
      </tp>
      <tp t="s">
        <v>N/A</v>
        <stp/>
        <stp>VOLUME</stp>
        <stp>.NDXP251231P20250</stp>
        <tr r="X150" s="2"/>
      </tp>
      <tp t="s">
        <v>N/A</v>
        <stp/>
        <stp>VOLUME</stp>
        <stp>.NDXP250930P20350</stp>
        <tr r="R146" s="2"/>
      </tp>
      <tp t="s">
        <v>N/A</v>
        <stp/>
        <stp>VOLUME</stp>
        <stp>.NDXP250930P19350</stp>
        <tr r="R186" s="2"/>
      </tp>
      <tp t="s">
        <v>N/A</v>
        <stp/>
        <stp>VOLUME</stp>
        <stp>.NDXP250606P19550</stp>
        <tr r="J178" s="2"/>
      </tp>
      <tp t="s">
        <v>N/A</v>
        <stp/>
        <stp>VOLUME</stp>
        <stp>.NDXP250630P19350</stp>
        <tr r="L186" s="2"/>
      </tp>
      <tp t="s">
        <v>N/A</v>
        <stp/>
        <stp>VOLUME</stp>
        <stp>.NDXP250530P20350</stp>
        <tr r="I146" s="2"/>
      </tp>
      <tp t="s">
        <v>N/A</v>
        <stp/>
        <stp>VOLUME</stp>
        <stp>.NDXP250731P19250</stp>
        <tr r="N190" s="2"/>
      </tp>
      <tp t="s">
        <v>N/A</v>
        <stp/>
        <stp>VOLUME</stp>
        <stp>.NDXP250731P20250</stp>
        <tr r="N150" s="2"/>
      </tp>
      <tp t="s">
        <v>N/A</v>
        <stp/>
        <stp>VOLUME</stp>
        <stp>.NDXP250530P19350</stp>
        <tr r="I186" s="2"/>
      </tp>
      <tp t="s">
        <v>N/A</v>
        <stp/>
        <stp>VOLUME</stp>
        <stp>.NDXP250606P20550</stp>
        <tr r="J138" s="2"/>
      </tp>
      <tp t="s">
        <v>N/A</v>
        <stp/>
        <stp>VOLUME</stp>
        <stp>.NDXP250630P20350</stp>
        <tr r="L146" s="2"/>
      </tp>
      <tp t="s">
        <v>N/A</v>
        <stp/>
        <stp>VOLUME</stp>
        <stp>.NDXP251031P20275</stp>
        <tr r="T149" s="2"/>
      </tp>
      <tp t="s">
        <v>N/A</v>
        <stp/>
        <stp>VOLUME</stp>
        <stp>.NDXP251231P19275</stp>
        <tr r="X189" s="2"/>
      </tp>
      <tp t="s">
        <v>N/A</v>
        <stp/>
        <stp>VOLUME</stp>
        <stp>.NDXP251231P20275</stp>
        <tr r="X149" s="2"/>
      </tp>
      <tp t="s">
        <v>N/A</v>
        <stp/>
        <stp>VOLUME</stp>
        <stp>.NDXP251031P19275</stp>
        <tr r="T189" s="2"/>
      </tp>
      <tp t="s">
        <v>N/A</v>
        <stp/>
        <stp>VOLUME</stp>
        <stp>.NDXP250930P20375</stp>
        <tr r="R145" s="2"/>
      </tp>
      <tp t="s">
        <v>N/A</v>
        <stp/>
        <stp>VOLUME</stp>
        <stp>.NDXP250930P19375</stp>
        <tr r="R185" s="2"/>
      </tp>
      <tp t="s">
        <v>N/A</v>
        <stp/>
        <stp>VOLUME</stp>
        <stp>.NDXP250731P19275</stp>
        <tr r="N189" s="2"/>
      </tp>
      <tp t="s">
        <v>N/A</v>
        <stp/>
        <stp>VOLUME</stp>
        <stp>.NDXP250606P19575</stp>
        <tr r="J177" s="2"/>
      </tp>
      <tp t="s">
        <v>N/A</v>
        <stp/>
        <stp>VOLUME</stp>
        <stp>.NDXP250630P19375</stp>
        <tr r="L185" s="2"/>
      </tp>
      <tp t="s">
        <v>N/A</v>
        <stp/>
        <stp>VOLUME</stp>
        <stp>.NDXP250530P20375</stp>
        <tr r="I145" s="2"/>
      </tp>
      <tp t="s">
        <v>N/A</v>
        <stp/>
        <stp>VOLUME</stp>
        <stp>.NDXP250530P19375</stp>
        <tr r="I185" s="2"/>
      </tp>
      <tp t="s">
        <v>N/A</v>
        <stp/>
        <stp>VOLUME</stp>
        <stp>.NDXP250630P20375</stp>
        <tr r="L145" s="2"/>
      </tp>
      <tp t="s">
        <v>N/A</v>
        <stp/>
        <stp>VOLUME</stp>
        <stp>.NDXP250731P20275</stp>
        <tr r="N149" s="2"/>
      </tp>
      <tp t="s">
        <v>N/A</v>
        <stp/>
        <stp>VOLUME</stp>
        <stp>.NDXP250930P20300</stp>
        <tr r="R148" s="2"/>
      </tp>
      <tp t="s">
        <v>N/A</v>
        <stp/>
        <stp>VOLUME</stp>
        <stp>.NDXP250930P19300</stp>
        <tr r="R188" s="2"/>
      </tp>
      <tp t="s">
        <v>N/A</v>
        <stp/>
        <stp>VOLUME</stp>
        <stp>.NDXP250606P19500</stp>
        <tr r="J180" s="2"/>
      </tp>
      <tp t="s">
        <v>N/A</v>
        <stp/>
        <stp>VOLUME</stp>
        <stp>.NDXP250630P19300</stp>
        <tr r="L188" s="2"/>
      </tp>
      <tp t="s">
        <v>N/A</v>
        <stp/>
        <stp>VOLUME</stp>
        <stp>.NDXP250530P20300</stp>
        <tr r="I148" s="2"/>
      </tp>
      <tp t="s">
        <v>N/A</v>
        <stp/>
        <stp>VOLUME</stp>
        <stp>.NDXP250731P20200</stp>
        <tr r="N152" s="2"/>
      </tp>
      <tp t="s">
        <v>N/A</v>
        <stp/>
        <stp>VOLUME</stp>
        <stp>.NDXP250530P19300</stp>
        <tr r="I188" s="2"/>
      </tp>
      <tp t="s">
        <v>N/A</v>
        <stp/>
        <stp>VOLUME</stp>
        <stp>.NDXP250606P20500</stp>
        <tr r="J140" s="2"/>
      </tp>
      <tp t="s">
        <v>N/A</v>
        <stp/>
        <stp>VOLUME</stp>
        <stp>.NDXP250630P20300</stp>
        <tr r="L148" s="2"/>
      </tp>
      <tp t="s">
        <v>N/A</v>
        <stp/>
        <stp>VOLUME</stp>
        <stp>.NDXP251031P20200</stp>
        <tr r="T152" s="2"/>
      </tp>
      <tp t="s">
        <v>N/A</v>
        <stp/>
        <stp>VOLUME</stp>
        <stp>.NDXP251231P20200</stp>
        <tr r="X152" s="2"/>
      </tp>
      <tp t="s">
        <v>N/A</v>
        <stp/>
        <stp>VOLUME</stp>
        <stp>.NDXP250930P20325</stp>
        <tr r="R147" s="2"/>
      </tp>
      <tp t="s">
        <v>N/A</v>
        <stp/>
        <stp>VOLUME</stp>
        <stp>.NDXP250930P19325</stp>
        <tr r="R187" s="2"/>
      </tp>
      <tp t="s">
        <v>N/A</v>
        <stp/>
        <stp>VOLUME</stp>
        <stp>.NDXP250606P19525</stp>
        <tr r="J179" s="2"/>
      </tp>
      <tp t="s">
        <v>N/A</v>
        <stp/>
        <stp>VOLUME</stp>
        <stp>.NDXP250630P19325</stp>
        <tr r="L187" s="2"/>
      </tp>
      <tp t="s">
        <v>N/A</v>
        <stp/>
        <stp>VOLUME</stp>
        <stp>.NDXP250530P20325</stp>
        <tr r="I147" s="2"/>
      </tp>
      <tp t="s">
        <v>N/A</v>
        <stp/>
        <stp>VOLUME</stp>
        <stp>.NDXP250530P19325</stp>
        <tr r="I187" s="2"/>
      </tp>
      <tp t="s">
        <v>N/A</v>
        <stp/>
        <stp>VOLUME</stp>
        <stp>.NDXP250606P20525</stp>
        <tr r="J139" s="2"/>
      </tp>
      <tp t="s">
        <v>N/A</v>
        <stp/>
        <stp>VOLUME</stp>
        <stp>.NDXP250630P20325</stp>
        <tr r="L147" s="2"/>
      </tp>
      <tp t="s">
        <v>N/A</v>
        <stp/>
        <stp>VOLUME</stp>
        <stp>.NDXP250731P20225</stp>
        <tr r="N151" s="2"/>
      </tp>
      <tp t="s">
        <v>N/A</v>
        <stp/>
        <stp>VOLUME</stp>
        <stp>.NDXP251031P20225</stp>
        <tr r="T151" s="2"/>
      </tp>
      <tp t="s">
        <v>N/A</v>
        <stp/>
        <stp>VOLUME</stp>
        <stp>.NDXP251231P20225</stp>
        <tr r="X151" s="2"/>
      </tp>
      <tp t="s">
        <v>--</v>
        <stp/>
        <stp>IMPL_VOL</stp>
        <stp>.NDXP250509C19675</stp>
        <tr r="EL172" s="1"/>
      </tp>
      <tp t="s">
        <v>--</v>
        <stp/>
        <stp>IMPL_VOL</stp>
        <stp>.NDXP250509C19650</stp>
        <tr r="EL173" s="1"/>
      </tp>
      <tp t="s">
        <v>--</v>
        <stp/>
        <stp>IMPL_VOL</stp>
        <stp>.NDXP250509C19625</stp>
        <tr r="EL174" s="1"/>
      </tp>
      <tp t="s">
        <v>166.24%</v>
        <stp/>
        <stp>IMPL_VOL</stp>
        <stp>.NDXP250509C19600</stp>
        <tr r="EL175" s="1"/>
      </tp>
      <tp t="s">
        <v>N/A</v>
        <stp/>
        <stp>VOLUME</stp>
        <stp>.NDX251219P20200</stp>
        <tr r="W152" s="2"/>
      </tp>
      <tp t="s">
        <v>N/A</v>
        <stp/>
        <stp>VOLUME</stp>
        <stp>.NDX250919P20200</stp>
        <tr r="Q152" s="2"/>
      </tp>
      <tp>
        <v>5</v>
        <stp/>
        <stp>VOLUME</stp>
        <stp>.NDX250718P20300</stp>
        <tr r="M148" s="2"/>
        <tr r="M148" s="2"/>
      </tp>
      <tp t="s">
        <v>N/A</v>
        <stp/>
        <stp>VOLUME</stp>
        <stp>.NDX250523P19800</stp>
        <tr r="H168" s="2"/>
      </tp>
      <tp t="s">
        <v>N/A</v>
        <stp/>
        <stp>VOLUME</stp>
        <stp>.NDX250718P19300</stp>
        <tr r="M188" s="2"/>
      </tp>
      <tp t="s">
        <v>N/A</v>
        <stp/>
        <stp>VOLUME</stp>
        <stp>.NDX251219P20225</stp>
        <tr r="W151" s="2"/>
      </tp>
      <tp t="s">
        <v>N/A</v>
        <stp/>
        <stp>VOLUME</stp>
        <stp>.NDX250919P20225</stp>
        <tr r="Q151" s="2"/>
      </tp>
      <tp t="s">
        <v>N/A</v>
        <stp/>
        <stp>VOLUME</stp>
        <stp>.NDX250523P19825</stp>
        <tr r="H167" s="2"/>
      </tp>
      <tp t="s">
        <v>N/A</v>
        <stp/>
        <stp>VOLUME</stp>
        <stp>.NDX250718P20325</stp>
        <tr r="M147" s="2"/>
      </tp>
      <tp t="s">
        <v>N/A</v>
        <stp/>
        <stp>VOLUME</stp>
        <stp>.NDX250718P19325</stp>
        <tr r="M187" s="2"/>
      </tp>
      <tp t="s">
        <v>N/A</v>
        <stp/>
        <stp>VOLUME</stp>
        <stp>.NDX250919P19250</stp>
        <tr r="Q190" s="2"/>
      </tp>
      <tp t="s">
        <v>N/A</v>
        <stp/>
        <stp>VOLUME</stp>
        <stp>.NDX250919P20250</stp>
        <tr r="Q150" s="2"/>
      </tp>
      <tp t="s">
        <v>N/A</v>
        <stp/>
        <stp>VOLUME</stp>
        <stp>.NDX250718P20350</stp>
        <tr r="M146" s="2"/>
      </tp>
      <tp t="s">
        <v>N/A</v>
        <stp/>
        <stp>VOLUME</stp>
        <stp>.NDX250523P19850</stp>
        <tr r="H166" s="2"/>
      </tp>
      <tp t="s">
        <v>N/A</v>
        <stp/>
        <stp>VOLUME</stp>
        <stp>.NDX250718P19350</stp>
        <tr r="M186" s="2"/>
      </tp>
      <tp t="s">
        <v>N/A</v>
        <stp/>
        <stp>VOLUME</stp>
        <stp>.NDX251219P20250</stp>
        <tr r="W150" s="2"/>
      </tp>
      <tp t="s">
        <v>N/A</v>
        <stp/>
        <stp>VOLUME</stp>
        <stp>.NDX251219P19250</stp>
        <tr r="W190" s="2"/>
      </tp>
      <tp t="s">
        <v>N/A</v>
        <stp/>
        <stp>VOLUME</stp>
        <stp>.NDX250919P19275</stp>
        <tr r="Q189" s="2"/>
      </tp>
      <tp t="s">
        <v>N/A</v>
        <stp/>
        <stp>VOLUME</stp>
        <stp>.NDX250919P20275</stp>
        <tr r="Q149" s="2"/>
      </tp>
      <tp t="s">
        <v>N/A</v>
        <stp/>
        <stp>VOLUME</stp>
        <stp>.NDX250523P19875</stp>
        <tr r="H165" s="2"/>
      </tp>
      <tp t="s">
        <v>N/A</v>
        <stp/>
        <stp>VOLUME</stp>
        <stp>.NDX250718P20375</stp>
        <tr r="M145" s="2"/>
      </tp>
      <tp t="s">
        <v>N/A</v>
        <stp/>
        <stp>VOLUME</stp>
        <stp>.NDX250718P19375</stp>
        <tr r="M185" s="2"/>
      </tp>
      <tp t="s">
        <v>N/A</v>
        <stp/>
        <stp>VOLUME</stp>
        <stp>.NDX251219P20275</stp>
        <tr r="W149" s="2"/>
      </tp>
      <tp t="s">
        <v>N/A</v>
        <stp/>
        <stp>VOLUME</stp>
        <stp>.NDX251219P19275</stp>
        <tr r="W189" s="2"/>
      </tp>
      <tp t="s">
        <v>192.02%</v>
        <stp/>
        <stp>IMPL_VOL</stp>
        <stp>.NDXP250509P19650</stp>
        <tr r="EM173" s="1"/>
      </tp>
      <tp t="s">
        <v>182.99%</v>
        <stp/>
        <stp>IMPL_VOL</stp>
        <stp>.NDXP250509P19675</stp>
        <tr r="EM172" s="1"/>
      </tp>
      <tp t="s">
        <v>115.29%</v>
        <stp/>
        <stp>IMPL_VOL</stp>
        <stp>.NDXP250509P19600</stp>
        <tr r="EM175" s="1"/>
      </tp>
      <tp t="s">
        <v>200.99%</v>
        <stp/>
        <stp>IMPL_VOL</stp>
        <stp>.NDXP250509P19625</stp>
        <tr r="EM174" s="1"/>
      </tp>
      <tp t="s">
        <v>N/A</v>
        <stp/>
        <stp>VOLUME</stp>
        <stp>.NDX250919C20225</stp>
        <tr r="Q151" s="2"/>
      </tp>
      <tp t="s">
        <v>N/A</v>
        <stp/>
        <stp>VOLUME</stp>
        <stp>.NDX250523C19825</stp>
        <tr r="H167" s="2"/>
      </tp>
      <tp t="s">
        <v>N/A</v>
        <stp/>
        <stp>VOLUME</stp>
        <stp>.NDX250718C20325</stp>
        <tr r="M147" s="2"/>
      </tp>
      <tp t="s">
        <v>N/A</v>
        <stp/>
        <stp>VOLUME</stp>
        <stp>.NDX250718C19325</stp>
        <tr r="M187" s="2"/>
      </tp>
      <tp t="s">
        <v>N/A</v>
        <stp/>
        <stp>VOLUME</stp>
        <stp>.NDX251219C20225</stp>
        <tr r="W151" s="2"/>
      </tp>
      <tp t="s">
        <v>N/A</v>
        <stp/>
        <stp>VOLUME</stp>
        <stp>.NDX250919C20200</stp>
        <tr r="Q152" s="2"/>
      </tp>
      <tp>
        <v>13</v>
        <stp/>
        <stp>VOLUME</stp>
        <stp>.NDX250718C20300</stp>
        <tr r="M148" s="2"/>
        <tr r="M148" s="2"/>
      </tp>
      <tp t="s">
        <v>N/A</v>
        <stp/>
        <stp>VOLUME</stp>
        <stp>.NDX250523C19800</stp>
        <tr r="H168" s="2"/>
      </tp>
      <tp t="s">
        <v>N/A</v>
        <stp/>
        <stp>VOLUME</stp>
        <stp>.NDX250718C19300</stp>
        <tr r="M188" s="2"/>
      </tp>
      <tp t="s">
        <v>N/A</v>
        <stp/>
        <stp>VOLUME</stp>
        <stp>.NDX251219C20200</stp>
        <tr r="W152" s="2"/>
      </tp>
      <tp t="s">
        <v>N/A</v>
        <stp/>
        <stp>VOLUME</stp>
        <stp>.NDX251219C20275</stp>
        <tr r="W149" s="2"/>
      </tp>
      <tp t="s">
        <v>N/A</v>
        <stp/>
        <stp>VOLUME</stp>
        <stp>.NDX251219C19275</stp>
        <tr r="W189" s="2"/>
      </tp>
      <tp t="s">
        <v>N/A</v>
        <stp/>
        <stp>VOLUME</stp>
        <stp>.NDX250919C19275</stp>
        <tr r="Q189" s="2"/>
      </tp>
      <tp t="s">
        <v>N/A</v>
        <stp/>
        <stp>VOLUME</stp>
        <stp>.NDX250919C20275</stp>
        <tr r="Q149" s="2"/>
      </tp>
      <tp t="s">
        <v>N/A</v>
        <stp/>
        <stp>VOLUME</stp>
        <stp>.NDX250523C19875</stp>
        <tr r="H165" s="2"/>
      </tp>
      <tp t="s">
        <v>N/A</v>
        <stp/>
        <stp>VOLUME</stp>
        <stp>.NDX250718C20375</stp>
        <tr r="M145" s="2"/>
      </tp>
      <tp t="s">
        <v>N/A</v>
        <stp/>
        <stp>VOLUME</stp>
        <stp>.NDX250718C19375</stp>
        <tr r="M185" s="2"/>
      </tp>
      <tp t="s">
        <v>N/A</v>
        <stp/>
        <stp>VOLUME</stp>
        <stp>.NDX251219C20250</stp>
        <tr r="W150" s="2"/>
      </tp>
      <tp t="s">
        <v>N/A</v>
        <stp/>
        <stp>VOLUME</stp>
        <stp>.NDX251219C19250</stp>
        <tr r="W190" s="2"/>
      </tp>
      <tp t="s">
        <v>N/A</v>
        <stp/>
        <stp>VOLUME</stp>
        <stp>.NDX250919C19250</stp>
        <tr r="Q190" s="2"/>
      </tp>
      <tp t="s">
        <v>N/A</v>
        <stp/>
        <stp>VOLUME</stp>
        <stp>.NDX250919C20250</stp>
        <tr r="Q150" s="2"/>
      </tp>
      <tp t="s">
        <v>N/A</v>
        <stp/>
        <stp>VOLUME</stp>
        <stp>.NDX250718C20350</stp>
        <tr r="M146" s="2"/>
      </tp>
      <tp t="s">
        <v>N/A</v>
        <stp/>
        <stp>VOLUME</stp>
        <stp>.NDX250523C19850</stp>
        <tr r="H166" s="2"/>
      </tp>
      <tp t="s">
        <v>N/A</v>
        <stp/>
        <stp>VOLUME</stp>
        <stp>.NDX250718C19350</stp>
        <tr r="M186" s="2"/>
      </tp>
      <tp>
        <v>0.11</v>
        <stp/>
        <stp>DELTA</stp>
        <stp>.SPX250516C5870</stp>
        <tr r="CF85" s="1"/>
        <tr r="CF85" s="1"/>
      </tp>
      <tp>
        <v>-1</v>
        <stp/>
        <stp>DELTA</stp>
        <stp>.SPX250516P5870</stp>
        <tr r="CG85" s="1"/>
        <tr r="CG85" s="1"/>
      </tp>
      <tp>
        <v>0.13</v>
        <stp/>
        <stp>DELTA</stp>
        <stp>.SPX250516C5860</stp>
        <tr r="CF86" s="1"/>
        <tr r="CF86" s="1"/>
      </tp>
      <tp>
        <v>-1</v>
        <stp/>
        <stp>DELTA</stp>
        <stp>.SPX250516P5860</stp>
        <tr r="CG86" s="1"/>
        <tr r="CG86" s="1"/>
      </tp>
      <tp>
        <v>0.14000000000000001</v>
        <stp/>
        <stp>DELTA</stp>
        <stp>.SPX250516C5850</stp>
        <tr r="CF87" s="1"/>
        <tr r="CF87" s="1"/>
      </tp>
      <tp>
        <v>-1</v>
        <stp/>
        <stp>DELTA</stp>
        <stp>.SPX250516P5850</stp>
        <tr r="CG87" s="1"/>
        <tr r="CG87" s="1"/>
      </tp>
      <tp>
        <v>0.16</v>
        <stp/>
        <stp>DELTA</stp>
        <stp>.SPX250516C5840</stp>
        <tr r="CF88" s="1"/>
        <tr r="CF88" s="1"/>
      </tp>
      <tp>
        <v>-1</v>
        <stp/>
        <stp>DELTA</stp>
        <stp>.SPX250516P5840</stp>
        <tr r="CG88" s="1"/>
        <tr r="CG88" s="1"/>
      </tp>
      <tp>
        <v>0.18</v>
        <stp/>
        <stp>DELTA</stp>
        <stp>.SPX250516C5830</stp>
        <tr r="CF89" s="1"/>
        <tr r="CF89" s="1"/>
      </tp>
      <tp>
        <v>-1</v>
        <stp/>
        <stp>DELTA</stp>
        <stp>.SPX250516P5830</stp>
        <tr r="CG89" s="1"/>
        <tr r="CG89" s="1"/>
      </tp>
      <tp>
        <v>0.2</v>
        <stp/>
        <stp>DELTA</stp>
        <stp>.SPX250516C5820</stp>
        <tr r="CF90" s="1"/>
        <tr r="CF90" s="1"/>
      </tp>
      <tp>
        <v>-1</v>
        <stp/>
        <stp>DELTA</stp>
        <stp>.SPX250516P5820</stp>
        <tr r="CG90" s="1"/>
        <tr r="CG90" s="1"/>
      </tp>
      <tp>
        <v>0.22</v>
        <stp/>
        <stp>DELTA</stp>
        <stp>.SPX250516C5810</stp>
        <tr r="CF91" s="1"/>
        <tr r="CF91" s="1"/>
      </tp>
      <tp>
        <v>-1</v>
        <stp/>
        <stp>DELTA</stp>
        <stp>.SPX250516P5810</stp>
        <tr r="CG91" s="1"/>
        <tr r="CG91" s="1"/>
      </tp>
      <tp>
        <v>0.24</v>
        <stp/>
        <stp>DELTA</stp>
        <stp>.SPX250516C5800</stp>
        <tr r="CF92" s="1"/>
        <tr r="CF92" s="1"/>
      </tp>
      <tp>
        <v>-1</v>
        <stp/>
        <stp>DELTA</stp>
        <stp>.SPX250516P5800</stp>
        <tr r="CG92" s="1"/>
        <tr r="CG92" s="1"/>
      </tp>
      <tp t="s">
        <v>--</v>
        <stp/>
        <stp>IMPL_VOL</stp>
        <stp>.NDXP250509C19775</stp>
        <tr r="EL168" s="1"/>
      </tp>
      <tp t="s">
        <v>--</v>
        <stp/>
        <stp>IMPL_VOL</stp>
        <stp>.NDXP250509C19750</stp>
        <tr r="EL169" s="1"/>
      </tp>
      <tp t="s">
        <v>--</v>
        <stp/>
        <stp>IMPL_VOL</stp>
        <stp>.NDXP250509C19725</stp>
        <tr r="EL170" s="1"/>
      </tp>
      <tp t="s">
        <v>--</v>
        <stp/>
        <stp>IMPL_VOL</stp>
        <stp>.NDXP250509C19700</stp>
        <tr r="EL171" s="1"/>
      </tp>
      <tp t="s">
        <v>N/A</v>
        <stp/>
        <stp>VOLUME</stp>
        <stp>.NDX251219P20300</stp>
        <tr r="W148" s="2"/>
      </tp>
      <tp t="s">
        <v>N/A</v>
        <stp/>
        <stp>VOLUME</stp>
        <stp>.NDX251219P19300</stp>
        <tr r="W188" s="2"/>
      </tp>
      <tp t="s">
        <v>N/A</v>
        <stp/>
        <stp>VOLUME</stp>
        <stp>.NDX250919P19300</stp>
        <tr r="Q188" s="2"/>
      </tp>
      <tp t="s">
        <v>N/A</v>
        <stp/>
        <stp>VOLUME</stp>
        <stp>.NDX250919P20300</stp>
        <tr r="Q148" s="2"/>
      </tp>
      <tp t="s">
        <v>N/A</v>
        <stp/>
        <stp>VOLUME</stp>
        <stp>.NDX250718P20200</stp>
        <tr r="M152" s="2"/>
      </tp>
      <tp t="s">
        <v>N/A</v>
        <stp/>
        <stp>VOLUME</stp>
        <stp>.NDX250523P19900</stp>
        <tr r="H164" s="2"/>
      </tp>
      <tp t="s">
        <v>N/A</v>
        <stp/>
        <stp>VOLUME</stp>
        <stp>.NDX251219P20325</stp>
        <tr r="W147" s="2"/>
      </tp>
      <tp t="s">
        <v>N/A</v>
        <stp/>
        <stp>VOLUME</stp>
        <stp>.NDX251219P19325</stp>
        <tr r="W187" s="2"/>
      </tp>
      <tp t="s">
        <v>N/A</v>
        <stp/>
        <stp>VOLUME</stp>
        <stp>.NDX250919P19325</stp>
        <tr r="Q187" s="2"/>
      </tp>
      <tp t="s">
        <v>N/A</v>
        <stp/>
        <stp>VOLUME</stp>
        <stp>.NDX250919P20325</stp>
        <tr r="Q147" s="2"/>
      </tp>
      <tp t="s">
        <v>N/A</v>
        <stp/>
        <stp>VOLUME</stp>
        <stp>.NDX250523P19925</stp>
        <tr r="H163" s="2"/>
      </tp>
      <tp t="s">
        <v>N/A</v>
        <stp/>
        <stp>VOLUME</stp>
        <stp>.NDX250718P20225</stp>
        <tr r="M151" s="2"/>
      </tp>
      <tp t="s">
        <v>N/A</v>
        <stp/>
        <stp>VOLUME</stp>
        <stp>.NDX250919P19350</stp>
        <tr r="Q186" s="2"/>
      </tp>
      <tp t="s">
        <v>N/A</v>
        <stp/>
        <stp>VOLUME</stp>
        <stp>.NDX250919P20350</stp>
        <tr r="Q146" s="2"/>
      </tp>
      <tp t="s">
        <v>N/A</v>
        <stp/>
        <stp>VOLUME</stp>
        <stp>.NDX250718P20250</stp>
        <tr r="M150" s="2"/>
      </tp>
      <tp t="s">
        <v>N/A</v>
        <stp/>
        <stp>VOLUME</stp>
        <stp>.NDX250523P19950</stp>
        <tr r="H162" s="2"/>
      </tp>
      <tp t="s">
        <v>N/A</v>
        <stp/>
        <stp>VOLUME</stp>
        <stp>.NDX250718P19250</stp>
        <tr r="M190" s="2"/>
      </tp>
      <tp t="s">
        <v>N/A</v>
        <stp/>
        <stp>VOLUME</stp>
        <stp>.NDX251219P20350</stp>
        <tr r="W146" s="2"/>
      </tp>
      <tp t="s">
        <v>N/A</v>
        <stp/>
        <stp>VOLUME</stp>
        <stp>.NDX251219P19350</stp>
        <tr r="W186" s="2"/>
      </tp>
      <tp t="s">
        <v>N/A</v>
        <stp/>
        <stp>VOLUME</stp>
        <stp>.NDX250919P19375</stp>
        <tr r="Q185" s="2"/>
      </tp>
      <tp t="s">
        <v>N/A</v>
        <stp/>
        <stp>VOLUME</stp>
        <stp>.NDX250919P20375</stp>
        <tr r="Q145" s="2"/>
      </tp>
      <tp t="s">
        <v>N/A</v>
        <stp/>
        <stp>VOLUME</stp>
        <stp>.NDX250523P19975</stp>
        <tr r="H161" s="2"/>
      </tp>
      <tp t="s">
        <v>N/A</v>
        <stp/>
        <stp>VOLUME</stp>
        <stp>.NDX250718P20275</stp>
        <tr r="M149" s="2"/>
      </tp>
      <tp t="s">
        <v>N/A</v>
        <stp/>
        <stp>VOLUME</stp>
        <stp>.NDX250718P19275</stp>
        <tr r="M189" s="2"/>
      </tp>
      <tp t="s">
        <v>N/A</v>
        <stp/>
        <stp>VOLUME</stp>
        <stp>.NDX251219P20375</stp>
        <tr r="W145" s="2"/>
      </tp>
      <tp t="s">
        <v>N/A</v>
        <stp/>
        <stp>VOLUME</stp>
        <stp>.NDX251219P19375</stp>
        <tr r="W185" s="2"/>
      </tp>
      <tp t="s">
        <v>140.23%</v>
        <stp/>
        <stp>IMPL_VOL</stp>
        <stp>.NDXP250509P19750</stp>
        <tr r="EM169" s="1"/>
      </tp>
      <tp t="s">
        <v>145.98%</v>
        <stp/>
        <stp>IMPL_VOL</stp>
        <stp>.NDXP250509P19775</stp>
        <tr r="EM168" s="1"/>
      </tp>
      <tp t="s">
        <v>129.62%</v>
        <stp/>
        <stp>IMPL_VOL</stp>
        <stp>.NDXP250509P19700</stp>
        <tr r="EM171" s="1"/>
      </tp>
      <tp t="s">
        <v>164.68%</v>
        <stp/>
        <stp>IMPL_VOL</stp>
        <stp>.NDXP250509P19725</stp>
        <tr r="EM170" s="1"/>
      </tp>
      <tp t="s">
        <v>N/A</v>
        <stp/>
        <stp>VOLUME</stp>
        <stp>.NDX250919C19325</stp>
        <tr r="Q187" s="2"/>
      </tp>
      <tp t="s">
        <v>N/A</v>
        <stp/>
        <stp>VOLUME</stp>
        <stp>.NDX250919C20325</stp>
        <tr r="Q147" s="2"/>
      </tp>
      <tp t="s">
        <v>N/A</v>
        <stp/>
        <stp>VOLUME</stp>
        <stp>.NDX250523C19925</stp>
        <tr r="H163" s="2"/>
      </tp>
      <tp t="s">
        <v>N/A</v>
        <stp/>
        <stp>VOLUME</stp>
        <stp>.NDX250718C20225</stp>
        <tr r="M151" s="2"/>
      </tp>
      <tp t="s">
        <v>N/A</v>
        <stp/>
        <stp>VOLUME</stp>
        <stp>.NDX251219C20325</stp>
        <tr r="W147" s="2"/>
      </tp>
      <tp t="s">
        <v>N/A</v>
        <stp/>
        <stp>VOLUME</stp>
        <stp>.NDX251219C19325</stp>
        <tr r="W187" s="2"/>
      </tp>
      <tp t="s">
        <v>N/A</v>
        <stp/>
        <stp>VOLUME</stp>
        <stp>.NDX250919C19300</stp>
        <tr r="Q188" s="2"/>
      </tp>
      <tp t="s">
        <v>N/A</v>
        <stp/>
        <stp>VOLUME</stp>
        <stp>.NDX250919C20300</stp>
        <tr r="Q148" s="2"/>
      </tp>
      <tp>
        <v>2</v>
        <stp/>
        <stp>VOLUME</stp>
        <stp>.NDX250718C20200</stp>
        <tr r="M152" s="2"/>
        <tr r="M152" s="2"/>
      </tp>
      <tp t="s">
        <v>N/A</v>
        <stp/>
        <stp>VOLUME</stp>
        <stp>.NDX250523C19900</stp>
        <tr r="H164" s="2"/>
      </tp>
      <tp t="s">
        <v>N/A</v>
        <stp/>
        <stp>VOLUME</stp>
        <stp>.NDX251219C20300</stp>
        <tr r="W148" s="2"/>
      </tp>
      <tp>
        <v>2</v>
        <stp/>
        <stp>VOLUME</stp>
        <stp>.NDX251219C19300</stp>
        <tr r="W188" s="2"/>
        <tr r="W188" s="2"/>
      </tp>
      <tp t="s">
        <v>N/A</v>
        <stp/>
        <stp>VOLUME</stp>
        <stp>.NDX251219C20375</stp>
        <tr r="W145" s="2"/>
      </tp>
      <tp t="s">
        <v>N/A</v>
        <stp/>
        <stp>VOLUME</stp>
        <stp>.NDX251219C19375</stp>
        <tr r="W185" s="2"/>
      </tp>
      <tp t="s">
        <v>N/A</v>
        <stp/>
        <stp>VOLUME</stp>
        <stp>.NDX250919C19375</stp>
        <tr r="Q185" s="2"/>
      </tp>
      <tp t="s">
        <v>N/A</v>
        <stp/>
        <stp>VOLUME</stp>
        <stp>.NDX250919C20375</stp>
        <tr r="Q145" s="2"/>
      </tp>
      <tp t="s">
        <v>N/A</v>
        <stp/>
        <stp>VOLUME</stp>
        <stp>.NDX250523C19975</stp>
        <tr r="H161" s="2"/>
      </tp>
      <tp t="s">
        <v>N/A</v>
        <stp/>
        <stp>VOLUME</stp>
        <stp>.NDX250718C20275</stp>
        <tr r="M149" s="2"/>
      </tp>
      <tp t="s">
        <v>N/A</v>
        <stp/>
        <stp>VOLUME</stp>
        <stp>.NDX250718C19275</stp>
        <tr r="M189" s="2"/>
      </tp>
      <tp t="s">
        <v>N/A</v>
        <stp/>
        <stp>VOLUME</stp>
        <stp>.NDX251219C20350</stp>
        <tr r="W146" s="2"/>
      </tp>
      <tp t="s">
        <v>N/A</v>
        <stp/>
        <stp>VOLUME</stp>
        <stp>.NDX251219C19350</stp>
        <tr r="W186" s="2"/>
      </tp>
      <tp t="s">
        <v>N/A</v>
        <stp/>
        <stp>VOLUME</stp>
        <stp>.NDX250919C19350</stp>
        <tr r="Q186" s="2"/>
      </tp>
      <tp t="s">
        <v>N/A</v>
        <stp/>
        <stp>VOLUME</stp>
        <stp>.NDX250919C20350</stp>
        <tr r="Q146" s="2"/>
      </tp>
      <tp t="s">
        <v>N/A</v>
        <stp/>
        <stp>VOLUME</stp>
        <stp>.NDX250718C20250</stp>
        <tr r="M150" s="2"/>
      </tp>
      <tp t="s">
        <v>N/A</v>
        <stp/>
        <stp>VOLUME</stp>
        <stp>.NDX250523C19950</stp>
        <tr r="H162" s="2"/>
      </tp>
      <tp t="s">
        <v>N/A</v>
        <stp/>
        <stp>VOLUME</stp>
        <stp>.NDX250718C19250</stp>
        <tr r="M190" s="2"/>
      </tp>
      <tp t="s">
        <v>188.81%</v>
        <stp/>
        <stp>IMPL_VOL</stp>
        <stp>.NDXP250509C20475</stp>
        <tr r="EL140" s="1"/>
      </tp>
      <tp t="s">
        <v>194.68%</v>
        <stp/>
        <stp>IMPL_VOL</stp>
        <stp>.NDXP250509C19475</stp>
        <tr r="EL180" s="1"/>
      </tp>
      <tp t="s">
        <v>143.66%</v>
        <stp/>
        <stp>IMPL_VOL</stp>
        <stp>.NDXP250509C20450</stp>
        <tr r="EL141" s="1"/>
      </tp>
      <tp t="s">
        <v>208.01%</v>
        <stp/>
        <stp>IMPL_VOL</stp>
        <stp>.NDXP250509C19450</stp>
        <tr r="EL181" s="1"/>
      </tp>
      <tp t="s">
        <v>171.47%</v>
        <stp/>
        <stp>IMPL_VOL</stp>
        <stp>.NDXP250509C20425</stp>
        <tr r="EL142" s="1"/>
      </tp>
      <tp t="s">
        <v>208.90%</v>
        <stp/>
        <stp>IMPL_VOL</stp>
        <stp>.NDXP250509C19425</stp>
        <tr r="EL182" s="1"/>
      </tp>
      <tp t="s">
        <v>70.49%</v>
        <stp/>
        <stp>IMPL_VOL</stp>
        <stp>.NDXP250509C20400</stp>
        <tr r="EL143" s="1"/>
      </tp>
      <tp t="s">
        <v>--</v>
        <stp/>
        <stp>IMPL_VOL</stp>
        <stp>.NDXP250509C19400</stp>
        <tr r="EL183" s="1"/>
      </tp>
      <tp t="s">
        <v>N/A</v>
        <stp/>
        <stp>VOLUME</stp>
        <stp>.NDX251121P19800</stp>
        <tr r="U168" s="2"/>
      </tp>
      <tp>
        <v>2</v>
        <stp/>
        <stp>VOLUME</stp>
        <stp>.NDX251219P20000</stp>
        <tr r="W160" s="2"/>
        <tr r="W160" s="2"/>
      </tp>
      <tp>
        <v>3</v>
        <stp/>
        <stp>VOLUME</stp>
        <stp>.NDX250919P20000</stp>
        <tr r="Q160" s="2"/>
        <tr r="Q160" s="2"/>
      </tp>
      <tp t="s">
        <v>N/A</v>
        <stp/>
        <stp>VOLUME</stp>
        <stp>.NDX250718P20100</stp>
        <tr r="M156" s="2"/>
      </tp>
      <tp>
        <v>1</v>
        <stp/>
        <stp>VOLUME</stp>
        <stp>.NDX250620P19900</stp>
        <tr r="BF163" s="1"/>
        <tr r="BF163" s="1"/>
      </tp>
      <tp t="s">
        <v>N/A</v>
        <stp/>
        <stp>VOLUME</stp>
        <stp>.NDX251121P19825</stp>
        <tr r="U167" s="2"/>
      </tp>
      <tp t="s">
        <v>N/A</v>
        <stp/>
        <stp>VOLUME</stp>
        <stp>.NDX251219P20025</stp>
        <tr r="W159" s="2"/>
      </tp>
      <tp t="s">
        <v>N/A</v>
        <stp/>
        <stp>VOLUME</stp>
        <stp>.NDX250919P20025</stp>
        <tr r="Q159" s="2"/>
      </tp>
      <tp t="s">
        <v>N/A</v>
        <stp/>
        <stp>VOLUME</stp>
        <stp>.NDX250718P20125</stp>
        <tr r="M155" s="2"/>
      </tp>
      <tp>
        <v>4</v>
        <stp/>
        <stp>VOLUME</stp>
        <stp>.NDX250620P19925</stp>
        <tr r="BF162" s="1"/>
        <tr r="BF162" s="1"/>
      </tp>
      <tp t="s">
        <v>N/A</v>
        <stp/>
        <stp>VOLUME</stp>
        <stp>.NDX250919P20050</stp>
        <tr r="Q158" s="2"/>
      </tp>
      <tp t="s">
        <v>N/A</v>
        <stp/>
        <stp>VOLUME</stp>
        <stp>.NDX250718P20150</stp>
        <tr r="M154" s="2"/>
      </tp>
      <tp>
        <v>6</v>
        <stp/>
        <stp>VOLUME</stp>
        <stp>.NDX250620P19950</stp>
        <tr r="BF161" s="1"/>
        <tr r="BF161" s="1"/>
      </tp>
      <tp t="s">
        <v>N/A</v>
        <stp/>
        <stp>VOLUME</stp>
        <stp>.NDX251121P19850</stp>
        <tr r="U166" s="2"/>
      </tp>
      <tp t="s">
        <v>N/A</v>
        <stp/>
        <stp>VOLUME</stp>
        <stp>.NDX251219P20050</stp>
        <tr r="W158" s="2"/>
      </tp>
      <tp t="s">
        <v>N/A</v>
        <stp/>
        <stp>VOLUME</stp>
        <stp>.NDX250919P20075</stp>
        <tr r="Q157" s="2"/>
      </tp>
      <tp t="s">
        <v>N/A</v>
        <stp/>
        <stp>VOLUME</stp>
        <stp>.NDX250718P20175</stp>
        <tr r="M153" s="2"/>
      </tp>
      <tp>
        <v>4</v>
        <stp/>
        <stp>VOLUME</stp>
        <stp>.NDX250620P19975</stp>
        <tr r="BF160" s="1"/>
        <tr r="BF160" s="1"/>
      </tp>
      <tp t="s">
        <v>N/A</v>
        <stp/>
        <stp>VOLUME</stp>
        <stp>.NDX251121P19875</stp>
        <tr r="U165" s="2"/>
      </tp>
      <tp t="s">
        <v>N/A</v>
        <stp/>
        <stp>VOLUME</stp>
        <stp>.NDX251219P20075</stp>
        <tr r="W157" s="2"/>
      </tp>
      <tp t="s">
        <v>129.34%</v>
        <stp/>
        <stp>IMPL_VOL</stp>
        <stp>.NDXP250509P20450</stp>
        <tr r="EM141" s="1"/>
      </tp>
      <tp t="s">
        <v>262.15%</v>
        <stp/>
        <stp>IMPL_VOL</stp>
        <stp>.NDXP250509P19450</stp>
        <tr r="EM181" s="1"/>
      </tp>
      <tp t="s">
        <v>141.64%</v>
        <stp/>
        <stp>IMPL_VOL</stp>
        <stp>.NDXP250509P20475</stp>
        <tr r="EM140" s="1"/>
      </tp>
      <tp t="s">
        <v>253.55%</v>
        <stp/>
        <stp>IMPL_VOL</stp>
        <stp>.NDXP250509P19475</stp>
        <tr r="EM180" s="1"/>
      </tp>
      <tp t="s">
        <v>115.41%</v>
        <stp/>
        <stp>IMPL_VOL</stp>
        <stp>.NDXP250509P20400</stp>
        <tr r="EM143" s="1"/>
      </tp>
      <tp t="s">
        <v>279.22%</v>
        <stp/>
        <stp>IMPL_VOL</stp>
        <stp>.NDXP250509P19400</stp>
        <tr r="EM183" s="1"/>
      </tp>
      <tp t="s">
        <v>127.42%</v>
        <stp/>
        <stp>IMPL_VOL</stp>
        <stp>.NDXP250509P20425</stp>
        <tr r="EM142" s="1"/>
      </tp>
      <tp t="s">
        <v>270.70%</v>
        <stp/>
        <stp>IMPL_VOL</stp>
        <stp>.NDXP250509P19425</stp>
        <tr r="EM182" s="1"/>
      </tp>
      <tp t="s">
        <v>N/A</v>
        <stp/>
        <stp>VOLUME</stp>
        <stp>.NDX250919C20025</stp>
        <tr r="Q159" s="2"/>
      </tp>
      <tp t="s">
        <v>N/A</v>
        <stp/>
        <stp>VOLUME</stp>
        <stp>.NDX250718C20125</stp>
        <tr r="M155" s="2"/>
      </tp>
      <tp t="s">
        <v>N/A</v>
        <stp/>
        <stp>VOLUME</stp>
        <stp>.NDX250620C19925</stp>
        <tr r="BE162" s="1"/>
      </tp>
      <tp t="s">
        <v>N/A</v>
        <stp/>
        <stp>VOLUME</stp>
        <stp>.NDX251121C19825</stp>
        <tr r="U167" s="2"/>
      </tp>
      <tp t="s">
        <v>N/A</v>
        <stp/>
        <stp>VOLUME</stp>
        <stp>.NDX251219C20025</stp>
        <tr r="W159" s="2"/>
      </tp>
      <tp>
        <v>5</v>
        <stp/>
        <stp>VOLUME</stp>
        <stp>.NDX250919C20000</stp>
        <tr r="Q160" s="2"/>
        <tr r="Q160" s="2"/>
      </tp>
      <tp>
        <v>2</v>
        <stp/>
        <stp>VOLUME</stp>
        <stp>.NDX250718C20100</stp>
        <tr r="M156" s="2"/>
        <tr r="M156" s="2"/>
      </tp>
      <tp>
        <v>2</v>
        <stp/>
        <stp>VOLUME</stp>
        <stp>.NDX250620C19900</stp>
        <tr r="BE163" s="1"/>
        <tr r="BE163" s="1"/>
      </tp>
      <tp t="s">
        <v>N/A</v>
        <stp/>
        <stp>VOLUME</stp>
        <stp>.NDX251121C19800</stp>
        <tr r="U168" s="2"/>
      </tp>
      <tp t="s">
        <v>N/A</v>
        <stp/>
        <stp>VOLUME</stp>
        <stp>.NDX251219C20000</stp>
        <tr r="W160" s="2"/>
      </tp>
      <tp t="s">
        <v>N/A</v>
        <stp/>
        <stp>VOLUME</stp>
        <stp>.NDX251121C19875</stp>
        <tr r="U165" s="2"/>
      </tp>
      <tp t="s">
        <v>N/A</v>
        <stp/>
        <stp>VOLUME</stp>
        <stp>.NDX251219C20075</stp>
        <tr r="W157" s="2"/>
      </tp>
      <tp t="s">
        <v>N/A</v>
        <stp/>
        <stp>VOLUME</stp>
        <stp>.NDX250919C20075</stp>
        <tr r="Q157" s="2"/>
      </tp>
      <tp t="s">
        <v>N/A</v>
        <stp/>
        <stp>VOLUME</stp>
        <stp>.NDX250718C20175</stp>
        <tr r="M153" s="2"/>
      </tp>
      <tp t="s">
        <v>N/A</v>
        <stp/>
        <stp>VOLUME</stp>
        <stp>.NDX250620C19975</stp>
        <tr r="BE160" s="1"/>
      </tp>
      <tp t="s">
        <v>N/A</v>
        <stp/>
        <stp>VOLUME</stp>
        <stp>.NDX251121C19850</stp>
        <tr r="U166" s="2"/>
      </tp>
      <tp t="s">
        <v>N/A</v>
        <stp/>
        <stp>VOLUME</stp>
        <stp>.NDX251219C20050</stp>
        <tr r="W158" s="2"/>
      </tp>
      <tp t="s">
        <v>N/A</v>
        <stp/>
        <stp>VOLUME</stp>
        <stp>.NDX250919C20050</stp>
        <tr r="Q158" s="2"/>
      </tp>
      <tp t="s">
        <v>N/A</v>
        <stp/>
        <stp>VOLUME</stp>
        <stp>.NDX250718C20150</stp>
        <tr r="M154" s="2"/>
      </tp>
      <tp>
        <v>4</v>
        <stp/>
        <stp>VOLUME</stp>
        <stp>.NDX250620C19950</stp>
        <tr r="BE161" s="1"/>
        <tr r="BE161" s="1"/>
      </tp>
      <tp t="s">
        <v>--</v>
        <stp/>
        <stp>IMPL_VOL</stp>
        <stp>.NDXP250509C19575</stp>
        <tr r="EL176" s="1"/>
      </tp>
      <tp t="s">
        <v>214.14%</v>
        <stp/>
        <stp>IMPL_VOL</stp>
        <stp>.NDXP250509C20550</stp>
        <tr r="EL137" s="1"/>
      </tp>
      <tp t="s">
        <v>181.25%</v>
        <stp/>
        <stp>IMPL_VOL</stp>
        <stp>.NDXP250509C19550</stp>
        <tr r="EL177" s="1"/>
      </tp>
      <tp t="s">
        <v>205.78%</v>
        <stp/>
        <stp>IMPL_VOL</stp>
        <stp>.NDXP250509C20525</stp>
        <tr r="EL138" s="1"/>
      </tp>
      <tp t="s">
        <v>--</v>
        <stp/>
        <stp>IMPL_VOL</stp>
        <stp>.NDXP250509C19525</stp>
        <tr r="EL178" s="1"/>
      </tp>
      <tp t="s">
        <v>89.38%</v>
        <stp/>
        <stp>IMPL_VOL</stp>
        <stp>.NDXP250509C20500</stp>
        <tr r="EL139" s="1"/>
      </tp>
      <tp t="s">
        <v>193.41%</v>
        <stp/>
        <stp>IMPL_VOL</stp>
        <stp>.NDXP250509C19500</stp>
        <tr r="EL179" s="1"/>
      </tp>
      <tp t="s">
        <v>N/A</v>
        <stp/>
        <stp>VOLUME</stp>
        <stp>.NDX251121P19900</stp>
        <tr r="U164" s="2"/>
      </tp>
      <tp>
        <v>8</v>
        <stp/>
        <stp>VOLUME</stp>
        <stp>.NDX251219P20100</stp>
        <tr r="W156" s="2"/>
        <tr r="W156" s="2"/>
      </tp>
      <tp>
        <v>1</v>
        <stp/>
        <stp>VOLUME</stp>
        <stp>.NDX250919P20100</stp>
        <tr r="Q156" s="2"/>
        <tr r="Q156" s="2"/>
      </tp>
      <tp>
        <v>2</v>
        <stp/>
        <stp>VOLUME</stp>
        <stp>.NDX250718P20000</stp>
        <tr r="M160" s="2"/>
        <tr r="M160" s="2"/>
      </tp>
      <tp>
        <v>1</v>
        <stp/>
        <stp>VOLUME</stp>
        <stp>.NDX250620P19800</stp>
        <tr r="BF167" s="1"/>
        <tr r="BF167" s="1"/>
      </tp>
      <tp t="s">
        <v>N/A</v>
        <stp/>
        <stp>VOLUME</stp>
        <stp>.NDX251121P19925</stp>
        <tr r="U163" s="2"/>
      </tp>
      <tp t="s">
        <v>N/A</v>
        <stp/>
        <stp>VOLUME</stp>
        <stp>.NDX251219P20125</stp>
        <tr r="W155" s="2"/>
      </tp>
      <tp t="s">
        <v>N/A</v>
        <stp/>
        <stp>VOLUME</stp>
        <stp>.NDX250919P20125</stp>
        <tr r="Q155" s="2"/>
      </tp>
      <tp t="s">
        <v>N/A</v>
        <stp/>
        <stp>VOLUME</stp>
        <stp>.NDX250718P20025</stp>
        <tr r="M159" s="2"/>
      </tp>
      <tp>
        <v>1</v>
        <stp/>
        <stp>VOLUME</stp>
        <stp>.NDX250620P19825</stp>
        <tr r="BF166" s="1"/>
        <tr r="BF166" s="1"/>
      </tp>
      <tp t="s">
        <v>N/A</v>
        <stp/>
        <stp>VOLUME</stp>
        <stp>.NDX250919P20150</stp>
        <tr r="Q154" s="2"/>
      </tp>
      <tp t="s">
        <v>N/A</v>
        <stp/>
        <stp>VOLUME</stp>
        <stp>.NDX250718P20050</stp>
        <tr r="M158" s="2"/>
      </tp>
      <tp>
        <v>2</v>
        <stp/>
        <stp>VOLUME</stp>
        <stp>.NDX250620P19850</stp>
        <tr r="BF165" s="1"/>
        <tr r="BF165" s="1"/>
      </tp>
      <tp t="s">
        <v>N/A</v>
        <stp/>
        <stp>VOLUME</stp>
        <stp>.NDX251121P19950</stp>
        <tr r="U162" s="2"/>
      </tp>
      <tp t="s">
        <v>N/A</v>
        <stp/>
        <stp>VOLUME</stp>
        <stp>.NDX251219P20150</stp>
        <tr r="W154" s="2"/>
      </tp>
      <tp t="s">
        <v>N/A</v>
        <stp/>
        <stp>VOLUME</stp>
        <stp>.NDX250919P20175</stp>
        <tr r="Q153" s="2"/>
      </tp>
      <tp t="s">
        <v>N/A</v>
        <stp/>
        <stp>VOLUME</stp>
        <stp>.NDX250718P20075</stp>
        <tr r="M157" s="2"/>
      </tp>
      <tp t="s">
        <v>N/A</v>
        <stp/>
        <stp>VOLUME</stp>
        <stp>.NDX250620P19875</stp>
        <tr r="BF164" s="1"/>
      </tp>
      <tp t="s">
        <v>N/A</v>
        <stp/>
        <stp>VOLUME</stp>
        <stp>.NDX251121P19975</stp>
        <tr r="U161" s="2"/>
      </tp>
      <tp t="s">
        <v>N/A</v>
        <stp/>
        <stp>VOLUME</stp>
        <stp>.NDX251219P20175</stp>
        <tr r="W153" s="2"/>
      </tp>
      <tp t="s">
        <v>--</v>
        <stp/>
        <stp>IMPL_VOL</stp>
        <stp>.NDXP250509P20550</stp>
        <tr r="EM137" s="1"/>
      </tp>
      <tp t="s">
        <v>196.36%</v>
        <stp/>
        <stp>IMPL_VOL</stp>
        <stp>.NDXP250509P19550</stp>
        <tr r="EM177" s="1"/>
      </tp>
      <tp t="s">
        <v>218.72%</v>
        <stp/>
        <stp>IMPL_VOL</stp>
        <stp>.NDXP250509P19575</stp>
        <tr r="EM176" s="1"/>
      </tp>
      <tp t="s">
        <v>--</v>
        <stp/>
        <stp>IMPL_VOL</stp>
        <stp>.NDXP250509P20500</stp>
        <tr r="EM139" s="1"/>
      </tp>
      <tp t="s">
        <v>163.57%</v>
        <stp/>
        <stp>IMPL_VOL</stp>
        <stp>.NDXP250509P19500</stp>
        <tr r="EM179" s="1"/>
      </tp>
      <tp t="s">
        <v>136.95%</v>
        <stp/>
        <stp>IMPL_VOL</stp>
        <stp>.NDXP250509P20525</stp>
        <tr r="EM138" s="1"/>
      </tp>
      <tp t="s">
        <v>157.68%</v>
        <stp/>
        <stp>IMPL_VOL</stp>
        <stp>.NDXP250509P19525</stp>
        <tr r="EM178" s="1"/>
      </tp>
      <tp t="s">
        <v>N/A</v>
        <stp/>
        <stp>VOLUME</stp>
        <stp>.NDX250919C20125</stp>
        <tr r="Q155" s="2"/>
      </tp>
      <tp t="s">
        <v>N/A</v>
        <stp/>
        <stp>VOLUME</stp>
        <stp>.NDX250718C20025</stp>
        <tr r="M159" s="2"/>
      </tp>
      <tp t="s">
        <v>N/A</v>
        <stp/>
        <stp>VOLUME</stp>
        <stp>.NDX250620C19825</stp>
        <tr r="BE166" s="1"/>
      </tp>
      <tp t="s">
        <v>N/A</v>
        <stp/>
        <stp>VOLUME</stp>
        <stp>.NDX251121C19925</stp>
        <tr r="U163" s="2"/>
      </tp>
      <tp t="s">
        <v>N/A</v>
        <stp/>
        <stp>VOLUME</stp>
        <stp>.NDX251219C20125</stp>
        <tr r="W155" s="2"/>
      </tp>
      <tp t="s">
        <v>N/A</v>
        <stp/>
        <stp>VOLUME</stp>
        <stp>.NDX250919C20100</stp>
        <tr r="Q156" s="2"/>
      </tp>
      <tp t="s">
        <v>N/A</v>
        <stp/>
        <stp>VOLUME</stp>
        <stp>.NDX250718C20000</stp>
        <tr r="M160" s="2"/>
      </tp>
      <tp t="s">
        <v>N/A</v>
        <stp/>
        <stp>VOLUME</stp>
        <stp>.NDX250620C19800</stp>
        <tr r="BE167" s="1"/>
      </tp>
      <tp t="s">
        <v>N/A</v>
        <stp/>
        <stp>VOLUME</stp>
        <stp>.NDX251121C19900</stp>
        <tr r="U164" s="2"/>
      </tp>
      <tp t="s">
        <v>N/A</v>
        <stp/>
        <stp>VOLUME</stp>
        <stp>.NDX251219C20100</stp>
        <tr r="W156" s="2"/>
      </tp>
      <tp t="s">
        <v>N/A</v>
        <stp/>
        <stp>VOLUME</stp>
        <stp>.NDX251121C19975</stp>
        <tr r="U161" s="2"/>
      </tp>
      <tp t="s">
        <v>N/A</v>
        <stp/>
        <stp>VOLUME</stp>
        <stp>.NDX251219C20175</stp>
        <tr r="W153" s="2"/>
      </tp>
      <tp t="s">
        <v>N/A</v>
        <stp/>
        <stp>VOLUME</stp>
        <stp>.NDX250919C20175</stp>
        <tr r="Q153" s="2"/>
      </tp>
      <tp t="s">
        <v>N/A</v>
        <stp/>
        <stp>VOLUME</stp>
        <stp>.NDX250718C20075</stp>
        <tr r="M157" s="2"/>
      </tp>
      <tp t="s">
        <v>N/A</v>
        <stp/>
        <stp>VOLUME</stp>
        <stp>.NDX250620C19875</stp>
        <tr r="BE164" s="1"/>
      </tp>
      <tp t="s">
        <v>N/A</v>
        <stp/>
        <stp>VOLUME</stp>
        <stp>.NDX251121C19950</stp>
        <tr r="U162" s="2"/>
      </tp>
      <tp t="s">
        <v>N/A</v>
        <stp/>
        <stp>VOLUME</stp>
        <stp>.NDX251219C20150</stp>
        <tr r="W154" s="2"/>
      </tp>
      <tp t="s">
        <v>N/A</v>
        <stp/>
        <stp>VOLUME</stp>
        <stp>.NDX250919C20150</stp>
        <tr r="Q154" s="2"/>
      </tp>
      <tp t="s">
        <v>N/A</v>
        <stp/>
        <stp>VOLUME</stp>
        <stp>.NDX250718C20050</stp>
        <tr r="M158" s="2"/>
      </tp>
      <tp t="s">
        <v>N/A</v>
        <stp/>
        <stp>VOLUME</stp>
        <stp>.NDX250620C19850</stp>
        <tr r="BE165" s="1"/>
      </tp>
      <tp>
        <v>0.39</v>
        <stp/>
        <stp>DELTA</stp>
        <stp>.SPX250620C5810</stp>
        <tr r="CH91" s="1"/>
        <tr r="CH91" s="1"/>
      </tp>
      <tp>
        <v>-0.7</v>
        <stp/>
        <stp>DELTA</stp>
        <stp>.SPX250620P5810</stp>
        <tr r="CI91" s="1"/>
        <tr r="CI91" s="1"/>
      </tp>
      <tp>
        <v>0.4</v>
        <stp/>
        <stp>DELTA</stp>
        <stp>.SPX250620C5800</stp>
        <tr r="CH92" s="1"/>
        <tr r="CH92" s="1"/>
      </tp>
      <tp>
        <v>-0.68</v>
        <stp/>
        <stp>DELTA</stp>
        <stp>.SPX250620P5800</stp>
        <tr r="CI92" s="1"/>
        <tr r="CI92" s="1"/>
      </tp>
      <tp>
        <v>0.37</v>
        <stp/>
        <stp>DELTA</stp>
        <stp>.SPX250620C5830</stp>
        <tr r="CH89" s="1"/>
        <tr r="CH89" s="1"/>
      </tp>
      <tp>
        <v>-0.75</v>
        <stp/>
        <stp>DELTA</stp>
        <stp>.SPX250620P5830</stp>
        <tr r="CI89" s="1"/>
        <tr r="CI89" s="1"/>
      </tp>
      <tp>
        <v>0.38</v>
        <stp/>
        <stp>DELTA</stp>
        <stp>.SPX250620C5820</stp>
        <tr r="CH90" s="1"/>
        <tr r="CH90" s="1"/>
      </tp>
      <tp>
        <v>-0.73</v>
        <stp/>
        <stp>DELTA</stp>
        <stp>.SPX250620P5820</stp>
        <tr r="CI90" s="1"/>
        <tr r="CI90" s="1"/>
      </tp>
      <tp>
        <v>0.34</v>
        <stp/>
        <stp>DELTA</stp>
        <stp>.SPX250620C5850</stp>
        <tr r="CH87" s="1"/>
        <tr r="CH87" s="1"/>
      </tp>
      <tp>
        <v>-0.8</v>
        <stp/>
        <stp>DELTA</stp>
        <stp>.SPX250620P5850</stp>
        <tr r="CI87" s="1"/>
        <tr r="CI87" s="1"/>
      </tp>
      <tp>
        <v>0.36</v>
        <stp/>
        <stp>DELTA</stp>
        <stp>.SPX250620C5840</stp>
        <tr r="CH88" s="1"/>
        <tr r="CH88" s="1"/>
      </tp>
      <tp>
        <v>-0.77</v>
        <stp/>
        <stp>DELTA</stp>
        <stp>.SPX250620P5840</stp>
        <tr r="CI88" s="1"/>
        <tr r="CI88" s="1"/>
      </tp>
      <tp>
        <v>0.32</v>
        <stp/>
        <stp>DELTA</stp>
        <stp>.SPX250620C5870</stp>
        <tr r="CH85" s="1"/>
        <tr r="CH85" s="1"/>
      </tp>
      <tp>
        <v>-0.86</v>
        <stp/>
        <stp>DELTA</stp>
        <stp>.SPX250620P5870</stp>
        <tr r="CI85" s="1"/>
        <tr r="CI85" s="1"/>
      </tp>
      <tp>
        <v>0.33</v>
        <stp/>
        <stp>DELTA</stp>
        <stp>.SPX250620C5860</stp>
        <tr r="CH86" s="1"/>
        <tr r="CH86" s="1"/>
      </tp>
      <tp>
        <v>-0.83</v>
        <stp/>
        <stp>DELTA</stp>
        <stp>.SPX250620P5860</stp>
        <tr r="CI86" s="1"/>
        <tr r="CI86" s="1"/>
      </tp>
      <tp t="s">
        <v>58.63%</v>
        <stp/>
        <stp>IMPL_VOL</stp>
        <stp>.NDXP250509C20275</stp>
        <tr r="EL148" s="1"/>
      </tp>
      <tp t="s">
        <v>--</v>
        <stp/>
        <stp>IMPL_VOL</stp>
        <stp>.NDXP250509C19275</stp>
        <tr r="EL188" s="1"/>
      </tp>
      <tp t="s">
        <v>53.84%</v>
        <stp/>
        <stp>IMPL_VOL</stp>
        <stp>.NDXP250509C20250</stp>
        <tr r="EL149" s="1"/>
      </tp>
      <tp t="s">
        <v>--</v>
        <stp/>
        <stp>IMPL_VOL</stp>
        <stp>.NDXP250509C19250</stp>
        <tr r="EL189" s="1"/>
      </tp>
      <tp t="s">
        <v>73.65%</v>
        <stp/>
        <stp>IMPL_VOL</stp>
        <stp>.NDXP250509C20225</stp>
        <tr r="EL150" s="1"/>
      </tp>
      <tp t="s">
        <v>31.32%</v>
        <stp/>
        <stp>IMPL_VOL</stp>
        <stp>.NDXP250509C20200</stp>
        <tr r="EL151" s="1"/>
      </tp>
      <tp t="s">
        <v>N/A</v>
        <stp/>
        <stp>VOLUME</stp>
        <stp>.NDX251017P19800</stp>
        <tr r="S168" s="2"/>
      </tp>
      <tp t="s">
        <v>N/A</v>
        <stp/>
        <stp>VOLUME</stp>
        <stp>.NDX251219P19600</stp>
        <tr r="W176" s="2"/>
      </tp>
      <tp t="s">
        <v>N/A</v>
        <stp/>
        <stp>VOLUME</stp>
        <stp>.NDX250919P19600</stp>
        <tr r="Q176" s="2"/>
      </tp>
      <tp>
        <v>12</v>
        <stp/>
        <stp>VOLUME</stp>
        <stp>.NDX250516P19900</stp>
        <tr r="BD163" s="1"/>
        <tr r="BD163" s="1"/>
      </tp>
      <tp t="s">
        <v>N/A</v>
        <stp/>
        <stp>VOLUME</stp>
        <stp>.NDX250718P19700</stp>
        <tr r="M172" s="2"/>
      </tp>
      <tp t="s">
        <v>N/A</v>
        <stp/>
        <stp>VOLUME</stp>
        <stp>.NDX251017P19825</stp>
        <tr r="S167" s="2"/>
      </tp>
      <tp t="s">
        <v>N/A</v>
        <stp/>
        <stp>VOLUME</stp>
        <stp>.NDX251219P19625</stp>
        <tr r="W175" s="2"/>
      </tp>
      <tp t="s">
        <v>N/A</v>
        <stp/>
        <stp>VOLUME</stp>
        <stp>.NDX250919P19625</stp>
        <tr r="Q175" s="2"/>
      </tp>
      <tp>
        <v>6</v>
        <stp/>
        <stp>VOLUME</stp>
        <stp>.NDX250516P19925</stp>
        <tr r="BD162" s="1"/>
        <tr r="BD162" s="1"/>
      </tp>
      <tp t="s">
        <v>N/A</v>
        <stp/>
        <stp>VOLUME</stp>
        <stp>.NDX250718P19725</stp>
        <tr r="M171" s="2"/>
      </tp>
      <tp t="s">
        <v>N/A</v>
        <stp/>
        <stp>VOLUME</stp>
        <stp>.NDX250919P19650</stp>
        <tr r="Q174" s="2"/>
      </tp>
      <tp>
        <v>6</v>
        <stp/>
        <stp>VOLUME</stp>
        <stp>.NDX250516P19950</stp>
        <tr r="BD161" s="1"/>
        <tr r="BD161" s="1"/>
      </tp>
      <tp t="s">
        <v>N/A</v>
        <stp/>
        <stp>VOLUME</stp>
        <stp>.NDX250718P19750</stp>
        <tr r="M170" s="2"/>
      </tp>
      <tp t="s">
        <v>N/A</v>
        <stp/>
        <stp>VOLUME</stp>
        <stp>.NDX251017P19850</stp>
        <tr r="S166" s="2"/>
      </tp>
      <tp t="s">
        <v>N/A</v>
        <stp/>
        <stp>VOLUME</stp>
        <stp>.NDX251219P19650</stp>
        <tr r="W174" s="2"/>
      </tp>
      <tp t="s">
        <v>N/A</v>
        <stp/>
        <stp>VOLUME</stp>
        <stp>.NDX250919P19675</stp>
        <tr r="Q173" s="2"/>
      </tp>
      <tp>
        <v>4</v>
        <stp/>
        <stp>VOLUME</stp>
        <stp>.NDX250516P19975</stp>
        <tr r="BD160" s="1"/>
        <tr r="BD160" s="1"/>
      </tp>
      <tp t="s">
        <v>N/A</v>
        <stp/>
        <stp>VOLUME</stp>
        <stp>.NDX250718P19775</stp>
        <tr r="M169" s="2"/>
      </tp>
      <tp t="s">
        <v>N/A</v>
        <stp/>
        <stp>VOLUME</stp>
        <stp>.NDX251017P19875</stp>
        <tr r="S165" s="2"/>
      </tp>
      <tp t="s">
        <v>N/A</v>
        <stp/>
        <stp>VOLUME</stp>
        <stp>.NDX251219P19675</stp>
        <tr r="W173" s="2"/>
      </tp>
      <tp t="s">
        <v>85.33%</v>
        <stp/>
        <stp>IMPL_VOL</stp>
        <stp>.NDXP250509P20250</stp>
        <tr r="EM149" s="1"/>
      </tp>
      <tp t="s">
        <v>163.06%</v>
        <stp/>
        <stp>IMPL_VOL</stp>
        <stp>.NDXP250509P19250</stp>
        <tr r="EM189" s="1"/>
      </tp>
      <tp t="s">
        <v>96.29%</v>
        <stp/>
        <stp>IMPL_VOL</stp>
        <stp>.NDXP250509P20275</stp>
        <tr r="EM148" s="1"/>
      </tp>
      <tp t="s">
        <v>158.29%</v>
        <stp/>
        <stp>IMPL_VOL</stp>
        <stp>.NDXP250509P19275</stp>
        <tr r="EM188" s="1"/>
      </tp>
      <tp t="s">
        <v>67.70%</v>
        <stp/>
        <stp>IMPL_VOL</stp>
        <stp>.NDXP250509P20200</stp>
        <tr r="EM151" s="1"/>
      </tp>
      <tp t="s">
        <v>76.63%</v>
        <stp/>
        <stp>IMPL_VOL</stp>
        <stp>.NDXP250509P20225</stp>
        <tr r="EM150" s="1"/>
      </tp>
      <tp t="s">
        <v>N/A</v>
        <stp/>
        <stp>VOLUME</stp>
        <stp>.NDX250919C19625</stp>
        <tr r="Q175" s="2"/>
      </tp>
      <tp>
        <v>3</v>
        <stp/>
        <stp>VOLUME</stp>
        <stp>.NDX250516C19925</stp>
        <tr r="BC162" s="1"/>
        <tr r="BC162" s="1"/>
      </tp>
      <tp t="s">
        <v>N/A</v>
        <stp/>
        <stp>VOLUME</stp>
        <stp>.NDX250718C19725</stp>
        <tr r="M171" s="2"/>
      </tp>
      <tp t="s">
        <v>N/A</v>
        <stp/>
        <stp>VOLUME</stp>
        <stp>.NDX251017C19825</stp>
        <tr r="S167" s="2"/>
      </tp>
      <tp t="s">
        <v>N/A</v>
        <stp/>
        <stp>VOLUME</stp>
        <stp>.NDX251219C19625</stp>
        <tr r="W175" s="2"/>
      </tp>
      <tp t="s">
        <v>N/A</v>
        <stp/>
        <stp>VOLUME</stp>
        <stp>.NDX250919C19600</stp>
        <tr r="Q176" s="2"/>
      </tp>
      <tp>
        <v>4</v>
        <stp/>
        <stp>VOLUME</stp>
        <stp>.NDX250516C19900</stp>
        <tr r="BC163" s="1"/>
        <tr r="BC163" s="1"/>
      </tp>
      <tp t="s">
        <v>N/A</v>
        <stp/>
        <stp>VOLUME</stp>
        <stp>.NDX250718C19700</stp>
        <tr r="M172" s="2"/>
      </tp>
      <tp t="s">
        <v>N/A</v>
        <stp/>
        <stp>VOLUME</stp>
        <stp>.NDX251017C19800</stp>
        <tr r="S168" s="2"/>
      </tp>
      <tp t="s">
        <v>N/A</v>
        <stp/>
        <stp>VOLUME</stp>
        <stp>.NDX251219C19600</stp>
        <tr r="W176" s="2"/>
      </tp>
      <tp t="s">
        <v>N/A</v>
        <stp/>
        <stp>VOLUME</stp>
        <stp>.NDX251017C19875</stp>
        <tr r="S165" s="2"/>
      </tp>
      <tp t="s">
        <v>N/A</v>
        <stp/>
        <stp>VOLUME</stp>
        <stp>.NDX251219C19675</stp>
        <tr r="W173" s="2"/>
      </tp>
      <tp t="s">
        <v>N/A</v>
        <stp/>
        <stp>VOLUME</stp>
        <stp>.NDX250919C19675</stp>
        <tr r="Q173" s="2"/>
      </tp>
      <tp t="s">
        <v>N/A</v>
        <stp/>
        <stp>VOLUME</stp>
        <stp>.NDX250516C19975</stp>
        <tr r="BC160" s="1"/>
      </tp>
      <tp t="s">
        <v>N/A</v>
        <stp/>
        <stp>VOLUME</stp>
        <stp>.NDX250718C19775</stp>
        <tr r="M169" s="2"/>
      </tp>
      <tp t="s">
        <v>N/A</v>
        <stp/>
        <stp>VOLUME</stp>
        <stp>.NDX251017C19850</stp>
        <tr r="S166" s="2"/>
      </tp>
      <tp t="s">
        <v>N/A</v>
        <stp/>
        <stp>VOLUME</stp>
        <stp>.NDX251219C19650</stp>
        <tr r="W174" s="2"/>
      </tp>
      <tp t="s">
        <v>N/A</v>
        <stp/>
        <stp>VOLUME</stp>
        <stp>.NDX250919C19650</stp>
        <tr r="Q174" s="2"/>
      </tp>
      <tp t="s">
        <v>N/A</v>
        <stp/>
        <stp>VOLUME</stp>
        <stp>.NDX250516C19950</stp>
        <tr r="BC161" s="1"/>
      </tp>
      <tp t="s">
        <v>N/A</v>
        <stp/>
        <stp>VOLUME</stp>
        <stp>.NDX250718C19750</stp>
        <tr r="M170" s="2"/>
      </tp>
      <tp t="s">
        <v>N/A</v>
        <stp/>
        <stp>VOLUME</stp>
        <stp>.SPXC5840</stp>
        <tr r="K89" s="2"/>
      </tp>
      <tp t="s">
        <v>N/A</v>
        <stp/>
        <stp>VOLUME</stp>
        <stp>.SPXP5840</stp>
        <tr r="K89" s="2"/>
      </tp>
      <tp t="s">
        <v>94.29%</v>
        <stp/>
        <stp>IMPL_VOL</stp>
        <stp>.NDXP250509C20375</stp>
        <tr r="EL144" s="1"/>
      </tp>
      <tp t="s">
        <v>--</v>
        <stp/>
        <stp>IMPL_VOL</stp>
        <stp>.NDXP250509C19375</stp>
        <tr r="EL184" s="1"/>
      </tp>
      <tp t="s">
        <v>N/A</v>
        <stp/>
        <stp>VOLUME</stp>
        <stp>.SPXC5850</stp>
        <tr r="K88" s="2"/>
      </tp>
      <tp t="s">
        <v>N/A</v>
        <stp/>
        <stp>VOLUME</stp>
        <stp>.SPXP5850</stp>
        <tr r="K88" s="2"/>
      </tp>
      <tp t="s">
        <v>N/A</v>
        <stp/>
        <stp>VOLUME</stp>
        <stp>.SPXC5860</stp>
        <tr r="K87" s="2"/>
      </tp>
      <tp t="s">
        <v>N/A</v>
        <stp/>
        <stp>VOLUME</stp>
        <stp>.SPXP5860</stp>
        <tr r="K87" s="2"/>
      </tp>
      <tp t="s">
        <v>82.56%</v>
        <stp/>
        <stp>IMPL_VOL</stp>
        <stp>.NDXP250509C20350</stp>
        <tr r="EL145" s="1"/>
      </tp>
      <tp t="s">
        <v>--</v>
        <stp/>
        <stp>IMPL_VOL</stp>
        <stp>.NDXP250509C19350</stp>
        <tr r="EL185" s="1"/>
      </tp>
      <tp t="s">
        <v>N/A</v>
        <stp/>
        <stp>VOLUME</stp>
        <stp>.SPXC5870</stp>
        <tr r="K86" s="2"/>
      </tp>
      <tp t="s">
        <v>N/A</v>
        <stp/>
        <stp>VOLUME</stp>
        <stp>.SPXP5870</stp>
        <tr r="K86" s="2"/>
      </tp>
      <tp t="s">
        <v>N/A</v>
        <stp/>
        <stp>VOLUME</stp>
        <stp>.SPXC5800</stp>
        <tr r="K93" s="2"/>
      </tp>
      <tp t="s">
        <v>N/A</v>
        <stp/>
        <stp>VOLUME</stp>
        <stp>.SPXP5800</stp>
        <tr r="K93" s="2"/>
      </tp>
      <tp t="s">
        <v>N/A</v>
        <stp/>
        <stp>VOLUME</stp>
        <stp>.SPXC5810</stp>
        <tr r="K92" s="2"/>
      </tp>
      <tp t="s">
        <v>N/A</v>
        <stp/>
        <stp>VOLUME</stp>
        <stp>.SPXP5810</stp>
        <tr r="K92" s="2"/>
      </tp>
      <tp t="s">
        <v>131.06%</v>
        <stp/>
        <stp>IMPL_VOL</stp>
        <stp>.NDXP250509C20325</stp>
        <tr r="EL146" s="1"/>
      </tp>
      <tp t="s">
        <v>--</v>
        <stp/>
        <stp>IMPL_VOL</stp>
        <stp>.NDXP250509C19325</stp>
        <tr r="EL186" s="1"/>
      </tp>
      <tp t="s">
        <v>N/A</v>
        <stp/>
        <stp>VOLUME</stp>
        <stp>.SPXC5820</stp>
        <tr r="K91" s="2"/>
      </tp>
      <tp t="s">
        <v>N/A</v>
        <stp/>
        <stp>VOLUME</stp>
        <stp>.SPXP5820</stp>
        <tr r="K91" s="2"/>
      </tp>
      <tp t="s">
        <v>N/A</v>
        <stp/>
        <stp>VOLUME</stp>
        <stp>.SPXC5830</stp>
        <tr r="K90" s="2"/>
      </tp>
      <tp t="s">
        <v>N/A</v>
        <stp/>
        <stp>VOLUME</stp>
        <stp>.SPXP5830</stp>
        <tr r="K90" s="2"/>
      </tp>
      <tp t="s">
        <v>51.31%</v>
        <stp/>
        <stp>IMPL_VOL</stp>
        <stp>.NDXP250509C20300</stp>
        <tr r="EL147" s="1"/>
      </tp>
      <tp t="s">
        <v>--</v>
        <stp/>
        <stp>IMPL_VOL</stp>
        <stp>.NDXP250509C19300</stp>
        <tr r="EL187" s="1"/>
      </tp>
      <tp t="s">
        <v>N/A</v>
        <stp/>
        <stp>VOLUME</stp>
        <stp>.NDX251017P19900</stp>
        <tr r="S164" s="2"/>
      </tp>
      <tp t="s">
        <v>N/A</v>
        <stp/>
        <stp>VOLUME</stp>
        <stp>.NDX251219P19700</stp>
        <tr r="W172" s="2"/>
      </tp>
      <tp t="s">
        <v>N/A</v>
        <stp/>
        <stp>VOLUME</stp>
        <stp>.NDX250919P19700</stp>
        <tr r="Q172" s="2"/>
      </tp>
      <tp>
        <v>23</v>
        <stp/>
        <stp>VOLUME</stp>
        <stp>.NDX250516P19800</stp>
        <tr r="BD167" s="1"/>
        <tr r="BD167" s="1"/>
      </tp>
      <tp>
        <v>1</v>
        <stp/>
        <stp>VOLUME</stp>
        <stp>.NDX250718P19600</stp>
        <tr r="M176" s="2"/>
        <tr r="M176" s="2"/>
      </tp>
      <tp t="s">
        <v>N/A</v>
        <stp/>
        <stp>VOLUME</stp>
        <stp>.NDX251017P19925</stp>
        <tr r="S163" s="2"/>
      </tp>
      <tp t="s">
        <v>N/A</v>
        <stp/>
        <stp>VOLUME</stp>
        <stp>.NDX251219P19725</stp>
        <tr r="W171" s="2"/>
      </tp>
      <tp t="s">
        <v>N/A</v>
        <stp/>
        <stp>VOLUME</stp>
        <stp>.NDX250919P19725</stp>
        <tr r="Q171" s="2"/>
      </tp>
      <tp>
        <v>4</v>
        <stp/>
        <stp>VOLUME</stp>
        <stp>.NDX250516P19825</stp>
        <tr r="BD166" s="1"/>
        <tr r="BD166" s="1"/>
      </tp>
      <tp t="s">
        <v>N/A</v>
        <stp/>
        <stp>VOLUME</stp>
        <stp>.NDX250718P19625</stp>
        <tr r="M175" s="2"/>
      </tp>
      <tp t="s">
        <v>N/A</v>
        <stp/>
        <stp>VOLUME</stp>
        <stp>.NDX250919P19750</stp>
        <tr r="Q170" s="2"/>
      </tp>
      <tp>
        <v>3</v>
        <stp/>
        <stp>VOLUME</stp>
        <stp>.NDX250516P19850</stp>
        <tr r="BD165" s="1"/>
        <tr r="BD165" s="1"/>
      </tp>
      <tp t="s">
        <v>N/A</v>
        <stp/>
        <stp>VOLUME</stp>
        <stp>.NDX250718P19650</stp>
        <tr r="M174" s="2"/>
      </tp>
      <tp t="s">
        <v>N/A</v>
        <stp/>
        <stp>VOLUME</stp>
        <stp>.NDX251017P19950</stp>
        <tr r="S162" s="2"/>
      </tp>
      <tp t="s">
        <v>N/A</v>
        <stp/>
        <stp>VOLUME</stp>
        <stp>.NDX251219P19750</stp>
        <tr r="W170" s="2"/>
      </tp>
      <tp t="s">
        <v>N/A</v>
        <stp/>
        <stp>VOLUME</stp>
        <stp>.NDX250919P19775</stp>
        <tr r="Q169" s="2"/>
      </tp>
      <tp>
        <v>8</v>
        <stp/>
        <stp>VOLUME</stp>
        <stp>.NDX250516P19875</stp>
        <tr r="BD164" s="1"/>
        <tr r="BD164" s="1"/>
      </tp>
      <tp>
        <v>2</v>
        <stp/>
        <stp>VOLUME</stp>
        <stp>.NDX250718P19675</stp>
        <tr r="M173" s="2"/>
        <tr r="M173" s="2"/>
      </tp>
      <tp t="s">
        <v>N/A</v>
        <stp/>
        <stp>VOLUME</stp>
        <stp>.NDX251017P19975</stp>
        <tr r="S161" s="2"/>
      </tp>
      <tp t="s">
        <v>N/A</v>
        <stp/>
        <stp>VOLUME</stp>
        <stp>.NDX251219P19775</stp>
        <tr r="W169" s="2"/>
      </tp>
      <tp t="s">
        <v>101.18%</v>
        <stp/>
        <stp>IMPL_VOL</stp>
        <stp>.NDXP250509P20350</stp>
        <tr r="EM145" s="1"/>
      </tp>
      <tp t="s">
        <v>163.96%</v>
        <stp/>
        <stp>IMPL_VOL</stp>
        <stp>.NDXP250509P19350</stp>
        <tr r="EM185" s="1"/>
      </tp>
      <tp t="s">
        <v>112.93%</v>
        <stp/>
        <stp>IMPL_VOL</stp>
        <stp>.NDXP250509P20375</stp>
        <tr r="EM144" s="1"/>
      </tp>
      <tp t="s">
        <v>287.71%</v>
        <stp/>
        <stp>IMPL_VOL</stp>
        <stp>.NDXP250509P19375</stp>
        <tr r="EM184" s="1"/>
      </tp>
      <tp t="s">
        <v>89.01%</v>
        <stp/>
        <stp>IMPL_VOL</stp>
        <stp>.NDXP250509P20300</stp>
        <tr r="EM147" s="1"/>
      </tp>
      <tp t="s">
        <v>153.51%</v>
        <stp/>
        <stp>IMPL_VOL</stp>
        <stp>.NDXP250509P19300</stp>
        <tr r="EM187" s="1"/>
      </tp>
      <tp t="s">
        <v>99.97%</v>
        <stp/>
        <stp>IMPL_VOL</stp>
        <stp>.NDXP250509P20325</stp>
        <tr r="EM146" s="1"/>
      </tp>
      <tp t="s">
        <v>304.59%</v>
        <stp/>
        <stp>IMPL_VOL</stp>
        <stp>.NDXP250509P19325</stp>
        <tr r="EM186" s="1"/>
      </tp>
      <tp t="s">
        <v>N/A</v>
        <stp/>
        <stp>VOLUME</stp>
        <stp>.NDX250919C19725</stp>
        <tr r="Q171" s="2"/>
      </tp>
      <tp t="s">
        <v>N/A</v>
        <stp/>
        <stp>VOLUME</stp>
        <stp>.NDX250516C19825</stp>
        <tr r="BC166" s="1"/>
      </tp>
      <tp t="s">
        <v>N/A</v>
        <stp/>
        <stp>VOLUME</stp>
        <stp>.NDX250718C19625</stp>
        <tr r="M175" s="2"/>
      </tp>
      <tp t="s">
        <v>N/A</v>
        <stp/>
        <stp>VOLUME</stp>
        <stp>.NDX251017C19925</stp>
        <tr r="S163" s="2"/>
      </tp>
      <tp t="s">
        <v>N/A</v>
        <stp/>
        <stp>VOLUME</stp>
        <stp>.NDX251219C19725</stp>
        <tr r="W171" s="2"/>
      </tp>
      <tp t="s">
        <v>N/A</v>
        <stp/>
        <stp>VOLUME</stp>
        <stp>.NDX250919C19700</stp>
        <tr r="Q172" s="2"/>
      </tp>
      <tp>
        <v>1</v>
        <stp/>
        <stp>VOLUME</stp>
        <stp>.NDX250516C19800</stp>
        <tr r="BC167" s="1"/>
        <tr r="BC167" s="1"/>
      </tp>
      <tp t="s">
        <v>N/A</v>
        <stp/>
        <stp>VOLUME</stp>
        <stp>.NDX250718C19600</stp>
        <tr r="M176" s="2"/>
      </tp>
      <tp t="s">
        <v>N/A</v>
        <stp/>
        <stp>VOLUME</stp>
        <stp>.NDX251017C19900</stp>
        <tr r="S164" s="2"/>
      </tp>
      <tp t="s">
        <v>N/A</v>
        <stp/>
        <stp>VOLUME</stp>
        <stp>.NDX251219C19700</stp>
        <tr r="W172" s="2"/>
      </tp>
      <tp t="s">
        <v>N/A</v>
        <stp/>
        <stp>VOLUME</stp>
        <stp>.NDX251017C19975</stp>
        <tr r="S161" s="2"/>
      </tp>
      <tp t="s">
        <v>N/A</v>
        <stp/>
        <stp>VOLUME</stp>
        <stp>.NDX251219C19775</stp>
        <tr r="W169" s="2"/>
      </tp>
      <tp t="s">
        <v>N/A</v>
        <stp/>
        <stp>VOLUME</stp>
        <stp>.NDX250919C19775</stp>
        <tr r="Q169" s="2"/>
      </tp>
      <tp t="s">
        <v>N/A</v>
        <stp/>
        <stp>VOLUME</stp>
        <stp>.NDX250516C19875</stp>
        <tr r="BC164" s="1"/>
      </tp>
      <tp t="s">
        <v>N/A</v>
        <stp/>
        <stp>VOLUME</stp>
        <stp>.NDX250718C19675</stp>
        <tr r="M173" s="2"/>
      </tp>
      <tp t="s">
        <v>N/A</v>
        <stp/>
        <stp>VOLUME</stp>
        <stp>.NDX251017C19950</stp>
        <tr r="S162" s="2"/>
      </tp>
      <tp t="s">
        <v>N/A</v>
        <stp/>
        <stp>VOLUME</stp>
        <stp>.NDX251219C19750</stp>
        <tr r="W170" s="2"/>
      </tp>
      <tp t="s">
        <v>N/A</v>
        <stp/>
        <stp>VOLUME</stp>
        <stp>.NDX250919C19750</stp>
        <tr r="Q170" s="2"/>
      </tp>
      <tp>
        <v>3</v>
        <stp/>
        <stp>VOLUME</stp>
        <stp>.NDX250516C19850</stp>
        <tr r="BC165" s="1"/>
        <tr r="BC165" s="1"/>
      </tp>
      <tp t="s">
        <v>N/A</v>
        <stp/>
        <stp>VOLUME</stp>
        <stp>.NDX250718C19650</stp>
        <tr r="M174" s="2"/>
      </tp>
      <tp t="s">
        <v>6.56%</v>
        <stp/>
        <stp>IMPL_VOL</stp>
        <stp>.NDXP250509C20075</stp>
        <tr r="EL156" s="1"/>
      </tp>
      <tp t="s">
        <v>10.96%</v>
        <stp/>
        <stp>IMPL_VOL</stp>
        <stp>.NDXP250509C20050</stp>
        <tr r="EL157" s="1"/>
      </tp>
      <tp t="s">
        <v>--</v>
        <stp/>
        <stp>IMPL_VOL</stp>
        <stp>.NDXP250509C20025</stp>
        <tr r="EL158" s="1"/>
      </tp>
      <tp t="s">
        <v>--</v>
        <stp/>
        <stp>IMPL_VOL</stp>
        <stp>.NDXP250509C20000</stp>
        <tr r="EL159" s="1"/>
      </tp>
      <tp t="s">
        <v>N/A</v>
        <stp/>
        <stp>VOLUME</stp>
        <stp>.NDX251219P20400</stp>
        <tr r="W144" s="2"/>
      </tp>
      <tp t="s">
        <v>N/A</v>
        <stp/>
        <stp>VOLUME</stp>
        <stp>.NDX251219P19400</stp>
        <tr r="W184" s="2"/>
      </tp>
      <tp t="s">
        <v>N/A</v>
        <stp/>
        <stp>VOLUME</stp>
        <stp>.NDX250815P19800</stp>
        <tr r="O168" s="2"/>
      </tp>
      <tp t="s">
        <v>N/A</v>
        <stp/>
        <stp>VOLUME</stp>
        <stp>.NDX250919P19400</stp>
        <tr r="Q184" s="2"/>
      </tp>
      <tp t="s">
        <v>N/A</v>
        <stp/>
        <stp>VOLUME</stp>
        <stp>.NDX250919P20400</stp>
        <tr r="Q144" s="2"/>
      </tp>
      <tp>
        <v>28</v>
        <stp/>
        <stp>VOLUME</stp>
        <stp>.NDX250718P20500</stp>
        <tr r="M140" s="2"/>
        <tr r="M140" s="2"/>
      </tp>
      <tp>
        <v>3</v>
        <stp/>
        <stp>VOLUME</stp>
        <stp>.NDX250718P19500</stp>
        <tr r="M180" s="2"/>
        <tr r="M180" s="2"/>
      </tp>
      <tp t="s">
        <v>N/A</v>
        <stp/>
        <stp>VOLUME</stp>
        <stp>.NDX251219P20425</stp>
        <tr r="W143" s="2"/>
      </tp>
      <tp t="s">
        <v>N/A</v>
        <stp/>
        <stp>VOLUME</stp>
        <stp>.NDX251219P19425</stp>
        <tr r="W183" s="2"/>
      </tp>
      <tp t="s">
        <v>N/A</v>
        <stp/>
        <stp>VOLUME</stp>
        <stp>.NDX250919P19425</stp>
        <tr r="Q183" s="2"/>
      </tp>
      <tp t="s">
        <v>N/A</v>
        <stp/>
        <stp>VOLUME</stp>
        <stp>.NDX250815P19825</stp>
        <tr r="O167" s="2"/>
      </tp>
      <tp t="s">
        <v>N/A</v>
        <stp/>
        <stp>VOLUME</stp>
        <stp>.NDX250919P20425</stp>
        <tr r="Q143" s="2"/>
      </tp>
      <tp t="s">
        <v>N/A</v>
        <stp/>
        <stp>VOLUME</stp>
        <stp>.NDX250718P20525</stp>
        <tr r="M139" s="2"/>
      </tp>
      <tp t="s">
        <v>N/A</v>
        <stp/>
        <stp>VOLUME</stp>
        <stp>.NDX250718P19525</stp>
        <tr r="M179" s="2"/>
      </tp>
      <tp t="s">
        <v>N/A</v>
        <stp/>
        <stp>VOLUME</stp>
        <stp>.NDX250815P19850</stp>
        <tr r="O166" s="2"/>
      </tp>
      <tp t="s">
        <v>N/A</v>
        <stp/>
        <stp>VOLUME</stp>
        <stp>.NDX250919P19450</stp>
        <tr r="Q182" s="2"/>
      </tp>
      <tp t="s">
        <v>N/A</v>
        <stp/>
        <stp>VOLUME</stp>
        <stp>.NDX250919P20450</stp>
        <tr r="Q142" s="2"/>
      </tp>
      <tp t="s">
        <v>N/A</v>
        <stp/>
        <stp>VOLUME</stp>
        <stp>.NDX250718P20550</stp>
        <tr r="M138" s="2"/>
      </tp>
      <tp t="s">
        <v>N/A</v>
        <stp/>
        <stp>VOLUME</stp>
        <stp>.NDX250718P19550</stp>
        <tr r="M178" s="2"/>
      </tp>
      <tp t="s">
        <v>N/A</v>
        <stp/>
        <stp>VOLUME</stp>
        <stp>.NDX251219P20450</stp>
        <tr r="W142" s="2"/>
      </tp>
      <tp t="s">
        <v>N/A</v>
        <stp/>
        <stp>VOLUME</stp>
        <stp>.NDX251219P19450</stp>
        <tr r="W182" s="2"/>
      </tp>
      <tp t="s">
        <v>N/A</v>
        <stp/>
        <stp>VOLUME</stp>
        <stp>.NDX250919P19475</stp>
        <tr r="Q181" s="2"/>
      </tp>
      <tp t="s">
        <v>N/A</v>
        <stp/>
        <stp>VOLUME</stp>
        <stp>.NDX250815P19875</stp>
        <tr r="O165" s="2"/>
      </tp>
      <tp t="s">
        <v>N/A</v>
        <stp/>
        <stp>VOLUME</stp>
        <stp>.NDX250919P20475</stp>
        <tr r="Q141" s="2"/>
      </tp>
      <tp t="s">
        <v>N/A</v>
        <stp/>
        <stp>VOLUME</stp>
        <stp>.NDX250718P19575</stp>
        <tr r="M177" s="2"/>
      </tp>
      <tp t="s">
        <v>N/A</v>
        <stp/>
        <stp>VOLUME</stp>
        <stp>.NDX251219P20475</stp>
        <tr r="W141" s="2"/>
      </tp>
      <tp t="s">
        <v>N/A</v>
        <stp/>
        <stp>VOLUME</stp>
        <stp>.NDX251219P19475</stp>
        <tr r="W181" s="2"/>
      </tp>
      <tp t="s">
        <v>6.29%</v>
        <stp/>
        <stp>IMPL_VOL</stp>
        <stp>.NDXP250509P20050</stp>
        <tr r="EM157" s="1"/>
      </tp>
      <tp t="s">
        <v>6.12%</v>
        <stp/>
        <stp>IMPL_VOL</stp>
        <stp>.NDXP250509P20075</stp>
        <tr r="EM156" s="1"/>
      </tp>
      <tp t="s">
        <v>17.08%</v>
        <stp/>
        <stp>IMPL_VOL</stp>
        <stp>.NDXP250509P20000</stp>
        <tr r="EM159" s="1"/>
      </tp>
      <tp t="s">
        <v>15.19%</v>
        <stp/>
        <stp>IMPL_VOL</stp>
        <stp>.NDXP250509P20025</stp>
        <tr r="EM158" s="1"/>
      </tp>
      <tp t="s">
        <v>N/A</v>
        <stp/>
        <stp>VOLUME</stp>
        <stp>.NDX250919C19425</stp>
        <tr r="Q183" s="2"/>
      </tp>
      <tp t="s">
        <v>N/A</v>
        <stp/>
        <stp>VOLUME</stp>
        <stp>.NDX250815C19825</stp>
        <tr r="O167" s="2"/>
      </tp>
      <tp t="s">
        <v>N/A</v>
        <stp/>
        <stp>VOLUME</stp>
        <stp>.NDX250919C20425</stp>
        <tr r="Q143" s="2"/>
      </tp>
      <tp t="s">
        <v>N/A</v>
        <stp/>
        <stp>VOLUME</stp>
        <stp>.NDX250718C20525</stp>
        <tr r="M139" s="2"/>
      </tp>
      <tp t="s">
        <v>N/A</v>
        <stp/>
        <stp>VOLUME</stp>
        <stp>.NDX250718C19525</stp>
        <tr r="M179" s="2"/>
      </tp>
      <tp t="s">
        <v>N/A</v>
        <stp/>
        <stp>VOLUME</stp>
        <stp>.NDX251219C20425</stp>
        <tr r="W143" s="2"/>
      </tp>
      <tp t="s">
        <v>N/A</v>
        <stp/>
        <stp>VOLUME</stp>
        <stp>.NDX251219C19425</stp>
        <tr r="W183" s="2"/>
      </tp>
      <tp t="s">
        <v>N/A</v>
        <stp/>
        <stp>VOLUME</stp>
        <stp>.NDX250815C19800</stp>
        <tr r="O168" s="2"/>
      </tp>
      <tp t="s">
        <v>N/A</v>
        <stp/>
        <stp>VOLUME</stp>
        <stp>.NDX250919C19400</stp>
        <tr r="Q184" s="2"/>
      </tp>
      <tp t="s">
        <v>N/A</v>
        <stp/>
        <stp>VOLUME</stp>
        <stp>.NDX250919C20400</stp>
        <tr r="Q144" s="2"/>
      </tp>
      <tp>
        <v>79</v>
        <stp/>
        <stp>VOLUME</stp>
        <stp>.NDX250718C20500</stp>
        <tr r="M140" s="2"/>
        <tr r="M140" s="2"/>
      </tp>
      <tp t="s">
        <v>N/A</v>
        <stp/>
        <stp>VOLUME</stp>
        <stp>.NDX250718C19500</stp>
        <tr r="M180" s="2"/>
      </tp>
      <tp t="s">
        <v>N/A</v>
        <stp/>
        <stp>VOLUME</stp>
        <stp>.NDX251219C20400</stp>
        <tr r="W144" s="2"/>
      </tp>
      <tp t="s">
        <v>N/A</v>
        <stp/>
        <stp>VOLUME</stp>
        <stp>.NDX251219C19400</stp>
        <tr r="W184" s="2"/>
      </tp>
      <tp t="s">
        <v>N/A</v>
        <stp/>
        <stp>VOLUME</stp>
        <stp>.NDX251219C20475</stp>
        <tr r="W141" s="2"/>
      </tp>
      <tp t="s">
        <v>N/A</v>
        <stp/>
        <stp>VOLUME</stp>
        <stp>.NDX251219C19475</stp>
        <tr r="W181" s="2"/>
      </tp>
      <tp t="s">
        <v>N/A</v>
        <stp/>
        <stp>VOLUME</stp>
        <stp>.NDX250919C19475</stp>
        <tr r="Q181" s="2"/>
      </tp>
      <tp t="s">
        <v>N/A</v>
        <stp/>
        <stp>VOLUME</stp>
        <stp>.NDX250815C19875</stp>
        <tr r="O165" s="2"/>
      </tp>
      <tp t="s">
        <v>N/A</v>
        <stp/>
        <stp>VOLUME</stp>
        <stp>.NDX250919C20475</stp>
        <tr r="Q141" s="2"/>
      </tp>
      <tp t="s">
        <v>N/A</v>
        <stp/>
        <stp>VOLUME</stp>
        <stp>.NDX250718C19575</stp>
        <tr r="M177" s="2"/>
      </tp>
      <tp t="s">
        <v>N/A</v>
        <stp/>
        <stp>VOLUME</stp>
        <stp>.NDX251219C20450</stp>
        <tr r="W142" s="2"/>
      </tp>
      <tp t="s">
        <v>N/A</v>
        <stp/>
        <stp>VOLUME</stp>
        <stp>.NDX251219C19450</stp>
        <tr r="W182" s="2"/>
      </tp>
      <tp t="s">
        <v>N/A</v>
        <stp/>
        <stp>VOLUME</stp>
        <stp>.NDX250815C19850</stp>
        <tr r="O166" s="2"/>
      </tp>
      <tp t="s">
        <v>N/A</v>
        <stp/>
        <stp>VOLUME</stp>
        <stp>.NDX250919C19450</stp>
        <tr r="Q182" s="2"/>
      </tp>
      <tp t="s">
        <v>N/A</v>
        <stp/>
        <stp>VOLUME</stp>
        <stp>.NDX250919C20450</stp>
        <tr r="Q142" s="2"/>
      </tp>
      <tp t="s">
        <v>N/A</v>
        <stp/>
        <stp>VOLUME</stp>
        <stp>.NDX250718C20550</stp>
        <tr r="M138" s="2"/>
      </tp>
      <tp t="s">
        <v>N/A</v>
        <stp/>
        <stp>VOLUME</stp>
        <stp>.NDX250718C19550</stp>
        <tr r="M178" s="2"/>
      </tp>
      <tp>
        <v>20471.75</v>
        <stp/>
        <stp>MARK</stp>
        <stp>/NQ:XCME</stp>
        <tr r="F136" s="1"/>
        <tr r="F44" s="1"/>
      </tp>
      <tp t="s">
        <v>75.90%</v>
        <stp/>
        <stp>IMPL_VOL</stp>
        <stp>.NDXP250509C20175</stp>
        <tr r="EL152" s="1"/>
      </tp>
      <tp t="s">
        <v>20.86%</v>
        <stp/>
        <stp>IMPL_VOL</stp>
        <stp>.NDXP250509C20150</stp>
        <tr r="EL153" s="1"/>
      </tp>
      <tp t="s">
        <v>15.52%</v>
        <stp/>
        <stp>IMPL_VOL</stp>
        <stp>.NDXP250509C20125</stp>
        <tr r="EL154" s="1"/>
      </tp>
      <tp t="s">
        <v>15.01%</v>
        <stp/>
        <stp>IMPL_VOL</stp>
        <stp>.NDXP250509C20100</stp>
        <tr r="EL155" s="1"/>
      </tp>
      <tp t="s">
        <v>N/A</v>
        <stp/>
        <stp>VOLUME</stp>
        <stp>.NDX251219P20500</stp>
        <tr r="W140" s="2"/>
      </tp>
      <tp t="s">
        <v>N/A</v>
        <stp/>
        <stp>VOLUME</stp>
        <stp>.NDX251219P19500</stp>
        <tr r="W180" s="2"/>
      </tp>
      <tp t="s">
        <v>N/A</v>
        <stp/>
        <stp>VOLUME</stp>
        <stp>.NDX250815P19900</stp>
        <tr r="O164" s="2"/>
      </tp>
      <tp t="s">
        <v>N/A</v>
        <stp/>
        <stp>VOLUME</stp>
        <stp>.NDX250919P19500</stp>
        <tr r="Q180" s="2"/>
      </tp>
      <tp>
        <v>1</v>
        <stp/>
        <stp>VOLUME</stp>
        <stp>.NDX250919P20500</stp>
        <tr r="Q140" s="2"/>
        <tr r="Q140" s="2"/>
      </tp>
      <tp t="s">
        <v>N/A</v>
        <stp/>
        <stp>VOLUME</stp>
        <stp>.NDX250718P20400</stp>
        <tr r="M144" s="2"/>
      </tp>
      <tp t="s">
        <v>N/A</v>
        <stp/>
        <stp>VOLUME</stp>
        <stp>.NDX250718P19400</stp>
        <tr r="M184" s="2"/>
      </tp>
      <tp t="s">
        <v>N/A</v>
        <stp/>
        <stp>VOLUME</stp>
        <stp>.NDX251219P20525</stp>
        <tr r="W139" s="2"/>
      </tp>
      <tp t="s">
        <v>N/A</v>
        <stp/>
        <stp>VOLUME</stp>
        <stp>.NDX251219P19525</stp>
        <tr r="W179" s="2"/>
      </tp>
      <tp t="s">
        <v>N/A</v>
        <stp/>
        <stp>VOLUME</stp>
        <stp>.NDX250919P19525</stp>
        <tr r="Q179" s="2"/>
      </tp>
      <tp t="s">
        <v>N/A</v>
        <stp/>
        <stp>VOLUME</stp>
        <stp>.NDX250815P19925</stp>
        <tr r="O163" s="2"/>
      </tp>
      <tp t="s">
        <v>N/A</v>
        <stp/>
        <stp>VOLUME</stp>
        <stp>.NDX250919P20525</stp>
        <tr r="Q139" s="2"/>
      </tp>
      <tp t="s">
        <v>N/A</v>
        <stp/>
        <stp>VOLUME</stp>
        <stp>.NDX250718P20425</stp>
        <tr r="M143" s="2"/>
      </tp>
      <tp>
        <v>2</v>
        <stp/>
        <stp>VOLUME</stp>
        <stp>.NDX250718P19425</stp>
        <tr r="M183" s="2"/>
        <tr r="M183" s="2"/>
      </tp>
      <tp t="s">
        <v>N/A</v>
        <stp/>
        <stp>VOLUME</stp>
        <stp>.NDX250815P19950</stp>
        <tr r="O162" s="2"/>
      </tp>
      <tp t="s">
        <v>N/A</v>
        <stp/>
        <stp>VOLUME</stp>
        <stp>.NDX250919P19550</stp>
        <tr r="Q178" s="2"/>
      </tp>
      <tp t="s">
        <v>N/A</v>
        <stp/>
        <stp>VOLUME</stp>
        <stp>.NDX250919P20550</stp>
        <tr r="Q138" s="2"/>
      </tp>
      <tp t="s">
        <v>N/A</v>
        <stp/>
        <stp>VOLUME</stp>
        <stp>.NDX250718P20450</stp>
        <tr r="M142" s="2"/>
      </tp>
      <tp>
        <v>1</v>
        <stp/>
        <stp>VOLUME</stp>
        <stp>.NDX250718P19450</stp>
        <tr r="M182" s="2"/>
        <tr r="M182" s="2"/>
      </tp>
      <tp t="s">
        <v>N/A</v>
        <stp/>
        <stp>VOLUME</stp>
        <stp>.NDX251219P20550</stp>
        <tr r="W138" s="2"/>
      </tp>
      <tp t="s">
        <v>N/A</v>
        <stp/>
        <stp>VOLUME</stp>
        <stp>.NDX251219P19550</stp>
        <tr r="W178" s="2"/>
      </tp>
      <tp t="s">
        <v>N/A</v>
        <stp/>
        <stp>VOLUME</stp>
        <stp>.NDX250919P19575</stp>
        <tr r="Q177" s="2"/>
      </tp>
      <tp t="s">
        <v>N/A</v>
        <stp/>
        <stp>VOLUME</stp>
        <stp>.NDX250815P19975</stp>
        <tr r="O161" s="2"/>
      </tp>
      <tp t="s">
        <v>N/A</v>
        <stp/>
        <stp>VOLUME</stp>
        <stp>.NDX250718P20475</stp>
        <tr r="M141" s="2"/>
      </tp>
      <tp>
        <v>3</v>
        <stp/>
        <stp>VOLUME</stp>
        <stp>.NDX250718P19475</stp>
        <tr r="M181" s="2"/>
        <tr r="M181" s="2"/>
      </tp>
      <tp t="s">
        <v>N/A</v>
        <stp/>
        <stp>VOLUME</stp>
        <stp>.NDX251219P19575</stp>
        <tr r="W177" s="2"/>
      </tp>
      <tp t="s">
        <v>53.82%</v>
        <stp/>
        <stp>IMPL_VOL</stp>
        <stp>.NDXP250509P20150</stp>
        <tr r="EM153" s="1"/>
      </tp>
      <tp t="s">
        <v>62.74%</v>
        <stp/>
        <stp>IMPL_VOL</stp>
        <stp>.NDXP250509P20175</stp>
        <tr r="EM152" s="1"/>
      </tp>
      <tp t="s">
        <v>--</v>
        <stp/>
        <stp>IMPL_VOL</stp>
        <stp>.NDXP250509P20100</stp>
        <tr r="EM155" s="1"/>
      </tp>
      <tp t="s">
        <v>--</v>
        <stp/>
        <stp>IMPL_VOL</stp>
        <stp>.NDXP250509P20125</stp>
        <tr r="EM154" s="1"/>
      </tp>
      <tp t="s">
        <v>N/A</v>
        <stp/>
        <stp>VOLUME</stp>
        <stp>.NDX250919C19525</stp>
        <tr r="Q179" s="2"/>
      </tp>
      <tp t="s">
        <v>N/A</v>
        <stp/>
        <stp>VOLUME</stp>
        <stp>.NDX250815C19925</stp>
        <tr r="O163" s="2"/>
      </tp>
      <tp t="s">
        <v>N/A</v>
        <stp/>
        <stp>VOLUME</stp>
        <stp>.NDX250919C20525</stp>
        <tr r="Q139" s="2"/>
      </tp>
      <tp t="s">
        <v>N/A</v>
        <stp/>
        <stp>VOLUME</stp>
        <stp>.NDX250718C20425</stp>
        <tr r="M143" s="2"/>
      </tp>
      <tp t="s">
        <v>N/A</v>
        <stp/>
        <stp>VOLUME</stp>
        <stp>.NDX250718C19425</stp>
        <tr r="M183" s="2"/>
      </tp>
      <tp t="s">
        <v>N/A</v>
        <stp/>
        <stp>VOLUME</stp>
        <stp>.NDX251219C20525</stp>
        <tr r="W139" s="2"/>
      </tp>
      <tp t="s">
        <v>N/A</v>
        <stp/>
        <stp>VOLUME</stp>
        <stp>.NDX251219C19525</stp>
        <tr r="W179" s="2"/>
      </tp>
      <tp t="s">
        <v>N/A</v>
        <stp/>
        <stp>VOLUME</stp>
        <stp>.NDX250815C19900</stp>
        <tr r="O164" s="2"/>
      </tp>
      <tp t="s">
        <v>N/A</v>
        <stp/>
        <stp>VOLUME</stp>
        <stp>.NDX250919C19500</stp>
        <tr r="Q180" s="2"/>
      </tp>
      <tp>
        <v>1</v>
        <stp/>
        <stp>VOLUME</stp>
        <stp>.NDX250919C20500</stp>
        <tr r="Q140" s="2"/>
        <tr r="Q140" s="2"/>
      </tp>
      <tp>
        <v>2</v>
        <stp/>
        <stp>VOLUME</stp>
        <stp>.NDX250718C20400</stp>
        <tr r="M144" s="2"/>
        <tr r="M144" s="2"/>
      </tp>
      <tp t="s">
        <v>N/A</v>
        <stp/>
        <stp>VOLUME</stp>
        <stp>.NDX250718C19400</stp>
        <tr r="M184" s="2"/>
      </tp>
      <tp t="s">
        <v>N/A</v>
        <stp/>
        <stp>VOLUME</stp>
        <stp>.NDX251219C20500</stp>
        <tr r="W140" s="2"/>
      </tp>
      <tp t="s">
        <v>N/A</v>
        <stp/>
        <stp>VOLUME</stp>
        <stp>.NDX251219C19500</stp>
        <tr r="W180" s="2"/>
      </tp>
      <tp t="s">
        <v>N/A</v>
        <stp/>
        <stp>VOLUME</stp>
        <stp>.NDX251219C19575</stp>
        <tr r="W177" s="2"/>
      </tp>
      <tp t="s">
        <v>N/A</v>
        <stp/>
        <stp>VOLUME</stp>
        <stp>.NDX250919C19575</stp>
        <tr r="Q177" s="2"/>
      </tp>
      <tp t="s">
        <v>N/A</v>
        <stp/>
        <stp>VOLUME</stp>
        <stp>.NDX250815C19975</stp>
        <tr r="O161" s="2"/>
      </tp>
      <tp t="s">
        <v>N/A</v>
        <stp/>
        <stp>VOLUME</stp>
        <stp>.NDX250718C20475</stp>
        <tr r="M141" s="2"/>
      </tp>
      <tp t="s">
        <v>N/A</v>
        <stp/>
        <stp>VOLUME</stp>
        <stp>.NDX250718C19475</stp>
        <tr r="M181" s="2"/>
      </tp>
      <tp t="s">
        <v>N/A</v>
        <stp/>
        <stp>VOLUME</stp>
        <stp>.NDX251219C20550</stp>
        <tr r="W138" s="2"/>
      </tp>
      <tp t="s">
        <v>N/A</v>
        <stp/>
        <stp>VOLUME</stp>
        <stp>.NDX251219C19550</stp>
        <tr r="W178" s="2"/>
      </tp>
      <tp t="s">
        <v>N/A</v>
        <stp/>
        <stp>VOLUME</stp>
        <stp>.NDX250815C19950</stp>
        <tr r="O162" s="2"/>
      </tp>
      <tp t="s">
        <v>N/A</v>
        <stp/>
        <stp>VOLUME</stp>
        <stp>.NDX250919C19550</stp>
        <tr r="Q178" s="2"/>
      </tp>
      <tp t="s">
        <v>N/A</v>
        <stp/>
        <stp>VOLUME</stp>
        <stp>.NDX250919C20550</stp>
        <tr r="Q138" s="2"/>
      </tp>
      <tp t="s">
        <v>N/A</v>
        <stp/>
        <stp>VOLUME</stp>
        <stp>.NDX250718C20450</stp>
        <tr r="M142" s="2"/>
      </tp>
      <tp t="s">
        <v>N/A</v>
        <stp/>
        <stp>VOLUME</stp>
        <stp>.NDX250718C19450</stp>
        <tr r="M182" s="2"/>
      </tp>
      <tp t="s">
        <v>N/A</v>
        <stp/>
        <stp>VOLUME</stp>
        <stp>.SPXC5540</stp>
        <tr r="K119" s="2"/>
      </tp>
      <tp t="s">
        <v>N/A</v>
        <stp/>
        <stp>VOLUME</stp>
        <stp>.SPXP5540</stp>
        <tr r="K119" s="2"/>
      </tp>
      <tp t="s">
        <v>N/A</v>
        <stp/>
        <stp>VOLUME</stp>
        <stp>.SPXC5550</stp>
        <tr r="K118" s="2"/>
      </tp>
      <tp t="s">
        <v>N/A</v>
        <stp/>
        <stp>VOLUME</stp>
        <stp>.SPXP5550</stp>
        <tr r="K118" s="2"/>
      </tp>
      <tp t="s">
        <v>N/A</v>
        <stp/>
        <stp>VOLUME</stp>
        <stp>.SPXC5560</stp>
        <tr r="K117" s="2"/>
      </tp>
      <tp t="s">
        <v>N/A</v>
        <stp/>
        <stp>VOLUME</stp>
        <stp>.SPXP5560</stp>
        <tr r="K117" s="2"/>
      </tp>
      <tp t="s">
        <v>N/A</v>
        <stp/>
        <stp>VOLUME</stp>
        <stp>.SPXC5570</stp>
        <tr r="K116" s="2"/>
      </tp>
      <tp t="s">
        <v>N/A</v>
        <stp/>
        <stp>VOLUME</stp>
        <stp>.SPXP5570</stp>
        <tr r="K116" s="2"/>
      </tp>
      <tp t="s">
        <v>N/A</v>
        <stp/>
        <stp>VOLUME</stp>
        <stp>.SPXC5500</stp>
        <tr r="K123" s="2"/>
      </tp>
      <tp t="s">
        <v>N/A</v>
        <stp/>
        <stp>VOLUME</stp>
        <stp>.SPXP5500</stp>
        <tr r="K123" s="2"/>
      </tp>
      <tp t="s">
        <v>N/A</v>
        <stp/>
        <stp>VOLUME</stp>
        <stp>.SPXC5510</stp>
        <tr r="K122" s="2"/>
      </tp>
      <tp t="s">
        <v>N/A</v>
        <stp/>
        <stp>VOLUME</stp>
        <stp>.SPXP5510</stp>
        <tr r="K122" s="2"/>
      </tp>
      <tp t="s">
        <v>N/A</v>
        <stp/>
        <stp>VOLUME</stp>
        <stp>.SPXC5520</stp>
        <tr r="K121" s="2"/>
      </tp>
      <tp t="s">
        <v>N/A</v>
        <stp/>
        <stp>VOLUME</stp>
        <stp>.SPXP5520</stp>
        <tr r="K121" s="2"/>
      </tp>
      <tp t="s">
        <v>N/A</v>
        <stp/>
        <stp>VOLUME</stp>
        <stp>.SPXC5530</stp>
        <tr r="K120" s="2"/>
      </tp>
      <tp t="s">
        <v>N/A</v>
        <stp/>
        <stp>VOLUME</stp>
        <stp>.SPXP5530</stp>
        <tr r="K120" s="2"/>
      </tp>
      <tp>
        <v>2</v>
        <stp/>
        <stp>VOLUME</stp>
        <stp>.NDX251017P19400</stp>
        <tr r="S184" s="2"/>
        <tr r="S184" s="2"/>
      </tp>
      <tp t="s">
        <v>N/A</v>
        <stp/>
        <stp>VOLUME</stp>
        <stp>.NDX251121P20200</stp>
        <tr r="U152" s="2"/>
      </tp>
      <tp t="s">
        <v>N/A</v>
        <stp/>
        <stp>VOLUME</stp>
        <stp>.NDX251017P20400</stp>
        <tr r="S144" s="2"/>
      </tp>
      <tp>
        <v>6</v>
        <stp/>
        <stp>VOLUME</stp>
        <stp>.NDX250815P19600</stp>
        <tr r="O176" s="2"/>
        <tr r="O176" s="2"/>
      </tp>
      <tp>
        <v>13</v>
        <stp/>
        <stp>VOLUME</stp>
        <stp>.NDX250516P19500</stp>
        <tr r="BD179" s="1"/>
        <tr r="BD179" s="1"/>
      </tp>
      <tp>
        <v>3</v>
        <stp/>
        <stp>VOLUME</stp>
        <stp>.NDX250620P20300</stp>
        <tr r="BF147" s="1"/>
        <tr r="BF147" s="1"/>
      </tp>
      <tp>
        <v>7</v>
        <stp/>
        <stp>VOLUME</stp>
        <stp>.NDX250620P19300</stp>
        <tr r="BF187" s="1"/>
        <tr r="BF187" s="1"/>
      </tp>
      <tp t="s">
        <v>N/A</v>
        <stp/>
        <stp>VOLUME</stp>
        <stp>.NDX250516P20500</stp>
        <tr r="BD139" s="1"/>
      </tp>
      <tp t="s">
        <v>N/A</v>
        <stp/>
        <stp>VOLUME</stp>
        <stp>.NDX250523P20000</stp>
        <tr r="H160" s="2"/>
      </tp>
      <tp t="s">
        <v>N/A</v>
        <stp/>
        <stp>VOLUME</stp>
        <stp>.NDX251017P19425</stp>
        <tr r="S183" s="2"/>
      </tp>
      <tp t="s">
        <v>N/A</v>
        <stp/>
        <stp>VOLUME</stp>
        <stp>.NDX251017P20425</stp>
        <tr r="S143" s="2"/>
      </tp>
      <tp t="s">
        <v>N/A</v>
        <stp/>
        <stp>VOLUME</stp>
        <stp>.NDX251121P20225</stp>
        <tr r="U151" s="2"/>
      </tp>
      <tp t="s">
        <v>N/A</v>
        <stp/>
        <stp>VOLUME</stp>
        <stp>.NDX250815P19625</stp>
        <tr r="O175" s="2"/>
      </tp>
      <tp>
        <v>14</v>
        <stp/>
        <stp>VOLUME</stp>
        <stp>.NDX250516P19525</stp>
        <tr r="BD178" s="1"/>
        <tr r="BD178" s="1"/>
      </tp>
      <tp t="s">
        <v>N/A</v>
        <stp/>
        <stp>VOLUME</stp>
        <stp>.NDX250620P20325</stp>
        <tr r="BF146" s="1"/>
      </tp>
      <tp t="s">
        <v>N/A</v>
        <stp/>
        <stp>VOLUME</stp>
        <stp>.NDX250620P19325</stp>
        <tr r="BF186" s="1"/>
      </tp>
      <tp t="s">
        <v>N/A</v>
        <stp/>
        <stp>VOLUME</stp>
        <stp>.NDX250516P20525</stp>
        <tr r="BD138" s="1"/>
      </tp>
      <tp t="s">
        <v>N/A</v>
        <stp/>
        <stp>VOLUME</stp>
        <stp>.NDX250523P20025</stp>
        <tr r="H159" s="2"/>
      </tp>
      <tp t="s">
        <v>N/A</v>
        <stp/>
        <stp>VOLUME</stp>
        <stp>.SPXC5580</stp>
        <tr r="K115" s="2"/>
      </tp>
      <tp t="s">
        <v>N/A</v>
        <stp/>
        <stp>VOLUME</stp>
        <stp>.NDX250815P19650</stp>
        <tr r="O174" s="2"/>
      </tp>
      <tp>
        <v>15</v>
        <stp/>
        <stp>VOLUME</stp>
        <stp>.NDX250516P19550</stp>
        <tr r="BD177" s="1"/>
        <tr r="BD177" s="1"/>
      </tp>
      <tp t="s">
        <v>N/A</v>
        <stp/>
        <stp>VOLUME</stp>
        <stp>.NDX250620P20350</stp>
        <tr r="BF145" s="1"/>
      </tp>
      <tp t="s">
        <v>N/A</v>
        <stp/>
        <stp>VOLUME</stp>
        <stp>.NDX250620P19350</stp>
        <tr r="BF185" s="1"/>
      </tp>
      <tp t="s">
        <v>N/A</v>
        <stp/>
        <stp>VOLUME</stp>
        <stp>.NDX250516P20550</stp>
        <tr r="BD137" s="1"/>
      </tp>
      <tp t="s">
        <v>N/A</v>
        <stp/>
        <stp>VOLUME</stp>
        <stp>.NDX250523P20050</stp>
        <tr r="H158" s="2"/>
      </tp>
      <tp t="s">
        <v>N/A</v>
        <stp/>
        <stp>VOLUME</stp>
        <stp>.SPXP5580</stp>
        <tr r="K115" s="2"/>
      </tp>
      <tp t="s">
        <v>N/A</v>
        <stp/>
        <stp>VOLUME</stp>
        <stp>.SPXC5590</stp>
        <tr r="K114" s="2"/>
      </tp>
      <tp t="s">
        <v>N/A</v>
        <stp/>
        <stp>VOLUME</stp>
        <stp>.SPXP5590</stp>
        <tr r="K114" s="2"/>
      </tp>
      <tp t="s">
        <v>N/A</v>
        <stp/>
        <stp>VOLUME</stp>
        <stp>.NDX251017P19450</stp>
        <tr r="S182" s="2"/>
      </tp>
      <tp t="s">
        <v>N/A</v>
        <stp/>
        <stp>VOLUME</stp>
        <stp>.NDX251121P19250</stp>
        <tr r="U190" s="2"/>
      </tp>
      <tp t="s">
        <v>N/A</v>
        <stp/>
        <stp>VOLUME</stp>
        <stp>.NDX251121P20250</stp>
        <tr r="U150" s="2"/>
      </tp>
      <tp t="s">
        <v>N/A</v>
        <stp/>
        <stp>VOLUME</stp>
        <stp>.NDX251017P20450</stp>
        <tr r="S142" s="2"/>
      </tp>
      <tp t="s">
        <v>N/A</v>
        <stp/>
        <stp>VOLUME</stp>
        <stp>.NDX250815P19675</stp>
        <tr r="O173" s="2"/>
      </tp>
      <tp>
        <v>1</v>
        <stp/>
        <stp>VOLUME</stp>
        <stp>.NDX250516P19575</stp>
        <tr r="BD176" s="1"/>
        <tr r="BD176" s="1"/>
      </tp>
      <tp t="s">
        <v>N/A</v>
        <stp/>
        <stp>VOLUME</stp>
        <stp>.NDX250620P20375</stp>
        <tr r="BF144" s="1"/>
      </tp>
      <tp t="s">
        <v>N/A</v>
        <stp/>
        <stp>VOLUME</stp>
        <stp>.NDX250620P19375</stp>
        <tr r="BF184" s="1"/>
      </tp>
      <tp t="s">
        <v>N/A</v>
        <stp/>
        <stp>VOLUME</stp>
        <stp>.NDX250523P20075</stp>
        <tr r="H157" s="2"/>
      </tp>
      <tp t="s">
        <v>N/A</v>
        <stp/>
        <stp>VOLUME</stp>
        <stp>.NDX251121P19275</stp>
        <tr r="U189" s="2"/>
      </tp>
      <tp t="s">
        <v>N/A</v>
        <stp/>
        <stp>VOLUME</stp>
        <stp>.NDX251017P19475</stp>
        <tr r="S181" s="2"/>
      </tp>
      <tp t="s">
        <v>N/A</v>
        <stp/>
        <stp>VOLUME</stp>
        <stp>.NDX251017P20475</stp>
        <tr r="S141" s="2"/>
      </tp>
      <tp t="s">
        <v>N/A</v>
        <stp/>
        <stp>VOLUME</stp>
        <stp>.NDX251121P20275</stp>
        <tr r="U149" s="2"/>
      </tp>
      <tp t="s">
        <v>N/A</v>
        <stp/>
        <stp>VOLUME</stp>
        <stp>.NDX250815C19625</stp>
        <tr r="O175" s="2"/>
      </tp>
      <tp t="s">
        <v>N/A</v>
        <stp/>
        <stp>VOLUME</stp>
        <stp>.NDX250516C19525</stp>
        <tr r="BC178" s="1"/>
      </tp>
      <tp>
        <v>1</v>
        <stp/>
        <stp>VOLUME</stp>
        <stp>.NDX250620C20325</stp>
        <tr r="BE146" s="1"/>
        <tr r="BE146" s="1"/>
      </tp>
      <tp t="s">
        <v>N/A</v>
        <stp/>
        <stp>VOLUME</stp>
        <stp>.NDX250620C19325</stp>
        <tr r="BE186" s="1"/>
      </tp>
      <tp>
        <v>6</v>
        <stp/>
        <stp>VOLUME</stp>
        <stp>.NDX250516C20525</stp>
        <tr r="BC138" s="1"/>
        <tr r="BC138" s="1"/>
      </tp>
      <tp t="s">
        <v>N/A</v>
        <stp/>
        <stp>VOLUME</stp>
        <stp>.NDX250523C20025</stp>
        <tr r="H159" s="2"/>
      </tp>
      <tp t="s">
        <v>N/A</v>
        <stp/>
        <stp>VOLUME</stp>
        <stp>.NDX251017C19425</stp>
        <tr r="S183" s="2"/>
      </tp>
      <tp t="s">
        <v>N/A</v>
        <stp/>
        <stp>VOLUME</stp>
        <stp>.NDX251017C20425</stp>
        <tr r="S143" s="2"/>
      </tp>
      <tp t="s">
        <v>N/A</v>
        <stp/>
        <stp>VOLUME</stp>
        <stp>.NDX251121C20225</stp>
        <tr r="U151" s="2"/>
      </tp>
      <tp t="s">
        <v>N/A</v>
        <stp/>
        <stp>VOLUME</stp>
        <stp>.NDX250815C19600</stp>
        <tr r="O176" s="2"/>
      </tp>
      <tp t="s">
        <v>N/A</v>
        <stp/>
        <stp>VOLUME</stp>
        <stp>.NDX250516C19500</stp>
        <tr r="BC179" s="1"/>
      </tp>
      <tp t="s">
        <v>N/A</v>
        <stp/>
        <stp>VOLUME</stp>
        <stp>.NDX250620C20300</stp>
        <tr r="BE147" s="1"/>
      </tp>
      <tp t="s">
        <v>N/A</v>
        <stp/>
        <stp>VOLUME</stp>
        <stp>.NDX250620C19300</stp>
        <tr r="BE187" s="1"/>
      </tp>
      <tp>
        <v>61</v>
        <stp/>
        <stp>VOLUME</stp>
        <stp>.NDX250516C20500</stp>
        <tr r="BC139" s="1"/>
        <tr r="BC139" s="1"/>
      </tp>
      <tp t="s">
        <v>N/A</v>
        <stp/>
        <stp>VOLUME</stp>
        <stp>.NDX250523C20000</stp>
        <tr r="H160" s="2"/>
      </tp>
      <tp t="s">
        <v>N/A</v>
        <stp/>
        <stp>VOLUME</stp>
        <stp>.NDX251017C19400</stp>
        <tr r="S184" s="2"/>
      </tp>
      <tp t="s">
        <v>N/A</v>
        <stp/>
        <stp>VOLUME</stp>
        <stp>.NDX251121C20200</stp>
        <tr r="U152" s="2"/>
      </tp>
      <tp t="s">
        <v>N/A</v>
        <stp/>
        <stp>VOLUME</stp>
        <stp>.NDX251017C20400</stp>
        <tr r="S144" s="2"/>
      </tp>
      <tp t="s">
        <v>N/A</v>
        <stp/>
        <stp>VOLUME</stp>
        <stp>.NDX251121C19275</stp>
        <tr r="U189" s="2"/>
      </tp>
      <tp t="s">
        <v>N/A</v>
        <stp/>
        <stp>VOLUME</stp>
        <stp>.NDX251017C19475</stp>
        <tr r="S181" s="2"/>
      </tp>
      <tp t="s">
        <v>N/A</v>
        <stp/>
        <stp>VOLUME</stp>
        <stp>.NDX251017C20475</stp>
        <tr r="S141" s="2"/>
      </tp>
      <tp t="s">
        <v>N/A</v>
        <stp/>
        <stp>VOLUME</stp>
        <stp>.NDX251121C20275</stp>
        <tr r="U149" s="2"/>
      </tp>
      <tp t="s">
        <v>N/A</v>
        <stp/>
        <stp>VOLUME</stp>
        <stp>.NDX250815C19675</stp>
        <tr r="O173" s="2"/>
      </tp>
      <tp t="s">
        <v>N/A</v>
        <stp/>
        <stp>VOLUME</stp>
        <stp>.NDX250516C19575</stp>
        <tr r="BC176" s="1"/>
      </tp>
      <tp t="s">
        <v>N/A</v>
        <stp/>
        <stp>VOLUME</stp>
        <stp>.NDX250620C20375</stp>
        <tr r="BE144" s="1"/>
      </tp>
      <tp t="s">
        <v>N/A</v>
        <stp/>
        <stp>VOLUME</stp>
        <stp>.NDX250620C19375</stp>
        <tr r="BE184" s="1"/>
      </tp>
      <tp t="s">
        <v>N/A</v>
        <stp/>
        <stp>VOLUME</stp>
        <stp>.NDX250523C20075</stp>
        <tr r="H157" s="2"/>
      </tp>
      <tp t="s">
        <v>N/A</v>
        <stp/>
        <stp>VOLUME</stp>
        <stp>.NDX251017C19450</stp>
        <tr r="S182" s="2"/>
      </tp>
      <tp t="s">
        <v>N/A</v>
        <stp/>
        <stp>VOLUME</stp>
        <stp>.NDX251121C19250</stp>
        <tr r="U190" s="2"/>
      </tp>
      <tp t="s">
        <v>N/A</v>
        <stp/>
        <stp>VOLUME</stp>
        <stp>.NDX251121C20250</stp>
        <tr r="U150" s="2"/>
      </tp>
      <tp t="s">
        <v>N/A</v>
        <stp/>
        <stp>VOLUME</stp>
        <stp>.NDX251017C20450</stp>
        <tr r="S142" s="2"/>
      </tp>
      <tp t="s">
        <v>N/A</v>
        <stp/>
        <stp>VOLUME</stp>
        <stp>.NDX250815C19650</stp>
        <tr r="O174" s="2"/>
      </tp>
      <tp t="s">
        <v>N/A</v>
        <stp/>
        <stp>VOLUME</stp>
        <stp>.NDX250516C19550</stp>
        <tr r="BC177" s="1"/>
      </tp>
      <tp t="s">
        <v>N/A</v>
        <stp/>
        <stp>VOLUME</stp>
        <stp>.NDX250620C20350</stp>
        <tr r="BE145" s="1"/>
      </tp>
      <tp t="s">
        <v>N/A</v>
        <stp/>
        <stp>VOLUME</stp>
        <stp>.NDX250620C19350</stp>
        <tr r="BE185" s="1"/>
      </tp>
      <tp>
        <v>6</v>
        <stp/>
        <stp>VOLUME</stp>
        <stp>.NDX250516C20550</stp>
        <tr r="BC137" s="1"/>
        <tr r="BC137" s="1"/>
      </tp>
      <tp t="s">
        <v>N/A</v>
        <stp/>
        <stp>VOLUME</stp>
        <stp>.NDX250523C20050</stp>
        <tr r="H158" s="2"/>
      </tp>
      <tp t="s">
        <v>N/A</v>
        <stp/>
        <stp>VOLUME</stp>
        <stp>.SPXC5440</stp>
        <tr r="K129" s="2"/>
      </tp>
      <tp t="s">
        <v>N/A</v>
        <stp/>
        <stp>VOLUME</stp>
        <stp>.SPXP5440</stp>
        <tr r="K129" s="2"/>
      </tp>
      <tp t="s">
        <v>N/A</v>
        <stp/>
        <stp>VOLUME</stp>
        <stp>.SPXC5450</stp>
        <tr r="K128" s="2"/>
      </tp>
      <tp t="s">
        <v>N/A</v>
        <stp/>
        <stp>VOLUME</stp>
        <stp>.SPXP5450</stp>
        <tr r="K128" s="2"/>
      </tp>
      <tp t="s">
        <v>N/A</v>
        <stp/>
        <stp>VOLUME</stp>
        <stp>.SPXC5460</stp>
        <tr r="K127" s="2"/>
      </tp>
      <tp t="s">
        <v>N/A</v>
        <stp/>
        <stp>VOLUME</stp>
        <stp>.SPXP5460</stp>
        <tr r="K127" s="2"/>
      </tp>
      <tp t="s">
        <v>N/A</v>
        <stp/>
        <stp>VOLUME</stp>
        <stp>.SPXC5470</stp>
        <tr r="K126" s="2"/>
      </tp>
      <tp t="s">
        <v>N/A</v>
        <stp/>
        <stp>VOLUME</stp>
        <stp>.SPXP5470</stp>
        <tr r="K126" s="2"/>
      </tp>
      <tp t="s">
        <v>N/A</v>
        <stp/>
        <stp>VOLUME</stp>
        <stp>.SPXC5420</stp>
        <tr r="K131" s="2"/>
      </tp>
      <tp t="s">
        <v>N/A</v>
        <stp/>
        <stp>VOLUME</stp>
        <stp>.SPXP5420</stp>
        <tr r="K131" s="2"/>
      </tp>
      <tp t="s">
        <v>N/A</v>
        <stp/>
        <stp>VOLUME</stp>
        <stp>.SPXC5430</stp>
        <tr r="K130" s="2"/>
      </tp>
      <tp t="s">
        <v>N/A</v>
        <stp/>
        <stp>VOLUME</stp>
        <stp>.SPXP5430</stp>
        <tr r="K130" s="2"/>
      </tp>
      <tp t="s">
        <v>N/A</v>
        <stp/>
        <stp>VOLUME</stp>
        <stp>.NDX251017P19500</stp>
        <tr r="S180" s="2"/>
      </tp>
      <tp t="s">
        <v>N/A</v>
        <stp/>
        <stp>VOLUME</stp>
        <stp>.NDX251121P19300</stp>
        <tr r="U188" s="2"/>
      </tp>
      <tp t="s">
        <v>N/A</v>
        <stp/>
        <stp>VOLUME</stp>
        <stp>.NDX251121P20300</stp>
        <tr r="U148" s="2"/>
      </tp>
      <tp t="s">
        <v>N/A</v>
        <stp/>
        <stp>VOLUME</stp>
        <stp>.NDX251017P20500</stp>
        <tr r="S140" s="2"/>
      </tp>
      <tp t="s">
        <v>N/A</v>
        <stp/>
        <stp>VOLUME</stp>
        <stp>.NDX250815P19700</stp>
        <tr r="O172" s="2"/>
      </tp>
      <tp>
        <v>9</v>
        <stp/>
        <stp>VOLUME</stp>
        <stp>.NDX250516P19400</stp>
        <tr r="BD183" s="1"/>
        <tr r="BD183" s="1"/>
      </tp>
      <tp>
        <v>5</v>
        <stp/>
        <stp>VOLUME</stp>
        <stp>.NDX250620P20200</stp>
        <tr r="BF151" s="1"/>
        <tr r="BF151" s="1"/>
      </tp>
      <tp t="s">
        <v>N/A</v>
        <stp/>
        <stp>VOLUME</stp>
        <stp>.NDX250516P20400</stp>
        <tr r="BD143" s="1"/>
      </tp>
      <tp t="s">
        <v>N/A</v>
        <stp/>
        <stp>VOLUME</stp>
        <stp>.NDX250523P20100</stp>
        <tr r="H156" s="2"/>
      </tp>
      <tp t="s">
        <v>N/A</v>
        <stp/>
        <stp>VOLUME</stp>
        <stp>.NDX251121P19325</stp>
        <tr r="U187" s="2"/>
      </tp>
      <tp t="s">
        <v>N/A</v>
        <stp/>
        <stp>VOLUME</stp>
        <stp>.NDX251017P19525</stp>
        <tr r="S179" s="2"/>
      </tp>
      <tp t="s">
        <v>N/A</v>
        <stp/>
        <stp>VOLUME</stp>
        <stp>.NDX251017P20525</stp>
        <tr r="S139" s="2"/>
      </tp>
      <tp t="s">
        <v>N/A</v>
        <stp/>
        <stp>VOLUME</stp>
        <stp>.NDX251121P20325</stp>
        <tr r="U147" s="2"/>
      </tp>
      <tp t="s">
        <v>N/A</v>
        <stp/>
        <stp>VOLUME</stp>
        <stp>.NDX250815P19725</stp>
        <tr r="O171" s="2"/>
      </tp>
      <tp>
        <v>13</v>
        <stp/>
        <stp>VOLUME</stp>
        <stp>.NDX250516P19425</stp>
        <tr r="BD182" s="1"/>
        <tr r="BD182" s="1"/>
      </tp>
      <tp t="s">
        <v>N/A</v>
        <stp/>
        <stp>VOLUME</stp>
        <stp>.NDX250620P20225</stp>
        <tr r="BF150" s="1"/>
      </tp>
      <tp t="s">
        <v>N/A</v>
        <stp/>
        <stp>VOLUME</stp>
        <stp>.NDX250516P20425</stp>
        <tr r="BD142" s="1"/>
      </tp>
      <tp t="s">
        <v>N/A</v>
        <stp/>
        <stp>VOLUME</stp>
        <stp>.NDX250523P20125</stp>
        <tr r="H155" s="2"/>
      </tp>
      <tp t="s">
        <v>N/A</v>
        <stp/>
        <stp>VOLUME</stp>
        <stp>.SPXC5480</stp>
        <tr r="K125" s="2"/>
      </tp>
      <tp t="s">
        <v>N/A</v>
        <stp/>
        <stp>VOLUME</stp>
        <stp>.NDX250815P19750</stp>
        <tr r="O170" s="2"/>
      </tp>
      <tp>
        <v>3</v>
        <stp/>
        <stp>VOLUME</stp>
        <stp>.NDX250516P19450</stp>
        <tr r="BD181" s="1"/>
        <tr r="BD181" s="1"/>
      </tp>
      <tp>
        <v>31</v>
        <stp/>
        <stp>VOLUME</stp>
        <stp>.NDX250620P20250</stp>
        <tr r="BF149" s="1"/>
        <tr r="BF149" s="1"/>
      </tp>
      <tp t="s">
        <v>N/A</v>
        <stp/>
        <stp>VOLUME</stp>
        <stp>.NDX250620P19250</stp>
        <tr r="BF189" s="1"/>
      </tp>
      <tp t="s">
        <v>N/A</v>
        <stp/>
        <stp>VOLUME</stp>
        <stp>.NDX250516P20450</stp>
        <tr r="BD141" s="1"/>
      </tp>
      <tp t="s">
        <v>N/A</v>
        <stp/>
        <stp>VOLUME</stp>
        <stp>.NDX250523P20150</stp>
        <tr r="H154" s="2"/>
      </tp>
      <tp t="s">
        <v>N/A</v>
        <stp/>
        <stp>VOLUME</stp>
        <stp>.SPXP5480</stp>
        <tr r="K125" s="2"/>
      </tp>
      <tp t="s">
        <v>N/A</v>
        <stp/>
        <stp>VOLUME</stp>
        <stp>.SPXC5490</stp>
        <tr r="K124" s="2"/>
      </tp>
      <tp t="s">
        <v>N/A</v>
        <stp/>
        <stp>VOLUME</stp>
        <stp>.SPXP5490</stp>
        <tr r="K124" s="2"/>
      </tp>
      <tp t="s">
        <v>N/A</v>
        <stp/>
        <stp>VOLUME</stp>
        <stp>.NDX251017P19550</stp>
        <tr r="S178" s="2"/>
      </tp>
      <tp t="s">
        <v>N/A</v>
        <stp/>
        <stp>VOLUME</stp>
        <stp>.NDX251121P19350</stp>
        <tr r="U186" s="2"/>
      </tp>
      <tp t="s">
        <v>N/A</v>
        <stp/>
        <stp>VOLUME</stp>
        <stp>.NDX251121P20350</stp>
        <tr r="U146" s="2"/>
      </tp>
      <tp t="s">
        <v>N/A</v>
        <stp/>
        <stp>VOLUME</stp>
        <stp>.NDX251017P20550</stp>
        <tr r="S138" s="2"/>
      </tp>
      <tp t="s">
        <v>N/A</v>
        <stp/>
        <stp>VOLUME</stp>
        <stp>.NDX250815P19775</stp>
        <tr r="O169" s="2"/>
      </tp>
      <tp>
        <v>6</v>
        <stp/>
        <stp>VOLUME</stp>
        <stp>.NDX250516P19475</stp>
        <tr r="BD180" s="1"/>
        <tr r="BD180" s="1"/>
      </tp>
      <tp>
        <v>7</v>
        <stp/>
        <stp>VOLUME</stp>
        <stp>.NDX250620P20275</stp>
        <tr r="BF148" s="1"/>
        <tr r="BF148" s="1"/>
      </tp>
      <tp t="s">
        <v>N/A</v>
        <stp/>
        <stp>VOLUME</stp>
        <stp>.NDX250620P19275</stp>
        <tr r="BF188" s="1"/>
      </tp>
      <tp t="s">
        <v>N/A</v>
        <stp/>
        <stp>VOLUME</stp>
        <stp>.NDX250516P20475</stp>
        <tr r="BD140" s="1"/>
      </tp>
      <tp t="s">
        <v>N/A</v>
        <stp/>
        <stp>VOLUME</stp>
        <stp>.NDX250523P20175</stp>
        <tr r="H153" s="2"/>
      </tp>
      <tp t="s">
        <v>N/A</v>
        <stp/>
        <stp>VOLUME</stp>
        <stp>.NDX251121P19375</stp>
        <tr r="U185" s="2"/>
      </tp>
      <tp t="s">
        <v>N/A</v>
        <stp/>
        <stp>VOLUME</stp>
        <stp>.NDX251017P19575</stp>
        <tr r="S177" s="2"/>
      </tp>
      <tp t="s">
        <v>N/A</v>
        <stp/>
        <stp>VOLUME</stp>
        <stp>.NDX251121P20375</stp>
        <tr r="U145" s="2"/>
      </tp>
      <tp t="s">
        <v>N/A</v>
        <stp/>
        <stp>VOLUME</stp>
        <stp>.NDX250815C19725</stp>
        <tr r="O171" s="2"/>
      </tp>
      <tp t="s">
        <v>N/A</v>
        <stp/>
        <stp>VOLUME</stp>
        <stp>.NDX250516C19425</stp>
        <tr r="BC182" s="1"/>
      </tp>
      <tp>
        <v>19</v>
        <stp/>
        <stp>VOLUME</stp>
        <stp>.NDX250620C20225</stp>
        <tr r="BE150" s="1"/>
        <tr r="BE150" s="1"/>
      </tp>
      <tp t="s">
        <v>N/A</v>
        <stp/>
        <stp>VOLUME</stp>
        <stp>.NDX250516C20425</stp>
        <tr r="BC142" s="1"/>
      </tp>
      <tp t="s">
        <v>N/A</v>
        <stp/>
        <stp>VOLUME</stp>
        <stp>.NDX250523C20125</stp>
        <tr r="H155" s="2"/>
      </tp>
      <tp t="s">
        <v>N/A</v>
        <stp/>
        <stp>VOLUME</stp>
        <stp>.NDX251121C19325</stp>
        <tr r="U187" s="2"/>
      </tp>
      <tp t="s">
        <v>N/A</v>
        <stp/>
        <stp>VOLUME</stp>
        <stp>.NDX251017C19525</stp>
        <tr r="S179" s="2"/>
      </tp>
      <tp t="s">
        <v>N/A</v>
        <stp/>
        <stp>VOLUME</stp>
        <stp>.NDX251017C20525</stp>
        <tr r="S139" s="2"/>
      </tp>
      <tp t="s">
        <v>N/A</v>
        <stp/>
        <stp>VOLUME</stp>
        <stp>.NDX251121C20325</stp>
        <tr r="U147" s="2"/>
      </tp>
      <tp t="s">
        <v>N/A</v>
        <stp/>
        <stp>VOLUME</stp>
        <stp>.NDX250815C19700</stp>
        <tr r="O172" s="2"/>
      </tp>
      <tp t="s">
        <v>N/A</v>
        <stp/>
        <stp>VOLUME</stp>
        <stp>.NDX250516C19400</stp>
        <tr r="BC183" s="1"/>
      </tp>
      <tp>
        <v>4</v>
        <stp/>
        <stp>VOLUME</stp>
        <stp>.NDX250620C20200</stp>
        <tr r="BE151" s="1"/>
        <tr r="BE151" s="1"/>
      </tp>
      <tp>
        <v>33</v>
        <stp/>
        <stp>VOLUME</stp>
        <stp>.NDX250516C20400</stp>
        <tr r="BC143" s="1"/>
        <tr r="BC143" s="1"/>
      </tp>
      <tp t="s">
        <v>N/A</v>
        <stp/>
        <stp>VOLUME</stp>
        <stp>.NDX250523C20100</stp>
        <tr r="H156" s="2"/>
      </tp>
      <tp t="s">
        <v>N/A</v>
        <stp/>
        <stp>VOLUME</stp>
        <stp>.NDX251017C19500</stp>
        <tr r="S180" s="2"/>
      </tp>
      <tp>
        <v>2</v>
        <stp/>
        <stp>VOLUME</stp>
        <stp>.NDX251121C19300</stp>
        <tr r="U188" s="2"/>
        <tr r="U188" s="2"/>
      </tp>
      <tp t="s">
        <v>N/A</v>
        <stp/>
        <stp>VOLUME</stp>
        <stp>.NDX251121C20300</stp>
        <tr r="U148" s="2"/>
      </tp>
      <tp t="s">
        <v>N/A</v>
        <stp/>
        <stp>VOLUME</stp>
        <stp>.NDX251017C20500</stp>
        <tr r="S140" s="2"/>
      </tp>
      <tp t="s">
        <v>N/A</v>
        <stp/>
        <stp>VOLUME</stp>
        <stp>.NDX251121C19375</stp>
        <tr r="U185" s="2"/>
      </tp>
      <tp t="s">
        <v>N/A</v>
        <stp/>
        <stp>VOLUME</stp>
        <stp>.NDX251017C19575</stp>
        <tr r="S177" s="2"/>
      </tp>
      <tp t="s">
        <v>N/A</v>
        <stp/>
        <stp>VOLUME</stp>
        <stp>.NDX251121C20375</stp>
        <tr r="U145" s="2"/>
      </tp>
      <tp t="s">
        <v>N/A</v>
        <stp/>
        <stp>VOLUME</stp>
        <stp>.NDX250815C19775</stp>
        <tr r="O169" s="2"/>
      </tp>
      <tp t="s">
        <v>N/A</v>
        <stp/>
        <stp>VOLUME</stp>
        <stp>.NDX250516C19475</stp>
        <tr r="BC180" s="1"/>
      </tp>
      <tp>
        <v>23</v>
        <stp/>
        <stp>VOLUME</stp>
        <stp>.NDX250620C20275</stp>
        <tr r="BE148" s="1"/>
        <tr r="BE148" s="1"/>
      </tp>
      <tp t="s">
        <v>N/A</v>
        <stp/>
        <stp>VOLUME</stp>
        <stp>.NDX250620C19275</stp>
        <tr r="BE188" s="1"/>
      </tp>
      <tp>
        <v>13</v>
        <stp/>
        <stp>VOLUME</stp>
        <stp>.NDX250516C20475</stp>
        <tr r="BC140" s="1"/>
        <tr r="BC140" s="1"/>
      </tp>
      <tp t="s">
        <v>N/A</v>
        <stp/>
        <stp>VOLUME</stp>
        <stp>.NDX250523C20175</stp>
        <tr r="H153" s="2"/>
      </tp>
      <tp t="s">
        <v>N/A</v>
        <stp/>
        <stp>VOLUME</stp>
        <stp>.NDX251017C19550</stp>
        <tr r="S178" s="2"/>
      </tp>
      <tp t="s">
        <v>N/A</v>
        <stp/>
        <stp>VOLUME</stp>
        <stp>.NDX251121C19350</stp>
        <tr r="U186" s="2"/>
      </tp>
      <tp t="s">
        <v>N/A</v>
        <stp/>
        <stp>VOLUME</stp>
        <stp>.NDX251121C20350</stp>
        <tr r="U146" s="2"/>
      </tp>
      <tp t="s">
        <v>N/A</v>
        <stp/>
        <stp>VOLUME</stp>
        <stp>.NDX251017C20550</stp>
        <tr r="S138" s="2"/>
      </tp>
      <tp t="s">
        <v>N/A</v>
        <stp/>
        <stp>VOLUME</stp>
        <stp>.NDX250815C19750</stp>
        <tr r="O170" s="2"/>
      </tp>
      <tp t="s">
        <v>N/A</v>
        <stp/>
        <stp>VOLUME</stp>
        <stp>.NDX250516C19450</stp>
        <tr r="BC181" s="1"/>
      </tp>
      <tp>
        <v>6</v>
        <stp/>
        <stp>VOLUME</stp>
        <stp>.NDX250620C20250</stp>
        <tr r="BE149" s="1"/>
        <tr r="BE149" s="1"/>
      </tp>
      <tp t="s">
        <v>N/A</v>
        <stp/>
        <stp>VOLUME</stp>
        <stp>.NDX250620C19250</stp>
        <tr r="BE189" s="1"/>
      </tp>
      <tp>
        <v>1</v>
        <stp/>
        <stp>VOLUME</stp>
        <stp>.NDX250516C20450</stp>
        <tr r="BC141" s="1"/>
        <tr r="BC141" s="1"/>
      </tp>
      <tp t="s">
        <v>N/A</v>
        <stp/>
        <stp>VOLUME</stp>
        <stp>.NDX250523C20150</stp>
        <tr r="H154" s="2"/>
      </tp>
      <tp t="s">
        <v>N/A</v>
        <stp/>
        <stp>VOLUME</stp>
        <stp>.SPXC5740</stp>
        <tr r="K99" s="2"/>
      </tp>
      <tp t="s">
        <v>N/A</v>
        <stp/>
        <stp>VOLUME</stp>
        <stp>.SPXP5740</stp>
        <tr r="K99" s="2"/>
      </tp>
      <tp t="s">
        <v>N/A</v>
        <stp/>
        <stp>VOLUME</stp>
        <stp>.SPXC5750</stp>
        <tr r="K98" s="2"/>
      </tp>
      <tp t="s">
        <v>N/A</v>
        <stp/>
        <stp>VOLUME</stp>
        <stp>.SPXP5750</stp>
        <tr r="K98" s="2"/>
      </tp>
      <tp t="s">
        <v>N/A</v>
        <stp/>
        <stp>VOLUME</stp>
        <stp>.SPXC5760</stp>
        <tr r="K97" s="2"/>
      </tp>
      <tp t="s">
        <v>N/A</v>
        <stp/>
        <stp>VOLUME</stp>
        <stp>.SPXP5760</stp>
        <tr r="K97" s="2"/>
      </tp>
      <tp t="s">
        <v>N/A</v>
        <stp/>
        <stp>VOLUME</stp>
        <stp>.SPXC5770</stp>
        <tr r="K96" s="2"/>
      </tp>
      <tp t="s">
        <v>N/A</v>
        <stp/>
        <stp>VOLUME</stp>
        <stp>.SPXP5770</stp>
        <tr r="K96" s="2"/>
      </tp>
      <tp t="s">
        <v>N/A</v>
        <stp/>
        <stp>VOLUME</stp>
        <stp>.SPXC5700</stp>
        <tr r="K103" s="2"/>
      </tp>
      <tp t="s">
        <v>N/A</v>
        <stp/>
        <stp>VOLUME</stp>
        <stp>.SPXP5700</stp>
        <tr r="K103" s="2"/>
      </tp>
      <tp t="s">
        <v>N/A</v>
        <stp/>
        <stp>VOLUME</stp>
        <stp>.SPXC5710</stp>
        <tr r="K102" s="2"/>
      </tp>
      <tp t="s">
        <v>N/A</v>
        <stp/>
        <stp>VOLUME</stp>
        <stp>.SPXP5710</stp>
        <tr r="K102" s="2"/>
      </tp>
      <tp t="s">
        <v>N/A</v>
        <stp/>
        <stp>VOLUME</stp>
        <stp>.SPXC5720</stp>
        <tr r="K101" s="2"/>
      </tp>
      <tp t="s">
        <v>N/A</v>
        <stp/>
        <stp>VOLUME</stp>
        <stp>.SPXP5720</stp>
        <tr r="K101" s="2"/>
      </tp>
      <tp t="s">
        <v>N/A</v>
        <stp/>
        <stp>VOLUME</stp>
        <stp>.SPXC5730</stp>
        <tr r="K100" s="2"/>
      </tp>
      <tp t="s">
        <v>N/A</v>
        <stp/>
        <stp>VOLUME</stp>
        <stp>.SPXP5730</stp>
        <tr r="K100" s="2"/>
      </tp>
      <tp t="s">
        <v>N/A</v>
        <stp/>
        <stp>VOLUME</stp>
        <stp>.NDX251017P19600</stp>
        <tr r="S176" s="2"/>
      </tp>
      <tp t="s">
        <v>N/A</v>
        <stp/>
        <stp>VOLUME</stp>
        <stp>.NDX251219P19800</stp>
        <tr r="W168" s="2"/>
      </tp>
      <tp t="s">
        <v>N/A</v>
        <stp/>
        <stp>VOLUME</stp>
        <stp>.NDX251121P20000</stp>
        <tr r="U160" s="2"/>
      </tp>
      <tp t="s">
        <v>N/A</v>
        <stp/>
        <stp>VOLUME</stp>
        <stp>.NDX250815P19400</stp>
        <tr r="O184" s="2"/>
      </tp>
      <tp t="s">
        <v>N/A</v>
        <stp/>
        <stp>VOLUME</stp>
        <stp>.NDX250919P19800</stp>
        <tr r="Q168" s="2"/>
      </tp>
      <tp t="s">
        <v>N/A</v>
        <stp/>
        <stp>VOLUME</stp>
        <stp>.NDX250815P20400</stp>
        <tr r="O144" s="2"/>
      </tp>
      <tp>
        <v>8</v>
        <stp/>
        <stp>VOLUME</stp>
        <stp>.NDX250516P19700</stp>
        <tr r="BD171" s="1"/>
        <tr r="BD171" s="1"/>
      </tp>
      <tp>
        <v>3</v>
        <stp/>
        <stp>VOLUME</stp>
        <stp>.NDX250620P20100</stp>
        <tr r="BF155" s="1"/>
        <tr r="BF155" s="1"/>
      </tp>
      <tp t="s">
        <v>N/A</v>
        <stp/>
        <stp>VOLUME</stp>
        <stp>.NDX250523P20200</stp>
        <tr r="H152" s="2"/>
      </tp>
      <tp t="s">
        <v>N/A</v>
        <stp/>
        <stp>VOLUME</stp>
        <stp>.NDX250718P19900</stp>
        <tr r="M164" s="2"/>
      </tp>
      <tp t="s">
        <v>N/A</v>
        <stp/>
        <stp>VOLUME</stp>
        <stp>.NDX251017P19625</stp>
        <tr r="S175" s="2"/>
      </tp>
      <tp t="s">
        <v>N/A</v>
        <stp/>
        <stp>VOLUME</stp>
        <stp>.NDX251219P19825</stp>
        <tr r="W167" s="2"/>
      </tp>
      <tp t="s">
        <v>N/A</v>
        <stp/>
        <stp>VOLUME</stp>
        <stp>.NDX251121P20025</stp>
        <tr r="U159" s="2"/>
      </tp>
      <tp t="s">
        <v>N/A</v>
        <stp/>
        <stp>VOLUME</stp>
        <stp>.NDX250919P19825</stp>
        <tr r="Q167" s="2"/>
      </tp>
      <tp t="s">
        <v>N/A</v>
        <stp/>
        <stp>VOLUME</stp>
        <stp>.NDX250815P19425</stp>
        <tr r="O183" s="2"/>
      </tp>
      <tp t="s">
        <v>N/A</v>
        <stp/>
        <stp>VOLUME</stp>
        <stp>.NDX250815P20425</stp>
        <tr r="O143" s="2"/>
      </tp>
      <tp>
        <v>2</v>
        <stp/>
        <stp>VOLUME</stp>
        <stp>.NDX250516P19725</stp>
        <tr r="BD170" s="1"/>
        <tr r="BD170" s="1"/>
      </tp>
      <tp>
        <v>29</v>
        <stp/>
        <stp>VOLUME</stp>
        <stp>.NDX250620P20125</stp>
        <tr r="BF154" s="1"/>
        <tr r="BF154" s="1"/>
      </tp>
      <tp t="s">
        <v>N/A</v>
        <stp/>
        <stp>VOLUME</stp>
        <stp>.NDX250718P19925</stp>
        <tr r="M163" s="2"/>
      </tp>
      <tp t="s">
        <v>N/A</v>
        <stp/>
        <stp>VOLUME</stp>
        <stp>.NDX250523P20225</stp>
        <tr r="H151" s="2"/>
      </tp>
      <tp t="s">
        <v>N/A</v>
        <stp/>
        <stp>VOLUME</stp>
        <stp>.SPXC5780</stp>
        <tr r="K95" s="2"/>
      </tp>
      <tp t="s">
        <v>N/A</v>
        <stp/>
        <stp>VOLUME</stp>
        <stp>.NDX250815P19450</stp>
        <tr r="O182" s="2"/>
      </tp>
      <tp t="s">
        <v>N/A</v>
        <stp/>
        <stp>VOLUME</stp>
        <stp>.NDX250919P19850</stp>
        <tr r="Q166" s="2"/>
      </tp>
      <tp t="s">
        <v>N/A</v>
        <stp/>
        <stp>VOLUME</stp>
        <stp>.NDX250815P20450</stp>
        <tr r="O142" s="2"/>
      </tp>
      <tp>
        <v>13</v>
        <stp/>
        <stp>VOLUME</stp>
        <stp>.NDX250516P19750</stp>
        <tr r="BD169" s="1"/>
        <tr r="BD169" s="1"/>
      </tp>
      <tp t="s">
        <v>N/A</v>
        <stp/>
        <stp>VOLUME</stp>
        <stp>.NDX250523P19250</stp>
        <tr r="H190" s="2"/>
      </tp>
      <tp>
        <v>5</v>
        <stp/>
        <stp>VOLUME</stp>
        <stp>.NDX250620P20150</stp>
        <tr r="BF153" s="1"/>
        <tr r="BF153" s="1"/>
      </tp>
      <tp t="s">
        <v>N/A</v>
        <stp/>
        <stp>VOLUME</stp>
        <stp>.NDX250523P20250</stp>
        <tr r="H150" s="2"/>
      </tp>
      <tp t="s">
        <v>N/A</v>
        <stp/>
        <stp>VOLUME</stp>
        <stp>.NDX250718P19950</stp>
        <tr r="M162" s="2"/>
      </tp>
      <tp t="s">
        <v>N/A</v>
        <stp/>
        <stp>VOLUME</stp>
        <stp>.SPXP5780</stp>
        <tr r="K95" s="2"/>
      </tp>
      <tp t="s">
        <v>N/A</v>
        <stp/>
        <stp>VOLUME</stp>
        <stp>.SPXC5790</stp>
        <tr r="K94" s="2"/>
      </tp>
      <tp t="s">
        <v>N/A</v>
        <stp/>
        <stp>VOLUME</stp>
        <stp>.SPXP5790</stp>
        <tr r="K94" s="2"/>
      </tp>
      <tp t="s">
        <v>N/A</v>
        <stp/>
        <stp>VOLUME</stp>
        <stp>.NDX251017P19650</stp>
        <tr r="S174" s="2"/>
      </tp>
      <tp t="s">
        <v>N/A</v>
        <stp/>
        <stp>VOLUME</stp>
        <stp>.NDX251219P19850</stp>
        <tr r="W166" s="2"/>
      </tp>
      <tp t="s">
        <v>N/A</v>
        <stp/>
        <stp>VOLUME</stp>
        <stp>.NDX251121P20050</stp>
        <tr r="U158" s="2"/>
      </tp>
      <tp t="s">
        <v>N/A</v>
        <stp/>
        <stp>VOLUME</stp>
        <stp>.NDX250919P19875</stp>
        <tr r="Q165" s="2"/>
      </tp>
      <tp t="s">
        <v>N/A</v>
        <stp/>
        <stp>VOLUME</stp>
        <stp>.NDX250815P19475</stp>
        <tr r="O181" s="2"/>
      </tp>
      <tp t="s">
        <v>N/A</v>
        <stp/>
        <stp>VOLUME</stp>
        <stp>.NDX250815P20475</stp>
        <tr r="O141" s="2"/>
      </tp>
      <tp>
        <v>9</v>
        <stp/>
        <stp>VOLUME</stp>
        <stp>.NDX250516P19775</stp>
        <tr r="BD168" s="1"/>
        <tr r="BD168" s="1"/>
      </tp>
      <tp t="s">
        <v>N/A</v>
        <stp/>
        <stp>VOLUME</stp>
        <stp>.NDX250523P19275</stp>
        <tr r="H189" s="2"/>
      </tp>
      <tp t="s">
        <v>N/A</v>
        <stp/>
        <stp>VOLUME</stp>
        <stp>.NDX250620P20175</stp>
        <tr r="BF152" s="1"/>
      </tp>
      <tp t="s">
        <v>N/A</v>
        <stp/>
        <stp>VOLUME</stp>
        <stp>.NDX250718P19975</stp>
        <tr r="M161" s="2"/>
      </tp>
      <tp t="s">
        <v>N/A</v>
        <stp/>
        <stp>VOLUME</stp>
        <stp>.NDX250523P20275</stp>
        <tr r="H149" s="2"/>
      </tp>
      <tp t="s">
        <v>N/A</v>
        <stp/>
        <stp>VOLUME</stp>
        <stp>.NDX251017P19675</stp>
        <tr r="S173" s="2"/>
      </tp>
      <tp t="s">
        <v>N/A</v>
        <stp/>
        <stp>VOLUME</stp>
        <stp>.NDX251219P19875</stp>
        <tr r="W165" s="2"/>
      </tp>
      <tp t="s">
        <v>N/A</v>
        <stp/>
        <stp>VOLUME</stp>
        <stp>.NDX251121P20075</stp>
        <tr r="U157" s="2"/>
      </tp>
      <tp t="s">
        <v>N/A</v>
        <stp/>
        <stp>VOLUME</stp>
        <stp>.NDX250919C19825</stp>
        <tr r="Q167" s="2"/>
      </tp>
      <tp t="s">
        <v>N/A</v>
        <stp/>
        <stp>VOLUME</stp>
        <stp>.NDX250815C19425</stp>
        <tr r="O183" s="2"/>
      </tp>
      <tp t="s">
        <v>N/A</v>
        <stp/>
        <stp>VOLUME</stp>
        <stp>.NDX250815C20425</stp>
        <tr r="O143" s="2"/>
      </tp>
      <tp t="s">
        <v>N/A</v>
        <stp/>
        <stp>VOLUME</stp>
        <stp>.NDX250516C19725</stp>
        <tr r="BC170" s="1"/>
      </tp>
      <tp>
        <v>29</v>
        <stp/>
        <stp>VOLUME</stp>
        <stp>.NDX250620C20125</stp>
        <tr r="BE154" s="1"/>
        <tr r="BE154" s="1"/>
      </tp>
      <tp t="s">
        <v>N/A</v>
        <stp/>
        <stp>VOLUME</stp>
        <stp>.NDX250718C19925</stp>
        <tr r="M163" s="2"/>
      </tp>
      <tp t="s">
        <v>N/A</v>
        <stp/>
        <stp>VOLUME</stp>
        <stp>.NDX250523C20225</stp>
        <tr r="H151" s="2"/>
      </tp>
      <tp t="s">
        <v>N/A</v>
        <stp/>
        <stp>VOLUME</stp>
        <stp>.NDX251017C19625</stp>
        <tr r="S175" s="2"/>
      </tp>
      <tp t="s">
        <v>N/A</v>
        <stp/>
        <stp>VOLUME</stp>
        <stp>.NDX251219C19825</stp>
        <tr r="W167" s="2"/>
      </tp>
      <tp t="s">
        <v>N/A</v>
        <stp/>
        <stp>VOLUME</stp>
        <stp>.NDX251121C20025</stp>
        <tr r="U159" s="2"/>
      </tp>
      <tp t="s">
        <v>N/A</v>
        <stp/>
        <stp>VOLUME</stp>
        <stp>.NDX250815C19400</stp>
        <tr r="O184" s="2"/>
      </tp>
      <tp t="s">
        <v>N/A</v>
        <stp/>
        <stp>VOLUME</stp>
        <stp>.NDX250919C19800</stp>
        <tr r="Q168" s="2"/>
      </tp>
      <tp t="s">
        <v>N/A</v>
        <stp/>
        <stp>VOLUME</stp>
        <stp>.NDX250815C20400</stp>
        <tr r="O144" s="2"/>
      </tp>
      <tp>
        <v>1</v>
        <stp/>
        <stp>VOLUME</stp>
        <stp>.NDX250516C19700</stp>
        <tr r="BC171" s="1"/>
        <tr r="BC171" s="1"/>
      </tp>
      <tp>
        <v>4</v>
        <stp/>
        <stp>VOLUME</stp>
        <stp>.NDX250620C20100</stp>
        <tr r="BE155" s="1"/>
        <tr r="BE155" s="1"/>
      </tp>
      <tp t="s">
        <v>N/A</v>
        <stp/>
        <stp>VOLUME</stp>
        <stp>.NDX250523C20200</stp>
        <tr r="H152" s="2"/>
      </tp>
      <tp t="s">
        <v>N/A</v>
        <stp/>
        <stp>VOLUME</stp>
        <stp>.NDX250718C19900</stp>
        <tr r="M164" s="2"/>
      </tp>
      <tp t="s">
        <v>N/A</v>
        <stp/>
        <stp>VOLUME</stp>
        <stp>.NDX251017C19600</stp>
        <tr r="S176" s="2"/>
      </tp>
      <tp t="s">
        <v>N/A</v>
        <stp/>
        <stp>VOLUME</stp>
        <stp>.NDX251219C19800</stp>
        <tr r="W168" s="2"/>
      </tp>
      <tp t="s">
        <v>N/A</v>
        <stp/>
        <stp>VOLUME</stp>
        <stp>.NDX251121C20000</stp>
        <tr r="U160" s="2"/>
      </tp>
      <tp t="s">
        <v>N/A</v>
        <stp/>
        <stp>VOLUME</stp>
        <stp>.NDX251017C19675</stp>
        <tr r="S173" s="2"/>
      </tp>
      <tp t="s">
        <v>N/A</v>
        <stp/>
        <stp>VOLUME</stp>
        <stp>.NDX251219C19875</stp>
        <tr r="W165" s="2"/>
      </tp>
      <tp t="s">
        <v>N/A</v>
        <stp/>
        <stp>VOLUME</stp>
        <stp>.NDX251121C20075</stp>
        <tr r="U157" s="2"/>
      </tp>
      <tp t="s">
        <v>N/A</v>
        <stp/>
        <stp>VOLUME</stp>
        <stp>.NDX250919C19875</stp>
        <tr r="Q165" s="2"/>
      </tp>
      <tp t="s">
        <v>N/A</v>
        <stp/>
        <stp>VOLUME</stp>
        <stp>.NDX250815C19475</stp>
        <tr r="O181" s="2"/>
      </tp>
      <tp t="s">
        <v>N/A</v>
        <stp/>
        <stp>VOLUME</stp>
        <stp>.NDX250815C20475</stp>
        <tr r="O141" s="2"/>
      </tp>
      <tp t="s">
        <v>N/A</v>
        <stp/>
        <stp>VOLUME</stp>
        <stp>.NDX250516C19775</stp>
        <tr r="BC168" s="1"/>
      </tp>
      <tp t="s">
        <v>N/A</v>
        <stp/>
        <stp>VOLUME</stp>
        <stp>.NDX250523C19275</stp>
        <tr r="H189" s="2"/>
      </tp>
      <tp t="s">
        <v>N/A</v>
        <stp/>
        <stp>VOLUME</stp>
        <stp>.NDX250620C20175</stp>
        <tr r="BE152" s="1"/>
      </tp>
      <tp t="s">
        <v>N/A</v>
        <stp/>
        <stp>VOLUME</stp>
        <stp>.NDX250718C19975</stp>
        <tr r="M161" s="2"/>
      </tp>
      <tp t="s">
        <v>N/A</v>
        <stp/>
        <stp>VOLUME</stp>
        <stp>.NDX250523C20275</stp>
        <tr r="H149" s="2"/>
      </tp>
      <tp t="s">
        <v>N/A</v>
        <stp/>
        <stp>VOLUME</stp>
        <stp>.NDX251017C19650</stp>
        <tr r="S174" s="2"/>
      </tp>
      <tp t="s">
        <v>N/A</v>
        <stp/>
        <stp>VOLUME</stp>
        <stp>.NDX251219C19850</stp>
        <tr r="W166" s="2"/>
      </tp>
      <tp t="s">
        <v>N/A</v>
        <stp/>
        <stp>VOLUME</stp>
        <stp>.NDX251121C20050</stp>
        <tr r="U158" s="2"/>
      </tp>
      <tp t="s">
        <v>N/A</v>
        <stp/>
        <stp>VOLUME</stp>
        <stp>.NDX250815C19450</stp>
        <tr r="O182" s="2"/>
      </tp>
      <tp t="s">
        <v>N/A</v>
        <stp/>
        <stp>VOLUME</stp>
        <stp>.NDX250919C19850</stp>
        <tr r="Q166" s="2"/>
      </tp>
      <tp t="s">
        <v>N/A</v>
        <stp/>
        <stp>VOLUME</stp>
        <stp>.NDX250815C20450</stp>
        <tr r="O142" s="2"/>
      </tp>
      <tp t="s">
        <v>N/A</v>
        <stp/>
        <stp>VOLUME</stp>
        <stp>.NDX250516C19750</stp>
        <tr r="BC169" s="1"/>
      </tp>
      <tp t="s">
        <v>N/A</v>
        <stp/>
        <stp>VOLUME</stp>
        <stp>.NDX250523C19250</stp>
        <tr r="H190" s="2"/>
      </tp>
      <tp t="s">
        <v>N/A</v>
        <stp/>
        <stp>VOLUME</stp>
        <stp>.NDX250620C20150</stp>
        <tr r="BE153" s="1"/>
      </tp>
      <tp t="s">
        <v>N/A</v>
        <stp/>
        <stp>VOLUME</stp>
        <stp>.NDX250523C20250</stp>
        <tr r="H150" s="2"/>
      </tp>
      <tp t="s">
        <v>N/A</v>
        <stp/>
        <stp>VOLUME</stp>
        <stp>.NDX250718C19950</stp>
        <tr r="M162" s="2"/>
      </tp>
      <tp t="s">
        <v>N/A</v>
        <stp/>
        <stp>VOLUME</stp>
        <stp>.SPXC5640</stp>
        <tr r="K109" s="2"/>
      </tp>
      <tp t="s">
        <v>N/A</v>
        <stp/>
        <stp>VOLUME</stp>
        <stp>.SPXP5640</stp>
        <tr r="K109" s="2"/>
      </tp>
      <tp t="s">
        <v>N/A</v>
        <stp/>
        <stp>VOLUME</stp>
        <stp>.SPXC5650</stp>
        <tr r="K108" s="2"/>
      </tp>
      <tp t="s">
        <v>N/A</v>
        <stp/>
        <stp>VOLUME</stp>
        <stp>.SPXP5650</stp>
        <tr r="K108" s="2"/>
      </tp>
      <tp t="s">
        <v>N/A</v>
        <stp/>
        <stp>VOLUME</stp>
        <stp>.SPXC5660</stp>
        <tr r="K107" s="2"/>
      </tp>
      <tp t="s">
        <v>N/A</v>
        <stp/>
        <stp>VOLUME</stp>
        <stp>.SPXP5660</stp>
        <tr r="K107" s="2"/>
      </tp>
      <tp t="s">
        <v>N/A</v>
        <stp/>
        <stp>VOLUME</stp>
        <stp>.SPXC5670</stp>
        <tr r="K106" s="2"/>
      </tp>
      <tp t="s">
        <v>N/A</v>
        <stp/>
        <stp>VOLUME</stp>
        <stp>.SPXP5670</stp>
        <tr r="K106" s="2"/>
      </tp>
      <tp t="s">
        <v>N/A</v>
        <stp/>
        <stp>VOLUME</stp>
        <stp>.SPXC5600</stp>
        <tr r="K113" s="2"/>
      </tp>
      <tp t="s">
        <v>N/A</v>
        <stp/>
        <stp>VOLUME</stp>
        <stp>.SPXP5600</stp>
        <tr r="K113" s="2"/>
      </tp>
      <tp t="s">
        <v>N/A</v>
        <stp/>
        <stp>VOLUME</stp>
        <stp>.SPXC5610</stp>
        <tr r="K112" s="2"/>
      </tp>
      <tp t="s">
        <v>N/A</v>
        <stp/>
        <stp>VOLUME</stp>
        <stp>.SPXP5610</stp>
        <tr r="K112" s="2"/>
      </tp>
      <tp t="s">
        <v>N/A</v>
        <stp/>
        <stp>VOLUME</stp>
        <stp>.SPXC5620</stp>
        <tr r="K111" s="2"/>
      </tp>
      <tp t="s">
        <v>N/A</v>
        <stp/>
        <stp>VOLUME</stp>
        <stp>.SPXP5620</stp>
        <tr r="K111" s="2"/>
      </tp>
      <tp t="s">
        <v>N/A</v>
        <stp/>
        <stp>VOLUME</stp>
        <stp>.SPXC5630</stp>
        <tr r="K110" s="2"/>
      </tp>
      <tp t="s">
        <v>N/A</v>
        <stp/>
        <stp>VOLUME</stp>
        <stp>.SPXP5630</stp>
        <tr r="K110" s="2"/>
      </tp>
      <tp t="s">
        <v>N/A</v>
        <stp/>
        <stp>VOLUME</stp>
        <stp>.NDX251017P19700</stp>
        <tr r="S172" s="2"/>
      </tp>
      <tp t="s">
        <v>N/A</v>
        <stp/>
        <stp>VOLUME</stp>
        <stp>.NDX251219P19900</stp>
        <tr r="W164" s="2"/>
      </tp>
      <tp t="s">
        <v>N/A</v>
        <stp/>
        <stp>VOLUME</stp>
        <stp>.NDX251121P20100</stp>
        <tr r="U156" s="2"/>
      </tp>
      <tp>
        <v>13</v>
        <stp/>
        <stp>VOLUME</stp>
        <stp>.NDX250815P19500</stp>
        <tr r="O180" s="2"/>
        <tr r="O180" s="2"/>
      </tp>
      <tp t="s">
        <v>N/A</v>
        <stp/>
        <stp>VOLUME</stp>
        <stp>.NDX250919P19900</stp>
        <tr r="Q164" s="2"/>
      </tp>
      <tp t="s">
        <v>N/A</v>
        <stp/>
        <stp>VOLUME</stp>
        <stp>.NDX250815P20500</stp>
        <tr r="O140" s="2"/>
      </tp>
      <tp>
        <v>26</v>
        <stp/>
        <stp>VOLUME</stp>
        <stp>.NDX250516P19600</stp>
        <tr r="BD175" s="1"/>
        <tr r="BD175" s="1"/>
      </tp>
      <tp t="s">
        <v>N/A</v>
        <stp/>
        <stp>VOLUME</stp>
        <stp>.NDX250523P19300</stp>
        <tr r="H188" s="2"/>
      </tp>
      <tp>
        <v>26</v>
        <stp/>
        <stp>VOLUME</stp>
        <stp>.NDX250620P20000</stp>
        <tr r="BF159" s="1"/>
        <tr r="BF159" s="1"/>
      </tp>
      <tp t="s">
        <v>N/A</v>
        <stp/>
        <stp>VOLUME</stp>
        <stp>.NDX250523P20300</stp>
        <tr r="H148" s="2"/>
      </tp>
      <tp>
        <v>2</v>
        <stp/>
        <stp>VOLUME</stp>
        <stp>.NDX250718P19800</stp>
        <tr r="M168" s="2"/>
        <tr r="M168" s="2"/>
      </tp>
      <tp t="s">
        <v>N/A</v>
        <stp/>
        <stp>VOLUME</stp>
        <stp>.NDX251017P19725</stp>
        <tr r="S171" s="2"/>
      </tp>
      <tp t="s">
        <v>N/A</v>
        <stp/>
        <stp>VOLUME</stp>
        <stp>.NDX251219P19925</stp>
        <tr r="W163" s="2"/>
      </tp>
      <tp t="s">
        <v>N/A</v>
        <stp/>
        <stp>VOLUME</stp>
        <stp>.NDX251121P20125</stp>
        <tr r="U155" s="2"/>
      </tp>
      <tp t="s">
        <v>N/A</v>
        <stp/>
        <stp>VOLUME</stp>
        <stp>.NDX250919P19925</stp>
        <tr r="Q163" s="2"/>
      </tp>
      <tp t="s">
        <v>N/A</v>
        <stp/>
        <stp>VOLUME</stp>
        <stp>.NDX250815P19525</stp>
        <tr r="O179" s="2"/>
      </tp>
      <tp t="s">
        <v>N/A</v>
        <stp/>
        <stp>VOLUME</stp>
        <stp>.NDX250815P20525</stp>
        <tr r="O139" s="2"/>
      </tp>
      <tp>
        <v>4</v>
        <stp/>
        <stp>VOLUME</stp>
        <stp>.NDX250516P19625</stp>
        <tr r="BD174" s="1"/>
        <tr r="BD174" s="1"/>
      </tp>
      <tp t="s">
        <v>N/A</v>
        <stp/>
        <stp>VOLUME</stp>
        <stp>.NDX250523P19325</stp>
        <tr r="H187" s="2"/>
      </tp>
      <tp t="s">
        <v>N/A</v>
        <stp/>
        <stp>VOLUME</stp>
        <stp>.NDX250620P20025</stp>
        <tr r="BF158" s="1"/>
      </tp>
      <tp t="s">
        <v>N/A</v>
        <stp/>
        <stp>VOLUME</stp>
        <stp>.NDX250718P19825</stp>
        <tr r="M167" s="2"/>
      </tp>
      <tp t="s">
        <v>N/A</v>
        <stp/>
        <stp>VOLUME</stp>
        <stp>.NDX250523P20325</stp>
        <tr r="H147" s="2"/>
      </tp>
      <tp t="s">
        <v>N/A</v>
        <stp/>
        <stp>VOLUME</stp>
        <stp>.SPXC5680</stp>
        <tr r="K105" s="2"/>
      </tp>
      <tp t="s">
        <v>N/A</v>
        <stp/>
        <stp>VOLUME</stp>
        <stp>.NDX250815P19550</stp>
        <tr r="O178" s="2"/>
      </tp>
      <tp t="s">
        <v>N/A</v>
        <stp/>
        <stp>VOLUME</stp>
        <stp>.NDX250919P19950</stp>
        <tr r="Q162" s="2"/>
      </tp>
      <tp t="s">
        <v>N/A</v>
        <stp/>
        <stp>VOLUME</stp>
        <stp>.NDX250815P20550</stp>
        <tr r="O138" s="2"/>
      </tp>
      <tp>
        <v>3</v>
        <stp/>
        <stp>VOLUME</stp>
        <stp>.NDX250516P19650</stp>
        <tr r="BD173" s="1"/>
        <tr r="BD173" s="1"/>
      </tp>
      <tp t="s">
        <v>N/A</v>
        <stp/>
        <stp>VOLUME</stp>
        <stp>.NDX250523P19350</stp>
        <tr r="H186" s="2"/>
      </tp>
      <tp>
        <v>26</v>
        <stp/>
        <stp>VOLUME</stp>
        <stp>.NDX250620P20050</stp>
        <tr r="BF157" s="1"/>
        <tr r="BF157" s="1"/>
      </tp>
      <tp t="s">
        <v>N/A</v>
        <stp/>
        <stp>VOLUME</stp>
        <stp>.NDX250523P20350</stp>
        <tr r="H146" s="2"/>
      </tp>
      <tp t="s">
        <v>N/A</v>
        <stp/>
        <stp>VOLUME</stp>
        <stp>.NDX250718P19850</stp>
        <tr r="M166" s="2"/>
      </tp>
      <tp t="s">
        <v>N/A</v>
        <stp/>
        <stp>VOLUME</stp>
        <stp>.SPXP5680</stp>
        <tr r="K105" s="2"/>
      </tp>
      <tp t="s">
        <v>N/A</v>
        <stp/>
        <stp>VOLUME</stp>
        <stp>.SPXC5690</stp>
        <tr r="K104" s="2"/>
      </tp>
      <tp t="s">
        <v>N/A</v>
        <stp/>
        <stp>VOLUME</stp>
        <stp>.SPXP5690</stp>
        <tr r="K104" s="2"/>
      </tp>
      <tp t="s">
        <v>N/A</v>
        <stp/>
        <stp>VOLUME</stp>
        <stp>.NDX251017P19750</stp>
        <tr r="S170" s="2"/>
      </tp>
      <tp t="s">
        <v>N/A</v>
        <stp/>
        <stp>VOLUME</stp>
        <stp>.NDX251219P19950</stp>
        <tr r="W162" s="2"/>
      </tp>
      <tp t="s">
        <v>N/A</v>
        <stp/>
        <stp>VOLUME</stp>
        <stp>.NDX251121P20150</stp>
        <tr r="U154" s="2"/>
      </tp>
      <tp t="s">
        <v>N/A</v>
        <stp/>
        <stp>VOLUME</stp>
        <stp>.NDX250919P19975</stp>
        <tr r="Q161" s="2"/>
      </tp>
      <tp t="s">
        <v>N/A</v>
        <stp/>
        <stp>VOLUME</stp>
        <stp>.NDX250815P19575</stp>
        <tr r="O177" s="2"/>
      </tp>
      <tp>
        <v>4</v>
        <stp/>
        <stp>VOLUME</stp>
        <stp>.NDX250516P19675</stp>
        <tr r="BD172" s="1"/>
        <tr r="BD172" s="1"/>
      </tp>
      <tp t="s">
        <v>N/A</v>
        <stp/>
        <stp>VOLUME</stp>
        <stp>.NDX250523P19375</stp>
        <tr r="H185" s="2"/>
      </tp>
      <tp>
        <v>1</v>
        <stp/>
        <stp>VOLUME</stp>
        <stp>.NDX250620P20075</stp>
        <tr r="BF156" s="1"/>
        <tr r="BF156" s="1"/>
      </tp>
      <tp t="s">
        <v>N/A</v>
        <stp/>
        <stp>VOLUME</stp>
        <stp>.NDX250718P19875</stp>
        <tr r="M165" s="2"/>
      </tp>
      <tp t="s">
        <v>N/A</v>
        <stp/>
        <stp>VOLUME</stp>
        <stp>.NDX250523P20375</stp>
        <tr r="H145" s="2"/>
      </tp>
      <tp t="s">
        <v>N/A</v>
        <stp/>
        <stp>VOLUME</stp>
        <stp>.NDX251017P19775</stp>
        <tr r="S169" s="2"/>
      </tp>
      <tp t="s">
        <v>N/A</v>
        <stp/>
        <stp>VOLUME</stp>
        <stp>.NDX251219P19975</stp>
        <tr r="W161" s="2"/>
      </tp>
      <tp t="s">
        <v>N/A</v>
        <stp/>
        <stp>VOLUME</stp>
        <stp>.NDX251121P20175</stp>
        <tr r="U153" s="2"/>
      </tp>
      <tp t="s">
        <v>N/A</v>
        <stp/>
        <stp>VOLUME</stp>
        <stp>.NDX250919C19925</stp>
        <tr r="Q163" s="2"/>
      </tp>
      <tp t="s">
        <v>N/A</v>
        <stp/>
        <stp>VOLUME</stp>
        <stp>.NDX250815C19525</stp>
        <tr r="O179" s="2"/>
      </tp>
      <tp t="s">
        <v>N/A</v>
        <stp/>
        <stp>VOLUME</stp>
        <stp>.NDX250815C20525</stp>
        <tr r="O139" s="2"/>
      </tp>
      <tp t="s">
        <v>N/A</v>
        <stp/>
        <stp>VOLUME</stp>
        <stp>.NDX250516C19625</stp>
        <tr r="BC174" s="1"/>
      </tp>
      <tp t="s">
        <v>N/A</v>
        <stp/>
        <stp>VOLUME</stp>
        <stp>.NDX250523C19325</stp>
        <tr r="H187" s="2"/>
      </tp>
      <tp>
        <v>13</v>
        <stp/>
        <stp>VOLUME</stp>
        <stp>.NDX250620C20025</stp>
        <tr r="BE158" s="1"/>
        <tr r="BE158" s="1"/>
      </tp>
      <tp t="s">
        <v>N/A</v>
        <stp/>
        <stp>VOLUME</stp>
        <stp>.NDX250718C19825</stp>
        <tr r="M167" s="2"/>
      </tp>
      <tp t="s">
        <v>N/A</v>
        <stp/>
        <stp>VOLUME</stp>
        <stp>.NDX250523C20325</stp>
        <tr r="H147" s="2"/>
      </tp>
      <tp t="s">
        <v>N/A</v>
        <stp/>
        <stp>VOLUME</stp>
        <stp>.NDX251017C19725</stp>
        <tr r="S171" s="2"/>
      </tp>
      <tp t="s">
        <v>N/A</v>
        <stp/>
        <stp>VOLUME</stp>
        <stp>.NDX251219C19925</stp>
        <tr r="W163" s="2"/>
      </tp>
      <tp t="s">
        <v>N/A</v>
        <stp/>
        <stp>VOLUME</stp>
        <stp>.NDX251121C20125</stp>
        <tr r="U155" s="2"/>
      </tp>
      <tp t="s">
        <v>N/A</v>
        <stp/>
        <stp>VOLUME</stp>
        <stp>.NDX250815C19500</stp>
        <tr r="O180" s="2"/>
      </tp>
      <tp t="s">
        <v>N/A</v>
        <stp/>
        <stp>VOLUME</stp>
        <stp>.NDX250919C19900</stp>
        <tr r="Q164" s="2"/>
      </tp>
      <tp t="s">
        <v>N/A</v>
        <stp/>
        <stp>VOLUME</stp>
        <stp>.NDX250815C20500</stp>
        <tr r="O140" s="2"/>
      </tp>
      <tp t="s">
        <v>N/A</v>
        <stp/>
        <stp>VOLUME</stp>
        <stp>.NDX250516C19600</stp>
        <tr r="BC175" s="1"/>
      </tp>
      <tp t="s">
        <v>N/A</v>
        <stp/>
        <stp>VOLUME</stp>
        <stp>.NDX250523C19300</stp>
        <tr r="H188" s="2"/>
      </tp>
      <tp>
        <v>2</v>
        <stp/>
        <stp>VOLUME</stp>
        <stp>.NDX250620C20000</stp>
        <tr r="BE159" s="1"/>
        <tr r="BE159" s="1"/>
      </tp>
      <tp t="s">
        <v>N/A</v>
        <stp/>
        <stp>VOLUME</stp>
        <stp>.NDX250523C20300</stp>
        <tr r="H148" s="2"/>
      </tp>
      <tp t="s">
        <v>N/A</v>
        <stp/>
        <stp>VOLUME</stp>
        <stp>.NDX250718C19800</stp>
        <tr r="M168" s="2"/>
      </tp>
      <tp t="s">
        <v>N/A</v>
        <stp/>
        <stp>VOLUME</stp>
        <stp>.NDX251017C19700</stp>
        <tr r="S172" s="2"/>
      </tp>
      <tp t="s">
        <v>N/A</v>
        <stp/>
        <stp>VOLUME</stp>
        <stp>.NDX251219C19900</stp>
        <tr r="W164" s="2"/>
      </tp>
      <tp t="s">
        <v>N/A</v>
        <stp/>
        <stp>VOLUME</stp>
        <stp>.NDX251121C20100</stp>
        <tr r="U156" s="2"/>
      </tp>
      <tp t="s">
        <v>N/A</v>
        <stp/>
        <stp>VOLUME</stp>
        <stp>.NDX251017C19775</stp>
        <tr r="S169" s="2"/>
      </tp>
      <tp t="s">
        <v>N/A</v>
        <stp/>
        <stp>VOLUME</stp>
        <stp>.NDX251219C19975</stp>
        <tr r="W161" s="2"/>
      </tp>
      <tp t="s">
        <v>N/A</v>
        <stp/>
        <stp>VOLUME</stp>
        <stp>.NDX251121C20175</stp>
        <tr r="U153" s="2"/>
      </tp>
      <tp t="s">
        <v>N/A</v>
        <stp/>
        <stp>VOLUME</stp>
        <stp>.NDX250919C19975</stp>
        <tr r="Q161" s="2"/>
      </tp>
      <tp t="s">
        <v>N/A</v>
        <stp/>
        <stp>VOLUME</stp>
        <stp>.NDX250815C19575</stp>
        <tr r="O177" s="2"/>
      </tp>
      <tp>
        <v>1</v>
        <stp/>
        <stp>VOLUME</stp>
        <stp>.NDX250516C19675</stp>
        <tr r="BC172" s="1"/>
        <tr r="BC172" s="1"/>
      </tp>
      <tp t="s">
        <v>N/A</v>
        <stp/>
        <stp>VOLUME</stp>
        <stp>.NDX250523C19375</stp>
        <tr r="H185" s="2"/>
      </tp>
      <tp t="s">
        <v>N/A</v>
        <stp/>
        <stp>VOLUME</stp>
        <stp>.NDX250620C20075</stp>
        <tr r="BE156" s="1"/>
      </tp>
      <tp t="s">
        <v>N/A</v>
        <stp/>
        <stp>VOLUME</stp>
        <stp>.NDX250718C19875</stp>
        <tr r="M165" s="2"/>
      </tp>
      <tp t="s">
        <v>N/A</v>
        <stp/>
        <stp>VOLUME</stp>
        <stp>.NDX250523C20375</stp>
        <tr r="H145" s="2"/>
      </tp>
      <tp t="s">
        <v>N/A</v>
        <stp/>
        <stp>VOLUME</stp>
        <stp>.NDX251017C19750</stp>
        <tr r="S170" s="2"/>
      </tp>
      <tp t="s">
        <v>N/A</v>
        <stp/>
        <stp>VOLUME</stp>
        <stp>.NDX251219C19950</stp>
        <tr r="W162" s="2"/>
      </tp>
      <tp t="s">
        <v>N/A</v>
        <stp/>
        <stp>VOLUME</stp>
        <stp>.NDX251121C20150</stp>
        <tr r="U154" s="2"/>
      </tp>
      <tp t="s">
        <v>N/A</v>
        <stp/>
        <stp>VOLUME</stp>
        <stp>.NDX250815C19550</stp>
        <tr r="O178" s="2"/>
      </tp>
      <tp t="s">
        <v>N/A</v>
        <stp/>
        <stp>VOLUME</stp>
        <stp>.NDX250919C19950</stp>
        <tr r="Q162" s="2"/>
      </tp>
      <tp t="s">
        <v>N/A</v>
        <stp/>
        <stp>VOLUME</stp>
        <stp>.NDX250815C20550</stp>
        <tr r="O138" s="2"/>
      </tp>
      <tp t="s">
        <v>N/A</v>
        <stp/>
        <stp>VOLUME</stp>
        <stp>.NDX250516C19650</stp>
        <tr r="BC173" s="1"/>
      </tp>
      <tp t="s">
        <v>N/A</v>
        <stp/>
        <stp>VOLUME</stp>
        <stp>.NDX250523C19350</stp>
        <tr r="H186" s="2"/>
      </tp>
      <tp>
        <v>52</v>
        <stp/>
        <stp>VOLUME</stp>
        <stp>.NDX250620C20050</stp>
        <tr r="BE157" s="1"/>
        <tr r="BE157" s="1"/>
      </tp>
      <tp t="s">
        <v>N/A</v>
        <stp/>
        <stp>VOLUME</stp>
        <stp>.NDX250523C20350</stp>
        <tr r="H146" s="2"/>
      </tp>
      <tp t="s">
        <v>N/A</v>
        <stp/>
        <stp>VOLUME</stp>
        <stp>.NDX250718C19850</stp>
        <tr r="M166" s="2"/>
      </tp>
      <tp t="e">
        <v>#N/A</v>
        <stp/>
        <stp>MARK</stp>
        <stp/>
        <tr r="G44" s="1"/>
      </tp>
      <tp t="s">
        <v>N/A</v>
        <stp/>
        <stp>VOLUME</stp>
        <stp>.NDX251121P19600</stp>
        <tr r="U176" s="2"/>
      </tp>
      <tp t="s">
        <v>N/A</v>
        <stp/>
        <stp>VOLUME</stp>
        <stp>.NDX251017P20000</stp>
        <tr r="S160" s="2"/>
      </tp>
      <tp t="s">
        <v>N/A</v>
        <stp/>
        <stp>VOLUME</stp>
        <stp>.NDX250815P20200</stp>
        <tr r="O152" s="2"/>
      </tp>
      <tp t="s">
        <v>N/A</v>
        <stp/>
        <stp>VOLUME</stp>
        <stp>.NDX250523P19400</stp>
        <tr r="H184" s="2"/>
      </tp>
      <tp>
        <v>1</v>
        <stp/>
        <stp>VOLUME</stp>
        <stp>.NDX250620P19700</stp>
        <tr r="BF171" s="1"/>
        <tr r="BF171" s="1"/>
      </tp>
      <tp>
        <v>20</v>
        <stp/>
        <stp>VOLUME</stp>
        <stp>.NDX250516P20100</stp>
        <tr r="BD155" s="1"/>
        <tr r="BD155" s="1"/>
      </tp>
      <tp t="s">
        <v>N/A</v>
        <stp/>
        <stp>VOLUME</stp>
        <stp>.NDX250523P20400</stp>
        <tr r="H144" s="2"/>
      </tp>
      <tp t="s">
        <v>N/A</v>
        <stp/>
        <stp>VOLUME</stp>
        <stp>.NDX251121P19625</stp>
        <tr r="U175" s="2"/>
      </tp>
      <tp t="s">
        <v>N/A</v>
        <stp/>
        <stp>VOLUME</stp>
        <stp>.NDX251017P20025</stp>
        <tr r="S159" s="2"/>
      </tp>
      <tp t="s">
        <v>N/A</v>
        <stp/>
        <stp>VOLUME</stp>
        <stp>.NDX250815P20225</stp>
        <tr r="O151" s="2"/>
      </tp>
      <tp t="s">
        <v>N/A</v>
        <stp/>
        <stp>VOLUME</stp>
        <stp>.NDX250523P19425</stp>
        <tr r="H183" s="2"/>
      </tp>
      <tp t="s">
        <v>N/A</v>
        <stp/>
        <stp>VOLUME</stp>
        <stp>.NDX250620P19725</stp>
        <tr r="BF170" s="1"/>
      </tp>
      <tp>
        <v>10</v>
        <stp/>
        <stp>VOLUME</stp>
        <stp>.NDX250516P20125</stp>
        <tr r="BD154" s="1"/>
        <tr r="BD154" s="1"/>
      </tp>
      <tp t="s">
        <v>N/A</v>
        <stp/>
        <stp>VOLUME</stp>
        <stp>.NDX250523P20425</stp>
        <tr r="H143" s="2"/>
      </tp>
      <tp t="s">
        <v>N/A</v>
        <stp/>
        <stp>VOLUME</stp>
        <stp>.NDX250815P19250</stp>
        <tr r="O190" s="2"/>
      </tp>
      <tp t="s">
        <v>N/A</v>
        <stp/>
        <stp>VOLUME</stp>
        <stp>.NDX250815P20250</stp>
        <tr r="O150" s="2"/>
      </tp>
      <tp t="s">
        <v>N/A</v>
        <stp/>
        <stp>VOLUME</stp>
        <stp>.NDX250523P19450</stp>
        <tr r="H182" s="2"/>
      </tp>
      <tp>
        <v>5</v>
        <stp/>
        <stp>VOLUME</stp>
        <stp>.NDX250620P19750</stp>
        <tr r="BF169" s="1"/>
        <tr r="BF169" s="1"/>
      </tp>
      <tp>
        <v>7</v>
        <stp/>
        <stp>VOLUME</stp>
        <stp>.NDX250516P20150</stp>
        <tr r="BD153" s="1"/>
        <tr r="BD153" s="1"/>
      </tp>
      <tp t="s">
        <v>N/A</v>
        <stp/>
        <stp>VOLUME</stp>
        <stp>.NDX250523P20450</stp>
        <tr r="H142" s="2"/>
      </tp>
      <tp t="s">
        <v>N/A</v>
        <stp/>
        <stp>VOLUME</stp>
        <stp>.NDX251121P19650</stp>
        <tr r="U174" s="2"/>
      </tp>
      <tp t="s">
        <v>N/A</v>
        <stp/>
        <stp>VOLUME</stp>
        <stp>.NDX251017P20050</stp>
        <tr r="S158" s="2"/>
      </tp>
      <tp t="s">
        <v>N/A</v>
        <stp/>
        <stp>VOLUME</stp>
        <stp>.NDX250815P19275</stp>
        <tr r="O189" s="2"/>
      </tp>
      <tp t="s">
        <v>N/A</v>
        <stp/>
        <stp>VOLUME</stp>
        <stp>.NDX250815P20275</stp>
        <tr r="O149" s="2"/>
      </tp>
      <tp t="s">
        <v>N/A</v>
        <stp/>
        <stp>VOLUME</stp>
        <stp>.NDX250523P19475</stp>
        <tr r="H181" s="2"/>
      </tp>
      <tp t="s">
        <v>N/A</v>
        <stp/>
        <stp>VOLUME</stp>
        <stp>.NDX250620P19775</stp>
        <tr r="BF168" s="1"/>
      </tp>
      <tp>
        <v>8</v>
        <stp/>
        <stp>VOLUME</stp>
        <stp>.NDX250516P20175</stp>
        <tr r="BD152" s="1"/>
        <tr r="BD152" s="1"/>
      </tp>
      <tp t="s">
        <v>N/A</v>
        <stp/>
        <stp>VOLUME</stp>
        <stp>.NDX250523P20475</stp>
        <tr r="H141" s="2"/>
      </tp>
      <tp t="s">
        <v>N/A</v>
        <stp/>
        <stp>VOLUME</stp>
        <stp>.NDX251121P19675</stp>
        <tr r="U173" s="2"/>
      </tp>
      <tp t="s">
        <v>N/A</v>
        <stp/>
        <stp>VOLUME</stp>
        <stp>.NDX251017P20075</stp>
        <tr r="S157" s="2"/>
      </tp>
      <tp t="s">
        <v>N/A</v>
        <stp/>
        <stp>VOLUME</stp>
        <stp>.NDX250815C20225</stp>
        <tr r="O151" s="2"/>
      </tp>
      <tp t="s">
        <v>N/A</v>
        <stp/>
        <stp>VOLUME</stp>
        <stp>.NDX250523C19425</stp>
        <tr r="H183" s="2"/>
      </tp>
      <tp t="s">
        <v>N/A</v>
        <stp/>
        <stp>VOLUME</stp>
        <stp>.NDX250620C19725</stp>
        <tr r="BE170" s="1"/>
      </tp>
      <tp>
        <v>20</v>
        <stp/>
        <stp>VOLUME</stp>
        <stp>.NDX250516C20125</stp>
        <tr r="BC154" s="1"/>
        <tr r="BC154" s="1"/>
      </tp>
      <tp t="s">
        <v>N/A</v>
        <stp/>
        <stp>VOLUME</stp>
        <stp>.NDX250523C20425</stp>
        <tr r="H143" s="2"/>
      </tp>
      <tp t="s">
        <v>N/A</v>
        <stp/>
        <stp>VOLUME</stp>
        <stp>.NDX251121C19625</stp>
        <tr r="U175" s="2"/>
      </tp>
      <tp t="s">
        <v>N/A</v>
        <stp/>
        <stp>VOLUME</stp>
        <stp>.NDX251017C20025</stp>
        <tr r="S159" s="2"/>
      </tp>
      <tp t="s">
        <v>N/A</v>
        <stp/>
        <stp>VOLUME</stp>
        <stp>.NDX250815C20200</stp>
        <tr r="O152" s="2"/>
      </tp>
      <tp t="s">
        <v>N/A</v>
        <stp/>
        <stp>VOLUME</stp>
        <stp>.NDX250523C19400</stp>
        <tr r="H184" s="2"/>
      </tp>
      <tp t="s">
        <v>N/A</v>
        <stp/>
        <stp>VOLUME</stp>
        <stp>.NDX250620C19700</stp>
        <tr r="BE171" s="1"/>
      </tp>
      <tp>
        <v>24</v>
        <stp/>
        <stp>VOLUME</stp>
        <stp>.NDX250516C20100</stp>
        <tr r="BC155" s="1"/>
        <tr r="BC155" s="1"/>
      </tp>
      <tp t="s">
        <v>N/A</v>
        <stp/>
        <stp>VOLUME</stp>
        <stp>.NDX250523C20400</stp>
        <tr r="H144" s="2"/>
      </tp>
      <tp t="s">
        <v>N/A</v>
        <stp/>
        <stp>VOLUME</stp>
        <stp>.NDX251121C19600</stp>
        <tr r="U176" s="2"/>
      </tp>
      <tp t="s">
        <v>N/A</v>
        <stp/>
        <stp>VOLUME</stp>
        <stp>.NDX251017C20000</stp>
        <tr r="S160" s="2"/>
      </tp>
      <tp t="s">
        <v>N/A</v>
        <stp/>
        <stp>VOLUME</stp>
        <stp>.NDX251121C19675</stp>
        <tr r="U173" s="2"/>
      </tp>
      <tp t="s">
        <v>N/A</v>
        <stp/>
        <stp>VOLUME</stp>
        <stp>.NDX251017C20075</stp>
        <tr r="S157" s="2"/>
      </tp>
      <tp t="s">
        <v>N/A</v>
        <stp/>
        <stp>VOLUME</stp>
        <stp>.NDX250815C19275</stp>
        <tr r="O189" s="2"/>
      </tp>
      <tp t="s">
        <v>N/A</v>
        <stp/>
        <stp>VOLUME</stp>
        <stp>.NDX250815C20275</stp>
        <tr r="O149" s="2"/>
      </tp>
      <tp t="s">
        <v>N/A</v>
        <stp/>
        <stp>VOLUME</stp>
        <stp>.NDX250523C19475</stp>
        <tr r="H181" s="2"/>
      </tp>
      <tp>
        <v>1</v>
        <stp/>
        <stp>VOLUME</stp>
        <stp>.NDX250620C19775</stp>
        <tr r="BE168" s="1"/>
        <tr r="BE168" s="1"/>
      </tp>
      <tp>
        <v>11</v>
        <stp/>
        <stp>VOLUME</stp>
        <stp>.NDX250516C20175</stp>
        <tr r="BC152" s="1"/>
        <tr r="BC152" s="1"/>
      </tp>
      <tp t="s">
        <v>N/A</v>
        <stp/>
        <stp>VOLUME</stp>
        <stp>.NDX250523C20475</stp>
        <tr r="H141" s="2"/>
      </tp>
      <tp t="s">
        <v>N/A</v>
        <stp/>
        <stp>VOLUME</stp>
        <stp>.NDX251121C19650</stp>
        <tr r="U174" s="2"/>
      </tp>
      <tp t="s">
        <v>N/A</v>
        <stp/>
        <stp>VOLUME</stp>
        <stp>.NDX251017C20050</stp>
        <tr r="S158" s="2"/>
      </tp>
      <tp t="s">
        <v>N/A</v>
        <stp/>
        <stp>VOLUME</stp>
        <stp>.NDX250815C19250</stp>
        <tr r="O190" s="2"/>
      </tp>
      <tp t="s">
        <v>N/A</v>
        <stp/>
        <stp>VOLUME</stp>
        <stp>.NDX250815C20250</stp>
        <tr r="O150" s="2"/>
      </tp>
      <tp t="s">
        <v>N/A</v>
        <stp/>
        <stp>VOLUME</stp>
        <stp>.NDX250523C19450</stp>
        <tr r="H182" s="2"/>
      </tp>
      <tp>
        <v>1</v>
        <stp/>
        <stp>VOLUME</stp>
        <stp>.NDX250620C19750</stp>
        <tr r="BE169" s="1"/>
        <tr r="BE169" s="1"/>
      </tp>
      <tp>
        <v>10</v>
        <stp/>
        <stp>VOLUME</stp>
        <stp>.NDX250516C20150</stp>
        <tr r="BC153" s="1"/>
        <tr r="BC153" s="1"/>
      </tp>
      <tp t="s">
        <v>N/A</v>
        <stp/>
        <stp>VOLUME</stp>
        <stp>.NDX250523C20450</stp>
        <tr r="H142" s="2"/>
      </tp>
      <tp>
        <v>0.71</v>
        <stp/>
        <stp>DELTA</stp>
        <stp>.SPX250516C5470</stp>
        <tr r="CF125" s="1"/>
        <tr r="CF125" s="1"/>
      </tp>
      <tp>
        <v>0.49</v>
        <stp/>
        <stp>DELTA</stp>
        <stp>.SPX250620C5710</stp>
        <tr r="CH101" s="1"/>
        <tr r="CH101" s="1"/>
      </tp>
      <tp>
        <v>-7.0000000000000007E-2</v>
        <stp/>
        <stp>DELTA</stp>
        <stp>.SPX250516P5470</stp>
        <tr r="CG125" s="1"/>
        <tr r="CG125" s="1"/>
      </tp>
      <tp>
        <v>-0.52</v>
        <stp/>
        <stp>DELTA</stp>
        <stp>.SPX250620P5710</stp>
        <tr r="CI101" s="1"/>
        <tr r="CI101" s="1"/>
      </tp>
      <tp>
        <v>0.71</v>
        <stp/>
        <stp>DELTA</stp>
        <stp>.SPX250516C5460</stp>
        <tr r="CF126" s="1"/>
        <tr r="CF126" s="1"/>
      </tp>
      <tp>
        <v>0.5</v>
        <stp/>
        <stp>DELTA</stp>
        <stp>.SPX250620C5700</stp>
        <tr r="CH102" s="1"/>
        <tr r="CH102" s="1"/>
      </tp>
      <tp>
        <v>-0.06</v>
        <stp/>
        <stp>DELTA</stp>
        <stp>.SPX250516P5460</stp>
        <tr r="CG126" s="1"/>
        <tr r="CG126" s="1"/>
      </tp>
      <tp>
        <v>-0.51</v>
        <stp/>
        <stp>DELTA</stp>
        <stp>.SPX250620P5700</stp>
        <tr r="CI102" s="1"/>
        <tr r="CI102" s="1"/>
      </tp>
      <tp>
        <v>0.72</v>
        <stp/>
        <stp>DELTA</stp>
        <stp>.SPX250516C5450</stp>
        <tr r="CF127" s="1"/>
        <tr r="CF127" s="1"/>
      </tp>
      <tp>
        <v>0.47</v>
        <stp/>
        <stp>DELTA</stp>
        <stp>.SPX250620C5730</stp>
        <tr r="CH99" s="1"/>
        <tr r="CH99" s="1"/>
      </tp>
      <tp>
        <v>-0.06</v>
        <stp/>
        <stp>DELTA</stp>
        <stp>.SPX250516P5450</stp>
        <tr r="CG127" s="1"/>
        <tr r="CG127" s="1"/>
      </tp>
      <tp>
        <v>-0.55000000000000004</v>
        <stp/>
        <stp>DELTA</stp>
        <stp>.SPX250620P5730</stp>
        <tr r="CI99" s="1"/>
        <tr r="CI99" s="1"/>
      </tp>
      <tp>
        <v>0.73</v>
        <stp/>
        <stp>DELTA</stp>
        <stp>.SPX250516C5440</stp>
        <tr r="CF128" s="1"/>
        <tr r="CF128" s="1"/>
      </tp>
      <tp>
        <v>0.48</v>
        <stp/>
        <stp>DELTA</stp>
        <stp>.SPX250620C5720</stp>
        <tr r="CH100" s="1"/>
        <tr r="CH100" s="1"/>
      </tp>
      <tp>
        <v>-0.05</v>
        <stp/>
        <stp>DELTA</stp>
        <stp>.SPX250516P5440</stp>
        <tr r="CG128" s="1"/>
        <tr r="CG128" s="1"/>
      </tp>
      <tp>
        <v>-0.54</v>
        <stp/>
        <stp>DELTA</stp>
        <stp>.SPX250620P5720</stp>
        <tr r="CI100" s="1"/>
        <tr r="CI100" s="1"/>
      </tp>
      <tp>
        <v>0.73</v>
        <stp/>
        <stp>DELTA</stp>
        <stp>.SPX250516C5430</stp>
        <tr r="CF129" s="1"/>
        <tr r="CF129" s="1"/>
      </tp>
      <tp>
        <v>0.45</v>
        <stp/>
        <stp>DELTA</stp>
        <stp>.SPX250620C5750</stp>
        <tr r="CH97" s="1"/>
        <tr r="CH97" s="1"/>
      </tp>
      <tp>
        <v>-0.05</v>
        <stp/>
        <stp>DELTA</stp>
        <stp>.SPX250516P5430</stp>
        <tr r="CG129" s="1"/>
        <tr r="CG129" s="1"/>
      </tp>
      <tp>
        <v>-0.59</v>
        <stp/>
        <stp>DELTA</stp>
        <stp>.SPX250620P5750</stp>
        <tr r="CI97" s="1"/>
        <tr r="CI97" s="1"/>
      </tp>
      <tp>
        <v>0.73</v>
        <stp/>
        <stp>DELTA</stp>
        <stp>.SPX250516C5420</stp>
        <tr r="CF130" s="1"/>
        <tr r="CF130" s="1"/>
      </tp>
      <tp>
        <v>0.46</v>
        <stp/>
        <stp>DELTA</stp>
        <stp>.SPX250620C5740</stp>
        <tr r="CH98" s="1"/>
        <tr r="CH98" s="1"/>
      </tp>
      <tp>
        <v>-0.04</v>
        <stp/>
        <stp>DELTA</stp>
        <stp>.SPX250516P5420</stp>
        <tr r="CG130" s="1"/>
        <tr r="CG130" s="1"/>
      </tp>
      <tp>
        <v>-0.56999999999999995</v>
        <stp/>
        <stp>DELTA</stp>
        <stp>.SPX250620P5740</stp>
        <tr r="CI98" s="1"/>
        <tr r="CI98" s="1"/>
      </tp>
      <tp>
        <v>0.43</v>
        <stp/>
        <stp>DELTA</stp>
        <stp>.SPX250620C5770</stp>
        <tr r="CH95" s="1"/>
        <tr r="CH95" s="1"/>
      </tp>
      <tp>
        <v>-0.62</v>
        <stp/>
        <stp>DELTA</stp>
        <stp>.SPX250620P5770</stp>
        <tr r="CI95" s="1"/>
        <tr r="CI95" s="1"/>
      </tp>
      <tp>
        <v>0.44</v>
        <stp/>
        <stp>DELTA</stp>
        <stp>.SPX250620C5760</stp>
        <tr r="CH96" s="1"/>
        <tr r="CH96" s="1"/>
      </tp>
      <tp>
        <v>-0.61</v>
        <stp/>
        <stp>DELTA</stp>
        <stp>.SPX250620P5760</stp>
        <tr r="CI96" s="1"/>
        <tr r="CI96" s="1"/>
      </tp>
      <tp>
        <v>0.41</v>
        <stp/>
        <stp>DELTA</stp>
        <stp>.SPX250620C5790</stp>
        <tr r="CH93" s="1"/>
        <tr r="CH93" s="1"/>
      </tp>
      <tp>
        <v>-0.66</v>
        <stp/>
        <stp>DELTA</stp>
        <stp>.SPX250620P5790</stp>
        <tr r="CI93" s="1"/>
        <tr r="CI93" s="1"/>
      </tp>
      <tp>
        <v>0.42</v>
        <stp/>
        <stp>DELTA</stp>
        <stp>.SPX250620C5780</stp>
        <tr r="CH94" s="1"/>
        <tr r="CH94" s="1"/>
      </tp>
      <tp>
        <v>-0.64</v>
        <stp/>
        <stp>DELTA</stp>
        <stp>.SPX250620P5780</stp>
        <tr r="CI94" s="1"/>
        <tr r="CI94" s="1"/>
      </tp>
      <tp>
        <v>0.7</v>
        <stp/>
        <stp>DELTA</stp>
        <stp>.SPX250516C5490</stp>
        <tr r="CF123" s="1"/>
        <tr r="CF123" s="1"/>
      </tp>
      <tp>
        <v>-0.08</v>
        <stp/>
        <stp>DELTA</stp>
        <stp>.SPX250516P5490</stp>
        <tr r="CG123" s="1"/>
        <tr r="CG123" s="1"/>
      </tp>
      <tp>
        <v>0.7</v>
        <stp/>
        <stp>DELTA</stp>
        <stp>.SPX250516C5480</stp>
        <tr r="CF124" s="1"/>
        <tr r="CF124" s="1"/>
      </tp>
      <tp>
        <v>-7.0000000000000007E-2</v>
        <stp/>
        <stp>DELTA</stp>
        <stp>.SPX250516P5480</stp>
        <tr r="CG124" s="1"/>
        <tr r="CG124" s="1"/>
      </tp>
      <tp t="s">
        <v>N/A</v>
        <stp/>
        <stp>VOLUME</stp>
        <stp>.NDX251121P19700</stp>
        <tr r="U172" s="2"/>
      </tp>
      <tp t="s">
        <v>N/A</v>
        <stp/>
        <stp>VOLUME</stp>
        <stp>.NDX251017P20100</stp>
        <tr r="S156" s="2"/>
      </tp>
      <tp t="s">
        <v>N/A</v>
        <stp/>
        <stp>VOLUME</stp>
        <stp>.NDX250815P19300</stp>
        <tr r="O188" s="2"/>
      </tp>
      <tp t="s">
        <v>N/A</v>
        <stp/>
        <stp>VOLUME</stp>
        <stp>.NDX250815P20300</stp>
        <tr r="O148" s="2"/>
      </tp>
      <tp t="s">
        <v>N/A</v>
        <stp/>
        <stp>VOLUME</stp>
        <stp>.NDX250523P19500</stp>
        <tr r="H180" s="2"/>
      </tp>
      <tp t="s">
        <v>N/A</v>
        <stp/>
        <stp>VOLUME</stp>
        <stp>.NDX250620P19600</stp>
        <tr r="BF175" s="1"/>
      </tp>
      <tp>
        <v>21</v>
        <stp/>
        <stp>VOLUME</stp>
        <stp>.NDX250516P20000</stp>
        <tr r="BD159" s="1"/>
        <tr r="BD159" s="1"/>
      </tp>
      <tp t="s">
        <v>N/A</v>
        <stp/>
        <stp>VOLUME</stp>
        <stp>.NDX250523P20500</stp>
        <tr r="H140" s="2"/>
      </tp>
      <tp t="s">
        <v>N/A</v>
        <stp/>
        <stp>VOLUME</stp>
        <stp>.NDX251121P19725</stp>
        <tr r="U171" s="2"/>
      </tp>
      <tp t="s">
        <v>N/A</v>
        <stp/>
        <stp>VOLUME</stp>
        <stp>.NDX251017P20125</stp>
        <tr r="S155" s="2"/>
      </tp>
      <tp t="s">
        <v>N/A</v>
        <stp/>
        <stp>VOLUME</stp>
        <stp>.NDX250815P19325</stp>
        <tr r="O187" s="2"/>
      </tp>
      <tp t="s">
        <v>N/A</v>
        <stp/>
        <stp>VOLUME</stp>
        <stp>.NDX250815P20325</stp>
        <tr r="O147" s="2"/>
      </tp>
      <tp t="s">
        <v>N/A</v>
        <stp/>
        <stp>VOLUME</stp>
        <stp>.NDX250523P19525</stp>
        <tr r="H179" s="2"/>
      </tp>
      <tp>
        <v>1</v>
        <stp/>
        <stp>VOLUME</stp>
        <stp>.NDX250620P19625</stp>
        <tr r="BF174" s="1"/>
        <tr r="BF174" s="1"/>
      </tp>
      <tp>
        <v>10</v>
        <stp/>
        <stp>VOLUME</stp>
        <stp>.NDX250516P20025</stp>
        <tr r="BD158" s="1"/>
        <tr r="BD158" s="1"/>
      </tp>
      <tp t="s">
        <v>N/A</v>
        <stp/>
        <stp>VOLUME</stp>
        <stp>.NDX250523P20525</stp>
        <tr r="H139" s="2"/>
      </tp>
      <tp t="s">
        <v>N/A</v>
        <stp/>
        <stp>VOLUME</stp>
        <stp>.NDX250815P19350</stp>
        <tr r="O186" s="2"/>
      </tp>
      <tp t="s">
        <v>N/A</v>
        <stp/>
        <stp>VOLUME</stp>
        <stp>.NDX250815P20350</stp>
        <tr r="O146" s="2"/>
      </tp>
      <tp t="s">
        <v>N/A</v>
        <stp/>
        <stp>VOLUME</stp>
        <stp>.NDX250523P19550</stp>
        <tr r="H178" s="2"/>
      </tp>
      <tp t="s">
        <v>N/A</v>
        <stp/>
        <stp>VOLUME</stp>
        <stp>.NDX250620P19650</stp>
        <tr r="BF173" s="1"/>
      </tp>
      <tp>
        <v>17</v>
        <stp/>
        <stp>VOLUME</stp>
        <stp>.NDX250516P20050</stp>
        <tr r="BD157" s="1"/>
        <tr r="BD157" s="1"/>
      </tp>
      <tp t="s">
        <v>N/A</v>
        <stp/>
        <stp>VOLUME</stp>
        <stp>.NDX250523P20550</stp>
        <tr r="H138" s="2"/>
      </tp>
      <tp t="s">
        <v>N/A</v>
        <stp/>
        <stp>VOLUME</stp>
        <stp>.NDX251121P19750</stp>
        <tr r="U170" s="2"/>
      </tp>
      <tp t="s">
        <v>N/A</v>
        <stp/>
        <stp>VOLUME</stp>
        <stp>.NDX251017P20150</stp>
        <tr r="S154" s="2"/>
      </tp>
      <tp t="s">
        <v>N/A</v>
        <stp/>
        <stp>VOLUME</stp>
        <stp>.NDX250815P19375</stp>
        <tr r="O185" s="2"/>
      </tp>
      <tp t="s">
        <v>N/A</v>
        <stp/>
        <stp>VOLUME</stp>
        <stp>.NDX250815P20375</stp>
        <tr r="O145" s="2"/>
      </tp>
      <tp t="s">
        <v>N/A</v>
        <stp/>
        <stp>VOLUME</stp>
        <stp>.NDX250523P19575</stp>
        <tr r="H177" s="2"/>
      </tp>
      <tp t="s">
        <v>N/A</v>
        <stp/>
        <stp>VOLUME</stp>
        <stp>.NDX250620P19675</stp>
        <tr r="BF172" s="1"/>
      </tp>
      <tp>
        <v>26</v>
        <stp/>
        <stp>VOLUME</stp>
        <stp>.NDX250516P20075</stp>
        <tr r="BD156" s="1"/>
        <tr r="BD156" s="1"/>
      </tp>
      <tp t="s">
        <v>N/A</v>
        <stp/>
        <stp>VOLUME</stp>
        <stp>.NDX251121P19775</stp>
        <tr r="U169" s="2"/>
      </tp>
      <tp t="s">
        <v>N/A</v>
        <stp/>
        <stp>VOLUME</stp>
        <stp>.NDX251017P20175</stp>
        <tr r="S153" s="2"/>
      </tp>
      <tp t="s">
        <v>N/A</v>
        <stp/>
        <stp>VOLUME</stp>
        <stp>.NDX250815C19325</stp>
        <tr r="O187" s="2"/>
      </tp>
      <tp t="s">
        <v>N/A</v>
        <stp/>
        <stp>VOLUME</stp>
        <stp>.NDX250815C20325</stp>
        <tr r="O147" s="2"/>
      </tp>
      <tp t="s">
        <v>N/A</v>
        <stp/>
        <stp>VOLUME</stp>
        <stp>.NDX250523C19525</stp>
        <tr r="H179" s="2"/>
      </tp>
      <tp>
        <v>10</v>
        <stp/>
        <stp>VOLUME</stp>
        <stp>.NDX250620C19625</stp>
        <tr r="BE174" s="1"/>
        <tr r="BE174" s="1"/>
      </tp>
      <tp>
        <v>5</v>
        <stp/>
        <stp>VOLUME</stp>
        <stp>.NDX250516C20025</stp>
        <tr r="BC158" s="1"/>
        <tr r="BC158" s="1"/>
      </tp>
      <tp t="s">
        <v>N/A</v>
        <stp/>
        <stp>VOLUME</stp>
        <stp>.NDX250523C20525</stp>
        <tr r="H139" s="2"/>
      </tp>
      <tp t="s">
        <v>N/A</v>
        <stp/>
        <stp>VOLUME</stp>
        <stp>.NDX251121C19725</stp>
        <tr r="U171" s="2"/>
      </tp>
      <tp t="s">
        <v>N/A</v>
        <stp/>
        <stp>VOLUME</stp>
        <stp>.NDX251017C20125</stp>
        <tr r="S155" s="2"/>
      </tp>
      <tp t="s">
        <v>N/A</v>
        <stp/>
        <stp>VOLUME</stp>
        <stp>.NDX250815C19300</stp>
        <tr r="O188" s="2"/>
      </tp>
      <tp t="s">
        <v>N/A</v>
        <stp/>
        <stp>VOLUME</stp>
        <stp>.NDX250815C20300</stp>
        <tr r="O148" s="2"/>
      </tp>
      <tp t="s">
        <v>N/A</v>
        <stp/>
        <stp>VOLUME</stp>
        <stp>.NDX250523C19500</stp>
        <tr r="H180" s="2"/>
      </tp>
      <tp t="s">
        <v>N/A</v>
        <stp/>
        <stp>VOLUME</stp>
        <stp>.NDX250620C19600</stp>
        <tr r="BE175" s="1"/>
      </tp>
      <tp>
        <v>18</v>
        <stp/>
        <stp>VOLUME</stp>
        <stp>.NDX250516C20000</stp>
        <tr r="BC159" s="1"/>
        <tr r="BC159" s="1"/>
      </tp>
      <tp t="s">
        <v>N/A</v>
        <stp/>
        <stp>VOLUME</stp>
        <stp>.NDX250523C20500</stp>
        <tr r="H140" s="2"/>
      </tp>
      <tp t="s">
        <v>N/A</v>
        <stp/>
        <stp>VOLUME</stp>
        <stp>.NDX251121C19700</stp>
        <tr r="U172" s="2"/>
      </tp>
      <tp t="s">
        <v>N/A</v>
        <stp/>
        <stp>VOLUME</stp>
        <stp>.NDX251017C20100</stp>
        <tr r="S156" s="2"/>
      </tp>
      <tp t="s">
        <v>N/A</v>
        <stp/>
        <stp>VOLUME</stp>
        <stp>.NDX251121C19775</stp>
        <tr r="U169" s="2"/>
      </tp>
      <tp t="s">
        <v>N/A</v>
        <stp/>
        <stp>VOLUME</stp>
        <stp>.NDX251017C20175</stp>
        <tr r="S153" s="2"/>
      </tp>
      <tp t="s">
        <v>N/A</v>
        <stp/>
        <stp>VOLUME</stp>
        <stp>.NDX250815C19375</stp>
        <tr r="O185" s="2"/>
      </tp>
      <tp t="s">
        <v>N/A</v>
        <stp/>
        <stp>VOLUME</stp>
        <stp>.NDX250815C20375</stp>
        <tr r="O145" s="2"/>
      </tp>
      <tp t="s">
        <v>N/A</v>
        <stp/>
        <stp>VOLUME</stp>
        <stp>.NDX250523C19575</stp>
        <tr r="H177" s="2"/>
      </tp>
      <tp t="s">
        <v>N/A</v>
        <stp/>
        <stp>VOLUME</stp>
        <stp>.NDX250620C19675</stp>
        <tr r="BE172" s="1"/>
      </tp>
      <tp>
        <v>36</v>
        <stp/>
        <stp>VOLUME</stp>
        <stp>.NDX250516C20075</stp>
        <tr r="BC156" s="1"/>
        <tr r="BC156" s="1"/>
      </tp>
      <tp t="s">
        <v>N/A</v>
        <stp/>
        <stp>VOLUME</stp>
        <stp>.NDX251121C19750</stp>
        <tr r="U170" s="2"/>
      </tp>
      <tp t="s">
        <v>N/A</v>
        <stp/>
        <stp>VOLUME</stp>
        <stp>.NDX251017C20150</stp>
        <tr r="S154" s="2"/>
      </tp>
      <tp t="s">
        <v>N/A</v>
        <stp/>
        <stp>VOLUME</stp>
        <stp>.NDX250815C19350</stp>
        <tr r="O186" s="2"/>
      </tp>
      <tp t="s">
        <v>N/A</v>
        <stp/>
        <stp>VOLUME</stp>
        <stp>.NDX250815C20350</stp>
        <tr r="O146" s="2"/>
      </tp>
      <tp t="s">
        <v>N/A</v>
        <stp/>
        <stp>VOLUME</stp>
        <stp>.NDX250523C19550</stp>
        <tr r="H178" s="2"/>
      </tp>
      <tp t="s">
        <v>N/A</v>
        <stp/>
        <stp>VOLUME</stp>
        <stp>.NDX250620C19650</stp>
        <tr r="BE173" s="1"/>
      </tp>
      <tp>
        <v>4</v>
        <stp/>
        <stp>VOLUME</stp>
        <stp>.NDX250516C20050</stp>
        <tr r="BC157" s="1"/>
        <tr r="BC157" s="1"/>
      </tp>
      <tp t="s">
        <v>N/A</v>
        <stp/>
        <stp>VOLUME</stp>
        <stp>.NDX250523C20550</stp>
        <tr r="H138" s="2"/>
      </tp>
      <tp>
        <v>0.63</v>
        <stp/>
        <stp>DELTA</stp>
        <stp>.SPX250516C5570</stp>
        <tr r="CF115" s="1"/>
        <tr r="CF115" s="1"/>
      </tp>
      <tp>
        <v>0.57999999999999996</v>
        <stp/>
        <stp>DELTA</stp>
        <stp>.SPX250620C5610</stp>
        <tr r="CH111" s="1"/>
        <tr r="CH111" s="1"/>
      </tp>
      <tp>
        <v>-0.18</v>
        <stp/>
        <stp>DELTA</stp>
        <stp>.SPX250516P5570</stp>
        <tr r="CG115" s="1"/>
        <tr r="CG115" s="1"/>
      </tp>
      <tp>
        <v>-0.39</v>
        <stp/>
        <stp>DELTA</stp>
        <stp>.SPX250620P5610</stp>
        <tr r="CI111" s="1"/>
        <tr r="CI111" s="1"/>
      </tp>
      <tp>
        <v>0.64</v>
        <stp/>
        <stp>DELTA</stp>
        <stp>.SPX250516C5560</stp>
        <tr r="CF116" s="1"/>
        <tr r="CF116" s="1"/>
      </tp>
      <tp>
        <v>0.59</v>
        <stp/>
        <stp>DELTA</stp>
        <stp>.SPX250620C5600</stp>
        <tr r="CH112" s="1"/>
        <tr r="CH112" s="1"/>
      </tp>
      <tp>
        <v>-0.17</v>
        <stp/>
        <stp>DELTA</stp>
        <stp>.SPX250516P5560</stp>
        <tr r="CG116" s="1"/>
        <tr r="CG116" s="1"/>
      </tp>
      <tp>
        <v>-0.38</v>
        <stp/>
        <stp>DELTA</stp>
        <stp>.SPX250620P5600</stp>
        <tr r="CI112" s="1"/>
        <tr r="CI112" s="1"/>
      </tp>
      <tp>
        <v>0.65</v>
        <stp/>
        <stp>DELTA</stp>
        <stp>.SPX250516C5550</stp>
        <tr r="CF117" s="1"/>
        <tr r="CF117" s="1"/>
      </tp>
      <tp>
        <v>0.56999999999999995</v>
        <stp/>
        <stp>DELTA</stp>
        <stp>.SPX250620C5630</stp>
        <tr r="CH109" s="1"/>
        <tr r="CH109" s="1"/>
      </tp>
      <tp>
        <v>-0.15</v>
        <stp/>
        <stp>DELTA</stp>
        <stp>.SPX250516P5550</stp>
        <tr r="CG117" s="1"/>
        <tr r="CG117" s="1"/>
      </tp>
      <tp>
        <v>-0.41</v>
        <stp/>
        <stp>DELTA</stp>
        <stp>.SPX250620P5630</stp>
        <tr r="CI109" s="1"/>
        <tr r="CI109" s="1"/>
      </tp>
      <tp>
        <v>0.66</v>
        <stp/>
        <stp>DELTA</stp>
        <stp>.SPX250516C5540</stp>
        <tr r="CF118" s="1"/>
        <tr r="CF118" s="1"/>
      </tp>
      <tp>
        <v>0.56999999999999995</v>
        <stp/>
        <stp>DELTA</stp>
        <stp>.SPX250620C5620</stp>
        <tr r="CH110" s="1"/>
        <tr r="CH110" s="1"/>
      </tp>
      <tp>
        <v>-0.13</v>
        <stp/>
        <stp>DELTA</stp>
        <stp>.SPX250516P5540</stp>
        <tr r="CG118" s="1"/>
        <tr r="CG118" s="1"/>
      </tp>
      <tp>
        <v>-0.4</v>
        <stp/>
        <stp>DELTA</stp>
        <stp>.SPX250620P5620</stp>
        <tr r="CI110" s="1"/>
        <tr r="CI110" s="1"/>
      </tp>
      <tp>
        <v>0.67</v>
        <stp/>
        <stp>DELTA</stp>
        <stp>.SPX250516C5530</stp>
        <tr r="CF119" s="1"/>
        <tr r="CF119" s="1"/>
      </tp>
      <tp>
        <v>0.55000000000000004</v>
        <stp/>
        <stp>DELTA</stp>
        <stp>.SPX250620C5650</stp>
        <tr r="CH107" s="1"/>
        <tr r="CH107" s="1"/>
      </tp>
      <tp>
        <v>-0.12</v>
        <stp/>
        <stp>DELTA</stp>
        <stp>.SPX250516P5530</stp>
        <tr r="CG119" s="1"/>
        <tr r="CG119" s="1"/>
      </tp>
      <tp>
        <v>-0.44</v>
        <stp/>
        <stp>DELTA</stp>
        <stp>.SPX250620P5650</stp>
        <tr r="CI107" s="1"/>
        <tr r="CI107" s="1"/>
      </tp>
      <tp>
        <v>0.68</v>
        <stp/>
        <stp>DELTA</stp>
        <stp>.SPX250516C5520</stp>
        <tr r="CF120" s="1"/>
        <tr r="CF120" s="1"/>
      </tp>
      <tp>
        <v>0.56000000000000005</v>
        <stp/>
        <stp>DELTA</stp>
        <stp>.SPX250620C5640</stp>
        <tr r="CH108" s="1"/>
        <tr r="CH108" s="1"/>
      </tp>
      <tp>
        <v>-0.11</v>
        <stp/>
        <stp>DELTA</stp>
        <stp>.SPX250516P5520</stp>
        <tr r="CG120" s="1"/>
        <tr r="CG120" s="1"/>
      </tp>
      <tp>
        <v>-0.43</v>
        <stp/>
        <stp>DELTA</stp>
        <stp>.SPX250620P5640</stp>
        <tr r="CI108" s="1"/>
        <tr r="CI108" s="1"/>
      </tp>
      <tp>
        <v>0.68</v>
        <stp/>
        <stp>DELTA</stp>
        <stp>.SPX250516C5510</stp>
        <tr r="CF121" s="1"/>
        <tr r="CF121" s="1"/>
      </tp>
      <tp>
        <v>0.53</v>
        <stp/>
        <stp>DELTA</stp>
        <stp>.SPX250620C5670</stp>
        <tr r="CH105" s="1"/>
        <tr r="CH105" s="1"/>
      </tp>
      <tp>
        <v>-0.1</v>
        <stp/>
        <stp>DELTA</stp>
        <stp>.SPX250516P5510</stp>
        <tr r="CG121" s="1"/>
        <tr r="CG121" s="1"/>
      </tp>
      <tp>
        <v>-0.47</v>
        <stp/>
        <stp>DELTA</stp>
        <stp>.SPX250620P5670</stp>
        <tr r="CI105" s="1"/>
        <tr r="CI105" s="1"/>
      </tp>
      <tp>
        <v>0.69</v>
        <stp/>
        <stp>DELTA</stp>
        <stp>.SPX250516C5500</stp>
        <tr r="CF122" s="1"/>
        <tr r="CF122" s="1"/>
      </tp>
      <tp>
        <v>0.54</v>
        <stp/>
        <stp>DELTA</stp>
        <stp>.SPX250620C5660</stp>
        <tr r="CH106" s="1"/>
        <tr r="CH106" s="1"/>
      </tp>
      <tp>
        <v>-0.09</v>
        <stp/>
        <stp>DELTA</stp>
        <stp>.SPX250516P5500</stp>
        <tr r="CG122" s="1"/>
        <tr r="CG122" s="1"/>
      </tp>
      <tp>
        <v>-0.45</v>
        <stp/>
        <stp>DELTA</stp>
        <stp>.SPX250620P5660</stp>
        <tr r="CI106" s="1"/>
        <tr r="CI106" s="1"/>
      </tp>
      <tp>
        <v>0.51</v>
        <stp/>
        <stp>DELTA</stp>
        <stp>.SPX250620C5690</stp>
        <tr r="CH103" s="1"/>
        <tr r="CH103" s="1"/>
      </tp>
      <tp>
        <v>-0.49</v>
        <stp/>
        <stp>DELTA</stp>
        <stp>.SPX250620P5690</stp>
        <tr r="CI103" s="1"/>
        <tr r="CI103" s="1"/>
      </tp>
      <tp>
        <v>0.52</v>
        <stp/>
        <stp>DELTA</stp>
        <stp>.SPX250620C5680</stp>
        <tr r="CH104" s="1"/>
        <tr r="CH104" s="1"/>
      </tp>
      <tp>
        <v>-0.48</v>
        <stp/>
        <stp>DELTA</stp>
        <stp>.SPX250620P5680</stp>
        <tr r="CI104" s="1"/>
        <tr r="CI104" s="1"/>
      </tp>
      <tp>
        <v>0.61</v>
        <stp/>
        <stp>DELTA</stp>
        <stp>.SPX250516C5590</stp>
        <tr r="CF113" s="1"/>
        <tr r="CF113" s="1"/>
      </tp>
      <tp>
        <v>-0.23</v>
        <stp/>
        <stp>DELTA</stp>
        <stp>.SPX250516P5590</stp>
        <tr r="CG113" s="1"/>
        <tr r="CG113" s="1"/>
      </tp>
      <tp>
        <v>0.62</v>
        <stp/>
        <stp>DELTA</stp>
        <stp>.SPX250516C5580</stp>
        <tr r="CF114" s="1"/>
        <tr r="CF114" s="1"/>
      </tp>
      <tp>
        <v>-0.21</v>
        <stp/>
        <stp>DELTA</stp>
        <stp>.SPX250516P5580</stp>
        <tr r="CG114" s="1"/>
        <tr r="CG114" s="1"/>
      </tp>
      <tp>
        <v>5750</v>
        <stp/>
        <stp>MARK</stp>
        <stp>/ES:XCME</stp>
        <tr r="F3" s="1"/>
        <tr r="F84" s="1"/>
      </tp>
      <tp t="s">
        <v>--</v>
        <stp/>
        <stp>IMPL_VOL</stp>
        <stp>.NDXP250509C19875</stp>
        <tr r="EL164" s="1"/>
      </tp>
      <tp t="s">
        <v>--</v>
        <stp/>
        <stp>IMPL_VOL</stp>
        <stp>.NDXP250509C19850</stp>
        <tr r="EL165" s="1"/>
      </tp>
      <tp t="s">
        <v>73.54%</v>
        <stp/>
        <stp>IMPL_VOL</stp>
        <stp>.NDXP250509C19825</stp>
        <tr r="EL166" s="1"/>
      </tp>
      <tp t="s">
        <v>--</v>
        <stp/>
        <stp>IMPL_VOL</stp>
        <stp>.NDXP250509C19800</stp>
        <tr r="EL167" s="1"/>
      </tp>
      <tp t="s">
        <v>N/A</v>
        <stp/>
        <stp>VOLUME</stp>
        <stp>.NDX251121P19400</stp>
        <tr r="U184" s="2"/>
      </tp>
      <tp t="s">
        <v>N/A</v>
        <stp/>
        <stp>VOLUME</stp>
        <stp>.NDX251121P20400</stp>
        <tr r="U144" s="2"/>
      </tp>
      <tp t="s">
        <v>N/A</v>
        <stp/>
        <stp>VOLUME</stp>
        <stp>.NDX251017P20200</stp>
        <tr r="S152" s="2"/>
      </tp>
      <tp t="s">
        <v>N/A</v>
        <stp/>
        <stp>VOLUME</stp>
        <stp>.NDX250815P20000</stp>
        <tr r="O160" s="2"/>
      </tp>
      <tp>
        <v>31</v>
        <stp/>
        <stp>VOLUME</stp>
        <stp>.NDX250516P19300</stp>
        <tr r="BD187" s="1"/>
        <tr r="BD187" s="1"/>
      </tp>
      <tp t="s">
        <v>N/A</v>
        <stp/>
        <stp>VOLUME</stp>
        <stp>.NDX250523P19600</stp>
        <tr r="H176" s="2"/>
      </tp>
      <tp>
        <v>4</v>
        <stp/>
        <stp>VOLUME</stp>
        <stp>.NDX250620P20500</stp>
        <tr r="BF139" s="1"/>
        <tr r="BF139" s="1"/>
      </tp>
      <tp>
        <v>1</v>
        <stp/>
        <stp>VOLUME</stp>
        <stp>.NDX250620P19500</stp>
        <tr r="BF179" s="1"/>
        <tr r="BF179" s="1"/>
      </tp>
      <tp>
        <v>6</v>
        <stp/>
        <stp>VOLUME</stp>
        <stp>.NDX250516P20300</stp>
        <tr r="BD147" s="1"/>
        <tr r="BD147" s="1"/>
      </tp>
      <tp t="s">
        <v>N/A</v>
        <stp/>
        <stp>VOLUME</stp>
        <stp>.NDX251121P19425</stp>
        <tr r="U183" s="2"/>
      </tp>
      <tp t="s">
        <v>N/A</v>
        <stp/>
        <stp>VOLUME</stp>
        <stp>.NDX251017P20225</stp>
        <tr r="S151" s="2"/>
      </tp>
      <tp t="s">
        <v>N/A</v>
        <stp/>
        <stp>VOLUME</stp>
        <stp>.NDX251121P20425</stp>
        <tr r="U143" s="2"/>
      </tp>
      <tp t="s">
        <v>N/A</v>
        <stp/>
        <stp>VOLUME</stp>
        <stp>.NDX250815P20025</stp>
        <tr r="O159" s="2"/>
      </tp>
      <tp>
        <v>36</v>
        <stp/>
        <stp>VOLUME</stp>
        <stp>.NDX250516P19325</stp>
        <tr r="BD186" s="1"/>
        <tr r="BD186" s="1"/>
      </tp>
      <tp t="s">
        <v>N/A</v>
        <stp/>
        <stp>VOLUME</stp>
        <stp>.NDX250523P19625</stp>
        <tr r="H175" s="2"/>
      </tp>
      <tp t="s">
        <v>N/A</v>
        <stp/>
        <stp>VOLUME</stp>
        <stp>.NDX250620P20525</stp>
        <tr r="BF138" s="1"/>
      </tp>
      <tp>
        <v>3</v>
        <stp/>
        <stp>VOLUME</stp>
        <stp>.NDX250620P19525</stp>
        <tr r="BF178" s="1"/>
        <tr r="BF178" s="1"/>
      </tp>
      <tp>
        <v>11</v>
        <stp/>
        <stp>VOLUME</stp>
        <stp>.NDX250516P20325</stp>
        <tr r="BD146" s="1"/>
        <tr r="BD146" s="1"/>
      </tp>
      <tp t="s">
        <v>N/A</v>
        <stp/>
        <stp>VOLUME</stp>
        <stp>.NDX250815P20050</stp>
        <tr r="O158" s="2"/>
      </tp>
      <tp>
        <v>30</v>
        <stp/>
        <stp>VOLUME</stp>
        <stp>.NDX250516P19350</stp>
        <tr r="BD185" s="1"/>
        <tr r="BD185" s="1"/>
      </tp>
      <tp t="s">
        <v>N/A</v>
        <stp/>
        <stp>VOLUME</stp>
        <stp>.NDX250523P19650</stp>
        <tr r="H174" s="2"/>
      </tp>
      <tp t="s">
        <v>N/A</v>
        <stp/>
        <stp>VOLUME</stp>
        <stp>.NDX250620P20550</stp>
        <tr r="BF137" s="1"/>
      </tp>
      <tp>
        <v>2</v>
        <stp/>
        <stp>VOLUME</stp>
        <stp>.NDX250620P19550</stp>
        <tr r="BF177" s="1"/>
        <tr r="BF177" s="1"/>
      </tp>
      <tp>
        <v>8</v>
        <stp/>
        <stp>VOLUME</stp>
        <stp>.NDX250516P20350</stp>
        <tr r="BD145" s="1"/>
        <tr r="BD145" s="1"/>
      </tp>
      <tp t="s">
        <v>N/A</v>
        <stp/>
        <stp>VOLUME</stp>
        <stp>.NDX251017P19250</stp>
        <tr r="S190" s="2"/>
      </tp>
      <tp t="s">
        <v>N/A</v>
        <stp/>
        <stp>VOLUME</stp>
        <stp>.NDX251121P19450</stp>
        <tr r="U182" s="2"/>
      </tp>
      <tp t="s">
        <v>N/A</v>
        <stp/>
        <stp>VOLUME</stp>
        <stp>.NDX251121P20450</stp>
        <tr r="U142" s="2"/>
      </tp>
      <tp t="s">
        <v>N/A</v>
        <stp/>
        <stp>VOLUME</stp>
        <stp>.NDX251017P20250</stp>
        <tr r="S150" s="2"/>
      </tp>
      <tp t="s">
        <v>N/A</v>
        <stp/>
        <stp>VOLUME</stp>
        <stp>.NDX250815P20075</stp>
        <tr r="O157" s="2"/>
      </tp>
      <tp>
        <v>16</v>
        <stp/>
        <stp>VOLUME</stp>
        <stp>.NDX250516P19375</stp>
        <tr r="BD184" s="1"/>
        <tr r="BD184" s="1"/>
      </tp>
      <tp t="s">
        <v>N/A</v>
        <stp/>
        <stp>VOLUME</stp>
        <stp>.NDX250523P19675</stp>
        <tr r="H173" s="2"/>
      </tp>
      <tp>
        <v>1</v>
        <stp/>
        <stp>VOLUME</stp>
        <stp>.NDX250620P19575</stp>
        <tr r="BF176" s="1"/>
        <tr r="BF176" s="1"/>
      </tp>
      <tp t="s">
        <v>N/A</v>
        <stp/>
        <stp>VOLUME</stp>
        <stp>.NDX250516P20375</stp>
        <tr r="BD144" s="1"/>
      </tp>
      <tp t="s">
        <v>N/A</v>
        <stp/>
        <stp>VOLUME</stp>
        <stp>.NDX251121P19475</stp>
        <tr r="U181" s="2"/>
      </tp>
      <tp t="s">
        <v>N/A</v>
        <stp/>
        <stp>VOLUME</stp>
        <stp>.NDX251017P19275</stp>
        <tr r="S189" s="2"/>
      </tp>
      <tp t="s">
        <v>N/A</v>
        <stp/>
        <stp>VOLUME</stp>
        <stp>.NDX251017P20275</stp>
        <tr r="S149" s="2"/>
      </tp>
      <tp t="s">
        <v>N/A</v>
        <stp/>
        <stp>VOLUME</stp>
        <stp>.NDX251121P20475</stp>
        <tr r="U141" s="2"/>
      </tp>
      <tp t="s">
        <v>116.98%</v>
        <stp/>
        <stp>IMPL_VOL</stp>
        <stp>.NDXP250509P19850</stp>
        <tr r="EM165" s="1"/>
      </tp>
      <tp t="s">
        <v>106.98%</v>
        <stp/>
        <stp>IMPL_VOL</stp>
        <stp>.NDXP250509P19875</stp>
        <tr r="EM164" s="1"/>
      </tp>
      <tp t="s">
        <v>56.53%</v>
        <stp/>
        <stp>IMPL_VOL</stp>
        <stp>.NDXP250509P19800</stp>
        <tr r="EM167" s="1"/>
      </tp>
      <tp t="s">
        <v>126.80%</v>
        <stp/>
        <stp>IMPL_VOL</stp>
        <stp>.NDXP250509P19825</stp>
        <tr r="EM166" s="1"/>
      </tp>
      <tp t="s">
        <v>N/A</v>
        <stp/>
        <stp>VOLUME</stp>
        <stp>.NDX250815C20025</stp>
        <tr r="O159" s="2"/>
      </tp>
      <tp t="s">
        <v>N/A</v>
        <stp/>
        <stp>VOLUME</stp>
        <stp>.NDX250516C19325</stp>
        <tr r="BC186" s="1"/>
      </tp>
      <tp t="s">
        <v>N/A</v>
        <stp/>
        <stp>VOLUME</stp>
        <stp>.NDX250523C19625</stp>
        <tr r="H175" s="2"/>
      </tp>
      <tp t="s">
        <v>N/A</v>
        <stp/>
        <stp>VOLUME</stp>
        <stp>.NDX250620C20525</stp>
        <tr r="BE138" s="1"/>
      </tp>
      <tp t="s">
        <v>N/A</v>
        <stp/>
        <stp>VOLUME</stp>
        <stp>.NDX250620C19525</stp>
        <tr r="BE178" s="1"/>
      </tp>
      <tp>
        <v>1</v>
        <stp/>
        <stp>VOLUME</stp>
        <stp>.NDX250516C20325</stp>
        <tr r="BC146" s="1"/>
        <tr r="BC146" s="1"/>
      </tp>
      <tp t="s">
        <v>N/A</v>
        <stp/>
        <stp>VOLUME</stp>
        <stp>.NDX251121C19425</stp>
        <tr r="U183" s="2"/>
      </tp>
      <tp t="s">
        <v>N/A</v>
        <stp/>
        <stp>VOLUME</stp>
        <stp>.NDX251017C20225</stp>
        <tr r="S151" s="2"/>
      </tp>
      <tp t="s">
        <v>N/A</v>
        <stp/>
        <stp>VOLUME</stp>
        <stp>.NDX251121C20425</stp>
        <tr r="U143" s="2"/>
      </tp>
      <tp t="s">
        <v>N/A</v>
        <stp/>
        <stp>VOLUME</stp>
        <stp>.NDX250815C20000</stp>
        <tr r="O160" s="2"/>
      </tp>
      <tp t="s">
        <v>N/A</v>
        <stp/>
        <stp>VOLUME</stp>
        <stp>.NDX250516C19300</stp>
        <tr r="BC187" s="1"/>
      </tp>
      <tp t="s">
        <v>N/A</v>
        <stp/>
        <stp>VOLUME</stp>
        <stp>.NDX250523C19600</stp>
        <tr r="H176" s="2"/>
      </tp>
      <tp t="s">
        <v>N/A</v>
        <stp/>
        <stp>VOLUME</stp>
        <stp>.NDX250620C20500</stp>
        <tr r="BE139" s="1"/>
      </tp>
      <tp t="s">
        <v>N/A</v>
        <stp/>
        <stp>VOLUME</stp>
        <stp>.NDX250620C19500</stp>
        <tr r="BE179" s="1"/>
      </tp>
      <tp>
        <v>8</v>
        <stp/>
        <stp>VOLUME</stp>
        <stp>.NDX250516C20300</stp>
        <tr r="BC147" s="1"/>
        <tr r="BC147" s="1"/>
      </tp>
      <tp t="s">
        <v>N/A</v>
        <stp/>
        <stp>VOLUME</stp>
        <stp>.NDX251121C19400</stp>
        <tr r="U184" s="2"/>
      </tp>
      <tp t="s">
        <v>N/A</v>
        <stp/>
        <stp>VOLUME</stp>
        <stp>.NDX251121C20400</stp>
        <tr r="U144" s="2"/>
      </tp>
      <tp t="s">
        <v>N/A</v>
        <stp/>
        <stp>VOLUME</stp>
        <stp>.NDX251017C20200</stp>
        <tr r="S152" s="2"/>
      </tp>
      <tp t="s">
        <v>N/A</v>
        <stp/>
        <stp>VOLUME</stp>
        <stp>.NDX251121C19475</stp>
        <tr r="U181" s="2"/>
      </tp>
      <tp t="s">
        <v>N/A</v>
        <stp/>
        <stp>VOLUME</stp>
        <stp>.NDX251017C19275</stp>
        <tr r="S189" s="2"/>
      </tp>
      <tp t="s">
        <v>N/A</v>
        <stp/>
        <stp>VOLUME</stp>
        <stp>.NDX251017C20275</stp>
        <tr r="S149" s="2"/>
      </tp>
      <tp t="s">
        <v>N/A</v>
        <stp/>
        <stp>VOLUME</stp>
        <stp>.NDX251121C20475</stp>
        <tr r="U141" s="2"/>
      </tp>
      <tp t="s">
        <v>N/A</v>
        <stp/>
        <stp>VOLUME</stp>
        <stp>.NDX250815C20075</stp>
        <tr r="O157" s="2"/>
      </tp>
      <tp t="s">
        <v>N/A</v>
        <stp/>
        <stp>VOLUME</stp>
        <stp>.NDX250516C19375</stp>
        <tr r="BC184" s="1"/>
      </tp>
      <tp t="s">
        <v>N/A</v>
        <stp/>
        <stp>VOLUME</stp>
        <stp>.NDX250523C19675</stp>
        <tr r="H173" s="2"/>
      </tp>
      <tp t="s">
        <v>N/A</v>
        <stp/>
        <stp>VOLUME</stp>
        <stp>.NDX250620C19575</stp>
        <tr r="BE176" s="1"/>
      </tp>
      <tp t="s">
        <v>N/A</v>
        <stp/>
        <stp>VOLUME</stp>
        <stp>.NDX250516C20375</stp>
        <tr r="BC144" s="1"/>
      </tp>
      <tp t="s">
        <v>N/A</v>
        <stp/>
        <stp>VOLUME</stp>
        <stp>.NDX251017C19250</stp>
        <tr r="S190" s="2"/>
      </tp>
      <tp t="s">
        <v>N/A</v>
        <stp/>
        <stp>VOLUME</stp>
        <stp>.NDX251121C19450</stp>
        <tr r="U182" s="2"/>
      </tp>
      <tp t="s">
        <v>N/A</v>
        <stp/>
        <stp>VOLUME</stp>
        <stp>.NDX251121C20450</stp>
        <tr r="U142" s="2"/>
      </tp>
      <tp t="s">
        <v>N/A</v>
        <stp/>
        <stp>VOLUME</stp>
        <stp>.NDX251017C20250</stp>
        <tr r="S150" s="2"/>
      </tp>
      <tp t="s">
        <v>N/A</v>
        <stp/>
        <stp>VOLUME</stp>
        <stp>.NDX250815C20050</stp>
        <tr r="O158" s="2"/>
      </tp>
      <tp t="s">
        <v>N/A</v>
        <stp/>
        <stp>VOLUME</stp>
        <stp>.NDX250516C19350</stp>
        <tr r="BC185" s="1"/>
      </tp>
      <tp t="s">
        <v>N/A</v>
        <stp/>
        <stp>VOLUME</stp>
        <stp>.NDX250523C19650</stp>
        <tr r="H174" s="2"/>
      </tp>
      <tp t="s">
        <v>N/A</v>
        <stp/>
        <stp>VOLUME</stp>
        <stp>.NDX250620C20550</stp>
        <tr r="BE137" s="1"/>
      </tp>
      <tp t="s">
        <v>N/A</v>
        <stp/>
        <stp>VOLUME</stp>
        <stp>.NDX250620C19550</stp>
        <tr r="BE177" s="1"/>
      </tp>
      <tp>
        <v>1</v>
        <stp/>
        <stp>VOLUME</stp>
        <stp>.NDX250516C20350</stp>
        <tr r="BC145" s="1"/>
        <tr r="BC145" s="1"/>
      </tp>
      <tp>
        <v>0.5</v>
        <stp/>
        <stp>DELTA</stp>
        <stp>.SPX250516C5670</stp>
        <tr r="CF105" s="1"/>
        <tr r="CF105" s="1"/>
      </tp>
      <tp>
        <v>0.65</v>
        <stp/>
        <stp>DELTA</stp>
        <stp>.SPX250620C5510</stp>
        <tr r="CH121" s="1"/>
        <tr r="CH121" s="1"/>
      </tp>
      <tp>
        <v>-0.54</v>
        <stp/>
        <stp>DELTA</stp>
        <stp>.SPX250516P5670</stp>
        <tr r="CG105" s="1"/>
        <tr r="CG105" s="1"/>
      </tp>
      <tp>
        <v>-0.28999999999999998</v>
        <stp/>
        <stp>DELTA</stp>
        <stp>.SPX250620P5510</stp>
        <tr r="CI121" s="1"/>
        <tr r="CI121" s="1"/>
      </tp>
      <tp>
        <v>0.51</v>
        <stp/>
        <stp>DELTA</stp>
        <stp>.SPX250516C5660</stp>
        <tr r="CF106" s="1"/>
        <tr r="CF106" s="1"/>
      </tp>
      <tp>
        <v>0.66</v>
        <stp/>
        <stp>DELTA</stp>
        <stp>.SPX250620C5500</stp>
        <tr r="CH122" s="1"/>
        <tr r="CH122" s="1"/>
      </tp>
      <tp>
        <v>-0.48</v>
        <stp/>
        <stp>DELTA</stp>
        <stp>.SPX250516P5660</stp>
        <tr r="CG106" s="1"/>
        <tr r="CG106" s="1"/>
      </tp>
      <tp>
        <v>-0.28000000000000003</v>
        <stp/>
        <stp>DELTA</stp>
        <stp>.SPX250620P5500</stp>
        <tr r="CI122" s="1"/>
        <tr r="CI122" s="1"/>
      </tp>
      <tp>
        <v>0.53</v>
        <stp/>
        <stp>DELTA</stp>
        <stp>.SPX250516C5650</stp>
        <tr r="CF107" s="1"/>
        <tr r="CF107" s="1"/>
      </tp>
      <tp>
        <v>0.64</v>
        <stp/>
        <stp>DELTA</stp>
        <stp>.SPX250620C5530</stp>
        <tr r="CH119" s="1"/>
        <tr r="CH119" s="1"/>
      </tp>
      <tp>
        <v>-0.43</v>
        <stp/>
        <stp>DELTA</stp>
        <stp>.SPX250516P5650</stp>
        <tr r="CG107" s="1"/>
        <tr r="CG107" s="1"/>
      </tp>
      <tp>
        <v>-0.31</v>
        <stp/>
        <stp>DELTA</stp>
        <stp>.SPX250620P5530</stp>
        <tr r="CI119" s="1"/>
        <tr r="CI119" s="1"/>
      </tp>
      <tp>
        <v>0.54</v>
        <stp/>
        <stp>DELTA</stp>
        <stp>.SPX250516C5640</stp>
        <tr r="CF108" s="1"/>
        <tr r="CF108" s="1"/>
      </tp>
      <tp>
        <v>0.65</v>
        <stp/>
        <stp>DELTA</stp>
        <stp>.SPX250620C5520</stp>
        <tr r="CH120" s="1"/>
        <tr r="CH120" s="1"/>
      </tp>
      <tp>
        <v>-0.39</v>
        <stp/>
        <stp>DELTA</stp>
        <stp>.SPX250516P5640</stp>
        <tr r="CG108" s="1"/>
        <tr r="CG108" s="1"/>
      </tp>
      <tp>
        <v>-0.3</v>
        <stp/>
        <stp>DELTA</stp>
        <stp>.SPX250620P5520</stp>
        <tr r="CI120" s="1"/>
        <tr r="CI120" s="1"/>
      </tp>
      <tp>
        <v>0.56000000000000005</v>
        <stp/>
        <stp>DELTA</stp>
        <stp>.SPX250516C5630</stp>
        <tr r="CF109" s="1"/>
        <tr r="CF109" s="1"/>
      </tp>
      <tp>
        <v>0.63</v>
        <stp/>
        <stp>DELTA</stp>
        <stp>.SPX250620C5550</stp>
        <tr r="CH117" s="1"/>
        <tr r="CH117" s="1"/>
      </tp>
      <tp>
        <v>-0.35</v>
        <stp/>
        <stp>DELTA</stp>
        <stp>.SPX250516P5630</stp>
        <tr r="CG109" s="1"/>
        <tr r="CG109" s="1"/>
      </tp>
      <tp>
        <v>-0.33</v>
        <stp/>
        <stp>DELTA</stp>
        <stp>.SPX250620P5550</stp>
        <tr r="CI117" s="1"/>
        <tr r="CI117" s="1"/>
      </tp>
      <tp>
        <v>0.56999999999999995</v>
        <stp/>
        <stp>DELTA</stp>
        <stp>.SPX250516C5620</stp>
        <tr r="CF110" s="1"/>
        <tr r="CF110" s="1"/>
      </tp>
      <tp>
        <v>0.63</v>
        <stp/>
        <stp>DELTA</stp>
        <stp>.SPX250620C5540</stp>
        <tr r="CH118" s="1"/>
        <tr r="CH118" s="1"/>
      </tp>
      <tp>
        <v>-0.31</v>
        <stp/>
        <stp>DELTA</stp>
        <stp>.SPX250516P5620</stp>
        <tr r="CG110" s="1"/>
        <tr r="CG110" s="1"/>
      </tp>
      <tp>
        <v>-0.32</v>
        <stp/>
        <stp>DELTA</stp>
        <stp>.SPX250620P5540</stp>
        <tr r="CI118" s="1"/>
        <tr r="CI118" s="1"/>
      </tp>
      <tp>
        <v>0.59</v>
        <stp/>
        <stp>DELTA</stp>
        <stp>.SPX250516C5610</stp>
        <tr r="CF111" s="1"/>
        <tr r="CF111" s="1"/>
      </tp>
      <tp>
        <v>0.61</v>
        <stp/>
        <stp>DELTA</stp>
        <stp>.SPX250620C5570</stp>
        <tr r="CH115" s="1"/>
        <tr r="CH115" s="1"/>
      </tp>
      <tp>
        <v>-0.28000000000000003</v>
        <stp/>
        <stp>DELTA</stp>
        <stp>.SPX250516P5610</stp>
        <tr r="CG111" s="1"/>
        <tr r="CG111" s="1"/>
      </tp>
      <tp>
        <v>-0.35</v>
        <stp/>
        <stp>DELTA</stp>
        <stp>.SPX250620P5570</stp>
        <tr r="CI115" s="1"/>
        <tr r="CI115" s="1"/>
      </tp>
      <tp>
        <v>0.6</v>
        <stp/>
        <stp>DELTA</stp>
        <stp>.SPX250516C5600</stp>
        <tr r="CF112" s="1"/>
        <tr r="CF112" s="1"/>
      </tp>
      <tp>
        <v>0.62</v>
        <stp/>
        <stp>DELTA</stp>
        <stp>.SPX250620C5560</stp>
        <tr r="CH116" s="1"/>
        <tr r="CH116" s="1"/>
      </tp>
      <tp>
        <v>-0.25</v>
        <stp/>
        <stp>DELTA</stp>
        <stp>.SPX250516P5600</stp>
        <tr r="CG112" s="1"/>
        <tr r="CG112" s="1"/>
      </tp>
      <tp>
        <v>-0.34</v>
        <stp/>
        <stp>DELTA</stp>
        <stp>.SPX250620P5560</stp>
        <tr r="CI116" s="1"/>
        <tr r="CI116" s="1"/>
      </tp>
      <tp>
        <v>0.6</v>
        <stp/>
        <stp>DELTA</stp>
        <stp>.SPX250620C5590</stp>
        <tr r="CH113" s="1"/>
        <tr r="CH113" s="1"/>
      </tp>
      <tp>
        <v>-0.37</v>
        <stp/>
        <stp>DELTA</stp>
        <stp>.SPX250620P5590</stp>
        <tr r="CI113" s="1"/>
        <tr r="CI113" s="1"/>
      </tp>
      <tp>
        <v>0.6</v>
        <stp/>
        <stp>DELTA</stp>
        <stp>.SPX250620C5580</stp>
        <tr r="CH114" s="1"/>
        <tr r="CH114" s="1"/>
      </tp>
      <tp>
        <v>-0.36</v>
        <stp/>
        <stp>DELTA</stp>
        <stp>.SPX250620P5580</stp>
        <tr r="CI114" s="1"/>
        <tr r="CI114" s="1"/>
      </tp>
      <tp>
        <v>0.46</v>
        <stp/>
        <stp>DELTA</stp>
        <stp>.SPX250516C5690</stp>
        <tr r="CF103" s="1"/>
        <tr r="CF103" s="1"/>
      </tp>
      <tp>
        <v>-0.7</v>
        <stp/>
        <stp>DELTA</stp>
        <stp>.SPX250516P5690</stp>
        <tr r="CG103" s="1"/>
        <tr r="CG103" s="1"/>
      </tp>
      <tp>
        <v>0.48</v>
        <stp/>
        <stp>DELTA</stp>
        <stp>.SPX250516C5680</stp>
        <tr r="CF104" s="1"/>
        <tr r="CF104" s="1"/>
      </tp>
      <tp>
        <v>-0.61</v>
        <stp/>
        <stp>DELTA</stp>
        <stp>.SPX250516P5680</stp>
        <tr r="CG104" s="1"/>
        <tr r="CG104" s="1"/>
      </tp>
      <tp t="s">
        <v>--</v>
        <stp/>
        <stp>IMPL_VOL</stp>
        <stp>.NDXP250509C19975</stp>
        <tr r="EL160" s="1"/>
      </tp>
      <tp t="s">
        <v>--</v>
        <stp/>
        <stp>IMPL_VOL</stp>
        <stp>.NDXP250509C19950</stp>
        <tr r="EL161" s="1"/>
      </tp>
      <tp t="s">
        <v>--</v>
        <stp/>
        <stp>IMPL_VOL</stp>
        <stp>.NDXP250509C19925</stp>
        <tr r="EL162" s="1"/>
      </tp>
      <tp t="s">
        <v>--</v>
        <stp/>
        <stp>IMPL_VOL</stp>
        <stp>.NDXP250509C19900</stp>
        <tr r="EL163" s="1"/>
      </tp>
      <tp t="s">
        <v>N/A</v>
        <stp/>
        <stp>VOLUME</stp>
        <stp>.NDX251017P19300</stp>
        <tr r="S188" s="2"/>
      </tp>
      <tp t="s">
        <v>N/A</v>
        <stp/>
        <stp>VOLUME</stp>
        <stp>.NDX251121P19500</stp>
        <tr r="U180" s="2"/>
      </tp>
      <tp t="s">
        <v>N/A</v>
        <stp/>
        <stp>VOLUME</stp>
        <stp>.NDX251121P20500</stp>
        <tr r="U140" s="2"/>
      </tp>
      <tp t="s">
        <v>N/A</v>
        <stp/>
        <stp>VOLUME</stp>
        <stp>.NDX251017P20300</stp>
        <tr r="S148" s="2"/>
      </tp>
      <tp t="s">
        <v>N/A</v>
        <stp/>
        <stp>VOLUME</stp>
        <stp>.NDX250815P20100</stp>
        <tr r="O156" s="2"/>
      </tp>
      <tp t="s">
        <v>N/A</v>
        <stp/>
        <stp>VOLUME</stp>
        <stp>.NDX250523P19700</stp>
        <tr r="H172" s="2"/>
      </tp>
      <tp t="s">
        <v>N/A</v>
        <stp/>
        <stp>VOLUME</stp>
        <stp>.NDX250620P20400</stp>
        <tr r="BF143" s="1"/>
      </tp>
      <tp>
        <v>6</v>
        <stp/>
        <stp>VOLUME</stp>
        <stp>.NDX250620P19400</stp>
        <tr r="BF183" s="1"/>
        <tr r="BF183" s="1"/>
      </tp>
      <tp>
        <v>12</v>
        <stp/>
        <stp>VOLUME</stp>
        <stp>.NDX250516P20200</stp>
        <tr r="BD151" s="1"/>
        <tr r="BD151" s="1"/>
      </tp>
      <tp t="s">
        <v>N/A</v>
        <stp/>
        <stp>VOLUME</stp>
        <stp>.NDX251121P19525</stp>
        <tr r="U179" s="2"/>
      </tp>
      <tp t="s">
        <v>N/A</v>
        <stp/>
        <stp>VOLUME</stp>
        <stp>.NDX251017P19325</stp>
        <tr r="S187" s="2"/>
      </tp>
      <tp t="s">
        <v>N/A</v>
        <stp/>
        <stp>VOLUME</stp>
        <stp>.NDX251017P20325</stp>
        <tr r="S147" s="2"/>
      </tp>
      <tp t="s">
        <v>N/A</v>
        <stp/>
        <stp>VOLUME</stp>
        <stp>.NDX251121P20525</stp>
        <tr r="U139" s="2"/>
      </tp>
      <tp t="s">
        <v>N/A</v>
        <stp/>
        <stp>VOLUME</stp>
        <stp>.NDX250815P20125</stp>
        <tr r="O155" s="2"/>
      </tp>
      <tp t="s">
        <v>N/A</v>
        <stp/>
        <stp>VOLUME</stp>
        <stp>.NDX250523P19725</stp>
        <tr r="H171" s="2"/>
      </tp>
      <tp t="s">
        <v>N/A</v>
        <stp/>
        <stp>VOLUME</stp>
        <stp>.NDX250620P20425</stp>
        <tr r="BF142" s="1"/>
      </tp>
      <tp>
        <v>3</v>
        <stp/>
        <stp>VOLUME</stp>
        <stp>.NDX250620P19425</stp>
        <tr r="BF182" s="1"/>
        <tr r="BF182" s="1"/>
      </tp>
      <tp>
        <v>5</v>
        <stp/>
        <stp>VOLUME</stp>
        <stp>.NDX250516P20225</stp>
        <tr r="BD150" s="1"/>
        <tr r="BD150" s="1"/>
      </tp>
      <tp t="s">
        <v>N/A</v>
        <stp/>
        <stp>VOLUME</stp>
        <stp>.NDX250815P20150</stp>
        <tr r="O154" s="2"/>
      </tp>
      <tp>
        <v>23</v>
        <stp/>
        <stp>VOLUME</stp>
        <stp>.NDX250516P19250</stp>
        <tr r="BD189" s="1"/>
        <tr r="BD189" s="1"/>
      </tp>
      <tp t="s">
        <v>N/A</v>
        <stp/>
        <stp>VOLUME</stp>
        <stp>.NDX250523P19750</stp>
        <tr r="H170" s="2"/>
      </tp>
      <tp t="s">
        <v>N/A</v>
        <stp/>
        <stp>VOLUME</stp>
        <stp>.NDX250620P20450</stp>
        <tr r="BF141" s="1"/>
      </tp>
      <tp>
        <v>4</v>
        <stp/>
        <stp>VOLUME</stp>
        <stp>.NDX250620P19450</stp>
        <tr r="BF181" s="1"/>
        <tr r="BF181" s="1"/>
      </tp>
      <tp>
        <v>2</v>
        <stp/>
        <stp>VOLUME</stp>
        <stp>.NDX250516P20250</stp>
        <tr r="BD149" s="1"/>
        <tr r="BD149" s="1"/>
      </tp>
      <tp t="s">
        <v>N/A</v>
        <stp/>
        <stp>VOLUME</stp>
        <stp>.NDX251017P19350</stp>
        <tr r="S186" s="2"/>
      </tp>
      <tp t="s">
        <v>N/A</v>
        <stp/>
        <stp>VOLUME</stp>
        <stp>.NDX251121P19550</stp>
        <tr r="U178" s="2"/>
      </tp>
      <tp t="s">
        <v>N/A</v>
        <stp/>
        <stp>VOLUME</stp>
        <stp>.NDX251121P20550</stp>
        <tr r="U138" s="2"/>
      </tp>
      <tp t="s">
        <v>N/A</v>
        <stp/>
        <stp>VOLUME</stp>
        <stp>.NDX251017P20350</stp>
        <tr r="S146" s="2"/>
      </tp>
      <tp t="s">
        <v>N/A</v>
        <stp/>
        <stp>VOLUME</stp>
        <stp>.NDX250815P20175</stp>
        <tr r="O153" s="2"/>
      </tp>
      <tp>
        <v>42</v>
        <stp/>
        <stp>VOLUME</stp>
        <stp>.NDX250516P19275</stp>
        <tr r="BD188" s="1"/>
        <tr r="BD188" s="1"/>
      </tp>
      <tp t="s">
        <v>N/A</v>
        <stp/>
        <stp>VOLUME</stp>
        <stp>.NDX250523P19775</stp>
        <tr r="H169" s="2"/>
      </tp>
      <tp t="s">
        <v>N/A</v>
        <stp/>
        <stp>VOLUME</stp>
        <stp>.NDX250620P20475</stp>
        <tr r="BF140" s="1"/>
      </tp>
      <tp>
        <v>4</v>
        <stp/>
        <stp>VOLUME</stp>
        <stp>.NDX250620P19475</stp>
        <tr r="BF180" s="1"/>
        <tr r="BF180" s="1"/>
      </tp>
      <tp>
        <v>2</v>
        <stp/>
        <stp>VOLUME</stp>
        <stp>.NDX250516P20275</stp>
        <tr r="BD148" s="1"/>
        <tr r="BD148" s="1"/>
      </tp>
      <tp t="s">
        <v>N/A</v>
        <stp/>
        <stp>VOLUME</stp>
        <stp>.NDX251121P19575</stp>
        <tr r="U177" s="2"/>
      </tp>
      <tp t="s">
        <v>N/A</v>
        <stp/>
        <stp>VOLUME</stp>
        <stp>.NDX251017P19375</stp>
        <tr r="S185" s="2"/>
      </tp>
      <tp t="s">
        <v>N/A</v>
        <stp/>
        <stp>VOLUME</stp>
        <stp>.NDX251017P20375</stp>
        <tr r="S145" s="2"/>
      </tp>
      <tp t="s">
        <v>42.13%</v>
        <stp/>
        <stp>IMPL_VOL</stp>
        <stp>.NDXP250509P19950</stp>
        <tr r="EM161" s="1"/>
      </tp>
      <tp t="s">
        <v>64.25%</v>
        <stp/>
        <stp>IMPL_VOL</stp>
        <stp>.NDXP250509P19975</stp>
        <tr r="EM160" s="1"/>
      </tp>
      <tp t="s">
        <v>36.30%</v>
        <stp/>
        <stp>IMPL_VOL</stp>
        <stp>.NDXP250509P19900</stp>
        <tr r="EM163" s="1"/>
      </tp>
      <tp t="s">
        <v>31.12%</v>
        <stp/>
        <stp>IMPL_VOL</stp>
        <stp>.NDXP250509P19925</stp>
        <tr r="EM162" s="1"/>
      </tp>
      <tp t="s">
        <v>N/A</v>
        <stp/>
        <stp>VOLUME</stp>
        <stp>.NDX250815C20125</stp>
        <tr r="O155" s="2"/>
      </tp>
      <tp t="s">
        <v>N/A</v>
        <stp/>
        <stp>VOLUME</stp>
        <stp>.NDX250523C19725</stp>
        <tr r="H171" s="2"/>
      </tp>
      <tp t="s">
        <v>N/A</v>
        <stp/>
        <stp>VOLUME</stp>
        <stp>.NDX250620C20425</stp>
        <tr r="BE142" s="1"/>
      </tp>
      <tp t="s">
        <v>N/A</v>
        <stp/>
        <stp>VOLUME</stp>
        <stp>.NDX250620C19425</stp>
        <tr r="BE182" s="1"/>
      </tp>
      <tp>
        <v>4</v>
        <stp/>
        <stp>VOLUME</stp>
        <stp>.NDX250516C20225</stp>
        <tr r="BC150" s="1"/>
        <tr r="BC150" s="1"/>
      </tp>
      <tp t="s">
        <v>N/A</v>
        <stp/>
        <stp>VOLUME</stp>
        <stp>.NDX251121C19525</stp>
        <tr r="U179" s="2"/>
      </tp>
      <tp t="s">
        <v>N/A</v>
        <stp/>
        <stp>VOLUME</stp>
        <stp>.NDX251017C19325</stp>
        <tr r="S187" s="2"/>
      </tp>
      <tp t="s">
        <v>N/A</v>
        <stp/>
        <stp>VOLUME</stp>
        <stp>.NDX251017C20325</stp>
        <tr r="S147" s="2"/>
      </tp>
      <tp t="s">
        <v>N/A</v>
        <stp/>
        <stp>VOLUME</stp>
        <stp>.NDX251121C20525</stp>
        <tr r="U139" s="2"/>
      </tp>
      <tp t="s">
        <v>N/A</v>
        <stp/>
        <stp>VOLUME</stp>
        <stp>.NDX250815C20100</stp>
        <tr r="O156" s="2"/>
      </tp>
      <tp t="s">
        <v>N/A</v>
        <stp/>
        <stp>VOLUME</stp>
        <stp>.NDX250523C19700</stp>
        <tr r="H172" s="2"/>
      </tp>
      <tp>
        <v>2</v>
        <stp/>
        <stp>VOLUME</stp>
        <stp>.NDX250620C20400</stp>
        <tr r="BE143" s="1"/>
        <tr r="BE143" s="1"/>
      </tp>
      <tp t="s">
        <v>N/A</v>
        <stp/>
        <stp>VOLUME</stp>
        <stp>.NDX250620C19400</stp>
        <tr r="BE183" s="1"/>
      </tp>
      <tp>
        <v>6</v>
        <stp/>
        <stp>VOLUME</stp>
        <stp>.NDX250516C20200</stp>
        <tr r="BC151" s="1"/>
        <tr r="BC151" s="1"/>
      </tp>
      <tp t="s">
        <v>N/A</v>
        <stp/>
        <stp>VOLUME</stp>
        <stp>.NDX251017C19300</stp>
        <tr r="S188" s="2"/>
      </tp>
      <tp t="s">
        <v>N/A</v>
        <stp/>
        <stp>VOLUME</stp>
        <stp>.NDX251121C19500</stp>
        <tr r="U180" s="2"/>
      </tp>
      <tp t="s">
        <v>N/A</v>
        <stp/>
        <stp>VOLUME</stp>
        <stp>.NDX251121C20500</stp>
        <tr r="U140" s="2"/>
      </tp>
      <tp t="s">
        <v>N/A</v>
        <stp/>
        <stp>VOLUME</stp>
        <stp>.NDX251017C20300</stp>
        <tr r="S148" s="2"/>
      </tp>
      <tp t="s">
        <v>N/A</v>
        <stp/>
        <stp>VOLUME</stp>
        <stp>.NDX251121C19575</stp>
        <tr r="U177" s="2"/>
      </tp>
      <tp t="s">
        <v>N/A</v>
        <stp/>
        <stp>VOLUME</stp>
        <stp>.NDX251017C19375</stp>
        <tr r="S185" s="2"/>
      </tp>
      <tp t="s">
        <v>N/A</v>
        <stp/>
        <stp>VOLUME</stp>
        <stp>.NDX251017C20375</stp>
        <tr r="S145" s="2"/>
      </tp>
      <tp t="s">
        <v>N/A</v>
        <stp/>
        <stp>VOLUME</stp>
        <stp>.NDX250815C20175</stp>
        <tr r="O153" s="2"/>
      </tp>
      <tp t="s">
        <v>N/A</v>
        <stp/>
        <stp>VOLUME</stp>
        <stp>.NDX250516C19275</stp>
        <tr r="BC188" s="1"/>
      </tp>
      <tp t="s">
        <v>N/A</v>
        <stp/>
        <stp>VOLUME</stp>
        <stp>.NDX250523C19775</stp>
        <tr r="H169" s="2"/>
      </tp>
      <tp t="s">
        <v>N/A</v>
        <stp/>
        <stp>VOLUME</stp>
        <stp>.NDX250620C20475</stp>
        <tr r="BE140" s="1"/>
      </tp>
      <tp t="s">
        <v>N/A</v>
        <stp/>
        <stp>VOLUME</stp>
        <stp>.NDX250620C19475</stp>
        <tr r="BE180" s="1"/>
      </tp>
      <tp>
        <v>8</v>
        <stp/>
        <stp>VOLUME</stp>
        <stp>.NDX250516C20275</stp>
        <tr r="BC148" s="1"/>
        <tr r="BC148" s="1"/>
      </tp>
      <tp t="s">
        <v>N/A</v>
        <stp/>
        <stp>VOLUME</stp>
        <stp>.NDX251017C19350</stp>
        <tr r="S186" s="2"/>
      </tp>
      <tp t="s">
        <v>N/A</v>
        <stp/>
        <stp>VOLUME</stp>
        <stp>.NDX251121C19550</stp>
        <tr r="U178" s="2"/>
      </tp>
      <tp t="s">
        <v>N/A</v>
        <stp/>
        <stp>VOLUME</stp>
        <stp>.NDX251121C20550</stp>
        <tr r="U138" s="2"/>
      </tp>
      <tp t="s">
        <v>N/A</v>
        <stp/>
        <stp>VOLUME</stp>
        <stp>.NDX251017C20350</stp>
        <tr r="S146" s="2"/>
      </tp>
      <tp t="s">
        <v>N/A</v>
        <stp/>
        <stp>VOLUME</stp>
        <stp>.NDX250815C20150</stp>
        <tr r="O154" s="2"/>
      </tp>
      <tp t="s">
        <v>N/A</v>
        <stp/>
        <stp>VOLUME</stp>
        <stp>.NDX250516C19250</stp>
        <tr r="BC189" s="1"/>
      </tp>
      <tp t="s">
        <v>N/A</v>
        <stp/>
        <stp>VOLUME</stp>
        <stp>.NDX250523C19750</stp>
        <tr r="H170" s="2"/>
      </tp>
      <tp>
        <v>2</v>
        <stp/>
        <stp>VOLUME</stp>
        <stp>.NDX250620C20450</stp>
        <tr r="BE141" s="1"/>
        <tr r="BE141" s="1"/>
      </tp>
      <tp t="s">
        <v>N/A</v>
        <stp/>
        <stp>VOLUME</stp>
        <stp>.NDX250620C19450</stp>
        <tr r="BE181" s="1"/>
      </tp>
      <tp>
        <v>8</v>
        <stp/>
        <stp>VOLUME</stp>
        <stp>.NDX250516C20250</stp>
        <tr r="BC149" s="1"/>
        <tr r="BC149" s="1"/>
      </tp>
      <tp>
        <v>0.3</v>
        <stp/>
        <stp>DELTA</stp>
        <stp>.SPX250516C5770</stp>
        <tr r="CF95" s="1"/>
        <tr r="CF95" s="1"/>
      </tp>
      <tp>
        <v>-1</v>
        <stp/>
        <stp>DELTA</stp>
        <stp>.SPX250516P5770</stp>
        <tr r="CG95" s="1"/>
        <tr r="CG95" s="1"/>
      </tp>
      <tp>
        <v>0.32</v>
        <stp/>
        <stp>DELTA</stp>
        <stp>.SPX250516C5760</stp>
        <tr r="CF96" s="1"/>
        <tr r="CF96" s="1"/>
      </tp>
      <tp>
        <v>-1</v>
        <stp/>
        <stp>DELTA</stp>
        <stp>.SPX250516P5760</stp>
        <tr r="CG96" s="1"/>
        <tr r="CG96" s="1"/>
      </tp>
      <tp>
        <v>0.34</v>
        <stp/>
        <stp>DELTA</stp>
        <stp>.SPX250516C5750</stp>
        <tr r="CF97" s="1"/>
        <tr r="CF97" s="1"/>
      </tp>
      <tp>
        <v>0.7</v>
        <stp/>
        <stp>DELTA</stp>
        <stp>.SPX250620C5430</stp>
        <tr r="CH129" s="1"/>
        <tr r="CH129" s="1"/>
      </tp>
      <tp>
        <v>-1</v>
        <stp/>
        <stp>DELTA</stp>
        <stp>.SPX250516P5750</stp>
        <tr r="CG97" s="1"/>
        <tr r="CG97" s="1"/>
      </tp>
      <tp>
        <v>-0.23</v>
        <stp/>
        <stp>DELTA</stp>
        <stp>.SPX250620P5430</stp>
        <tr r="CI129" s="1"/>
        <tr r="CI129" s="1"/>
      </tp>
      <tp>
        <v>0.36</v>
        <stp/>
        <stp>DELTA</stp>
        <stp>.SPX250516C5740</stp>
        <tr r="CF98" s="1"/>
        <tr r="CF98" s="1"/>
      </tp>
      <tp>
        <v>0.7</v>
        <stp/>
        <stp>DELTA</stp>
        <stp>.SPX250620C5420</stp>
        <tr r="CH130" s="1"/>
        <tr r="CH130" s="1"/>
      </tp>
      <tp>
        <v>-1</v>
        <stp/>
        <stp>DELTA</stp>
        <stp>.SPX250516P5740</stp>
        <tr r="CG98" s="1"/>
        <tr r="CG98" s="1"/>
      </tp>
      <tp>
        <v>-0.22</v>
        <stp/>
        <stp>DELTA</stp>
        <stp>.SPX250620P5420</stp>
        <tr r="CI130" s="1"/>
        <tr r="CI130" s="1"/>
      </tp>
      <tp>
        <v>0.38</v>
        <stp/>
        <stp>DELTA</stp>
        <stp>.SPX250516C5730</stp>
        <tr r="CF99" s="1"/>
        <tr r="CF99" s="1"/>
      </tp>
      <tp>
        <v>0.69</v>
        <stp/>
        <stp>DELTA</stp>
        <stp>.SPX250620C5450</stp>
        <tr r="CH127" s="1"/>
        <tr r="CH127" s="1"/>
      </tp>
      <tp>
        <v>-1</v>
        <stp/>
        <stp>DELTA</stp>
        <stp>.SPX250516P5730</stp>
        <tr r="CG99" s="1"/>
        <tr r="CG99" s="1"/>
      </tp>
      <tp>
        <v>-0.24</v>
        <stp/>
        <stp>DELTA</stp>
        <stp>.SPX250620P5450</stp>
        <tr r="CI127" s="1"/>
        <tr r="CI127" s="1"/>
      </tp>
      <tp>
        <v>0.4</v>
        <stp/>
        <stp>DELTA</stp>
        <stp>.SPX250516C5720</stp>
        <tr r="CF100" s="1"/>
        <tr r="CF100" s="1"/>
      </tp>
      <tp>
        <v>0.69</v>
        <stp/>
        <stp>DELTA</stp>
        <stp>.SPX250620C5440</stp>
        <tr r="CH128" s="1"/>
        <tr r="CH128" s="1"/>
      </tp>
      <tp>
        <v>-1</v>
        <stp/>
        <stp>DELTA</stp>
        <stp>.SPX250516P5720</stp>
        <tr r="CG100" s="1"/>
        <tr r="CG100" s="1"/>
      </tp>
      <tp>
        <v>-0.24</v>
        <stp/>
        <stp>DELTA</stp>
        <stp>.SPX250620P5440</stp>
        <tr r="CI128" s="1"/>
        <tr r="CI128" s="1"/>
      </tp>
      <tp>
        <v>0.42</v>
        <stp/>
        <stp>DELTA</stp>
        <stp>.SPX250516C5710</stp>
        <tr r="CF101" s="1"/>
        <tr r="CF101" s="1"/>
      </tp>
      <tp>
        <v>0.68</v>
        <stp/>
        <stp>DELTA</stp>
        <stp>.SPX250620C5470</stp>
        <tr r="CH125" s="1"/>
        <tr r="CH125" s="1"/>
      </tp>
      <tp>
        <v>-1</v>
        <stp/>
        <stp>DELTA</stp>
        <stp>.SPX250516P5710</stp>
        <tr r="CG101" s="1"/>
        <tr r="CG101" s="1"/>
      </tp>
      <tp>
        <v>-0.26</v>
        <stp/>
        <stp>DELTA</stp>
        <stp>.SPX250620P5470</stp>
        <tr r="CI125" s="1"/>
        <tr r="CI125" s="1"/>
      </tp>
      <tp>
        <v>0.44</v>
        <stp/>
        <stp>DELTA</stp>
        <stp>.SPX250516C5700</stp>
        <tr r="CF102" s="1"/>
        <tr r="CF102" s="1"/>
      </tp>
      <tp>
        <v>0.68</v>
        <stp/>
        <stp>DELTA</stp>
        <stp>.SPX250620C5460</stp>
        <tr r="CH126" s="1"/>
        <tr r="CH126" s="1"/>
      </tp>
      <tp>
        <v>-0.82</v>
        <stp/>
        <stp>DELTA</stp>
        <stp>.SPX250516P5700</stp>
        <tr r="CG102" s="1"/>
        <tr r="CG102" s="1"/>
      </tp>
      <tp>
        <v>-0.25</v>
        <stp/>
        <stp>DELTA</stp>
        <stp>.SPX250620P5460</stp>
        <tr r="CI126" s="1"/>
        <tr r="CI126" s="1"/>
      </tp>
      <tp>
        <v>0.66</v>
        <stp/>
        <stp>DELTA</stp>
        <stp>.SPX250620C5490</stp>
        <tr r="CH123" s="1"/>
        <tr r="CH123" s="1"/>
      </tp>
      <tp>
        <v>-0.28000000000000003</v>
        <stp/>
        <stp>DELTA</stp>
        <stp>.SPX250620P5490</stp>
        <tr r="CI123" s="1"/>
        <tr r="CI123" s="1"/>
      </tp>
      <tp>
        <v>0.67</v>
        <stp/>
        <stp>DELTA</stp>
        <stp>.SPX250620C5480</stp>
        <tr r="CH124" s="1"/>
        <tr r="CH124" s="1"/>
      </tp>
      <tp>
        <v>-0.27</v>
        <stp/>
        <stp>DELTA</stp>
        <stp>.SPX250620P5480</stp>
        <tr r="CI124" s="1"/>
        <tr r="CI124" s="1"/>
      </tp>
      <tp>
        <v>0.26</v>
        <stp/>
        <stp>DELTA</stp>
        <stp>.SPX250516C5790</stp>
        <tr r="CF93" s="1"/>
        <tr r="CF93" s="1"/>
      </tp>
      <tp>
        <v>-1</v>
        <stp/>
        <stp>DELTA</stp>
        <stp>.SPX250516P5790</stp>
        <tr r="CG93" s="1"/>
        <tr r="CG93" s="1"/>
      </tp>
      <tp>
        <v>0.28000000000000003</v>
        <stp/>
        <stp>DELTA</stp>
        <stp>.SPX250516C5780</stp>
        <tr r="CF94" s="1"/>
        <tr r="CF94" s="1"/>
      </tp>
      <tp>
        <v>-1</v>
        <stp/>
        <stp>DELTA</stp>
        <stp>.SPX250516P5780</stp>
        <tr r="CG94" s="1"/>
        <tr r="CG9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29570994.443971422</c:v>
                </c:pt>
                <c:pt idx="1">
                  <c:v>37613530.84728694</c:v>
                </c:pt>
                <c:pt idx="2">
                  <c:v>267571950.76584652</c:v>
                </c:pt>
                <c:pt idx="3">
                  <c:v>45947922.730934873</c:v>
                </c:pt>
                <c:pt idx="4">
                  <c:v>102681225.02474128</c:v>
                </c:pt>
                <c:pt idx="5">
                  <c:v>49126699.218904302</c:v>
                </c:pt>
                <c:pt idx="6">
                  <c:v>47624314.56300547</c:v>
                </c:pt>
                <c:pt idx="7">
                  <c:v>548983115.86860633</c:v>
                </c:pt>
                <c:pt idx="8">
                  <c:v>33380528.925513647</c:v>
                </c:pt>
                <c:pt idx="9">
                  <c:v>45167175.884007782</c:v>
                </c:pt>
                <c:pt idx="10">
                  <c:v>34008517.249005102</c:v>
                </c:pt>
                <c:pt idx="11">
                  <c:v>38763238.60718599</c:v>
                </c:pt>
                <c:pt idx="12">
                  <c:v>241806578.24444312</c:v>
                </c:pt>
                <c:pt idx="13">
                  <c:v>42791496.578850336</c:v>
                </c:pt>
                <c:pt idx="14">
                  <c:v>97994815.731461361</c:v>
                </c:pt>
                <c:pt idx="15">
                  <c:v>54427659.521126829</c:v>
                </c:pt>
                <c:pt idx="16">
                  <c:v>46346441.036359727</c:v>
                </c:pt>
                <c:pt idx="17">
                  <c:v>59466159.802861989</c:v>
                </c:pt>
                <c:pt idx="18">
                  <c:v>10280039.001194676</c:v>
                </c:pt>
                <c:pt idx="19">
                  <c:v>16942113.607974939</c:v>
                </c:pt>
                <c:pt idx="20">
                  <c:v>18626955.622864738</c:v>
                </c:pt>
                <c:pt idx="21">
                  <c:v>10053353.388702055</c:v>
                </c:pt>
                <c:pt idx="22">
                  <c:v>-81340182.468220681</c:v>
                </c:pt>
                <c:pt idx="23">
                  <c:v>8472894.8611562047</c:v>
                </c:pt>
                <c:pt idx="24">
                  <c:v>39952433.276060484</c:v>
                </c:pt>
                <c:pt idx="25">
                  <c:v>-29518557.091361135</c:v>
                </c:pt>
                <c:pt idx="26">
                  <c:v>-47303.819451033138</c:v>
                </c:pt>
                <c:pt idx="27">
                  <c:v>-220843107.6422171</c:v>
                </c:pt>
                <c:pt idx="28">
                  <c:v>-1096687.1164508313</c:v>
                </c:pt>
                <c:pt idx="29">
                  <c:v>3736091.1556187784</c:v>
                </c:pt>
                <c:pt idx="30">
                  <c:v>-4127886.7770933555</c:v>
                </c:pt>
                <c:pt idx="31">
                  <c:v>17106760.946098059</c:v>
                </c:pt>
                <c:pt idx="32">
                  <c:v>-145146247.29974657</c:v>
                </c:pt>
                <c:pt idx="33">
                  <c:v>-2021762.4057392981</c:v>
                </c:pt>
                <c:pt idx="34">
                  <c:v>-1507201.0199099146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6598839.8224090124</c:v>
                </c:pt>
                <c:pt idx="1">
                  <c:v>8373092.8909670291</c:v>
                </c:pt>
                <c:pt idx="2">
                  <c:v>866931279.90850472</c:v>
                </c:pt>
                <c:pt idx="3">
                  <c:v>2522163.8685379014</c:v>
                </c:pt>
                <c:pt idx="4">
                  <c:v>8982292.1771083325</c:v>
                </c:pt>
                <c:pt idx="5">
                  <c:v>13387556.544314535</c:v>
                </c:pt>
                <c:pt idx="6">
                  <c:v>10854359.318396213</c:v>
                </c:pt>
                <c:pt idx="7">
                  <c:v>190324927.89309642</c:v>
                </c:pt>
                <c:pt idx="8">
                  <c:v>9435379.3915059436</c:v>
                </c:pt>
                <c:pt idx="9">
                  <c:v>8064207.1172477901</c:v>
                </c:pt>
                <c:pt idx="10">
                  <c:v>7210337.7910432005</c:v>
                </c:pt>
                <c:pt idx="11">
                  <c:v>12475536.398261311</c:v>
                </c:pt>
                <c:pt idx="12">
                  <c:v>396839772.18103027</c:v>
                </c:pt>
                <c:pt idx="13">
                  <c:v>8996644.9869451039</c:v>
                </c:pt>
                <c:pt idx="14">
                  <c:v>8426134.6601005457</c:v>
                </c:pt>
                <c:pt idx="15">
                  <c:v>1640479.7228576429</c:v>
                </c:pt>
                <c:pt idx="16">
                  <c:v>1263708.7712782668</c:v>
                </c:pt>
                <c:pt idx="17">
                  <c:v>118406775.84330642</c:v>
                </c:pt>
                <c:pt idx="18">
                  <c:v>2028117.5042813071</c:v>
                </c:pt>
                <c:pt idx="19">
                  <c:v>1892965.2217172068</c:v>
                </c:pt>
                <c:pt idx="20">
                  <c:v>414731.53451020084</c:v>
                </c:pt>
                <c:pt idx="21">
                  <c:v>-4164047.1220100997</c:v>
                </c:pt>
                <c:pt idx="22">
                  <c:v>211156710.88252056</c:v>
                </c:pt>
                <c:pt idx="23">
                  <c:v>-5560258.5524023315</c:v>
                </c:pt>
                <c:pt idx="24">
                  <c:v>-8627796.2483705655</c:v>
                </c:pt>
                <c:pt idx="25">
                  <c:v>-1955809.881526323</c:v>
                </c:pt>
                <c:pt idx="26">
                  <c:v>-1861439.4839789704</c:v>
                </c:pt>
                <c:pt idx="27">
                  <c:v>-40954992.901000977</c:v>
                </c:pt>
                <c:pt idx="28">
                  <c:v>-2533244.5029683486</c:v>
                </c:pt>
                <c:pt idx="29">
                  <c:v>-4488806.5472297175</c:v>
                </c:pt>
                <c:pt idx="30">
                  <c:v>-2913327.5586744845</c:v>
                </c:pt>
                <c:pt idx="31">
                  <c:v>-3235296.0414135428</c:v>
                </c:pt>
                <c:pt idx="32">
                  <c:v>-170804247.51119101</c:v>
                </c:pt>
                <c:pt idx="33">
                  <c:v>-4866455.2093040626</c:v>
                </c:pt>
                <c:pt idx="34">
                  <c:v>-5723805.4516970636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3856512"/>
        <c:axId val="243858048"/>
      </c:barChart>
      <c:catAx>
        <c:axId val="243856512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43858048"/>
        <c:crosses val="autoZero"/>
        <c:auto val="1"/>
        <c:lblAlgn val="ctr"/>
        <c:lblOffset val="100"/>
        <c:noMultiLvlLbl val="0"/>
      </c:catAx>
      <c:valAx>
        <c:axId val="243858048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3856512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26196046.349141639</c:v>
                </c:pt>
                <c:pt idx="1">
                  <c:v>21715971.098970018</c:v>
                </c:pt>
                <c:pt idx="2">
                  <c:v>480673386.15205395</c:v>
                </c:pt>
                <c:pt idx="3">
                  <c:v>7326217.0702695372</c:v>
                </c:pt>
                <c:pt idx="4">
                  <c:v>15111309.11437894</c:v>
                </c:pt>
                <c:pt idx="5">
                  <c:v>8209047.3234525668</c:v>
                </c:pt>
                <c:pt idx="6">
                  <c:v>10789133.233501032</c:v>
                </c:pt>
                <c:pt idx="7">
                  <c:v>443024241.76339352</c:v>
                </c:pt>
                <c:pt idx="8">
                  <c:v>5139795.994639379</c:v>
                </c:pt>
                <c:pt idx="9">
                  <c:v>8962632.4262038041</c:v>
                </c:pt>
                <c:pt idx="10">
                  <c:v>11311422.22538038</c:v>
                </c:pt>
                <c:pt idx="11">
                  <c:v>-926749.66581531987</c:v>
                </c:pt>
                <c:pt idx="12">
                  <c:v>303425435.62481874</c:v>
                </c:pt>
                <c:pt idx="13">
                  <c:v>-1039763.5193396943</c:v>
                </c:pt>
                <c:pt idx="14">
                  <c:v>4399446.5037510227</c:v>
                </c:pt>
                <c:pt idx="15">
                  <c:v>1508911.3168739467</c:v>
                </c:pt>
                <c:pt idx="16">
                  <c:v>1199561.4145719565</c:v>
                </c:pt>
                <c:pt idx="17">
                  <c:v>86049806.363702714</c:v>
                </c:pt>
                <c:pt idx="18">
                  <c:v>1992466.452758302</c:v>
                </c:pt>
                <c:pt idx="19">
                  <c:v>-2710766.715650198</c:v>
                </c:pt>
                <c:pt idx="20">
                  <c:v>356181.84877753095</c:v>
                </c:pt>
                <c:pt idx="21">
                  <c:v>-81630.386252797674</c:v>
                </c:pt>
                <c:pt idx="22">
                  <c:v>25374998.127112895</c:v>
                </c:pt>
                <c:pt idx="23">
                  <c:v>-2378326.4389957832</c:v>
                </c:pt>
                <c:pt idx="24">
                  <c:v>-1073971.1078190038</c:v>
                </c:pt>
                <c:pt idx="25">
                  <c:v>-4382752.9247758184</c:v>
                </c:pt>
                <c:pt idx="26">
                  <c:v>-1444109.5161349075</c:v>
                </c:pt>
                <c:pt idx="27">
                  <c:v>14244607.430431977</c:v>
                </c:pt>
                <c:pt idx="28">
                  <c:v>-736214.74987865391</c:v>
                </c:pt>
                <c:pt idx="29">
                  <c:v>-2490750.8123940183</c:v>
                </c:pt>
                <c:pt idx="30">
                  <c:v>-2637830.6086740708</c:v>
                </c:pt>
                <c:pt idx="31">
                  <c:v>-2118610.9580591349</c:v>
                </c:pt>
                <c:pt idx="32">
                  <c:v>-10971102.532079145</c:v>
                </c:pt>
                <c:pt idx="33">
                  <c:v>-2687752.7187994509</c:v>
                </c:pt>
                <c:pt idx="34">
                  <c:v>-1476126.6666716151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410943977.68958431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8371599.9942191429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34282657.620409846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6337928.2026405111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-155057192.17566317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-5934515.9837106131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-128378248.25423937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3905280"/>
        <c:axId val="243906816"/>
      </c:barChart>
      <c:catAx>
        <c:axId val="24390528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43906816"/>
        <c:crosses val="autoZero"/>
        <c:auto val="1"/>
        <c:lblAlgn val="ctr"/>
        <c:lblOffset val="100"/>
        <c:noMultiLvlLbl val="0"/>
      </c:catAx>
      <c:valAx>
        <c:axId val="24390681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3905280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-44252.665115774842</c:v>
                </c:pt>
                <c:pt idx="1">
                  <c:v>-104208.3245376369</c:v>
                </c:pt>
                <c:pt idx="2">
                  <c:v>3317387.6226623291</c:v>
                </c:pt>
                <c:pt idx="3">
                  <c:v>29707.542430892456</c:v>
                </c:pt>
                <c:pt idx="4">
                  <c:v>-10258.390388436441</c:v>
                </c:pt>
                <c:pt idx="5">
                  <c:v>142062.29540076084</c:v>
                </c:pt>
                <c:pt idx="6">
                  <c:v>199958.14456849804</c:v>
                </c:pt>
                <c:pt idx="7">
                  <c:v>-1583819.2673855703</c:v>
                </c:pt>
                <c:pt idx="8">
                  <c:v>104015.88628664461</c:v>
                </c:pt>
                <c:pt idx="9">
                  <c:v>-248091.05560358183</c:v>
                </c:pt>
                <c:pt idx="10">
                  <c:v>-107940.29187380924</c:v>
                </c:pt>
                <c:pt idx="11">
                  <c:v>-233859.72735245345</c:v>
                </c:pt>
                <c:pt idx="12">
                  <c:v>244283.8226007456</c:v>
                </c:pt>
                <c:pt idx="13">
                  <c:v>92581.641724200628</c:v>
                </c:pt>
                <c:pt idx="14">
                  <c:v>198199.97679324582</c:v>
                </c:pt>
                <c:pt idx="15">
                  <c:v>-172669.2177966616</c:v>
                </c:pt>
                <c:pt idx="16">
                  <c:v>-223463.36701626459</c:v>
                </c:pt>
                <c:pt idx="17">
                  <c:v>-25358792.962719224</c:v>
                </c:pt>
                <c:pt idx="18">
                  <c:v>-2156820.5445720265</c:v>
                </c:pt>
                <c:pt idx="19">
                  <c:v>-919865.88327731716</c:v>
                </c:pt>
                <c:pt idx="20">
                  <c:v>-2054355.8035616714</c:v>
                </c:pt>
                <c:pt idx="21">
                  <c:v>-1127934.4054076099</c:v>
                </c:pt>
                <c:pt idx="22">
                  <c:v>-12275319.951502539</c:v>
                </c:pt>
                <c:pt idx="23">
                  <c:v>-373624.82081826671</c:v>
                </c:pt>
                <c:pt idx="24">
                  <c:v>-943758.11761645414</c:v>
                </c:pt>
                <c:pt idx="25">
                  <c:v>-431600.68871799763</c:v>
                </c:pt>
                <c:pt idx="26">
                  <c:v>-292143.51579128555</c:v>
                </c:pt>
                <c:pt idx="27">
                  <c:v>-7449256.0351439808</c:v>
                </c:pt>
                <c:pt idx="28">
                  <c:v>-849179.34222783998</c:v>
                </c:pt>
                <c:pt idx="29">
                  <c:v>-440375.31453349185</c:v>
                </c:pt>
                <c:pt idx="30">
                  <c:v>-898682.10664636537</c:v>
                </c:pt>
                <c:pt idx="31">
                  <c:v>-183926.44989120017</c:v>
                </c:pt>
                <c:pt idx="32">
                  <c:v>-4156682.4161716164</c:v>
                </c:pt>
                <c:pt idx="33">
                  <c:v>-972569.88260052959</c:v>
                </c:pt>
                <c:pt idx="34">
                  <c:v>-1126068.8107051959</c:v>
                </c:pt>
                <c:pt idx="35">
                  <c:v>-234351.5166433072</c:v>
                </c:pt>
                <c:pt idx="36">
                  <c:v>-34379.931699723762</c:v>
                </c:pt>
                <c:pt idx="37">
                  <c:v>-5271807.0310938656</c:v>
                </c:pt>
                <c:pt idx="38">
                  <c:v>-63753.765067168788</c:v>
                </c:pt>
                <c:pt idx="39">
                  <c:v>-190003.79544456193</c:v>
                </c:pt>
                <c:pt idx="40">
                  <c:v>-485120.2652524148</c:v>
                </c:pt>
                <c:pt idx="41">
                  <c:v>-256550.69846109062</c:v>
                </c:pt>
                <c:pt idx="42">
                  <c:v>-2011969.4752773948</c:v>
                </c:pt>
                <c:pt idx="43">
                  <c:v>-593389.69622892933</c:v>
                </c:pt>
                <c:pt idx="44">
                  <c:v>-90136.482442730907</c:v>
                </c:pt>
                <c:pt idx="45">
                  <c:v>-43441.383077901075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68559.252582811372</c:v>
                </c:pt>
                <c:pt idx="1">
                  <c:v>101305.1432832274</c:v>
                </c:pt>
                <c:pt idx="2">
                  <c:v>5889448.5245397156</c:v>
                </c:pt>
                <c:pt idx="3">
                  <c:v>-30322.699503985263</c:v>
                </c:pt>
                <c:pt idx="4">
                  <c:v>521721.81857795635</c:v>
                </c:pt>
                <c:pt idx="5">
                  <c:v>573696.03162480309</c:v>
                </c:pt>
                <c:pt idx="6">
                  <c:v>1230385.3480970387</c:v>
                </c:pt>
                <c:pt idx="7">
                  <c:v>5151166.296179587</c:v>
                </c:pt>
                <c:pt idx="8">
                  <c:v>37237.670598496683</c:v>
                </c:pt>
                <c:pt idx="9">
                  <c:v>-45284.134637905168</c:v>
                </c:pt>
                <c:pt idx="10">
                  <c:v>-227433.82533929893</c:v>
                </c:pt>
                <c:pt idx="11">
                  <c:v>-419072.15322458162</c:v>
                </c:pt>
                <c:pt idx="12">
                  <c:v>-6197434.905242512</c:v>
                </c:pt>
                <c:pt idx="13">
                  <c:v>-1187463.342496491</c:v>
                </c:pt>
                <c:pt idx="14">
                  <c:v>-812022.14199461835</c:v>
                </c:pt>
                <c:pt idx="15">
                  <c:v>-1606829.7431552811</c:v>
                </c:pt>
                <c:pt idx="16">
                  <c:v>-1475751.1340345265</c:v>
                </c:pt>
                <c:pt idx="17">
                  <c:v>-18302851.750385426</c:v>
                </c:pt>
                <c:pt idx="18">
                  <c:v>-2102120.0588218803</c:v>
                </c:pt>
                <c:pt idx="19">
                  <c:v>-1360493.5956097231</c:v>
                </c:pt>
                <c:pt idx="20">
                  <c:v>-2094589.9834722257</c:v>
                </c:pt>
                <c:pt idx="21">
                  <c:v>-1316224.2054325617</c:v>
                </c:pt>
                <c:pt idx="22">
                  <c:v>-17715287.129409857</c:v>
                </c:pt>
                <c:pt idx="23">
                  <c:v>-1320243.1259049666</c:v>
                </c:pt>
                <c:pt idx="24">
                  <c:v>-1443421.4690478225</c:v>
                </c:pt>
                <c:pt idx="25">
                  <c:v>-1230943.3318224146</c:v>
                </c:pt>
                <c:pt idx="26">
                  <c:v>-499028.40129462408</c:v>
                </c:pt>
                <c:pt idx="27">
                  <c:v>-10802758.178070972</c:v>
                </c:pt>
                <c:pt idx="28">
                  <c:v>-423811.29903640808</c:v>
                </c:pt>
                <c:pt idx="29">
                  <c:v>62858.871882600011</c:v>
                </c:pt>
                <c:pt idx="30">
                  <c:v>-577681.84004545235</c:v>
                </c:pt>
                <c:pt idx="31">
                  <c:v>-554903.43134287046</c:v>
                </c:pt>
                <c:pt idx="32">
                  <c:v>-4129907.9017635901</c:v>
                </c:pt>
                <c:pt idx="33">
                  <c:v>-270397.1138036421</c:v>
                </c:pt>
                <c:pt idx="34">
                  <c:v>856817.31330192205</c:v>
                </c:pt>
                <c:pt idx="35">
                  <c:v>-337273.3853368077</c:v>
                </c:pt>
                <c:pt idx="36">
                  <c:v>-117004.61026426591</c:v>
                </c:pt>
                <c:pt idx="37">
                  <c:v>-3509004.8897520415</c:v>
                </c:pt>
                <c:pt idx="38">
                  <c:v>-33668.700328426552</c:v>
                </c:pt>
                <c:pt idx="39">
                  <c:v>9818.872877872549</c:v>
                </c:pt>
                <c:pt idx="40">
                  <c:v>201781.21564232279</c:v>
                </c:pt>
                <c:pt idx="41">
                  <c:v>198953.30556934094</c:v>
                </c:pt>
                <c:pt idx="42">
                  <c:v>-1566730.6199985668</c:v>
                </c:pt>
                <c:pt idx="43">
                  <c:v>142629.1674665605</c:v>
                </c:pt>
                <c:pt idx="44">
                  <c:v>709873.93775620102</c:v>
                </c:pt>
                <c:pt idx="45">
                  <c:v>96124.584748502297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4050176"/>
        <c:axId val="244224000"/>
      </c:barChart>
      <c:catAx>
        <c:axId val="24405017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44224000"/>
        <c:crosses val="autoZero"/>
        <c:auto val="1"/>
        <c:lblAlgn val="ctr"/>
        <c:lblOffset val="100"/>
        <c:noMultiLvlLbl val="0"/>
      </c:catAx>
      <c:valAx>
        <c:axId val="24422400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4050176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121343.7986577464</c:v>
                </c:pt>
                <c:pt idx="1">
                  <c:v>18636.840458738341</c:v>
                </c:pt>
                <c:pt idx="2">
                  <c:v>1146277.4356810015</c:v>
                </c:pt>
                <c:pt idx="3">
                  <c:v>219988.54521283275</c:v>
                </c:pt>
                <c:pt idx="4">
                  <c:v>114731.49039662094</c:v>
                </c:pt>
                <c:pt idx="5">
                  <c:v>-301082.09810008941</c:v>
                </c:pt>
                <c:pt idx="6">
                  <c:v>-453932.47251707688</c:v>
                </c:pt>
                <c:pt idx="7">
                  <c:v>170592.99314810295</c:v>
                </c:pt>
                <c:pt idx="8">
                  <c:v>161606.42926082568</c:v>
                </c:pt>
                <c:pt idx="9">
                  <c:v>124263.83037397708</c:v>
                </c:pt>
                <c:pt idx="10">
                  <c:v>514176.22379174805</c:v>
                </c:pt>
                <c:pt idx="11">
                  <c:v>376107.07862607623</c:v>
                </c:pt>
                <c:pt idx="12">
                  <c:v>910700.68390039389</c:v>
                </c:pt>
                <c:pt idx="13">
                  <c:v>114605.42227497901</c:v>
                </c:pt>
                <c:pt idx="14">
                  <c:v>704243.10083429841</c:v>
                </c:pt>
                <c:pt idx="15">
                  <c:v>114368.3795489941</c:v>
                </c:pt>
                <c:pt idx="16">
                  <c:v>232577.24945684522</c:v>
                </c:pt>
                <c:pt idx="17">
                  <c:v>31149.547295571596</c:v>
                </c:pt>
                <c:pt idx="18">
                  <c:v>368061.10791789833</c:v>
                </c:pt>
                <c:pt idx="19">
                  <c:v>294571.2884607978</c:v>
                </c:pt>
                <c:pt idx="20">
                  <c:v>303580.77741838829</c:v>
                </c:pt>
                <c:pt idx="21">
                  <c:v>66197.982102512848</c:v>
                </c:pt>
                <c:pt idx="22">
                  <c:v>522785.68922213931</c:v>
                </c:pt>
                <c:pt idx="23">
                  <c:v>110586.47862772469</c:v>
                </c:pt>
                <c:pt idx="24">
                  <c:v>356473.49655940762</c:v>
                </c:pt>
                <c:pt idx="25">
                  <c:v>136515.98490784183</c:v>
                </c:pt>
                <c:pt idx="26">
                  <c:v>-12970.596921469434</c:v>
                </c:pt>
                <c:pt idx="27">
                  <c:v>103151.16441895164</c:v>
                </c:pt>
                <c:pt idx="28">
                  <c:v>277817.72872053052</c:v>
                </c:pt>
                <c:pt idx="29">
                  <c:v>84531.314784780843</c:v>
                </c:pt>
                <c:pt idx="30">
                  <c:v>117279.68884806935</c:v>
                </c:pt>
                <c:pt idx="31">
                  <c:v>190887.18260540426</c:v>
                </c:pt>
                <c:pt idx="32">
                  <c:v>857089.75665233121</c:v>
                </c:pt>
                <c:pt idx="33">
                  <c:v>256309.79225807625</c:v>
                </c:pt>
                <c:pt idx="34">
                  <c:v>-133219.46908870561</c:v>
                </c:pt>
                <c:pt idx="35">
                  <c:v>-49602.8932957285</c:v>
                </c:pt>
                <c:pt idx="36">
                  <c:v>-141809.64400165554</c:v>
                </c:pt>
                <c:pt idx="37">
                  <c:v>278097.6894475689</c:v>
                </c:pt>
                <c:pt idx="38">
                  <c:v>68537.191838939674</c:v>
                </c:pt>
                <c:pt idx="39">
                  <c:v>108878.08748423784</c:v>
                </c:pt>
                <c:pt idx="40">
                  <c:v>-109642.22355675435</c:v>
                </c:pt>
                <c:pt idx="41">
                  <c:v>238986.84162832092</c:v>
                </c:pt>
                <c:pt idx="42">
                  <c:v>-157390.46781852527</c:v>
                </c:pt>
                <c:pt idx="43">
                  <c:v>2663590.996349256</c:v>
                </c:pt>
                <c:pt idx="44">
                  <c:v>120453.69644280677</c:v>
                </c:pt>
                <c:pt idx="45">
                  <c:v>64122.779882735456</c:v>
                </c:pt>
                <c:pt idx="46">
                  <c:v>-129427.40145954979</c:v>
                </c:pt>
                <c:pt idx="47">
                  <c:v>65858.290681759958</c:v>
                </c:pt>
                <c:pt idx="48">
                  <c:v>156216.03391828015</c:v>
                </c:pt>
                <c:pt idx="49">
                  <c:v>61790.133176986477</c:v>
                </c:pt>
                <c:pt idx="50">
                  <c:v>518382.00045546365</c:v>
                </c:pt>
                <c:pt idx="51">
                  <c:v>36851.8666519084</c:v>
                </c:pt>
                <c:pt idx="52">
                  <c:v>125138.06120761568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242226.17927585373</c:v>
                </c:pt>
                <c:pt idx="1">
                  <c:v>51422.989273427389</c:v>
                </c:pt>
                <c:pt idx="2">
                  <c:v>4085984.9800396524</c:v>
                </c:pt>
                <c:pt idx="3">
                  <c:v>119931.33948709175</c:v>
                </c:pt>
                <c:pt idx="4">
                  <c:v>3403450.1052706102</c:v>
                </c:pt>
                <c:pt idx="5">
                  <c:v>314069.6588096437</c:v>
                </c:pt>
                <c:pt idx="6">
                  <c:v>-17611.740826928057</c:v>
                </c:pt>
                <c:pt idx="7">
                  <c:v>87825.826948711358</c:v>
                </c:pt>
                <c:pt idx="8">
                  <c:v>84127.111029619584</c:v>
                </c:pt>
                <c:pt idx="9">
                  <c:v>-70504.351526228362</c:v>
                </c:pt>
                <c:pt idx="10">
                  <c:v>-676350.3039243063</c:v>
                </c:pt>
                <c:pt idx="11">
                  <c:v>243955.43333819823</c:v>
                </c:pt>
                <c:pt idx="12">
                  <c:v>13351.448767908849</c:v>
                </c:pt>
                <c:pt idx="13">
                  <c:v>114817.50251582579</c:v>
                </c:pt>
                <c:pt idx="14">
                  <c:v>1626965.6065353975</c:v>
                </c:pt>
                <c:pt idx="15">
                  <c:v>56425.269708187494</c:v>
                </c:pt>
                <c:pt idx="16">
                  <c:v>36407.479589513445</c:v>
                </c:pt>
                <c:pt idx="17">
                  <c:v>-145013.97038030205</c:v>
                </c:pt>
                <c:pt idx="18">
                  <c:v>235016.31585099222</c:v>
                </c:pt>
                <c:pt idx="19">
                  <c:v>-323105.93138893042</c:v>
                </c:pt>
                <c:pt idx="20">
                  <c:v>2565048.585839049</c:v>
                </c:pt>
                <c:pt idx="21">
                  <c:v>3096061.387600658</c:v>
                </c:pt>
                <c:pt idx="22">
                  <c:v>325825.58842657134</c:v>
                </c:pt>
                <c:pt idx="23">
                  <c:v>23056.44683674851</c:v>
                </c:pt>
                <c:pt idx="24">
                  <c:v>255637.03650622745</c:v>
                </c:pt>
                <c:pt idx="25">
                  <c:v>-5385.8238219775958</c:v>
                </c:pt>
                <c:pt idx="26">
                  <c:v>-55485.20714071393</c:v>
                </c:pt>
                <c:pt idx="27">
                  <c:v>-42370.095116809593</c:v>
                </c:pt>
                <c:pt idx="28">
                  <c:v>85099.37974771217</c:v>
                </c:pt>
                <c:pt idx="29">
                  <c:v>-458380.8571826081</c:v>
                </c:pt>
                <c:pt idx="30">
                  <c:v>23945.300391608849</c:v>
                </c:pt>
                <c:pt idx="31">
                  <c:v>-74124.855038540496</c:v>
                </c:pt>
                <c:pt idx="32">
                  <c:v>266587.61856990634</c:v>
                </c:pt>
                <c:pt idx="33">
                  <c:v>437972.84601616301</c:v>
                </c:pt>
                <c:pt idx="34">
                  <c:v>-2516781.8914114172</c:v>
                </c:pt>
                <c:pt idx="35">
                  <c:v>398533.03886696626</c:v>
                </c:pt>
                <c:pt idx="36">
                  <c:v>271856.72880775458</c:v>
                </c:pt>
                <c:pt idx="37">
                  <c:v>-72884.406354927574</c:v>
                </c:pt>
                <c:pt idx="38">
                  <c:v>256018.66153244674</c:v>
                </c:pt>
                <c:pt idx="39">
                  <c:v>-89995.174122829223</c:v>
                </c:pt>
                <c:pt idx="40">
                  <c:v>3451.6162325737532</c:v>
                </c:pt>
                <c:pt idx="41">
                  <c:v>-34458.739070143434</c:v>
                </c:pt>
                <c:pt idx="42">
                  <c:v>-3104062.0595232658</c:v>
                </c:pt>
                <c:pt idx="43">
                  <c:v>-44783.759333231486</c:v>
                </c:pt>
                <c:pt idx="44">
                  <c:v>79197.839433880872</c:v>
                </c:pt>
                <c:pt idx="45">
                  <c:v>13755.666861224105</c:v>
                </c:pt>
                <c:pt idx="46">
                  <c:v>-1038260.4604290398</c:v>
                </c:pt>
                <c:pt idx="47">
                  <c:v>-32134.648186956489</c:v>
                </c:pt>
                <c:pt idx="48">
                  <c:v>-1441.7894124798477</c:v>
                </c:pt>
                <c:pt idx="49">
                  <c:v>-148847.99597401812</c:v>
                </c:pt>
                <c:pt idx="50">
                  <c:v>153234.47128520196</c:v>
                </c:pt>
                <c:pt idx="51">
                  <c:v>-91635.247957801592</c:v>
                </c:pt>
                <c:pt idx="52">
                  <c:v>541.79749089939287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4422144"/>
        <c:axId val="244423680"/>
      </c:barChart>
      <c:catAx>
        <c:axId val="24442214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44423680"/>
        <c:crosses val="autoZero"/>
        <c:auto val="1"/>
        <c:lblAlgn val="ctr"/>
        <c:lblOffset val="100"/>
        <c:noMultiLvlLbl val="0"/>
      </c:catAx>
      <c:valAx>
        <c:axId val="24442368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4422144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2108</c:v>
                </c:pt>
                <c:pt idx="1">
                  <c:v>4377</c:v>
                </c:pt>
                <c:pt idx="2">
                  <c:v>11656</c:v>
                </c:pt>
                <c:pt idx="3">
                  <c:v>7107</c:v>
                </c:pt>
                <c:pt idx="4">
                  <c:v>6215</c:v>
                </c:pt>
                <c:pt idx="5">
                  <c:v>13662</c:v>
                </c:pt>
                <c:pt idx="6">
                  <c:v>17153</c:v>
                </c:pt>
                <c:pt idx="7">
                  <c:v>41787</c:v>
                </c:pt>
                <c:pt idx="8">
                  <c:v>27281</c:v>
                </c:pt>
                <c:pt idx="9">
                  <c:v>35680</c:v>
                </c:pt>
                <c:pt idx="10">
                  <c:v>71679</c:v>
                </c:pt>
                <c:pt idx="11">
                  <c:v>80054</c:v>
                </c:pt>
                <c:pt idx="12">
                  <c:v>219860</c:v>
                </c:pt>
                <c:pt idx="13">
                  <c:v>172119</c:v>
                </c:pt>
                <c:pt idx="14">
                  <c:v>198971</c:v>
                </c:pt>
                <c:pt idx="15">
                  <c:v>324710</c:v>
                </c:pt>
                <c:pt idx="16">
                  <c:v>214588</c:v>
                </c:pt>
                <c:pt idx="17">
                  <c:v>143983</c:v>
                </c:pt>
                <c:pt idx="18">
                  <c:v>-111654</c:v>
                </c:pt>
                <c:pt idx="19">
                  <c:v>-258340</c:v>
                </c:pt>
                <c:pt idx="20">
                  <c:v>-133080</c:v>
                </c:pt>
                <c:pt idx="21">
                  <c:v>-119874</c:v>
                </c:pt>
                <c:pt idx="22">
                  <c:v>-229284</c:v>
                </c:pt>
                <c:pt idx="23">
                  <c:v>-70658</c:v>
                </c:pt>
                <c:pt idx="24">
                  <c:v>-45610</c:v>
                </c:pt>
                <c:pt idx="25">
                  <c:v>-34450</c:v>
                </c:pt>
                <c:pt idx="26">
                  <c:v>-34225</c:v>
                </c:pt>
                <c:pt idx="27">
                  <c:v>-49250</c:v>
                </c:pt>
                <c:pt idx="28">
                  <c:v>-20615</c:v>
                </c:pt>
                <c:pt idx="29">
                  <c:v>-15183</c:v>
                </c:pt>
                <c:pt idx="30">
                  <c:v>-14091</c:v>
                </c:pt>
                <c:pt idx="31">
                  <c:v>-7968</c:v>
                </c:pt>
                <c:pt idx="32">
                  <c:v>-18947</c:v>
                </c:pt>
                <c:pt idx="33">
                  <c:v>-8351</c:v>
                </c:pt>
                <c:pt idx="34">
                  <c:v>-3896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3382</c:v>
                </c:pt>
                <c:pt idx="1">
                  <c:v>3704</c:v>
                </c:pt>
                <c:pt idx="2">
                  <c:v>24281</c:v>
                </c:pt>
                <c:pt idx="3">
                  <c:v>2342</c:v>
                </c:pt>
                <c:pt idx="4">
                  <c:v>4119</c:v>
                </c:pt>
                <c:pt idx="5">
                  <c:v>2432</c:v>
                </c:pt>
                <c:pt idx="6">
                  <c:v>3630</c:v>
                </c:pt>
                <c:pt idx="7">
                  <c:v>19568</c:v>
                </c:pt>
                <c:pt idx="8">
                  <c:v>1682</c:v>
                </c:pt>
                <c:pt idx="9">
                  <c:v>1987</c:v>
                </c:pt>
                <c:pt idx="10">
                  <c:v>2659</c:v>
                </c:pt>
                <c:pt idx="11">
                  <c:v>3554</c:v>
                </c:pt>
                <c:pt idx="12">
                  <c:v>26265</c:v>
                </c:pt>
                <c:pt idx="13">
                  <c:v>3813</c:v>
                </c:pt>
                <c:pt idx="14">
                  <c:v>5536</c:v>
                </c:pt>
                <c:pt idx="15">
                  <c:v>9905</c:v>
                </c:pt>
                <c:pt idx="16">
                  <c:v>3790</c:v>
                </c:pt>
                <c:pt idx="17">
                  <c:v>585</c:v>
                </c:pt>
                <c:pt idx="18">
                  <c:v>460</c:v>
                </c:pt>
                <c:pt idx="19">
                  <c:v>-1189</c:v>
                </c:pt>
                <c:pt idx="20">
                  <c:v>-2674</c:v>
                </c:pt>
                <c:pt idx="21">
                  <c:v>-1411</c:v>
                </c:pt>
                <c:pt idx="22">
                  <c:v>-17336</c:v>
                </c:pt>
                <c:pt idx="23">
                  <c:v>-2311</c:v>
                </c:pt>
                <c:pt idx="24">
                  <c:v>-1738</c:v>
                </c:pt>
                <c:pt idx="25">
                  <c:v>-1389</c:v>
                </c:pt>
                <c:pt idx="26">
                  <c:v>-1524</c:v>
                </c:pt>
                <c:pt idx="27">
                  <c:v>-13618</c:v>
                </c:pt>
                <c:pt idx="28">
                  <c:v>-2108</c:v>
                </c:pt>
                <c:pt idx="29">
                  <c:v>-1048</c:v>
                </c:pt>
                <c:pt idx="30">
                  <c:v>-3206</c:v>
                </c:pt>
                <c:pt idx="31">
                  <c:v>-2452</c:v>
                </c:pt>
                <c:pt idx="32">
                  <c:v>-58135</c:v>
                </c:pt>
                <c:pt idx="33">
                  <c:v>-2208</c:v>
                </c:pt>
                <c:pt idx="34">
                  <c:v>-3293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273</c:v>
                </c:pt>
                <c:pt idx="1">
                  <c:v>518</c:v>
                </c:pt>
                <c:pt idx="2">
                  <c:v>1810</c:v>
                </c:pt>
                <c:pt idx="3">
                  <c:v>483</c:v>
                </c:pt>
                <c:pt idx="4">
                  <c:v>463</c:v>
                </c:pt>
                <c:pt idx="5">
                  <c:v>200</c:v>
                </c:pt>
                <c:pt idx="6">
                  <c:v>360</c:v>
                </c:pt>
                <c:pt idx="7">
                  <c:v>2945</c:v>
                </c:pt>
                <c:pt idx="8">
                  <c:v>69</c:v>
                </c:pt>
                <c:pt idx="9">
                  <c:v>160</c:v>
                </c:pt>
                <c:pt idx="10">
                  <c:v>262</c:v>
                </c:pt>
                <c:pt idx="11">
                  <c:v>98</c:v>
                </c:pt>
                <c:pt idx="12">
                  <c:v>-50</c:v>
                </c:pt>
                <c:pt idx="13">
                  <c:v>56</c:v>
                </c:pt>
                <c:pt idx="14">
                  <c:v>-43</c:v>
                </c:pt>
                <c:pt idx="15">
                  <c:v>-261</c:v>
                </c:pt>
                <c:pt idx="16">
                  <c:v>-179</c:v>
                </c:pt>
                <c:pt idx="17">
                  <c:v>-4398</c:v>
                </c:pt>
                <c:pt idx="18">
                  <c:v>-23</c:v>
                </c:pt>
                <c:pt idx="19">
                  <c:v>-335</c:v>
                </c:pt>
                <c:pt idx="20">
                  <c:v>-187</c:v>
                </c:pt>
                <c:pt idx="21">
                  <c:v>-334</c:v>
                </c:pt>
                <c:pt idx="22">
                  <c:v>-6658</c:v>
                </c:pt>
                <c:pt idx="23">
                  <c:v>-122</c:v>
                </c:pt>
                <c:pt idx="24">
                  <c:v>-191</c:v>
                </c:pt>
                <c:pt idx="25">
                  <c:v>-371</c:v>
                </c:pt>
                <c:pt idx="26">
                  <c:v>-361</c:v>
                </c:pt>
                <c:pt idx="27">
                  <c:v>-743</c:v>
                </c:pt>
                <c:pt idx="28">
                  <c:v>-628</c:v>
                </c:pt>
                <c:pt idx="29">
                  <c:v>-327</c:v>
                </c:pt>
                <c:pt idx="30">
                  <c:v>-386</c:v>
                </c:pt>
                <c:pt idx="31">
                  <c:v>-181</c:v>
                </c:pt>
                <c:pt idx="32">
                  <c:v>-8829</c:v>
                </c:pt>
                <c:pt idx="33">
                  <c:v>-456</c:v>
                </c:pt>
                <c:pt idx="34">
                  <c:v>-75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674</c:v>
                </c:pt>
                <c:pt idx="1">
                  <c:v>1132</c:v>
                </c:pt>
                <c:pt idx="2">
                  <c:v>11190</c:v>
                </c:pt>
                <c:pt idx="3">
                  <c:v>557</c:v>
                </c:pt>
                <c:pt idx="4">
                  <c:v>908</c:v>
                </c:pt>
                <c:pt idx="5">
                  <c:v>608</c:v>
                </c:pt>
                <c:pt idx="6">
                  <c:v>1057</c:v>
                </c:pt>
                <c:pt idx="7">
                  <c:v>5109</c:v>
                </c:pt>
                <c:pt idx="8">
                  <c:v>631</c:v>
                </c:pt>
                <c:pt idx="9">
                  <c:v>1275</c:v>
                </c:pt>
                <c:pt idx="10">
                  <c:v>1164</c:v>
                </c:pt>
                <c:pt idx="11">
                  <c:v>2072</c:v>
                </c:pt>
                <c:pt idx="12">
                  <c:v>3594</c:v>
                </c:pt>
                <c:pt idx="13">
                  <c:v>357</c:v>
                </c:pt>
                <c:pt idx="14">
                  <c:v>1459</c:v>
                </c:pt>
                <c:pt idx="15">
                  <c:v>14</c:v>
                </c:pt>
                <c:pt idx="16">
                  <c:v>478</c:v>
                </c:pt>
                <c:pt idx="17">
                  <c:v>3299</c:v>
                </c:pt>
                <c:pt idx="18">
                  <c:v>-1003</c:v>
                </c:pt>
                <c:pt idx="19">
                  <c:v>508</c:v>
                </c:pt>
                <c:pt idx="20">
                  <c:v>-397</c:v>
                </c:pt>
                <c:pt idx="21">
                  <c:v>-1930</c:v>
                </c:pt>
                <c:pt idx="22">
                  <c:v>-5846</c:v>
                </c:pt>
                <c:pt idx="23">
                  <c:v>-1120</c:v>
                </c:pt>
                <c:pt idx="24">
                  <c:v>-932</c:v>
                </c:pt>
                <c:pt idx="25">
                  <c:v>-744</c:v>
                </c:pt>
                <c:pt idx="26">
                  <c:v>-2410</c:v>
                </c:pt>
                <c:pt idx="27">
                  <c:v>-10409</c:v>
                </c:pt>
                <c:pt idx="28">
                  <c:v>-873</c:v>
                </c:pt>
                <c:pt idx="29">
                  <c:v>-692</c:v>
                </c:pt>
                <c:pt idx="30">
                  <c:v>-278</c:v>
                </c:pt>
                <c:pt idx="31">
                  <c:v>-229</c:v>
                </c:pt>
                <c:pt idx="32">
                  <c:v>-12416</c:v>
                </c:pt>
                <c:pt idx="33">
                  <c:v>-524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4635136"/>
        <c:axId val="244636672"/>
      </c:barChart>
      <c:catAx>
        <c:axId val="24463513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4636672"/>
        <c:crosses val="autoZero"/>
        <c:auto val="1"/>
        <c:lblAlgn val="ctr"/>
        <c:lblOffset val="100"/>
        <c:noMultiLvlLbl val="0"/>
      </c:catAx>
      <c:valAx>
        <c:axId val="24463667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4635136"/>
        <c:crosses val="autoZero"/>
        <c:crossBetween val="between"/>
        <c:dispUnits>
          <c:builtInUnit val="thousan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2332</c:v>
                </c:pt>
                <c:pt idx="1">
                  <c:v>3348</c:v>
                </c:pt>
                <c:pt idx="2">
                  <c:v>10261</c:v>
                </c:pt>
                <c:pt idx="3">
                  <c:v>3264</c:v>
                </c:pt>
                <c:pt idx="4">
                  <c:v>10493</c:v>
                </c:pt>
                <c:pt idx="5">
                  <c:v>11884</c:v>
                </c:pt>
                <c:pt idx="6">
                  <c:v>17079</c:v>
                </c:pt>
                <c:pt idx="7">
                  <c:v>67136</c:v>
                </c:pt>
                <c:pt idx="8">
                  <c:v>35537</c:v>
                </c:pt>
                <c:pt idx="9">
                  <c:v>71575</c:v>
                </c:pt>
                <c:pt idx="10">
                  <c:v>85762</c:v>
                </c:pt>
                <c:pt idx="11">
                  <c:v>97315</c:v>
                </c:pt>
                <c:pt idx="12">
                  <c:v>92289</c:v>
                </c:pt>
                <c:pt idx="13">
                  <c:v>70301</c:v>
                </c:pt>
                <c:pt idx="14">
                  <c:v>-32364</c:v>
                </c:pt>
                <c:pt idx="15">
                  <c:v>-52341</c:v>
                </c:pt>
                <c:pt idx="16">
                  <c:v>-91889</c:v>
                </c:pt>
                <c:pt idx="17">
                  <c:v>-84246</c:v>
                </c:pt>
                <c:pt idx="18">
                  <c:v>-44094</c:v>
                </c:pt>
                <c:pt idx="19">
                  <c:v>-30170</c:v>
                </c:pt>
                <c:pt idx="20">
                  <c:v>-15075</c:v>
                </c:pt>
                <c:pt idx="21">
                  <c:v>-8772</c:v>
                </c:pt>
                <c:pt idx="22">
                  <c:v>-26925</c:v>
                </c:pt>
                <c:pt idx="23">
                  <c:v>-6049</c:v>
                </c:pt>
                <c:pt idx="24">
                  <c:v>-5202</c:v>
                </c:pt>
                <c:pt idx="25">
                  <c:v>-3045</c:v>
                </c:pt>
                <c:pt idx="26">
                  <c:v>-2554</c:v>
                </c:pt>
                <c:pt idx="27">
                  <c:v>-5045</c:v>
                </c:pt>
                <c:pt idx="28">
                  <c:v>-3060</c:v>
                </c:pt>
                <c:pt idx="29">
                  <c:v>-2590</c:v>
                </c:pt>
                <c:pt idx="30">
                  <c:v>-310</c:v>
                </c:pt>
                <c:pt idx="31">
                  <c:v>-2059</c:v>
                </c:pt>
                <c:pt idx="32">
                  <c:v>-6088</c:v>
                </c:pt>
                <c:pt idx="33">
                  <c:v>-2045</c:v>
                </c:pt>
                <c:pt idx="34">
                  <c:v>-1126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913</c:v>
                </c:pt>
                <c:pt idx="1">
                  <c:v>1206</c:v>
                </c:pt>
                <c:pt idx="2">
                  <c:v>14181</c:v>
                </c:pt>
                <c:pt idx="3">
                  <c:v>616</c:v>
                </c:pt>
                <c:pt idx="4">
                  <c:v>931</c:v>
                </c:pt>
                <c:pt idx="5">
                  <c:v>749</c:v>
                </c:pt>
                <c:pt idx="6">
                  <c:v>1074</c:v>
                </c:pt>
                <c:pt idx="7">
                  <c:v>4681</c:v>
                </c:pt>
                <c:pt idx="8">
                  <c:v>777</c:v>
                </c:pt>
                <c:pt idx="9">
                  <c:v>1291</c:v>
                </c:pt>
                <c:pt idx="10">
                  <c:v>1944</c:v>
                </c:pt>
                <c:pt idx="11">
                  <c:v>1024</c:v>
                </c:pt>
                <c:pt idx="12">
                  <c:v>5529</c:v>
                </c:pt>
                <c:pt idx="13">
                  <c:v>732</c:v>
                </c:pt>
                <c:pt idx="14">
                  <c:v>-340</c:v>
                </c:pt>
                <c:pt idx="15">
                  <c:v>-1864</c:v>
                </c:pt>
                <c:pt idx="16">
                  <c:v>-230</c:v>
                </c:pt>
                <c:pt idx="17">
                  <c:v>-11360</c:v>
                </c:pt>
                <c:pt idx="18">
                  <c:v>-1441</c:v>
                </c:pt>
                <c:pt idx="19">
                  <c:v>-1981</c:v>
                </c:pt>
                <c:pt idx="20">
                  <c:v>-395</c:v>
                </c:pt>
                <c:pt idx="21">
                  <c:v>-297</c:v>
                </c:pt>
                <c:pt idx="22">
                  <c:v>-10086</c:v>
                </c:pt>
                <c:pt idx="23">
                  <c:v>-1034</c:v>
                </c:pt>
                <c:pt idx="24">
                  <c:v>-1808</c:v>
                </c:pt>
                <c:pt idx="25">
                  <c:v>-2214</c:v>
                </c:pt>
                <c:pt idx="26">
                  <c:v>-1678</c:v>
                </c:pt>
                <c:pt idx="27">
                  <c:v>-10435</c:v>
                </c:pt>
                <c:pt idx="28">
                  <c:v>-3992</c:v>
                </c:pt>
                <c:pt idx="29">
                  <c:v>-1872</c:v>
                </c:pt>
                <c:pt idx="30">
                  <c:v>-469</c:v>
                </c:pt>
                <c:pt idx="31">
                  <c:v>-887</c:v>
                </c:pt>
                <c:pt idx="32">
                  <c:v>-6162</c:v>
                </c:pt>
                <c:pt idx="33">
                  <c:v>-2167</c:v>
                </c:pt>
                <c:pt idx="34">
                  <c:v>-1191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3351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4475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-4520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-978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-4518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-125</c:v>
                </c:pt>
                <c:pt idx="1">
                  <c:v>244</c:v>
                </c:pt>
                <c:pt idx="2">
                  <c:v>17042</c:v>
                </c:pt>
                <c:pt idx="3">
                  <c:v>-226</c:v>
                </c:pt>
                <c:pt idx="4">
                  <c:v>103</c:v>
                </c:pt>
                <c:pt idx="5">
                  <c:v>312</c:v>
                </c:pt>
                <c:pt idx="6">
                  <c:v>91</c:v>
                </c:pt>
                <c:pt idx="7">
                  <c:v>1722</c:v>
                </c:pt>
                <c:pt idx="8">
                  <c:v>146</c:v>
                </c:pt>
                <c:pt idx="9">
                  <c:v>377</c:v>
                </c:pt>
                <c:pt idx="10">
                  <c:v>523</c:v>
                </c:pt>
                <c:pt idx="11">
                  <c:v>1030</c:v>
                </c:pt>
                <c:pt idx="12">
                  <c:v>-916</c:v>
                </c:pt>
                <c:pt idx="13">
                  <c:v>-205</c:v>
                </c:pt>
                <c:pt idx="14">
                  <c:v>-249</c:v>
                </c:pt>
                <c:pt idx="15">
                  <c:v>-569</c:v>
                </c:pt>
                <c:pt idx="16">
                  <c:v>-589</c:v>
                </c:pt>
                <c:pt idx="17">
                  <c:v>-2961</c:v>
                </c:pt>
                <c:pt idx="18">
                  <c:v>-1858</c:v>
                </c:pt>
                <c:pt idx="19">
                  <c:v>-364</c:v>
                </c:pt>
                <c:pt idx="20">
                  <c:v>-14</c:v>
                </c:pt>
                <c:pt idx="21">
                  <c:v>-263</c:v>
                </c:pt>
                <c:pt idx="22">
                  <c:v>-11807</c:v>
                </c:pt>
                <c:pt idx="23">
                  <c:v>-87</c:v>
                </c:pt>
                <c:pt idx="24">
                  <c:v>-181</c:v>
                </c:pt>
                <c:pt idx="25">
                  <c:v>-372</c:v>
                </c:pt>
                <c:pt idx="26">
                  <c:v>-348</c:v>
                </c:pt>
                <c:pt idx="27">
                  <c:v>-14454</c:v>
                </c:pt>
                <c:pt idx="28">
                  <c:v>-231</c:v>
                </c:pt>
                <c:pt idx="29">
                  <c:v>-158</c:v>
                </c:pt>
                <c:pt idx="30">
                  <c:v>-817</c:v>
                </c:pt>
                <c:pt idx="31">
                  <c:v>-173</c:v>
                </c:pt>
                <c:pt idx="32">
                  <c:v>-9832</c:v>
                </c:pt>
                <c:pt idx="33">
                  <c:v>-194</c:v>
                </c:pt>
                <c:pt idx="34">
                  <c:v>-379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4868992"/>
        <c:axId val="244870528"/>
      </c:barChart>
      <c:catAx>
        <c:axId val="24486899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4870528"/>
        <c:crosses val="autoZero"/>
        <c:auto val="1"/>
        <c:lblAlgn val="ctr"/>
        <c:lblOffset val="100"/>
        <c:noMultiLvlLbl val="0"/>
      </c:catAx>
      <c:valAx>
        <c:axId val="24487052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486899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-1</c:v>
                </c:pt>
                <c:pt idx="23">
                  <c:v>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-1</c:v>
                </c:pt>
                <c:pt idx="42">
                  <c:v>-4</c:v>
                </c:pt>
                <c:pt idx="43">
                  <c:v>0</c:v>
                </c:pt>
                <c:pt idx="44">
                  <c:v>-1</c:v>
                </c:pt>
                <c:pt idx="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064448"/>
        <c:axId val="245065984"/>
      </c:barChart>
      <c:catAx>
        <c:axId val="24506444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065984"/>
        <c:crosses val="autoZero"/>
        <c:auto val="1"/>
        <c:lblAlgn val="ctr"/>
        <c:lblOffset val="100"/>
        <c:noMultiLvlLbl val="0"/>
      </c:catAx>
      <c:valAx>
        <c:axId val="24506598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064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61</c:v>
                </c:pt>
                <c:pt idx="1">
                  <c:v>31</c:v>
                </c:pt>
                <c:pt idx="2">
                  <c:v>232</c:v>
                </c:pt>
                <c:pt idx="3">
                  <c:v>299</c:v>
                </c:pt>
                <c:pt idx="4">
                  <c:v>92</c:v>
                </c:pt>
                <c:pt idx="5">
                  <c:v>38</c:v>
                </c:pt>
                <c:pt idx="6">
                  <c:v>332</c:v>
                </c:pt>
                <c:pt idx="7">
                  <c:v>117</c:v>
                </c:pt>
                <c:pt idx="8">
                  <c:v>352</c:v>
                </c:pt>
                <c:pt idx="9">
                  <c:v>100</c:v>
                </c:pt>
                <c:pt idx="10">
                  <c:v>752</c:v>
                </c:pt>
                <c:pt idx="11">
                  <c:v>109</c:v>
                </c:pt>
                <c:pt idx="12">
                  <c:v>373</c:v>
                </c:pt>
                <c:pt idx="13">
                  <c:v>64</c:v>
                </c:pt>
                <c:pt idx="14">
                  <c:v>1174</c:v>
                </c:pt>
                <c:pt idx="15">
                  <c:v>162</c:v>
                </c:pt>
                <c:pt idx="16">
                  <c:v>628</c:v>
                </c:pt>
                <c:pt idx="17">
                  <c:v>271</c:v>
                </c:pt>
                <c:pt idx="18">
                  <c:v>787</c:v>
                </c:pt>
                <c:pt idx="19">
                  <c:v>82</c:v>
                </c:pt>
                <c:pt idx="20">
                  <c:v>-53</c:v>
                </c:pt>
                <c:pt idx="21">
                  <c:v>-62</c:v>
                </c:pt>
                <c:pt idx="22">
                  <c:v>-683</c:v>
                </c:pt>
                <c:pt idx="23">
                  <c:v>-218</c:v>
                </c:pt>
                <c:pt idx="24">
                  <c:v>-458</c:v>
                </c:pt>
                <c:pt idx="25">
                  <c:v>-133</c:v>
                </c:pt>
                <c:pt idx="26">
                  <c:v>-709</c:v>
                </c:pt>
                <c:pt idx="27">
                  <c:v>-140</c:v>
                </c:pt>
                <c:pt idx="28">
                  <c:v>-235</c:v>
                </c:pt>
                <c:pt idx="29">
                  <c:v>-152</c:v>
                </c:pt>
                <c:pt idx="30">
                  <c:v>-2735</c:v>
                </c:pt>
                <c:pt idx="31">
                  <c:v>-69</c:v>
                </c:pt>
                <c:pt idx="32">
                  <c:v>-289</c:v>
                </c:pt>
                <c:pt idx="33">
                  <c:v>-41</c:v>
                </c:pt>
                <c:pt idx="34">
                  <c:v>-307</c:v>
                </c:pt>
                <c:pt idx="35">
                  <c:v>-40</c:v>
                </c:pt>
                <c:pt idx="36">
                  <c:v>-656</c:v>
                </c:pt>
                <c:pt idx="37">
                  <c:v>-48</c:v>
                </c:pt>
                <c:pt idx="38">
                  <c:v>-561</c:v>
                </c:pt>
                <c:pt idx="39">
                  <c:v>-41</c:v>
                </c:pt>
                <c:pt idx="40">
                  <c:v>-51</c:v>
                </c:pt>
                <c:pt idx="41">
                  <c:v>-32</c:v>
                </c:pt>
                <c:pt idx="42">
                  <c:v>-169</c:v>
                </c:pt>
                <c:pt idx="43">
                  <c:v>-5</c:v>
                </c:pt>
                <c:pt idx="44">
                  <c:v>-29</c:v>
                </c:pt>
                <c:pt idx="45">
                  <c:v>-26</c:v>
                </c:pt>
                <c:pt idx="46">
                  <c:v>-142</c:v>
                </c:pt>
                <c:pt idx="47">
                  <c:v>-1</c:v>
                </c:pt>
                <c:pt idx="48">
                  <c:v>-402</c:v>
                </c:pt>
                <c:pt idx="49">
                  <c:v>-1</c:v>
                </c:pt>
                <c:pt idx="50">
                  <c:v>-214</c:v>
                </c:pt>
                <c:pt idx="51">
                  <c:v>-1</c:v>
                </c:pt>
                <c:pt idx="52">
                  <c:v>-8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6</c:v>
                </c:pt>
                <c:pt idx="1">
                  <c:v>6</c:v>
                </c:pt>
                <c:pt idx="2">
                  <c:v>61</c:v>
                </c:pt>
                <c:pt idx="3">
                  <c:v>13</c:v>
                </c:pt>
                <c:pt idx="4">
                  <c:v>1</c:v>
                </c:pt>
                <c:pt idx="5">
                  <c:v>0</c:v>
                </c:pt>
                <c:pt idx="6">
                  <c:v>33</c:v>
                </c:pt>
                <c:pt idx="7">
                  <c:v>0</c:v>
                </c:pt>
                <c:pt idx="8">
                  <c:v>-7</c:v>
                </c:pt>
                <c:pt idx="9">
                  <c:v>-10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-1</c:v>
                </c:pt>
                <c:pt idx="14">
                  <c:v>-6</c:v>
                </c:pt>
                <c:pt idx="15">
                  <c:v>3</c:v>
                </c:pt>
                <c:pt idx="16">
                  <c:v>3</c:v>
                </c:pt>
                <c:pt idx="17">
                  <c:v>10</c:v>
                </c:pt>
                <c:pt idx="18">
                  <c:v>4</c:v>
                </c:pt>
                <c:pt idx="19">
                  <c:v>10</c:v>
                </c:pt>
                <c:pt idx="20">
                  <c:v>-13</c:v>
                </c:pt>
                <c:pt idx="21">
                  <c:v>-5</c:v>
                </c:pt>
                <c:pt idx="22">
                  <c:v>-3</c:v>
                </c:pt>
                <c:pt idx="23">
                  <c:v>-4</c:v>
                </c:pt>
                <c:pt idx="24">
                  <c:v>-6</c:v>
                </c:pt>
                <c:pt idx="25">
                  <c:v>-3</c:v>
                </c:pt>
                <c:pt idx="26">
                  <c:v>-8</c:v>
                </c:pt>
                <c:pt idx="27">
                  <c:v>-8</c:v>
                </c:pt>
                <c:pt idx="28">
                  <c:v>0</c:v>
                </c:pt>
                <c:pt idx="29">
                  <c:v>-4</c:v>
                </c:pt>
                <c:pt idx="30">
                  <c:v>-22</c:v>
                </c:pt>
                <c:pt idx="31">
                  <c:v>-9</c:v>
                </c:pt>
                <c:pt idx="32">
                  <c:v>-13</c:v>
                </c:pt>
                <c:pt idx="33">
                  <c:v>-2</c:v>
                </c:pt>
                <c:pt idx="34">
                  <c:v>-7</c:v>
                </c:pt>
                <c:pt idx="35">
                  <c:v>-3</c:v>
                </c:pt>
                <c:pt idx="36">
                  <c:v>-3</c:v>
                </c:pt>
                <c:pt idx="37">
                  <c:v>-4</c:v>
                </c:pt>
                <c:pt idx="38">
                  <c:v>-26</c:v>
                </c:pt>
                <c:pt idx="39">
                  <c:v>-1</c:v>
                </c:pt>
                <c:pt idx="40">
                  <c:v>-15</c:v>
                </c:pt>
                <c:pt idx="41">
                  <c:v>-14</c:v>
                </c:pt>
                <c:pt idx="42">
                  <c:v>-13</c:v>
                </c:pt>
                <c:pt idx="43">
                  <c:v>-6</c:v>
                </c:pt>
                <c:pt idx="44">
                  <c:v>-3</c:v>
                </c:pt>
                <c:pt idx="45">
                  <c:v>-13</c:v>
                </c:pt>
                <c:pt idx="46">
                  <c:v>-9</c:v>
                </c:pt>
                <c:pt idx="47">
                  <c:v>-16</c:v>
                </c:pt>
                <c:pt idx="48">
                  <c:v>-30</c:v>
                </c:pt>
                <c:pt idx="49">
                  <c:v>-36</c:v>
                </c:pt>
                <c:pt idx="50">
                  <c:v>-31</c:v>
                </c:pt>
                <c:pt idx="51">
                  <c:v>-42</c:v>
                </c:pt>
                <c:pt idx="52">
                  <c:v>-23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-4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-3</c:v>
                </c:pt>
                <c:pt idx="11">
                  <c:v>16</c:v>
                </c:pt>
                <c:pt idx="12">
                  <c:v>-25</c:v>
                </c:pt>
                <c:pt idx="13">
                  <c:v>19</c:v>
                </c:pt>
                <c:pt idx="14">
                  <c:v>-1</c:v>
                </c:pt>
                <c:pt idx="15">
                  <c:v>0</c:v>
                </c:pt>
                <c:pt idx="16">
                  <c:v>-5</c:v>
                </c:pt>
                <c:pt idx="17">
                  <c:v>0</c:v>
                </c:pt>
                <c:pt idx="18">
                  <c:v>1</c:v>
                </c:pt>
                <c:pt idx="19">
                  <c:v>-1</c:v>
                </c:pt>
                <c:pt idx="20">
                  <c:v>26</c:v>
                </c:pt>
                <c:pt idx="21">
                  <c:v>13</c:v>
                </c:pt>
                <c:pt idx="22">
                  <c:v>-24</c:v>
                </c:pt>
                <c:pt idx="23">
                  <c:v>-4</c:v>
                </c:pt>
                <c:pt idx="24">
                  <c:v>-2</c:v>
                </c:pt>
                <c:pt idx="25">
                  <c:v>-4</c:v>
                </c:pt>
                <c:pt idx="26">
                  <c:v>1</c:v>
                </c:pt>
                <c:pt idx="27">
                  <c:v>0</c:v>
                </c:pt>
                <c:pt idx="28">
                  <c:v>-2</c:v>
                </c:pt>
                <c:pt idx="29">
                  <c:v>-1</c:v>
                </c:pt>
                <c:pt idx="30">
                  <c:v>-1</c:v>
                </c:pt>
                <c:pt idx="31">
                  <c:v>1</c:v>
                </c:pt>
                <c:pt idx="32">
                  <c:v>-4</c:v>
                </c:pt>
                <c:pt idx="33">
                  <c:v>0</c:v>
                </c:pt>
                <c:pt idx="34">
                  <c:v>-1</c:v>
                </c:pt>
                <c:pt idx="35">
                  <c:v>0</c:v>
                </c:pt>
                <c:pt idx="36">
                  <c:v>0</c:v>
                </c:pt>
                <c:pt idx="37">
                  <c:v>9</c:v>
                </c:pt>
                <c:pt idx="38">
                  <c:v>0</c:v>
                </c:pt>
                <c:pt idx="39">
                  <c:v>-1</c:v>
                </c:pt>
                <c:pt idx="40">
                  <c:v>-2</c:v>
                </c:pt>
                <c:pt idx="41">
                  <c:v>-3</c:v>
                </c:pt>
                <c:pt idx="42">
                  <c:v>-1</c:v>
                </c:pt>
                <c:pt idx="43">
                  <c:v>-4</c:v>
                </c:pt>
                <c:pt idx="44">
                  <c:v>-4</c:v>
                </c:pt>
                <c:pt idx="45">
                  <c:v>-3</c:v>
                </c:pt>
                <c:pt idx="46">
                  <c:v>-6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-7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56</c:v>
                </c:pt>
                <c:pt idx="3">
                  <c:v>0</c:v>
                </c:pt>
                <c:pt idx="4">
                  <c:v>16</c:v>
                </c:pt>
                <c:pt idx="5">
                  <c:v>0</c:v>
                </c:pt>
                <c:pt idx="6">
                  <c:v>11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-15</c:v>
                </c:pt>
                <c:pt idx="19">
                  <c:v>-1</c:v>
                </c:pt>
                <c:pt idx="20">
                  <c:v>-7</c:v>
                </c:pt>
                <c:pt idx="21">
                  <c:v>-3</c:v>
                </c:pt>
                <c:pt idx="22">
                  <c:v>-2</c:v>
                </c:pt>
                <c:pt idx="23">
                  <c:v>0</c:v>
                </c:pt>
                <c:pt idx="24">
                  <c:v>-3</c:v>
                </c:pt>
                <c:pt idx="25">
                  <c:v>0</c:v>
                </c:pt>
                <c:pt idx="26">
                  <c:v>-4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-4</c:v>
                </c:pt>
                <c:pt idx="36">
                  <c:v>0</c:v>
                </c:pt>
                <c:pt idx="37">
                  <c:v>0</c:v>
                </c:pt>
                <c:pt idx="38">
                  <c:v>-7</c:v>
                </c:pt>
                <c:pt idx="39">
                  <c:v>0</c:v>
                </c:pt>
                <c:pt idx="40">
                  <c:v>-1</c:v>
                </c:pt>
                <c:pt idx="41">
                  <c:v>0</c:v>
                </c:pt>
                <c:pt idx="42">
                  <c:v>-18</c:v>
                </c:pt>
                <c:pt idx="43">
                  <c:v>-3</c:v>
                </c:pt>
                <c:pt idx="44">
                  <c:v>-3</c:v>
                </c:pt>
                <c:pt idx="45">
                  <c:v>-8</c:v>
                </c:pt>
                <c:pt idx="46">
                  <c:v>-2</c:v>
                </c:pt>
                <c:pt idx="47">
                  <c:v>0</c:v>
                </c:pt>
                <c:pt idx="48">
                  <c:v>-4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244288"/>
        <c:axId val="245245824"/>
      </c:barChart>
      <c:catAx>
        <c:axId val="24524428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245824"/>
        <c:crosses val="autoZero"/>
        <c:auto val="1"/>
        <c:lblAlgn val="ctr"/>
        <c:lblOffset val="100"/>
        <c:noMultiLvlLbl val="0"/>
      </c:catAx>
      <c:valAx>
        <c:axId val="24524582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244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-1071</c:v>
                </c:pt>
                <c:pt idx="1">
                  <c:v>-1550</c:v>
                </c:pt>
                <c:pt idx="2">
                  <c:v>-8418</c:v>
                </c:pt>
                <c:pt idx="3">
                  <c:v>11512</c:v>
                </c:pt>
                <c:pt idx="4">
                  <c:v>3908</c:v>
                </c:pt>
                <c:pt idx="5">
                  <c:v>4216</c:v>
                </c:pt>
                <c:pt idx="6">
                  <c:v>-203</c:v>
                </c:pt>
                <c:pt idx="7">
                  <c:v>12691</c:v>
                </c:pt>
                <c:pt idx="8">
                  <c:v>-745</c:v>
                </c:pt>
                <c:pt idx="9">
                  <c:v>4024</c:v>
                </c:pt>
                <c:pt idx="10">
                  <c:v>10548</c:v>
                </c:pt>
                <c:pt idx="11">
                  <c:v>788216</c:v>
                </c:pt>
                <c:pt idx="12">
                  <c:v>1710236</c:v>
                </c:pt>
                <c:pt idx="13">
                  <c:v>734705</c:v>
                </c:pt>
                <c:pt idx="14">
                  <c:v>838826</c:v>
                </c:pt>
                <c:pt idx="15">
                  <c:v>840214</c:v>
                </c:pt>
                <c:pt idx="16">
                  <c:v>760160</c:v>
                </c:pt>
                <c:pt idx="17">
                  <c:v>665149</c:v>
                </c:pt>
                <c:pt idx="18">
                  <c:v>418626</c:v>
                </c:pt>
                <c:pt idx="19">
                  <c:v>303300</c:v>
                </c:pt>
                <c:pt idx="20">
                  <c:v>335800</c:v>
                </c:pt>
                <c:pt idx="21">
                  <c:v>279700</c:v>
                </c:pt>
                <c:pt idx="22">
                  <c:v>854300</c:v>
                </c:pt>
                <c:pt idx="23">
                  <c:v>402200</c:v>
                </c:pt>
                <c:pt idx="24">
                  <c:v>184900</c:v>
                </c:pt>
                <c:pt idx="25">
                  <c:v>112100</c:v>
                </c:pt>
                <c:pt idx="26">
                  <c:v>166200</c:v>
                </c:pt>
                <c:pt idx="27">
                  <c:v>952900</c:v>
                </c:pt>
                <c:pt idx="28">
                  <c:v>76200</c:v>
                </c:pt>
                <c:pt idx="29">
                  <c:v>84400</c:v>
                </c:pt>
                <c:pt idx="30">
                  <c:v>54400</c:v>
                </c:pt>
                <c:pt idx="31">
                  <c:v>113700</c:v>
                </c:pt>
                <c:pt idx="32">
                  <c:v>858000</c:v>
                </c:pt>
                <c:pt idx="33">
                  <c:v>76300</c:v>
                </c:pt>
                <c:pt idx="34">
                  <c:v>99300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61028</c:v>
                </c:pt>
                <c:pt idx="1">
                  <c:v>79287.999999999985</c:v>
                </c:pt>
                <c:pt idx="2">
                  <c:v>519180</c:v>
                </c:pt>
                <c:pt idx="3">
                  <c:v>111555.00000000001</c:v>
                </c:pt>
                <c:pt idx="4">
                  <c:v>252614</c:v>
                </c:pt>
                <c:pt idx="5">
                  <c:v>133090</c:v>
                </c:pt>
                <c:pt idx="6">
                  <c:v>128073</c:v>
                </c:pt>
                <c:pt idx="7">
                  <c:v>1570716</c:v>
                </c:pt>
                <c:pt idx="8">
                  <c:v>94856.000000000015</c:v>
                </c:pt>
                <c:pt idx="9">
                  <c:v>136812</c:v>
                </c:pt>
                <c:pt idx="10">
                  <c:v>98220</c:v>
                </c:pt>
                <c:pt idx="11">
                  <c:v>125430</c:v>
                </c:pt>
                <c:pt idx="12">
                  <c:v>554579</c:v>
                </c:pt>
                <c:pt idx="13">
                  <c:v>128235.00000000001</c:v>
                </c:pt>
                <c:pt idx="14">
                  <c:v>395392</c:v>
                </c:pt>
                <c:pt idx="15">
                  <c:v>233901</c:v>
                </c:pt>
                <c:pt idx="16">
                  <c:v>375405</c:v>
                </c:pt>
                <c:pt idx="17">
                  <c:v>1355294</c:v>
                </c:pt>
                <c:pt idx="18">
                  <c:v>241568</c:v>
                </c:pt>
                <c:pt idx="19">
                  <c:v>374185</c:v>
                </c:pt>
                <c:pt idx="20">
                  <c:v>445602</c:v>
                </c:pt>
                <c:pt idx="21">
                  <c:v>250269</c:v>
                </c:pt>
                <c:pt idx="22">
                  <c:v>132790</c:v>
                </c:pt>
                <c:pt idx="23">
                  <c:v>270608</c:v>
                </c:pt>
                <c:pt idx="24">
                  <c:v>1016892</c:v>
                </c:pt>
                <c:pt idx="25">
                  <c:v>-37200</c:v>
                </c:pt>
                <c:pt idx="26">
                  <c:v>114280</c:v>
                </c:pt>
                <c:pt idx="27">
                  <c:v>-563316</c:v>
                </c:pt>
                <c:pt idx="28">
                  <c:v>151689</c:v>
                </c:pt>
                <c:pt idx="29">
                  <c:v>218697</c:v>
                </c:pt>
                <c:pt idx="30">
                  <c:v>140000</c:v>
                </c:pt>
                <c:pt idx="31">
                  <c:v>684501</c:v>
                </c:pt>
                <c:pt idx="32">
                  <c:v>1414644</c:v>
                </c:pt>
                <c:pt idx="33">
                  <c:v>366665</c:v>
                </c:pt>
                <c:pt idx="34">
                  <c:v>487532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31158.000000000004</c:v>
                </c:pt>
                <c:pt idx="1">
                  <c:v>33552.000000000007</c:v>
                </c:pt>
                <c:pt idx="2">
                  <c:v>3264313</c:v>
                </c:pt>
                <c:pt idx="3">
                  <c:v>7446.9999999999991</c:v>
                </c:pt>
                <c:pt idx="4">
                  <c:v>35222</c:v>
                </c:pt>
                <c:pt idx="5">
                  <c:v>53314</c:v>
                </c:pt>
                <c:pt idx="6">
                  <c:v>42477.999999999993</c:v>
                </c:pt>
                <c:pt idx="7">
                  <c:v>457042</c:v>
                </c:pt>
                <c:pt idx="8">
                  <c:v>34623</c:v>
                </c:pt>
                <c:pt idx="9">
                  <c:v>30332</c:v>
                </c:pt>
                <c:pt idx="10">
                  <c:v>29111</c:v>
                </c:pt>
                <c:pt idx="11">
                  <c:v>51903.000000000015</c:v>
                </c:pt>
                <c:pt idx="12">
                  <c:v>1657740</c:v>
                </c:pt>
                <c:pt idx="13">
                  <c:v>37434.999999999985</c:v>
                </c:pt>
                <c:pt idx="14">
                  <c:v>38476.999999999985</c:v>
                </c:pt>
                <c:pt idx="15">
                  <c:v>5014</c:v>
                </c:pt>
                <c:pt idx="16">
                  <c:v>6308</c:v>
                </c:pt>
                <c:pt idx="17">
                  <c:v>785442</c:v>
                </c:pt>
                <c:pt idx="18">
                  <c:v>17745</c:v>
                </c:pt>
                <c:pt idx="19">
                  <c:v>22015.999999999993</c:v>
                </c:pt>
                <c:pt idx="20">
                  <c:v>23983</c:v>
                </c:pt>
                <c:pt idx="21">
                  <c:v>-7738</c:v>
                </c:pt>
                <c:pt idx="22">
                  <c:v>3306824.9999999991</c:v>
                </c:pt>
                <c:pt idx="23">
                  <c:v>-31860</c:v>
                </c:pt>
                <c:pt idx="24">
                  <c:v>-52213.999999999993</c:v>
                </c:pt>
                <c:pt idx="25">
                  <c:v>-4950</c:v>
                </c:pt>
                <c:pt idx="26">
                  <c:v>-5288.0000000000036</c:v>
                </c:pt>
                <c:pt idx="27">
                  <c:v>954987.00000000023</c:v>
                </c:pt>
                <c:pt idx="28">
                  <c:v>-14418</c:v>
                </c:pt>
                <c:pt idx="29">
                  <c:v>-31552</c:v>
                </c:pt>
                <c:pt idx="30">
                  <c:v>-15487.999999999998</c:v>
                </c:pt>
                <c:pt idx="31">
                  <c:v>-20818</c:v>
                </c:pt>
                <c:pt idx="32">
                  <c:v>430986.00000000023</c:v>
                </c:pt>
                <c:pt idx="33">
                  <c:v>-40360.999999999993</c:v>
                </c:pt>
                <c:pt idx="34">
                  <c:v>-42838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312512"/>
        <c:axId val="245318400"/>
      </c:barChart>
      <c:catAx>
        <c:axId val="24531251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318400"/>
        <c:crosses val="autoZero"/>
        <c:auto val="1"/>
        <c:lblAlgn val="ctr"/>
        <c:lblOffset val="100"/>
        <c:noMultiLvlLbl val="0"/>
      </c:catAx>
      <c:valAx>
        <c:axId val="24531840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31251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1751.0000000000002</c:v>
                </c:pt>
                <c:pt idx="1">
                  <c:v>1349.9999999999998</c:v>
                </c:pt>
                <c:pt idx="2">
                  <c:v>7627.0000000000009</c:v>
                </c:pt>
                <c:pt idx="3">
                  <c:v>-46.000000000000455</c:v>
                </c:pt>
                <c:pt idx="4">
                  <c:v>1796</c:v>
                </c:pt>
                <c:pt idx="5">
                  <c:v>-3966.0000000000018</c:v>
                </c:pt>
                <c:pt idx="6">
                  <c:v>240626</c:v>
                </c:pt>
                <c:pt idx="7">
                  <c:v>1019302</c:v>
                </c:pt>
                <c:pt idx="8">
                  <c:v>285276</c:v>
                </c:pt>
                <c:pt idx="9">
                  <c:v>581160</c:v>
                </c:pt>
                <c:pt idx="10">
                  <c:v>452304</c:v>
                </c:pt>
                <c:pt idx="11">
                  <c:v>391514</c:v>
                </c:pt>
                <c:pt idx="12">
                  <c:v>900320</c:v>
                </c:pt>
                <c:pt idx="13">
                  <c:v>507055</c:v>
                </c:pt>
                <c:pt idx="14">
                  <c:v>253580</c:v>
                </c:pt>
                <c:pt idx="15">
                  <c:v>261143</c:v>
                </c:pt>
                <c:pt idx="16">
                  <c:v>218100</c:v>
                </c:pt>
                <c:pt idx="17">
                  <c:v>756000</c:v>
                </c:pt>
                <c:pt idx="18">
                  <c:v>177300</c:v>
                </c:pt>
                <c:pt idx="19">
                  <c:v>180100</c:v>
                </c:pt>
                <c:pt idx="20">
                  <c:v>246100</c:v>
                </c:pt>
                <c:pt idx="21">
                  <c:v>198700</c:v>
                </c:pt>
                <c:pt idx="22">
                  <c:v>392300</c:v>
                </c:pt>
                <c:pt idx="23">
                  <c:v>79200</c:v>
                </c:pt>
                <c:pt idx="24">
                  <c:v>101300</c:v>
                </c:pt>
                <c:pt idx="25">
                  <c:v>92600</c:v>
                </c:pt>
                <c:pt idx="26">
                  <c:v>71800</c:v>
                </c:pt>
                <c:pt idx="27">
                  <c:v>365600</c:v>
                </c:pt>
                <c:pt idx="28">
                  <c:v>44800</c:v>
                </c:pt>
                <c:pt idx="29">
                  <c:v>136200</c:v>
                </c:pt>
                <c:pt idx="30">
                  <c:v>113700</c:v>
                </c:pt>
                <c:pt idx="31">
                  <c:v>109800</c:v>
                </c:pt>
                <c:pt idx="32">
                  <c:v>319100</c:v>
                </c:pt>
                <c:pt idx="33">
                  <c:v>66500</c:v>
                </c:pt>
                <c:pt idx="34">
                  <c:v>98000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87528.000000000015</c:v>
                </c:pt>
                <c:pt idx="1">
                  <c:v>78974</c:v>
                </c:pt>
                <c:pt idx="2">
                  <c:v>1767469</c:v>
                </c:pt>
                <c:pt idx="3">
                  <c:v>30420</c:v>
                </c:pt>
                <c:pt idx="4">
                  <c:v>64220</c:v>
                </c:pt>
                <c:pt idx="5">
                  <c:v>34176</c:v>
                </c:pt>
                <c:pt idx="6">
                  <c:v>50272</c:v>
                </c:pt>
                <c:pt idx="7">
                  <c:v>2133406</c:v>
                </c:pt>
                <c:pt idx="8">
                  <c:v>24235.000000000004</c:v>
                </c:pt>
                <c:pt idx="9">
                  <c:v>48391.999999999993</c:v>
                </c:pt>
                <c:pt idx="10">
                  <c:v>62429</c:v>
                </c:pt>
                <c:pt idx="11">
                  <c:v>66441</c:v>
                </c:pt>
                <c:pt idx="12">
                  <c:v>5916573</c:v>
                </c:pt>
                <c:pt idx="13">
                  <c:v>-12668</c:v>
                </c:pt>
                <c:pt idx="14">
                  <c:v>112012</c:v>
                </c:pt>
                <c:pt idx="15">
                  <c:v>51458</c:v>
                </c:pt>
                <c:pt idx="16">
                  <c:v>44330</c:v>
                </c:pt>
                <c:pt idx="17">
                  <c:v>2348811</c:v>
                </c:pt>
                <c:pt idx="18">
                  <c:v>106360</c:v>
                </c:pt>
                <c:pt idx="19">
                  <c:v>16731.999999999993</c:v>
                </c:pt>
                <c:pt idx="20">
                  <c:v>40331</c:v>
                </c:pt>
                <c:pt idx="21">
                  <c:v>39075</c:v>
                </c:pt>
                <c:pt idx="22">
                  <c:v>2308612</c:v>
                </c:pt>
                <c:pt idx="23">
                  <c:v>-3368</c:v>
                </c:pt>
                <c:pt idx="24">
                  <c:v>24509</c:v>
                </c:pt>
                <c:pt idx="25">
                  <c:v>-24940</c:v>
                </c:pt>
                <c:pt idx="26">
                  <c:v>2092</c:v>
                </c:pt>
                <c:pt idx="27">
                  <c:v>2467823</c:v>
                </c:pt>
                <c:pt idx="28">
                  <c:v>3392</c:v>
                </c:pt>
                <c:pt idx="29">
                  <c:v>-13935</c:v>
                </c:pt>
                <c:pt idx="30">
                  <c:v>-5314</c:v>
                </c:pt>
                <c:pt idx="31">
                  <c:v>-8422</c:v>
                </c:pt>
                <c:pt idx="32">
                  <c:v>3130232</c:v>
                </c:pt>
                <c:pt idx="33">
                  <c:v>75052</c:v>
                </c:pt>
                <c:pt idx="34">
                  <c:v>155220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1709901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30578.000000000015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276013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152729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811553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837318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1516253.9999999998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402624"/>
        <c:axId val="245457664"/>
      </c:barChart>
      <c:catAx>
        <c:axId val="24540262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457664"/>
        <c:crosses val="autoZero"/>
        <c:auto val="1"/>
        <c:lblAlgn val="ctr"/>
        <c:lblOffset val="100"/>
        <c:noMultiLvlLbl val="0"/>
      </c:catAx>
      <c:valAx>
        <c:axId val="24545766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40262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-98</c:v>
                </c:pt>
                <c:pt idx="1">
                  <c:v>-196</c:v>
                </c:pt>
                <c:pt idx="2">
                  <c:v>-20678</c:v>
                </c:pt>
                <c:pt idx="3">
                  <c:v>-1372</c:v>
                </c:pt>
                <c:pt idx="4">
                  <c:v>-40600</c:v>
                </c:pt>
                <c:pt idx="5">
                  <c:v>-31600</c:v>
                </c:pt>
                <c:pt idx="6">
                  <c:v>-7900</c:v>
                </c:pt>
                <c:pt idx="7">
                  <c:v>-21978</c:v>
                </c:pt>
                <c:pt idx="8">
                  <c:v>-55638</c:v>
                </c:pt>
                <c:pt idx="9">
                  <c:v>-8514</c:v>
                </c:pt>
                <c:pt idx="10">
                  <c:v>-36162</c:v>
                </c:pt>
                <c:pt idx="11">
                  <c:v>-30070</c:v>
                </c:pt>
                <c:pt idx="12">
                  <c:v>-48112</c:v>
                </c:pt>
                <c:pt idx="13">
                  <c:v>-13482.999999999998</c:v>
                </c:pt>
                <c:pt idx="14">
                  <c:v>-19392</c:v>
                </c:pt>
                <c:pt idx="15">
                  <c:v>0</c:v>
                </c:pt>
                <c:pt idx="16">
                  <c:v>-77234.999999999985</c:v>
                </c:pt>
                <c:pt idx="17">
                  <c:v>-178601</c:v>
                </c:pt>
                <c:pt idx="18">
                  <c:v>-44347</c:v>
                </c:pt>
                <c:pt idx="19">
                  <c:v>-54564</c:v>
                </c:pt>
                <c:pt idx="20">
                  <c:v>-73493</c:v>
                </c:pt>
                <c:pt idx="21">
                  <c:v>-8112</c:v>
                </c:pt>
                <c:pt idx="22">
                  <c:v>323362</c:v>
                </c:pt>
                <c:pt idx="23">
                  <c:v>107446.00000000001</c:v>
                </c:pt>
                <c:pt idx="24">
                  <c:v>103996</c:v>
                </c:pt>
                <c:pt idx="25">
                  <c:v>166166</c:v>
                </c:pt>
                <c:pt idx="26">
                  <c:v>67500</c:v>
                </c:pt>
                <c:pt idx="27">
                  <c:v>280800</c:v>
                </c:pt>
                <c:pt idx="28">
                  <c:v>72800</c:v>
                </c:pt>
                <c:pt idx="29">
                  <c:v>40400</c:v>
                </c:pt>
                <c:pt idx="30">
                  <c:v>19200</c:v>
                </c:pt>
                <c:pt idx="31">
                  <c:v>24400</c:v>
                </c:pt>
                <c:pt idx="32">
                  <c:v>123400</c:v>
                </c:pt>
                <c:pt idx="33">
                  <c:v>75100</c:v>
                </c:pt>
                <c:pt idx="34">
                  <c:v>13400</c:v>
                </c:pt>
                <c:pt idx="35">
                  <c:v>34100</c:v>
                </c:pt>
                <c:pt idx="36">
                  <c:v>37700</c:v>
                </c:pt>
                <c:pt idx="37">
                  <c:v>167700</c:v>
                </c:pt>
                <c:pt idx="38">
                  <c:v>35200</c:v>
                </c:pt>
                <c:pt idx="39">
                  <c:v>76600</c:v>
                </c:pt>
                <c:pt idx="40">
                  <c:v>12800</c:v>
                </c:pt>
                <c:pt idx="41">
                  <c:v>31800</c:v>
                </c:pt>
                <c:pt idx="42">
                  <c:v>98300</c:v>
                </c:pt>
                <c:pt idx="43">
                  <c:v>28126</c:v>
                </c:pt>
                <c:pt idx="44">
                  <c:v>107800</c:v>
                </c:pt>
                <c:pt idx="45">
                  <c:v>14406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-56196</c:v>
                </c:pt>
                <c:pt idx="1">
                  <c:v>-56316</c:v>
                </c:pt>
                <c:pt idx="2">
                  <c:v>-182127.99999999997</c:v>
                </c:pt>
                <c:pt idx="3">
                  <c:v>-19932</c:v>
                </c:pt>
                <c:pt idx="4">
                  <c:v>-70830</c:v>
                </c:pt>
                <c:pt idx="5">
                  <c:v>-63940</c:v>
                </c:pt>
                <c:pt idx="6">
                  <c:v>-20478</c:v>
                </c:pt>
                <c:pt idx="7">
                  <c:v>-1754724</c:v>
                </c:pt>
                <c:pt idx="8">
                  <c:v>-97428</c:v>
                </c:pt>
                <c:pt idx="9">
                  <c:v>-127992</c:v>
                </c:pt>
                <c:pt idx="10">
                  <c:v>-46220</c:v>
                </c:pt>
                <c:pt idx="11">
                  <c:v>-119584</c:v>
                </c:pt>
                <c:pt idx="12">
                  <c:v>-485018</c:v>
                </c:pt>
                <c:pt idx="13">
                  <c:v>-9536</c:v>
                </c:pt>
                <c:pt idx="14">
                  <c:v>4296</c:v>
                </c:pt>
                <c:pt idx="15">
                  <c:v>-45300</c:v>
                </c:pt>
                <c:pt idx="16">
                  <c:v>-111796</c:v>
                </c:pt>
                <c:pt idx="17">
                  <c:v>-956681.99999999977</c:v>
                </c:pt>
                <c:pt idx="18">
                  <c:v>-59909.999999999971</c:v>
                </c:pt>
                <c:pt idx="19">
                  <c:v>-26983</c:v>
                </c:pt>
                <c:pt idx="20">
                  <c:v>-66350</c:v>
                </c:pt>
                <c:pt idx="21">
                  <c:v>8217</c:v>
                </c:pt>
                <c:pt idx="22">
                  <c:v>158002</c:v>
                </c:pt>
                <c:pt idx="23">
                  <c:v>42795.000000000015</c:v>
                </c:pt>
                <c:pt idx="24">
                  <c:v>-2800</c:v>
                </c:pt>
                <c:pt idx="25">
                  <c:v>41849</c:v>
                </c:pt>
                <c:pt idx="26">
                  <c:v>12044</c:v>
                </c:pt>
                <c:pt idx="27">
                  <c:v>962105</c:v>
                </c:pt>
                <c:pt idx="28">
                  <c:v>-7044</c:v>
                </c:pt>
                <c:pt idx="29">
                  <c:v>13618</c:v>
                </c:pt>
                <c:pt idx="30">
                  <c:v>-14319</c:v>
                </c:pt>
                <c:pt idx="31">
                  <c:v>9469</c:v>
                </c:pt>
                <c:pt idx="32">
                  <c:v>532995</c:v>
                </c:pt>
                <c:pt idx="33">
                  <c:v>66747</c:v>
                </c:pt>
                <c:pt idx="34">
                  <c:v>5744.0000000000073</c:v>
                </c:pt>
                <c:pt idx="35">
                  <c:v>26391</c:v>
                </c:pt>
                <c:pt idx="36">
                  <c:v>23380.000000000004</c:v>
                </c:pt>
                <c:pt idx="37">
                  <c:v>752114.99999999988</c:v>
                </c:pt>
                <c:pt idx="38">
                  <c:v>38550</c:v>
                </c:pt>
                <c:pt idx="39">
                  <c:v>19291.999999999996</c:v>
                </c:pt>
                <c:pt idx="40">
                  <c:v>19929</c:v>
                </c:pt>
                <c:pt idx="41">
                  <c:v>26183.999999999993</c:v>
                </c:pt>
                <c:pt idx="42">
                  <c:v>577002</c:v>
                </c:pt>
                <c:pt idx="43">
                  <c:v>52896</c:v>
                </c:pt>
                <c:pt idx="44">
                  <c:v>35364</c:v>
                </c:pt>
                <c:pt idx="45">
                  <c:v>19200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-131658</c:v>
                </c:pt>
                <c:pt idx="1">
                  <c:v>-16712</c:v>
                </c:pt>
                <c:pt idx="2">
                  <c:v>-463794</c:v>
                </c:pt>
                <c:pt idx="3">
                  <c:v>-55319</c:v>
                </c:pt>
                <c:pt idx="4">
                  <c:v>-90742</c:v>
                </c:pt>
                <c:pt idx="5">
                  <c:v>-109437</c:v>
                </c:pt>
                <c:pt idx="6">
                  <c:v>-53462</c:v>
                </c:pt>
                <c:pt idx="7">
                  <c:v>-765804</c:v>
                </c:pt>
                <c:pt idx="8">
                  <c:v>-19370</c:v>
                </c:pt>
                <c:pt idx="9">
                  <c:v>-38268</c:v>
                </c:pt>
                <c:pt idx="10">
                  <c:v>-45691</c:v>
                </c:pt>
                <c:pt idx="11">
                  <c:v>-57524.999999999971</c:v>
                </c:pt>
                <c:pt idx="12">
                  <c:v>-528599</c:v>
                </c:pt>
                <c:pt idx="13">
                  <c:v>-82072</c:v>
                </c:pt>
                <c:pt idx="14">
                  <c:v>-20806.000000000029</c:v>
                </c:pt>
                <c:pt idx="15">
                  <c:v>-41706</c:v>
                </c:pt>
                <c:pt idx="16">
                  <c:v>-10599</c:v>
                </c:pt>
                <c:pt idx="17">
                  <c:v>180499</c:v>
                </c:pt>
                <c:pt idx="18">
                  <c:v>6802</c:v>
                </c:pt>
                <c:pt idx="19">
                  <c:v>6532</c:v>
                </c:pt>
                <c:pt idx="20">
                  <c:v>54725</c:v>
                </c:pt>
                <c:pt idx="21">
                  <c:v>44127</c:v>
                </c:pt>
                <c:pt idx="22">
                  <c:v>852665</c:v>
                </c:pt>
                <c:pt idx="23">
                  <c:v>51491.000000000029</c:v>
                </c:pt>
                <c:pt idx="24">
                  <c:v>82521</c:v>
                </c:pt>
                <c:pt idx="25">
                  <c:v>43269.999999999971</c:v>
                </c:pt>
                <c:pt idx="26">
                  <c:v>18377.999999999985</c:v>
                </c:pt>
                <c:pt idx="27">
                  <c:v>361684</c:v>
                </c:pt>
                <c:pt idx="28">
                  <c:v>80305</c:v>
                </c:pt>
                <c:pt idx="29">
                  <c:v>145740</c:v>
                </c:pt>
                <c:pt idx="30">
                  <c:v>89082</c:v>
                </c:pt>
                <c:pt idx="31">
                  <c:v>71308</c:v>
                </c:pt>
                <c:pt idx="32">
                  <c:v>491700</c:v>
                </c:pt>
                <c:pt idx="33">
                  <c:v>100146</c:v>
                </c:pt>
                <c:pt idx="34">
                  <c:v>273713</c:v>
                </c:pt>
                <c:pt idx="35">
                  <c:v>61150</c:v>
                </c:pt>
                <c:pt idx="36">
                  <c:v>173669</c:v>
                </c:pt>
                <c:pt idx="37">
                  <c:v>991993.99999999977</c:v>
                </c:pt>
                <c:pt idx="38">
                  <c:v>88456</c:v>
                </c:pt>
                <c:pt idx="39">
                  <c:v>247418.99999999997</c:v>
                </c:pt>
                <c:pt idx="40">
                  <c:v>254636.00000000006</c:v>
                </c:pt>
                <c:pt idx="41">
                  <c:v>223109</c:v>
                </c:pt>
                <c:pt idx="42">
                  <c:v>490104</c:v>
                </c:pt>
                <c:pt idx="43">
                  <c:v>166413</c:v>
                </c:pt>
                <c:pt idx="44">
                  <c:v>357263</c:v>
                </c:pt>
                <c:pt idx="45">
                  <c:v>107824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519104"/>
        <c:axId val="245520640"/>
      </c:barChart>
      <c:catAx>
        <c:axId val="24551910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520640"/>
        <c:crosses val="autoZero"/>
        <c:auto val="1"/>
        <c:lblAlgn val="ctr"/>
        <c:lblOffset val="100"/>
        <c:noMultiLvlLbl val="0"/>
      </c:catAx>
      <c:valAx>
        <c:axId val="24552064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51910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-54.999999999999972</c:v>
                </c:pt>
                <c:pt idx="1">
                  <c:v>56.000000000000007</c:v>
                </c:pt>
                <c:pt idx="2">
                  <c:v>-1000</c:v>
                </c:pt>
                <c:pt idx="3">
                  <c:v>80</c:v>
                </c:pt>
                <c:pt idx="4">
                  <c:v>-34</c:v>
                </c:pt>
                <c:pt idx="5">
                  <c:v>-259</c:v>
                </c:pt>
                <c:pt idx="6">
                  <c:v>-97</c:v>
                </c:pt>
                <c:pt idx="7">
                  <c:v>-90</c:v>
                </c:pt>
                <c:pt idx="8">
                  <c:v>60</c:v>
                </c:pt>
                <c:pt idx="9">
                  <c:v>27</c:v>
                </c:pt>
                <c:pt idx="10">
                  <c:v>-288</c:v>
                </c:pt>
                <c:pt idx="11">
                  <c:v>-65</c:v>
                </c:pt>
                <c:pt idx="12">
                  <c:v>-672</c:v>
                </c:pt>
                <c:pt idx="13">
                  <c:v>-1402</c:v>
                </c:pt>
                <c:pt idx="14">
                  <c:v>-1092</c:v>
                </c:pt>
                <c:pt idx="15">
                  <c:v>248</c:v>
                </c:pt>
                <c:pt idx="16">
                  <c:v>-1978</c:v>
                </c:pt>
                <c:pt idx="17">
                  <c:v>-400</c:v>
                </c:pt>
                <c:pt idx="18">
                  <c:v>-1810</c:v>
                </c:pt>
                <c:pt idx="19">
                  <c:v>-225</c:v>
                </c:pt>
                <c:pt idx="20">
                  <c:v>5449</c:v>
                </c:pt>
                <c:pt idx="21">
                  <c:v>782</c:v>
                </c:pt>
                <c:pt idx="22">
                  <c:v>873</c:v>
                </c:pt>
                <c:pt idx="23">
                  <c:v>291</c:v>
                </c:pt>
                <c:pt idx="24">
                  <c:v>508</c:v>
                </c:pt>
                <c:pt idx="25">
                  <c:v>400</c:v>
                </c:pt>
                <c:pt idx="26">
                  <c:v>1600</c:v>
                </c:pt>
                <c:pt idx="27">
                  <c:v>528</c:v>
                </c:pt>
                <c:pt idx="28">
                  <c:v>513</c:v>
                </c:pt>
                <c:pt idx="29">
                  <c:v>1404</c:v>
                </c:pt>
                <c:pt idx="30">
                  <c:v>3800</c:v>
                </c:pt>
                <c:pt idx="31">
                  <c:v>1170</c:v>
                </c:pt>
                <c:pt idx="32">
                  <c:v>1095</c:v>
                </c:pt>
                <c:pt idx="33">
                  <c:v>819</c:v>
                </c:pt>
                <c:pt idx="34">
                  <c:v>540</c:v>
                </c:pt>
                <c:pt idx="35">
                  <c:v>444</c:v>
                </c:pt>
                <c:pt idx="36">
                  <c:v>9308</c:v>
                </c:pt>
                <c:pt idx="37">
                  <c:v>372</c:v>
                </c:pt>
                <c:pt idx="38">
                  <c:v>1067</c:v>
                </c:pt>
                <c:pt idx="39">
                  <c:v>1558</c:v>
                </c:pt>
                <c:pt idx="40">
                  <c:v>436.99999999999994</c:v>
                </c:pt>
                <c:pt idx="41">
                  <c:v>394</c:v>
                </c:pt>
                <c:pt idx="42">
                  <c:v>1418</c:v>
                </c:pt>
                <c:pt idx="43">
                  <c:v>38</c:v>
                </c:pt>
                <c:pt idx="44">
                  <c:v>676</c:v>
                </c:pt>
                <c:pt idx="45">
                  <c:v>-118</c:v>
                </c:pt>
                <c:pt idx="46">
                  <c:v>700</c:v>
                </c:pt>
                <c:pt idx="47">
                  <c:v>-130</c:v>
                </c:pt>
                <c:pt idx="48">
                  <c:v>400</c:v>
                </c:pt>
                <c:pt idx="49">
                  <c:v>-60</c:v>
                </c:pt>
                <c:pt idx="50">
                  <c:v>400</c:v>
                </c:pt>
                <c:pt idx="51">
                  <c:v>700</c:v>
                </c:pt>
                <c:pt idx="52">
                  <c:v>200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-168</c:v>
                </c:pt>
                <c:pt idx="1">
                  <c:v>-295.00000000000006</c:v>
                </c:pt>
                <c:pt idx="2">
                  <c:v>-5382</c:v>
                </c:pt>
                <c:pt idx="3">
                  <c:v>206</c:v>
                </c:pt>
                <c:pt idx="4">
                  <c:v>-35.999999999999943</c:v>
                </c:pt>
                <c:pt idx="5">
                  <c:v>-2435.9999999999995</c:v>
                </c:pt>
                <c:pt idx="6">
                  <c:v>-4695</c:v>
                </c:pt>
                <c:pt idx="7">
                  <c:v>93.999999999999943</c:v>
                </c:pt>
                <c:pt idx="8">
                  <c:v>-131.99999999999989</c:v>
                </c:pt>
                <c:pt idx="9">
                  <c:v>21.000000000000057</c:v>
                </c:pt>
                <c:pt idx="10">
                  <c:v>368.99999999999977</c:v>
                </c:pt>
                <c:pt idx="11">
                  <c:v>763.99999999999989</c:v>
                </c:pt>
                <c:pt idx="12">
                  <c:v>1962</c:v>
                </c:pt>
                <c:pt idx="13">
                  <c:v>-317</c:v>
                </c:pt>
                <c:pt idx="14">
                  <c:v>1440</c:v>
                </c:pt>
                <c:pt idx="15">
                  <c:v>132</c:v>
                </c:pt>
                <c:pt idx="16">
                  <c:v>534</c:v>
                </c:pt>
                <c:pt idx="17">
                  <c:v>-186.00000000000023</c:v>
                </c:pt>
                <c:pt idx="18">
                  <c:v>683</c:v>
                </c:pt>
                <c:pt idx="19">
                  <c:v>819.99999999999989</c:v>
                </c:pt>
                <c:pt idx="20">
                  <c:v>936.00000000000023</c:v>
                </c:pt>
                <c:pt idx="21">
                  <c:v>372</c:v>
                </c:pt>
                <c:pt idx="22">
                  <c:v>2520</c:v>
                </c:pt>
                <c:pt idx="23">
                  <c:v>481.99999999999989</c:v>
                </c:pt>
                <c:pt idx="24">
                  <c:v>1329.9999999999998</c:v>
                </c:pt>
                <c:pt idx="25">
                  <c:v>580</c:v>
                </c:pt>
                <c:pt idx="26">
                  <c:v>1085.9999999999995</c:v>
                </c:pt>
                <c:pt idx="27">
                  <c:v>578</c:v>
                </c:pt>
                <c:pt idx="28">
                  <c:v>1308.0000000000002</c:v>
                </c:pt>
                <c:pt idx="29">
                  <c:v>1132</c:v>
                </c:pt>
                <c:pt idx="30">
                  <c:v>1354</c:v>
                </c:pt>
                <c:pt idx="31">
                  <c:v>1198</c:v>
                </c:pt>
                <c:pt idx="32">
                  <c:v>4505</c:v>
                </c:pt>
                <c:pt idx="33">
                  <c:v>2285.9999999999995</c:v>
                </c:pt>
                <c:pt idx="34">
                  <c:v>1356.9999999999998</c:v>
                </c:pt>
                <c:pt idx="35">
                  <c:v>268</c:v>
                </c:pt>
                <c:pt idx="36">
                  <c:v>204</c:v>
                </c:pt>
                <c:pt idx="37">
                  <c:v>1956</c:v>
                </c:pt>
                <c:pt idx="38">
                  <c:v>3204</c:v>
                </c:pt>
                <c:pt idx="39">
                  <c:v>1088</c:v>
                </c:pt>
                <c:pt idx="40">
                  <c:v>1619</c:v>
                </c:pt>
                <c:pt idx="41">
                  <c:v>1722</c:v>
                </c:pt>
                <c:pt idx="42">
                  <c:v>4799</c:v>
                </c:pt>
                <c:pt idx="43">
                  <c:v>20719</c:v>
                </c:pt>
                <c:pt idx="44">
                  <c:v>1845</c:v>
                </c:pt>
                <c:pt idx="45">
                  <c:v>2329</c:v>
                </c:pt>
                <c:pt idx="46">
                  <c:v>2662</c:v>
                </c:pt>
                <c:pt idx="47">
                  <c:v>1386</c:v>
                </c:pt>
                <c:pt idx="48">
                  <c:v>2504</c:v>
                </c:pt>
                <c:pt idx="49">
                  <c:v>2358</c:v>
                </c:pt>
                <c:pt idx="50">
                  <c:v>6015</c:v>
                </c:pt>
                <c:pt idx="51">
                  <c:v>828</c:v>
                </c:pt>
                <c:pt idx="52">
                  <c:v>1813.0000000000002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524.99999999999989</c:v>
                </c:pt>
                <c:pt idx="1">
                  <c:v>38</c:v>
                </c:pt>
                <c:pt idx="2">
                  <c:v>8736</c:v>
                </c:pt>
                <c:pt idx="3">
                  <c:v>-203.99999999999977</c:v>
                </c:pt>
                <c:pt idx="4">
                  <c:v>8204</c:v>
                </c:pt>
                <c:pt idx="5">
                  <c:v>681.99999999999989</c:v>
                </c:pt>
                <c:pt idx="6">
                  <c:v>-410.00000000000023</c:v>
                </c:pt>
                <c:pt idx="7">
                  <c:v>40</c:v>
                </c:pt>
                <c:pt idx="8">
                  <c:v>-363.00000000000045</c:v>
                </c:pt>
                <c:pt idx="9">
                  <c:v>-457</c:v>
                </c:pt>
                <c:pt idx="10">
                  <c:v>-2524</c:v>
                </c:pt>
                <c:pt idx="11">
                  <c:v>561</c:v>
                </c:pt>
                <c:pt idx="12">
                  <c:v>-32</c:v>
                </c:pt>
                <c:pt idx="13">
                  <c:v>250</c:v>
                </c:pt>
                <c:pt idx="14">
                  <c:v>3654</c:v>
                </c:pt>
                <c:pt idx="15">
                  <c:v>137.99999999999989</c:v>
                </c:pt>
                <c:pt idx="16">
                  <c:v>124.00000000000011</c:v>
                </c:pt>
                <c:pt idx="17">
                  <c:v>-164</c:v>
                </c:pt>
                <c:pt idx="18">
                  <c:v>1086.0000000000009</c:v>
                </c:pt>
                <c:pt idx="19">
                  <c:v>-441.99999999999955</c:v>
                </c:pt>
                <c:pt idx="20">
                  <c:v>6876.0000000000009</c:v>
                </c:pt>
                <c:pt idx="21">
                  <c:v>8545.0000000000018</c:v>
                </c:pt>
                <c:pt idx="22">
                  <c:v>7148</c:v>
                </c:pt>
                <c:pt idx="23">
                  <c:v>336.00000000000023</c:v>
                </c:pt>
                <c:pt idx="24">
                  <c:v>1870.9999999999991</c:v>
                </c:pt>
                <c:pt idx="25">
                  <c:v>212</c:v>
                </c:pt>
                <c:pt idx="26">
                  <c:v>3978</c:v>
                </c:pt>
                <c:pt idx="27">
                  <c:v>165.00000000000011</c:v>
                </c:pt>
                <c:pt idx="28">
                  <c:v>950.99999999999955</c:v>
                </c:pt>
                <c:pt idx="29">
                  <c:v>-180</c:v>
                </c:pt>
                <c:pt idx="30">
                  <c:v>5582.9999999999982</c:v>
                </c:pt>
                <c:pt idx="31">
                  <c:v>179</c:v>
                </c:pt>
                <c:pt idx="32">
                  <c:v>3971</c:v>
                </c:pt>
                <c:pt idx="33">
                  <c:v>1828</c:v>
                </c:pt>
                <c:pt idx="34">
                  <c:v>-3369</c:v>
                </c:pt>
                <c:pt idx="35">
                  <c:v>1704.9999999999998</c:v>
                </c:pt>
                <c:pt idx="36">
                  <c:v>1760</c:v>
                </c:pt>
                <c:pt idx="37">
                  <c:v>973.00000000000023</c:v>
                </c:pt>
                <c:pt idx="38">
                  <c:v>17245.000000000004</c:v>
                </c:pt>
                <c:pt idx="39">
                  <c:v>1983</c:v>
                </c:pt>
                <c:pt idx="40">
                  <c:v>2270</c:v>
                </c:pt>
                <c:pt idx="41">
                  <c:v>657</c:v>
                </c:pt>
                <c:pt idx="42">
                  <c:v>27594.999999999993</c:v>
                </c:pt>
                <c:pt idx="43">
                  <c:v>1023</c:v>
                </c:pt>
                <c:pt idx="44">
                  <c:v>3576</c:v>
                </c:pt>
                <c:pt idx="45">
                  <c:v>1623</c:v>
                </c:pt>
                <c:pt idx="46">
                  <c:v>-1052.0000000000005</c:v>
                </c:pt>
                <c:pt idx="47">
                  <c:v>258</c:v>
                </c:pt>
                <c:pt idx="48">
                  <c:v>1240</c:v>
                </c:pt>
                <c:pt idx="49">
                  <c:v>-245</c:v>
                </c:pt>
                <c:pt idx="50">
                  <c:v>3811</c:v>
                </c:pt>
                <c:pt idx="51">
                  <c:v>-247</c:v>
                </c:pt>
                <c:pt idx="52">
                  <c:v>2308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587968"/>
        <c:axId val="245589504"/>
      </c:barChart>
      <c:catAx>
        <c:axId val="24558796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45589504"/>
        <c:crosses val="autoZero"/>
        <c:auto val="1"/>
        <c:lblAlgn val="ctr"/>
        <c:lblOffset val="100"/>
        <c:noMultiLvlLbl val="0"/>
      </c:catAx>
      <c:valAx>
        <c:axId val="24558950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5587968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0.91539999999999999</c:v>
                </c:pt>
                <c:pt idx="1">
                  <c:v>0.83809999999999996</c:v>
                </c:pt>
                <c:pt idx="2">
                  <c:v>0.7601</c:v>
                </c:pt>
                <c:pt idx="3">
                  <c:v>0.68110000000000004</c:v>
                </c:pt>
                <c:pt idx="4">
                  <c:v>0.60099999999999998</c:v>
                </c:pt>
                <c:pt idx="5">
                  <c:v>0.51959999999999995</c:v>
                </c:pt>
                <c:pt idx="6">
                  <c:v>0.43659999999999999</c:v>
                </c:pt>
                <c:pt idx="7">
                  <c:v>0.3518</c:v>
                </c:pt>
                <c:pt idx="8">
                  <c:v>0.26419999999999999</c:v>
                </c:pt>
                <c:pt idx="9">
                  <c:v>0.17280000000000001</c:v>
                </c:pt>
                <c:pt idx="10">
                  <c:v>7.3499999999999996E-2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6.7388000000000003</c:v>
                </c:pt>
                <c:pt idx="1">
                  <c:v>6.5217000000000001</c:v>
                </c:pt>
                <c:pt idx="2">
                  <c:v>6.3067000000000002</c:v>
                </c:pt>
                <c:pt idx="3">
                  <c:v>6.0812999999999997</c:v>
                </c:pt>
                <c:pt idx="4">
                  <c:v>5.8507999999999996</c:v>
                </c:pt>
                <c:pt idx="5">
                  <c:v>5.6093999999999999</c:v>
                </c:pt>
                <c:pt idx="6">
                  <c:v>5.3532999999999999</c:v>
                </c:pt>
                <c:pt idx="7">
                  <c:v>5.1054000000000004</c:v>
                </c:pt>
                <c:pt idx="8">
                  <c:v>4.8499999999999996</c:v>
                </c:pt>
                <c:pt idx="9">
                  <c:v>4.5861000000000001</c:v>
                </c:pt>
                <c:pt idx="10">
                  <c:v>4.2568000000000001</c:v>
                </c:pt>
                <c:pt idx="11">
                  <c:v>3.9676999999999998</c:v>
                </c:pt>
                <c:pt idx="12">
                  <c:v>3.6956000000000002</c:v>
                </c:pt>
                <c:pt idx="13">
                  <c:v>3.3664999999999998</c:v>
                </c:pt>
                <c:pt idx="14">
                  <c:v>3.0329000000000002</c:v>
                </c:pt>
                <c:pt idx="15">
                  <c:v>2.6469999999999998</c:v>
                </c:pt>
                <c:pt idx="16">
                  <c:v>2.1949000000000001</c:v>
                </c:pt>
                <c:pt idx="17">
                  <c:v>1.5557000000000001</c:v>
                </c:pt>
                <c:pt idx="18">
                  <c:v>0.77680000000000005</c:v>
                </c:pt>
                <c:pt idx="19">
                  <c:v>0.76200000000000001</c:v>
                </c:pt>
                <c:pt idx="20">
                  <c:v>0.84279999999999999</c:v>
                </c:pt>
                <c:pt idx="21">
                  <c:v>0.92300000000000004</c:v>
                </c:pt>
                <c:pt idx="22">
                  <c:v>1.0026999999999999</c:v>
                </c:pt>
                <c:pt idx="23">
                  <c:v>1.0820000000000001</c:v>
                </c:pt>
                <c:pt idx="24">
                  <c:v>1.1608000000000001</c:v>
                </c:pt>
                <c:pt idx="25">
                  <c:v>1.2394000000000001</c:v>
                </c:pt>
                <c:pt idx="26">
                  <c:v>1.3176000000000001</c:v>
                </c:pt>
                <c:pt idx="27">
                  <c:v>1.3956</c:v>
                </c:pt>
                <c:pt idx="28">
                  <c:v>1.4733000000000001</c:v>
                </c:pt>
                <c:pt idx="29">
                  <c:v>1.5508</c:v>
                </c:pt>
                <c:pt idx="30">
                  <c:v>1.6281000000000001</c:v>
                </c:pt>
                <c:pt idx="31">
                  <c:v>1.7053</c:v>
                </c:pt>
                <c:pt idx="32">
                  <c:v>1.7823</c:v>
                </c:pt>
                <c:pt idx="33">
                  <c:v>1.8591</c:v>
                </c:pt>
                <c:pt idx="34">
                  <c:v>1.9359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23424"/>
        <c:axId val="245629312"/>
      </c:scatterChart>
      <c:valAx>
        <c:axId val="24562342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45629312"/>
        <c:crosses val="autoZero"/>
        <c:crossBetween val="midCat"/>
      </c:valAx>
      <c:valAx>
        <c:axId val="245629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456234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0.62339999999999995</c:v>
                </c:pt>
                <c:pt idx="1">
                  <c:v>0.52849999999999997</c:v>
                </c:pt>
                <c:pt idx="2">
                  <c:v>0.43149999999999999</c:v>
                </c:pt>
                <c:pt idx="3">
                  <c:v>0.33179999999999998</c:v>
                </c:pt>
                <c:pt idx="4">
                  <c:v>0.22800000000000001</c:v>
                </c:pt>
                <c:pt idx="5">
                  <c:v>0.1171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7.2458</c:v>
                </c:pt>
                <c:pt idx="1">
                  <c:v>6.9668999999999999</c:v>
                </c:pt>
                <c:pt idx="2">
                  <c:v>6.6809000000000003</c:v>
                </c:pt>
                <c:pt idx="3">
                  <c:v>6.3871000000000002</c:v>
                </c:pt>
                <c:pt idx="4">
                  <c:v>6.0843999999999996</c:v>
                </c:pt>
                <c:pt idx="5">
                  <c:v>5.7714999999999996</c:v>
                </c:pt>
                <c:pt idx="6">
                  <c:v>5.4432999999999998</c:v>
                </c:pt>
                <c:pt idx="7">
                  <c:v>5.1044</c:v>
                </c:pt>
                <c:pt idx="8">
                  <c:v>4.7518000000000002</c:v>
                </c:pt>
                <c:pt idx="9">
                  <c:v>4.3708999999999998</c:v>
                </c:pt>
                <c:pt idx="10">
                  <c:v>3.9618000000000002</c:v>
                </c:pt>
                <c:pt idx="11">
                  <c:v>3.5926</c:v>
                </c:pt>
                <c:pt idx="12">
                  <c:v>3.1482999999999999</c:v>
                </c:pt>
                <c:pt idx="13">
                  <c:v>2.4304999999999999</c:v>
                </c:pt>
                <c:pt idx="14">
                  <c:v>1.59</c:v>
                </c:pt>
                <c:pt idx="15">
                  <c:v>1.0749</c:v>
                </c:pt>
                <c:pt idx="16">
                  <c:v>1.0396000000000001</c:v>
                </c:pt>
                <c:pt idx="17">
                  <c:v>1.1317999999999999</c:v>
                </c:pt>
                <c:pt idx="18">
                  <c:v>1.2235</c:v>
                </c:pt>
                <c:pt idx="19">
                  <c:v>1.3148</c:v>
                </c:pt>
                <c:pt idx="20">
                  <c:v>1.4056999999999999</c:v>
                </c:pt>
                <c:pt idx="21">
                  <c:v>1.4963</c:v>
                </c:pt>
                <c:pt idx="22">
                  <c:v>1.5866</c:v>
                </c:pt>
                <c:pt idx="23">
                  <c:v>1.6766000000000001</c:v>
                </c:pt>
                <c:pt idx="24">
                  <c:v>1.7664</c:v>
                </c:pt>
                <c:pt idx="25">
                  <c:v>1.8559000000000001</c:v>
                </c:pt>
                <c:pt idx="26">
                  <c:v>1.9454</c:v>
                </c:pt>
                <c:pt idx="27">
                  <c:v>2.0346000000000002</c:v>
                </c:pt>
                <c:pt idx="28">
                  <c:v>2.1236999999999999</c:v>
                </c:pt>
                <c:pt idx="29">
                  <c:v>2.2126999999999999</c:v>
                </c:pt>
                <c:pt idx="30">
                  <c:v>2.3016000000000001</c:v>
                </c:pt>
                <c:pt idx="31">
                  <c:v>2.3904000000000001</c:v>
                </c:pt>
                <c:pt idx="32">
                  <c:v>2.4792000000000001</c:v>
                </c:pt>
                <c:pt idx="33">
                  <c:v>2.5678999999999998</c:v>
                </c:pt>
                <c:pt idx="34">
                  <c:v>2.6564999999999999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41600"/>
        <c:axId val="245643136"/>
      </c:scatterChart>
      <c:valAx>
        <c:axId val="24564160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45643136"/>
        <c:crosses val="autoZero"/>
        <c:crossBetween val="midCat"/>
      </c:valAx>
      <c:valAx>
        <c:axId val="2456431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456416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1.5992</c:v>
                </c:pt>
                <c:pt idx="1">
                  <c:v>1.5307999999999999</c:v>
                </c:pt>
                <c:pt idx="2">
                  <c:v>1.4619</c:v>
                </c:pt>
                <c:pt idx="3">
                  <c:v>1.3927</c:v>
                </c:pt>
                <c:pt idx="4">
                  <c:v>1.3230999999999999</c:v>
                </c:pt>
                <c:pt idx="5">
                  <c:v>1.2531000000000001</c:v>
                </c:pt>
                <c:pt idx="6">
                  <c:v>1.1805000000000001</c:v>
                </c:pt>
                <c:pt idx="7">
                  <c:v>1.1097999999999999</c:v>
                </c:pt>
                <c:pt idx="8">
                  <c:v>1.0386</c:v>
                </c:pt>
                <c:pt idx="9">
                  <c:v>0.96679999999999999</c:v>
                </c:pt>
                <c:pt idx="10">
                  <c:v>0.89439999999999997</c:v>
                </c:pt>
                <c:pt idx="11">
                  <c:v>0.82130000000000003</c:v>
                </c:pt>
                <c:pt idx="12">
                  <c:v>0.74809999999999999</c:v>
                </c:pt>
                <c:pt idx="13">
                  <c:v>0.6744</c:v>
                </c:pt>
                <c:pt idx="14">
                  <c:v>0.59809999999999997</c:v>
                </c:pt>
                <c:pt idx="15">
                  <c:v>0.25</c:v>
                </c:pt>
                <c:pt idx="16">
                  <c:v>0.44290000000000002</c:v>
                </c:pt>
                <c:pt idx="17">
                  <c:v>0.36330000000000001</c:v>
                </c:pt>
                <c:pt idx="18">
                  <c:v>0.28139999999999998</c:v>
                </c:pt>
                <c:pt idx="19">
                  <c:v>0.19789999999999999</c:v>
                </c:pt>
                <c:pt idx="20">
                  <c:v>0.1085</c:v>
                </c:pt>
                <c:pt idx="21">
                  <c:v>2.8500000000000001E-2</c:v>
                </c:pt>
                <c:pt idx="22">
                  <c:v>0.15160000000000001</c:v>
                </c:pt>
                <c:pt idx="23">
                  <c:v>0.35610000000000003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2.6204000000000001</c:v>
                </c:pt>
                <c:pt idx="44">
                  <c:v>2.7231000000000001</c:v>
                </c:pt>
                <c:pt idx="45">
                  <c:v>2.8254999999999999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2.3123</c:v>
                </c:pt>
                <c:pt idx="1">
                  <c:v>2.2202000000000002</c:v>
                </c:pt>
                <c:pt idx="2">
                  <c:v>2.1507000000000001</c:v>
                </c:pt>
                <c:pt idx="3">
                  <c:v>2.0564</c:v>
                </c:pt>
                <c:pt idx="4">
                  <c:v>1.323</c:v>
                </c:pt>
                <c:pt idx="5">
                  <c:v>1.2527999999999999</c:v>
                </c:pt>
                <c:pt idx="6">
                  <c:v>1.1800999999999999</c:v>
                </c:pt>
                <c:pt idx="7">
                  <c:v>1.4089</c:v>
                </c:pt>
                <c:pt idx="8">
                  <c:v>1.3222</c:v>
                </c:pt>
                <c:pt idx="9">
                  <c:v>1.2686999999999999</c:v>
                </c:pt>
                <c:pt idx="10">
                  <c:v>1.2565</c:v>
                </c:pt>
                <c:pt idx="11">
                  <c:v>1.2188000000000001</c:v>
                </c:pt>
                <c:pt idx="12">
                  <c:v>1.1177999999999999</c:v>
                </c:pt>
                <c:pt idx="13">
                  <c:v>1.0152000000000001</c:v>
                </c:pt>
                <c:pt idx="14">
                  <c:v>0.91069999999999995</c:v>
                </c:pt>
                <c:pt idx="15">
                  <c:v>0.25</c:v>
                </c:pt>
                <c:pt idx="16">
                  <c:v>0.69479999999999997</c:v>
                </c:pt>
                <c:pt idx="17">
                  <c:v>0.58230000000000004</c:v>
                </c:pt>
                <c:pt idx="18">
                  <c:v>0.46550000000000002</c:v>
                </c:pt>
                <c:pt idx="19">
                  <c:v>0.25</c:v>
                </c:pt>
                <c:pt idx="20">
                  <c:v>0.2137</c:v>
                </c:pt>
                <c:pt idx="21">
                  <c:v>0.03</c:v>
                </c:pt>
                <c:pt idx="22">
                  <c:v>0.10730000000000001</c:v>
                </c:pt>
                <c:pt idx="23">
                  <c:v>0.1973</c:v>
                </c:pt>
                <c:pt idx="24">
                  <c:v>0.28160000000000002</c:v>
                </c:pt>
                <c:pt idx="25">
                  <c:v>0.36470000000000002</c:v>
                </c:pt>
                <c:pt idx="26">
                  <c:v>0.4456</c:v>
                </c:pt>
                <c:pt idx="27">
                  <c:v>0.52539999999999998</c:v>
                </c:pt>
                <c:pt idx="28">
                  <c:v>0.60429999999999995</c:v>
                </c:pt>
                <c:pt idx="29">
                  <c:v>0.68279999999999996</c:v>
                </c:pt>
                <c:pt idx="30">
                  <c:v>0.75900000000000001</c:v>
                </c:pt>
                <c:pt idx="31">
                  <c:v>0.83479999999999999</c:v>
                </c:pt>
                <c:pt idx="32">
                  <c:v>0.91080000000000005</c:v>
                </c:pt>
                <c:pt idx="33">
                  <c:v>0.98640000000000005</c:v>
                </c:pt>
                <c:pt idx="34">
                  <c:v>1.0616000000000001</c:v>
                </c:pt>
                <c:pt idx="35">
                  <c:v>1.1366000000000001</c:v>
                </c:pt>
                <c:pt idx="36">
                  <c:v>1.2112000000000001</c:v>
                </c:pt>
                <c:pt idx="37">
                  <c:v>1.2856000000000001</c:v>
                </c:pt>
                <c:pt idx="38">
                  <c:v>1.3624000000000001</c:v>
                </c:pt>
                <c:pt idx="39">
                  <c:v>1.4367000000000001</c:v>
                </c:pt>
                <c:pt idx="40">
                  <c:v>1.5107999999999999</c:v>
                </c:pt>
                <c:pt idx="41">
                  <c:v>1.5847</c:v>
                </c:pt>
                <c:pt idx="42">
                  <c:v>1.6586000000000001</c:v>
                </c:pt>
                <c:pt idx="43">
                  <c:v>1.7323</c:v>
                </c:pt>
                <c:pt idx="44">
                  <c:v>1.8059000000000001</c:v>
                </c:pt>
                <c:pt idx="45">
                  <c:v>1.8794999999999999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06112"/>
        <c:axId val="245707904"/>
      </c:scatterChart>
      <c:valAx>
        <c:axId val="24570611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45707904"/>
        <c:crosses val="autoZero"/>
        <c:crossBetween val="midCat"/>
      </c:valAx>
      <c:valAx>
        <c:axId val="2457079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457061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2.1414</c:v>
                </c:pt>
                <c:pt idx="1">
                  <c:v>2.0577999999999999</c:v>
                </c:pt>
                <c:pt idx="2">
                  <c:v>0.89380000000000004</c:v>
                </c:pt>
                <c:pt idx="3">
                  <c:v>1.8880999999999999</c:v>
                </c:pt>
                <c:pt idx="4">
                  <c:v>1.4366000000000001</c:v>
                </c:pt>
                <c:pt idx="5">
                  <c:v>1.7146999999999999</c:v>
                </c:pt>
                <c:pt idx="6">
                  <c:v>0.70489999999999997</c:v>
                </c:pt>
                <c:pt idx="7">
                  <c:v>0.94289999999999996</c:v>
                </c:pt>
                <c:pt idx="8">
                  <c:v>0.8256</c:v>
                </c:pt>
                <c:pt idx="9">
                  <c:v>1.3106</c:v>
                </c:pt>
                <c:pt idx="10">
                  <c:v>0.5131</c:v>
                </c:pt>
                <c:pt idx="11">
                  <c:v>0.58630000000000004</c:v>
                </c:pt>
                <c:pt idx="12">
                  <c:v>0.53839999999999999</c:v>
                </c:pt>
                <c:pt idx="13">
                  <c:v>0.73650000000000004</c:v>
                </c:pt>
                <c:pt idx="14">
                  <c:v>0.31319999999999998</c:v>
                </c:pt>
                <c:pt idx="15">
                  <c:v>0.75900000000000001</c:v>
                </c:pt>
                <c:pt idx="16">
                  <c:v>0.20860000000000001</c:v>
                </c:pt>
                <c:pt idx="17">
                  <c:v>0.1552</c:v>
                </c:pt>
                <c:pt idx="18">
                  <c:v>0.15010000000000001</c:v>
                </c:pt>
                <c:pt idx="19">
                  <c:v>6.5600000000000006E-2</c:v>
                </c:pt>
                <c:pt idx="20">
                  <c:v>0.1096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0.73540000000000005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1.6624000000000001</c:v>
                </c:pt>
                <c:pt idx="39">
                  <c:v>0.25</c:v>
                </c:pt>
                <c:pt idx="40">
                  <c:v>1.8125</c:v>
                </c:pt>
                <c:pt idx="41">
                  <c:v>0.25</c:v>
                </c:pt>
                <c:pt idx="42">
                  <c:v>1.9340999999999999</c:v>
                </c:pt>
                <c:pt idx="43">
                  <c:v>1.9468000000000001</c:v>
                </c:pt>
                <c:pt idx="44">
                  <c:v>2.0800999999999998</c:v>
                </c:pt>
                <c:pt idx="45">
                  <c:v>2.089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0.25</c:v>
                </c:pt>
                <c:pt idx="1">
                  <c:v>1.3694999999999999</c:v>
                </c:pt>
                <c:pt idx="2">
                  <c:v>0.25</c:v>
                </c:pt>
                <c:pt idx="3">
                  <c:v>1.4164000000000001</c:v>
                </c:pt>
                <c:pt idx="4">
                  <c:v>1.2934000000000001</c:v>
                </c:pt>
                <c:pt idx="5">
                  <c:v>1.2742</c:v>
                </c:pt>
                <c:pt idx="6">
                  <c:v>1.1540999999999999</c:v>
                </c:pt>
                <c:pt idx="7">
                  <c:v>1.1293</c:v>
                </c:pt>
                <c:pt idx="8">
                  <c:v>1.0118</c:v>
                </c:pt>
                <c:pt idx="9">
                  <c:v>0.99970000000000003</c:v>
                </c:pt>
                <c:pt idx="10">
                  <c:v>0.8901</c:v>
                </c:pt>
                <c:pt idx="11">
                  <c:v>0.96289999999999998</c:v>
                </c:pt>
                <c:pt idx="12">
                  <c:v>0.85329999999999995</c:v>
                </c:pt>
                <c:pt idx="13">
                  <c:v>0.76629999999999998</c:v>
                </c:pt>
                <c:pt idx="14">
                  <c:v>0.67700000000000005</c:v>
                </c:pt>
                <c:pt idx="15">
                  <c:v>0.62739999999999996</c:v>
                </c:pt>
                <c:pt idx="16">
                  <c:v>0.53820000000000001</c:v>
                </c:pt>
                <c:pt idx="17">
                  <c:v>0.25</c:v>
                </c:pt>
                <c:pt idx="18">
                  <c:v>0.25</c:v>
                </c:pt>
                <c:pt idx="19">
                  <c:v>6.1199999999999997E-2</c:v>
                </c:pt>
                <c:pt idx="20">
                  <c:v>6.2899999999999998E-2</c:v>
                </c:pt>
                <c:pt idx="21">
                  <c:v>0.15190000000000001</c:v>
                </c:pt>
                <c:pt idx="22">
                  <c:v>0.17080000000000001</c:v>
                </c:pt>
                <c:pt idx="23">
                  <c:v>0.64249999999999996</c:v>
                </c:pt>
                <c:pt idx="24">
                  <c:v>0.42130000000000001</c:v>
                </c:pt>
                <c:pt idx="25">
                  <c:v>0.31119999999999998</c:v>
                </c:pt>
                <c:pt idx="26">
                  <c:v>0.36299999999999999</c:v>
                </c:pt>
                <c:pt idx="27">
                  <c:v>1.0698000000000001</c:v>
                </c:pt>
                <c:pt idx="28">
                  <c:v>1.1698</c:v>
                </c:pt>
                <c:pt idx="29">
                  <c:v>1.268</c:v>
                </c:pt>
                <c:pt idx="30">
                  <c:v>0.56530000000000002</c:v>
                </c:pt>
                <c:pt idx="31">
                  <c:v>1.4598</c:v>
                </c:pt>
                <c:pt idx="32">
                  <c:v>1.4023000000000001</c:v>
                </c:pt>
                <c:pt idx="33">
                  <c:v>1.6468</c:v>
                </c:pt>
                <c:pt idx="34">
                  <c:v>1.2962</c:v>
                </c:pt>
                <c:pt idx="35">
                  <c:v>1.8299000000000001</c:v>
                </c:pt>
                <c:pt idx="36">
                  <c:v>1.9201999999999999</c:v>
                </c:pt>
                <c:pt idx="37">
                  <c:v>2.0099</c:v>
                </c:pt>
                <c:pt idx="38">
                  <c:v>1.1529</c:v>
                </c:pt>
                <c:pt idx="39">
                  <c:v>2.1871999999999998</c:v>
                </c:pt>
                <c:pt idx="40">
                  <c:v>1.9636</c:v>
                </c:pt>
                <c:pt idx="41">
                  <c:v>1.5768</c:v>
                </c:pt>
                <c:pt idx="42">
                  <c:v>1.6356999999999999</c:v>
                </c:pt>
                <c:pt idx="43">
                  <c:v>2.5354999999999999</c:v>
                </c:pt>
                <c:pt idx="44">
                  <c:v>2.6215000000000002</c:v>
                </c:pt>
                <c:pt idx="45">
                  <c:v>2.7069999999999999</c:v>
                </c:pt>
                <c:pt idx="46">
                  <c:v>2.7921999999999998</c:v>
                </c:pt>
                <c:pt idx="47">
                  <c:v>2.8771</c:v>
                </c:pt>
                <c:pt idx="48">
                  <c:v>1.6395999999999999</c:v>
                </c:pt>
                <c:pt idx="49">
                  <c:v>3.0459000000000001</c:v>
                </c:pt>
                <c:pt idx="50">
                  <c:v>1.5350999999999999</c:v>
                </c:pt>
                <c:pt idx="51">
                  <c:v>1.5829</c:v>
                </c:pt>
                <c:pt idx="52">
                  <c:v>1.6306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20550</c:v>
                </c:pt>
                <c:pt idx="1">
                  <c:v>20525</c:v>
                </c:pt>
                <c:pt idx="2">
                  <c:v>20500</c:v>
                </c:pt>
                <c:pt idx="3">
                  <c:v>20475</c:v>
                </c:pt>
                <c:pt idx="4">
                  <c:v>20450</c:v>
                </c:pt>
                <c:pt idx="5">
                  <c:v>20425</c:v>
                </c:pt>
                <c:pt idx="6">
                  <c:v>20400</c:v>
                </c:pt>
                <c:pt idx="7">
                  <c:v>20375</c:v>
                </c:pt>
                <c:pt idx="8">
                  <c:v>20350</c:v>
                </c:pt>
                <c:pt idx="9">
                  <c:v>20325</c:v>
                </c:pt>
                <c:pt idx="10">
                  <c:v>20300</c:v>
                </c:pt>
                <c:pt idx="11">
                  <c:v>20275</c:v>
                </c:pt>
                <c:pt idx="12">
                  <c:v>20250</c:v>
                </c:pt>
                <c:pt idx="13">
                  <c:v>20225</c:v>
                </c:pt>
                <c:pt idx="14">
                  <c:v>20200</c:v>
                </c:pt>
                <c:pt idx="15">
                  <c:v>20175</c:v>
                </c:pt>
                <c:pt idx="16">
                  <c:v>20150</c:v>
                </c:pt>
                <c:pt idx="17">
                  <c:v>20125</c:v>
                </c:pt>
                <c:pt idx="18">
                  <c:v>20100</c:v>
                </c:pt>
                <c:pt idx="19">
                  <c:v>20075</c:v>
                </c:pt>
                <c:pt idx="20">
                  <c:v>20050</c:v>
                </c:pt>
                <c:pt idx="21">
                  <c:v>20025</c:v>
                </c:pt>
                <c:pt idx="22">
                  <c:v>20000</c:v>
                </c:pt>
                <c:pt idx="23">
                  <c:v>19975</c:v>
                </c:pt>
                <c:pt idx="24">
                  <c:v>19950</c:v>
                </c:pt>
                <c:pt idx="25">
                  <c:v>19925</c:v>
                </c:pt>
                <c:pt idx="26">
                  <c:v>19900</c:v>
                </c:pt>
                <c:pt idx="27">
                  <c:v>19875</c:v>
                </c:pt>
                <c:pt idx="28">
                  <c:v>19850</c:v>
                </c:pt>
                <c:pt idx="29">
                  <c:v>19825</c:v>
                </c:pt>
                <c:pt idx="30">
                  <c:v>19800</c:v>
                </c:pt>
                <c:pt idx="31">
                  <c:v>19775</c:v>
                </c:pt>
                <c:pt idx="32">
                  <c:v>19750</c:v>
                </c:pt>
                <c:pt idx="33">
                  <c:v>19725</c:v>
                </c:pt>
                <c:pt idx="34">
                  <c:v>19700</c:v>
                </c:pt>
                <c:pt idx="35">
                  <c:v>19675</c:v>
                </c:pt>
                <c:pt idx="36">
                  <c:v>19650</c:v>
                </c:pt>
                <c:pt idx="37">
                  <c:v>19625</c:v>
                </c:pt>
                <c:pt idx="38">
                  <c:v>19600</c:v>
                </c:pt>
                <c:pt idx="39">
                  <c:v>19575</c:v>
                </c:pt>
                <c:pt idx="40">
                  <c:v>19550</c:v>
                </c:pt>
                <c:pt idx="41">
                  <c:v>19525</c:v>
                </c:pt>
                <c:pt idx="42">
                  <c:v>19500</c:v>
                </c:pt>
                <c:pt idx="43">
                  <c:v>19475</c:v>
                </c:pt>
                <c:pt idx="44">
                  <c:v>19450</c:v>
                </c:pt>
                <c:pt idx="45">
                  <c:v>19425</c:v>
                </c:pt>
                <c:pt idx="46">
                  <c:v>19400</c:v>
                </c:pt>
                <c:pt idx="47">
                  <c:v>19375</c:v>
                </c:pt>
                <c:pt idx="48">
                  <c:v>19350</c:v>
                </c:pt>
                <c:pt idx="49">
                  <c:v>19325</c:v>
                </c:pt>
                <c:pt idx="50">
                  <c:v>19300</c:v>
                </c:pt>
                <c:pt idx="51">
                  <c:v>19275</c:v>
                </c:pt>
                <c:pt idx="52">
                  <c:v>19250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57056"/>
        <c:axId val="245758592"/>
      </c:scatterChart>
      <c:valAx>
        <c:axId val="24575705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45758592"/>
        <c:crosses val="autoZero"/>
        <c:crossBetween val="midCat"/>
      </c:valAx>
      <c:valAx>
        <c:axId val="2457585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457570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977"/>
  <sheetViews>
    <sheetView tabSelected="1" zoomScale="80" zoomScaleNormal="80" workbookViewId="0">
      <pane xSplit="1" ySplit="2" topLeftCell="EU919" activePane="bottomRight" state="frozen"/>
      <selection pane="topRight" activeCell="B1" sqref="B1"/>
      <selection pane="bottomLeft" activeCell="A3" sqref="A3"/>
      <selection pane="bottomRight" activeCell="EX953" sqref="EX953"/>
    </sheetView>
  </sheetViews>
  <sheetFormatPr baseColWidth="10" defaultRowHeight="12.75" outlineLevelCol="1" x14ac:dyDescent="0.2"/>
  <cols>
    <col min="1" max="1" width="12.140625" style="20" customWidth="1"/>
    <col min="2" max="5" width="11.5703125" style="20" hidden="1" customWidth="1" outlineLevel="1"/>
    <col min="6" max="6" width="12" style="20" customWidth="1" collapsed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3867</v>
      </c>
      <c r="F1" s="20">
        <f>+[1]Sheet1!$AD$2</f>
        <v>563.71640519697416</v>
      </c>
      <c r="G1" s="9" t="s">
        <v>11</v>
      </c>
      <c r="I1" s="104">
        <f ca="1">NOW()</f>
        <v>45788.809315625003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250509</v>
      </c>
      <c r="AQ1" s="21"/>
      <c r="AR1" s="21"/>
      <c r="AS1" s="22" t="str">
        <f>+B2</f>
        <v>250509</v>
      </c>
      <c r="AT1" s="22" t="str">
        <f>+AS1</f>
        <v>250509</v>
      </c>
      <c r="AU1" s="22" t="str">
        <f>+C2</f>
        <v>250516</v>
      </c>
      <c r="AV1" s="22" t="str">
        <f>+AU1</f>
        <v>250516</v>
      </c>
      <c r="AW1" s="22" t="str">
        <f>+D2</f>
        <v>250620</v>
      </c>
      <c r="AX1" s="22" t="str">
        <f>+AW1</f>
        <v>250620</v>
      </c>
      <c r="AY1" s="23">
        <f>+A3</f>
        <v>571.44000000000005</v>
      </c>
      <c r="BA1" s="22" t="str">
        <f>+AS1</f>
        <v>250509</v>
      </c>
      <c r="BB1" s="22"/>
      <c r="BC1" s="22" t="str">
        <f>+AU1</f>
        <v>250516</v>
      </c>
      <c r="BD1" s="22"/>
      <c r="BE1" s="22" t="str">
        <f>+AW1</f>
        <v>250620</v>
      </c>
      <c r="BF1" s="22">
        <f>+AY1</f>
        <v>571.44000000000005</v>
      </c>
      <c r="BG1" s="95"/>
      <c r="BH1" s="23">
        <f ca="1">MAX(BH4:BH38)</f>
        <v>334368</v>
      </c>
      <c r="BI1" s="1">
        <f ca="1">IFERROR(IF(MAX(BH4:BH38)&lt;&gt;0,INDEX(A4:A38,MATCH(MAX(BH4:BH38),BH4:BH38,0)),""),"")</f>
        <v>567</v>
      </c>
      <c r="BJ1" s="22"/>
      <c r="BK1" s="22"/>
      <c r="BL1" s="22"/>
      <c r="BM1" s="22"/>
      <c r="BN1" s="22"/>
      <c r="BO1" s="22"/>
      <c r="BP1" s="64">
        <v>1</v>
      </c>
      <c r="BQ1" s="22" t="e">
        <f ca="1">IF(BR1&gt;BR2,IF(MAX(BQ4:BQ38)&lt;&gt;0,INDEX(A4:A38,MATCH(MAX(BQ4:BQ38),BQ4:BQ38,0)),A3),IF(MIN(BQ4:BQ38)&lt;&gt;0,INDEX(A4:A38,MATCH(MIN(BQ4:BQ38),BQ4:BQ38,0))))</f>
        <v>#NUM!</v>
      </c>
      <c r="BR1" s="22" t="e">
        <f ca="1">+MAX(BQ4:BQ38)</f>
        <v>#NUM!</v>
      </c>
      <c r="BS1" s="22">
        <f ca="1">IF(BT1&gt;BT2,IF(MAX(BS4:BS38)&lt;&gt;0,INDEX(A4:A38,MATCH(MAX(BS4:BS38),BS4:BS38,0)),A3),IF(MIN(BS4:BS38)&lt;&gt;0,INDEX(A4:A38,MATCH(MIN(BS4:BS38),BS4:BS38,0))))</f>
        <v>575</v>
      </c>
      <c r="BT1" s="22">
        <f ca="1">+MAX(BS4:BS38)</f>
        <v>548983115.86860633</v>
      </c>
      <c r="BU1" s="22">
        <f ca="1">IF(BV1&gt;BV2,IF(MAX(BU4:BU38)&lt;&gt;0,INDEX(A4:A38,MATCH(MAX(BU4:BU38),BU4:BU38,0)),A3),IF(MIN(BU4:BU38)&lt;&gt;0,INDEX(A4:A38,MATCH(MIN(BU4:BU38),BU4:BU38,0))))</f>
        <v>580</v>
      </c>
      <c r="BV1" s="22">
        <f ca="1">+MAX(BU4:BU38)</f>
        <v>866931279.90850472</v>
      </c>
      <c r="BX1" s="22" t="e">
        <f ca="1">IF(BY1&gt;BZ1,IF(MAX(BX4:BX38)&lt;&gt;0,INDEX(G4:G38,MATCH(MAX(BX4:BX38),BX4:BX38,0)),G3),IF(MIN(BX4:BX38)&lt;&gt;0,INDEX(G4:G38,MATCH(MIN(BX4:BX38),BX4:BX38,0))))</f>
        <v>#NUM!</v>
      </c>
      <c r="BY1" s="22" t="e">
        <f ca="1">+MAX(BX4:BX38)</f>
        <v>#NUM!</v>
      </c>
      <c r="BZ1" s="22" t="e">
        <f ca="1">ABS(MIN(BX4:BX38))</f>
        <v>#NUM!</v>
      </c>
      <c r="CA1" s="22"/>
      <c r="CB1" s="22"/>
      <c r="CC1" s="22" t="e">
        <f ca="1">+AVERAGE(BY39:BY40,CA39:CA40,CC39:CC40)</f>
        <v>#N/A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1710236</v>
      </c>
      <c r="CM1" s="22">
        <f>ABS(MIN(CK4:CK38))</f>
        <v>8418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567</v>
      </c>
      <c r="CR1" s="22">
        <f>+MAX(CQ4:CQ38)</f>
        <v>324710</v>
      </c>
      <c r="CS1" s="22">
        <f>ABS(MIN(CQ4:CQ38))</f>
        <v>258340</v>
      </c>
      <c r="CT1" s="22"/>
      <c r="CU1" s="22"/>
      <c r="CV1" s="22"/>
      <c r="CW1" s="22" t="e">
        <f ca="1">IF(CX1&gt;CY1,IF(MAX(CW4:CW38)&lt;&gt;0,INDEX(A4:A38,MATCH(MAX(CW4:CW38),CW4:CW38,0)),M3),IF(MIN(CW4:CW38)&lt;&gt;0,INDEX(A4:A38,MATCH(MIN(CW4:CW38),CW4:CW38,0))))</f>
        <v>#NUM!</v>
      </c>
      <c r="CX1" s="61" t="e">
        <f ca="1">+MAX(CW4:CW38)</f>
        <v>#NUM!</v>
      </c>
      <c r="CY1" s="22" t="e">
        <f ca="1">ABS(MIN(CW4:CW38))</f>
        <v>#NUM!</v>
      </c>
      <c r="DA1" s="22" t="str">
        <f>+B2</f>
        <v>250509</v>
      </c>
      <c r="DB1" s="22"/>
      <c r="DC1" s="22" t="str">
        <f>+DA1</f>
        <v>250509</v>
      </c>
      <c r="DD1" s="22"/>
      <c r="DE1" s="22" t="str">
        <f>+DC1</f>
        <v>250509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45788.809315625003</v>
      </c>
      <c r="EL1" s="87">
        <f>B42+$DX$1</f>
        <v>45786.677083333336</v>
      </c>
      <c r="EM1" s="88">
        <f ca="1">+EL1-$EK$1</f>
        <v>-2.1322322916676058</v>
      </c>
      <c r="EN1" s="87">
        <f>C42+$DX$1</f>
        <v>45793.677083333336</v>
      </c>
      <c r="EO1" s="88">
        <f ca="1">+EN1-$EK$1</f>
        <v>4.8677677083323942</v>
      </c>
      <c r="EP1" s="87">
        <f>D42+$DX$1</f>
        <v>45828.677083333336</v>
      </c>
      <c r="EQ1" s="88">
        <f ca="1">+EP1-$EK$1</f>
        <v>39.867767708332394</v>
      </c>
      <c r="ES1" s="66"/>
    </row>
    <row r="2" spans="1:162" ht="13.5" thickBot="1" x14ac:dyDescent="0.25">
      <c r="A2" s="24" t="s">
        <v>13</v>
      </c>
      <c r="B2" s="18" t="str">
        <f>+TEXT(B42,"YYMMDD")</f>
        <v>250509</v>
      </c>
      <c r="C2" s="18" t="str">
        <f>+TEXT(C42,"YYMMDD")</f>
        <v>250516</v>
      </c>
      <c r="D2" s="18" t="str">
        <f>+TEXT(D42,"YYMMDD")</f>
        <v>250620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 t="e">
        <f ca="1">ABS(+MIN(BQ4:BQ38))</f>
        <v>#NUM!</v>
      </c>
      <c r="BS2" s="22" t="s">
        <v>11</v>
      </c>
      <c r="BT2" s="25">
        <f ca="1">ABS(+MIN(BS4:BS38))</f>
        <v>220843107.6422171</v>
      </c>
      <c r="BU2" s="22" t="s">
        <v>11</v>
      </c>
      <c r="BV2" s="25">
        <f ca="1">ABS(+MIN(BU4:BU38))</f>
        <v>170804247.51119101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-2.1322322916676058</v>
      </c>
      <c r="ET2" s="64" t="s">
        <v>22</v>
      </c>
    </row>
    <row r="3" spans="1:162" s="63" customFormat="1" ht="13.5" thickBot="1" x14ac:dyDescent="0.25">
      <c r="A3" s="26">
        <f>RTD("tos.rtd", ,"MARK", A2)</f>
        <v>571.44000000000005</v>
      </c>
      <c r="B3" s="27">
        <f>+AS3/AT3</f>
        <v>-1.1841340185124072</v>
      </c>
      <c r="C3" s="27">
        <f>+AU3/AV3</f>
        <v>-1.0910256410256409</v>
      </c>
      <c r="D3" s="27">
        <f>+AW3/AX3</f>
        <v>-1.5388985360059122</v>
      </c>
      <c r="E3" s="28">
        <v>0</v>
      </c>
      <c r="F3" s="26">
        <f>RTD("tos.rtd", ,"MARK", F2)</f>
        <v>5750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2641752</v>
      </c>
      <c r="AQ3" s="1">
        <v>-2217524</v>
      </c>
      <c r="AR3" s="1"/>
      <c r="AS3" s="13">
        <f t="shared" ref="AS3:AX3" si="0">SUM(AS4:AS38)</f>
        <v>226050</v>
      </c>
      <c r="AT3" s="29">
        <f t="shared" si="0"/>
        <v>-190899</v>
      </c>
      <c r="AU3" s="13">
        <f t="shared" si="0"/>
        <v>289340</v>
      </c>
      <c r="AV3" s="29">
        <f t="shared" si="0"/>
        <v>-265200</v>
      </c>
      <c r="AW3" s="13">
        <f t="shared" si="0"/>
        <v>339421</v>
      </c>
      <c r="AX3" s="29">
        <f t="shared" si="0"/>
        <v>-220561</v>
      </c>
      <c r="AY3" s="29">
        <f>SUM(AY4:AY38)</f>
        <v>178151</v>
      </c>
      <c r="AZ3" s="1">
        <v>0</v>
      </c>
      <c r="BA3" s="13">
        <f t="shared" ref="BA3:BF3" si="1">SUM(BA4:BA38)</f>
        <v>2660973</v>
      </c>
      <c r="BB3" s="29">
        <f t="shared" si="1"/>
        <v>-2243459</v>
      </c>
      <c r="BC3" s="13">
        <f t="shared" si="1"/>
        <v>182950</v>
      </c>
      <c r="BD3" s="29">
        <f t="shared" si="1"/>
        <v>-174896</v>
      </c>
      <c r="BE3" s="13">
        <f t="shared" si="1"/>
        <v>19334</v>
      </c>
      <c r="BF3" s="29">
        <f t="shared" si="1"/>
        <v>-36775</v>
      </c>
      <c r="BG3" s="31"/>
      <c r="BH3" s="29">
        <f ca="1">SUM(BH4:BH38)</f>
        <v>404153</v>
      </c>
      <c r="BI3" s="1"/>
      <c r="BJ3" s="3" t="e">
        <f t="shared" ref="BJ3:BO3" ca="1" si="2">SUM(BJ4:BJ38)</f>
        <v>#NUM!</v>
      </c>
      <c r="BK3" s="3" t="e">
        <f t="shared" ca="1" si="2"/>
        <v>#NUM!</v>
      </c>
      <c r="BL3" s="3">
        <f t="shared" ca="1" si="2"/>
        <v>0.87398443572075446</v>
      </c>
      <c r="BM3" s="3">
        <f t="shared" ca="1" si="2"/>
        <v>-0.43144402239947133</v>
      </c>
      <c r="BN3" s="3">
        <f t="shared" ca="1" si="2"/>
        <v>0.81253549623312737</v>
      </c>
      <c r="BO3" s="3">
        <f t="shared" ca="1" si="2"/>
        <v>-0.61575157138362679</v>
      </c>
      <c r="BQ3" s="3" t="e">
        <f ca="1">SUM(BQ4:BQ38)</f>
        <v>#NUM!</v>
      </c>
      <c r="BR3" s="3"/>
      <c r="BS3" s="3">
        <f ca="1">SUM(BS4:BS38)</f>
        <v>1462794071.2635932</v>
      </c>
      <c r="BT3" s="3"/>
      <c r="BU3" s="3">
        <f ca="1">SUM(BU4:BU38)</f>
        <v>1638536487.4181724</v>
      </c>
      <c r="BV3" s="3"/>
      <c r="BX3" s="3" t="e">
        <f ca="1">SUM(BX4:BX38)</f>
        <v>#NUM!</v>
      </c>
      <c r="BY3" s="3"/>
      <c r="BZ3" s="3">
        <f ca="1">SUM(BZ4:BZ38)</f>
        <v>1241880795.5882258</v>
      </c>
      <c r="CA3" s="3"/>
      <c r="CB3" s="3">
        <f ca="1">SUM(CB4:CB38)</f>
        <v>-3247017.0685266196</v>
      </c>
      <c r="CC3" s="3"/>
      <c r="CD3" s="3">
        <f t="shared" ref="CD3:CI3" si="3">SUM(CD4:CD38)</f>
        <v>24.12</v>
      </c>
      <c r="CE3" s="3">
        <f t="shared" si="3"/>
        <v>8.8899999999999988</v>
      </c>
      <c r="CF3" s="3">
        <f t="shared" si="3"/>
        <v>25.6</v>
      </c>
      <c r="CG3" s="3">
        <f t="shared" si="3"/>
        <v>13.330000000000002</v>
      </c>
      <c r="CH3" s="3">
        <f t="shared" si="3"/>
        <v>21.990000000000002</v>
      </c>
      <c r="CI3" s="3">
        <f t="shared" si="3"/>
        <v>14.560000000000002</v>
      </c>
      <c r="CK3" s="3">
        <f>SUM(CK4:CK38)</f>
        <v>11744744</v>
      </c>
      <c r="CL3" s="3"/>
      <c r="CM3" s="3">
        <f>SUM(CM4:CM38)</f>
        <v>12063074</v>
      </c>
      <c r="CN3" s="3"/>
      <c r="CO3" s="3">
        <f>SUM(CO4:CO38)</f>
        <v>11089928</v>
      </c>
      <c r="CP3" s="3"/>
      <c r="CQ3" s="3">
        <f>SUM(CQ4:CQ38)</f>
        <v>417514</v>
      </c>
      <c r="CR3" s="3"/>
      <c r="CS3" s="3">
        <f>SUM(CS4:CS38)</f>
        <v>8054</v>
      </c>
      <c r="CT3" s="3"/>
      <c r="CU3" s="3">
        <f>SUM(CU4:CU38)</f>
        <v>-17441</v>
      </c>
      <c r="CV3" s="3"/>
      <c r="CW3" s="3" t="e">
        <f ca="1">SUM(CW4:CW38)</f>
        <v>#NUM!</v>
      </c>
      <c r="CY3" s="3" t="e">
        <f ca="1">SUM(CY4:CY38)</f>
        <v>#NUM!</v>
      </c>
      <c r="DA3" s="3">
        <f t="shared" ref="DA3:DF3" si="4">SUM(DA4:DA38)</f>
        <v>140.85</v>
      </c>
      <c r="DB3" s="3">
        <f t="shared" si="4"/>
        <v>161.32999999999981</v>
      </c>
      <c r="DC3" s="3">
        <f t="shared" si="4"/>
        <v>156.88999999999999</v>
      </c>
      <c r="DD3" s="3">
        <f t="shared" si="4"/>
        <v>181.88999999999982</v>
      </c>
      <c r="DE3" s="3">
        <f t="shared" si="4"/>
        <v>128.65</v>
      </c>
      <c r="DF3" s="3">
        <f t="shared" si="4"/>
        <v>149.05999999999997</v>
      </c>
      <c r="DG3" s="86"/>
      <c r="DH3" s="3">
        <f t="shared" ref="DH3:DM3" si="5">SUM(DH4:DH38)</f>
        <v>12708.295682540751</v>
      </c>
      <c r="DI3" s="3">
        <f t="shared" si="5"/>
        <v>-19231.162296168186</v>
      </c>
      <c r="DJ3" s="3">
        <f t="shared" si="5"/>
        <v>7734</v>
      </c>
      <c r="DK3" s="3">
        <f t="shared" si="5"/>
        <v>-12427</v>
      </c>
      <c r="DL3" s="3">
        <f t="shared" si="5"/>
        <v>-6522.8666136274333</v>
      </c>
      <c r="DM3" s="3">
        <f t="shared" si="5"/>
        <v>-4693</v>
      </c>
      <c r="DP3" s="3">
        <f t="shared" ref="DP3:DS3" si="6">SUM(DP4:DP38)</f>
        <v>-2576.3143030516994</v>
      </c>
      <c r="DQ3" s="3">
        <f t="shared" si="6"/>
        <v>2066.4700000000003</v>
      </c>
      <c r="DR3" s="3" t="e">
        <f t="shared" ca="1" si="6"/>
        <v>#NUM!</v>
      </c>
      <c r="DS3" s="3">
        <f t="shared" si="6"/>
        <v>7875.3700000000008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11.6142</v>
      </c>
      <c r="EF3" s="3">
        <f t="shared" si="7"/>
        <v>104.15809999999999</v>
      </c>
      <c r="EG3" s="3">
        <f t="shared" si="7"/>
        <v>6.6487999999999996</v>
      </c>
      <c r="EH3" s="3">
        <f t="shared" si="7"/>
        <v>13.210700000000001</v>
      </c>
      <c r="EI3" s="3">
        <f t="shared" si="7"/>
        <v>4.8631000000000002</v>
      </c>
      <c r="EJ3" s="3">
        <f t="shared" si="7"/>
        <v>8.5565999999999995</v>
      </c>
      <c r="EK3" s="63" t="e">
        <f ca="1">SUM(EK4:EK38)</f>
        <v>#NUM!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5279</v>
      </c>
      <c r="C4" s="3">
        <f t="shared" ref="C4:C38" si="10">+IF($A$1="ABS",AU4-AV4,AU4+AV4)</f>
        <v>3824</v>
      </c>
      <c r="D4" s="3">
        <f t="shared" ref="D4:D38" si="11">+IF($A$1="ABS",AW4-AX4,AW4+AX4)</f>
        <v>862</v>
      </c>
      <c r="E4" s="3">
        <f t="shared" ref="E4:E38" si="12">SUM(B4:D4)</f>
        <v>9965</v>
      </c>
      <c r="F4" s="4">
        <f t="shared" ref="F4:F38" si="13">+$F$3/$A$3*A4</f>
        <v>5856.257874842503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210</v>
      </c>
      <c r="AN4" s="1">
        <v>-11</v>
      </c>
      <c r="AO4" s="1">
        <v>582</v>
      </c>
      <c r="AP4" s="1">
        <v>2146</v>
      </c>
      <c r="AQ4" s="1">
        <v>-40</v>
      </c>
      <c r="AR4" s="1"/>
      <c r="AS4" s="6">
        <f>IF(RTD("tos.rtd",,AS$2,"."&amp;$A$2&amp;$AS$1&amp;"C"&amp;$A4)="N/A",0,RTD("tos.rtd",,AS$2,"."&amp;$A$2&amp;$AS$1&amp;"C"&amp;$A4))</f>
        <v>5262</v>
      </c>
      <c r="AT4" s="7">
        <f>-IF(RTD("tos.rtd",,AT$2,"."&amp;$A$2&amp;$AS$1&amp;"P"&amp;$A4)="N/A",0,RTD("tos.rtd",,AT$2,"."&amp;$A$2&amp;$AS$1&amp;"P"&amp;$A4))</f>
        <v>-17</v>
      </c>
      <c r="AU4" s="6">
        <f>IF(RTD("tos.rtd",,AU$2,"."&amp;$A$2&amp;$AU$1&amp;"C"&amp;$A4)="N/A",0,RTD("tos.rtd",,AU$2,"."&amp;$A$2&amp;$AU$1&amp;"C"&amp;$A4))</f>
        <v>3822</v>
      </c>
      <c r="AV4" s="7">
        <f>-IF(RTD("tos.rtd",,AV$2,"."&amp;$A$2&amp;$AU$1&amp;"P"&amp;$A4)="N/A",0,RTD("tos.rtd",,AV$2,"."&amp;$A$2&amp;$AU$1&amp;"P"&amp;$A4))</f>
        <v>-2</v>
      </c>
      <c r="AW4" s="6">
        <f>IF(RTD("tos.rtd",,AW$2,"."&amp;$A$2&amp;$AW$1&amp;"C"&amp;$A4)="N/A",0,RTD("tos.rtd",,AW$2,"."&amp;$A$2&amp;$AW$1&amp;"C"&amp;$A4))</f>
        <v>845</v>
      </c>
      <c r="AX4" s="7">
        <f>-IF(RTD("tos.rtd",,AX$2,"."&amp;$A$2&amp;$AW$1&amp;"P"&amp;$A4)="N/A",0,RTD("tos.rtd",,AX$2,"."&amp;$A$2&amp;$AW$1&amp;"P"&amp;$A4))</f>
        <v>-17</v>
      </c>
      <c r="AY4" s="1">
        <f>SUM(AS4:AX4)</f>
        <v>9893</v>
      </c>
      <c r="AZ4" s="8">
        <f>+A4</f>
        <v>582</v>
      </c>
      <c r="BA4" s="30">
        <f>IF(RTD("tos.rtd",,BA$2,"."&amp;$A$2&amp;$AS$1&amp;"C"&amp;$A4)="N/A",0,RTD("tos.rtd",,BA$2,"."&amp;$A$2&amp;$AS$1&amp;"C"&amp;$A4))</f>
        <v>2148</v>
      </c>
      <c r="BB4" s="31">
        <f>-IF(RTD("tos.rtd",,BB$2,"."&amp;$A$2&amp;$AS$1&amp;"P"&amp;$A4)="N/A",0,RTD("tos.rtd",,BB$2,"."&amp;$A$2&amp;$AS$1&amp;"P"&amp;$A4))</f>
        <v>-40</v>
      </c>
      <c r="BC4" s="30">
        <f>IF(RTD("tos.rtd",,BC$2,"."&amp;$A$2&amp;$AU$1&amp;"C"&amp;$A4)="N/A",0,RTD("tos.rtd",,BC$2,"."&amp;$A$2&amp;$AU$1&amp;"C"&amp;$A4))</f>
        <v>3487</v>
      </c>
      <c r="BD4" s="31">
        <f>-IF(RTD("tos.rtd",,BD$2,"."&amp;$A$2&amp;$AU$1&amp;"P"&amp;$A4)="N/A",0,RTD("tos.rtd",,BD$2,"."&amp;$A$2&amp;$AU$1&amp;"P"&amp;$A4))</f>
        <v>-105</v>
      </c>
      <c r="BE4" s="30">
        <f>IF(RTD("tos.rtd",,BE$2,"."&amp;$A$2&amp;$AW$1&amp;"C"&amp;$A4)="N/A",0,RTD("tos.rtd",,BE$2,"."&amp;$A$2&amp;$AW$1&amp;"C"&amp;$A4))</f>
        <v>273</v>
      </c>
      <c r="BF4" s="99">
        <f>-IF(RTD("tos.rtd",,BF$2,"."&amp;$A$2&amp;$AW$1&amp;"P"&amp;$A4)="N/A",0,RTD("tos.rtd",,BF$2,"."&amp;$A$2&amp;$AW$1&amp;"P"&amp;$A4))</f>
        <v>0</v>
      </c>
      <c r="BG4" s="32">
        <f ca="1">+Hoja2!Y5</f>
        <v>674</v>
      </c>
      <c r="BH4" s="31">
        <f ca="1">SUM(BA4:BG4)</f>
        <v>6437</v>
      </c>
      <c r="BI4" s="8"/>
      <c r="BJ4" s="3" t="e">
        <f ca="1">IF($BP$1=1,DX4,IF(RTD("tos.rtd",,BJ$2,"."&amp;$A$2&amp;$AS$1&amp;"C"&amp;$A4)="N/A",0,RTD("tos.rtd",,BJ$2,"."&amp;$A$2&amp;$AS$1&amp;"C"&amp;$A4)))</f>
        <v>#NUM!</v>
      </c>
      <c r="BK4" s="3" t="e">
        <f ca="1">IF($BP$1=1,DY4,-IF(RTD("tos.rtd",,BK$2,"."&amp;$A$2&amp;$AS$1&amp;"P"&amp;$A4)="N/A",0,RTD("tos.rtd",,BK$2,"."&amp;$A$2&amp;$AS$1&amp;"P"&amp;$A4)))</f>
        <v>#NUM!</v>
      </c>
      <c r="BL4" s="3">
        <f ca="1">IF($BP$1=1,DZ4,IF(RTD("tos.rtd",,BL$2,"."&amp;$A$2&amp;$AU$1&amp;"C"&amp;$A4)="N/A",0,RTD("tos.rtd",,BL$2,"."&amp;$A$2&amp;$AU$1&amp;"C"&amp;$A4)))</f>
        <v>2.3699359944249401E-2</v>
      </c>
      <c r="BM4" s="3">
        <f ca="1">IF($BP$1=1,EA4,-IF(RTD("tos.rtd",,BM$2,"."&amp;$A$2&amp;$AU$1&amp;"P"&amp;$A4)="N/A",0,RTD("tos.rtd",,BM$2,"."&amp;$A$2&amp;$AU$1&amp;"P"&amp;$A4)))</f>
        <v>-1.0702780203811529E-2</v>
      </c>
      <c r="BN4" s="3">
        <f ca="1">IF($BP$1=1,EB4,IF(RTD("tos.rtd",,BN$2,"."&amp;$A$2&amp;$AW$1&amp;"C"&amp;$A4)="N/A",0,RTD("tos.rtd",,BN$2,"."&amp;$A$2&amp;$AW$1&amp;"C"&amp;$A4)))</f>
        <v>2.4294027429039061E-2</v>
      </c>
      <c r="BO4" s="3">
        <f ca="1">IF($BP$1=1,EC4,-IF(RTD("tos.rtd",,BO$2,"."&amp;$A$2&amp;$AW$1&amp;"P"&amp;$A4)="N/A",0,RTD("tos.rtd",,BO$2,"."&amp;$A$2&amp;$AW$1&amp;"P"&amp;$A4)))</f>
        <v>-1.8842032649327232E-2</v>
      </c>
      <c r="BQ4" s="3" t="e">
        <f ca="1">+$A$3*$A$3*AS4*BJ4-$A$3*$A$3*AT4*BK4</f>
        <v>#NUM!</v>
      </c>
      <c r="BR4" s="3"/>
      <c r="BS4" s="3">
        <f ca="1">+$A$3*$A$3*AU4*BL4-$A$3*$A$3*AV4*BM4</f>
        <v>29570994.443971422</v>
      </c>
      <c r="BT4" s="3"/>
      <c r="BU4" s="3">
        <f ca="1">+$A$3*$A$3*AW4*BN4-$A$3*$A$3*AX4*BO4</f>
        <v>6598839.8224090124</v>
      </c>
      <c r="BV4" s="3"/>
      <c r="BX4" s="3" t="e">
        <f t="shared" ref="BX4" ca="1" si="14">+$A$3*$A$3*BA4*BJ4-$A$3*$A$3*BB4*BK4</f>
        <v>#NUM!</v>
      </c>
      <c r="BY4" s="3"/>
      <c r="BZ4" s="3">
        <f t="shared" ref="BZ4" ca="1" si="15">+$A$3*$A$3*BC4*BL4-$A$3*$A$3*BD4*BM4</f>
        <v>26618493.672441464</v>
      </c>
      <c r="CA4" s="3"/>
      <c r="CB4" s="3">
        <f t="shared" ref="CB4" ca="1" si="16">+$A$3*$A$3*BE4*BN4-$A$3*$A$3*BF4*BO4</f>
        <v>2165725.6429583989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0.63</v>
      </c>
      <c r="CF4" s="3">
        <f>IF(RTD("tos.rtd",,CF$2,"."&amp;$A$2&amp;$AU$1&amp;"C"&amp;$A4)="N/A",0,RTD("tos.rtd",,CF$2,"."&amp;$A$2&amp;$AU$1&amp;"C"&amp;$A4))</f>
        <v>0.16</v>
      </c>
      <c r="CG4" s="3">
        <f>-IF(RTD("tos.rtd",,CG$2,"."&amp;$A$2&amp;$AU$1&amp;"P"&amp;$A4)="N/A",0,RTD("tos.rtd",,CG$2,"."&amp;$A$2&amp;$AU$1&amp;"P"&amp;$A4))</f>
        <v>0.62</v>
      </c>
      <c r="CH4" s="3">
        <f>IF(RTD("tos.rtd",,CH$2,"."&amp;$A$2&amp;$AW$1&amp;"C"&amp;$A4)="N/A",0,RTD("tos.rtd",,CH$2,"."&amp;$A$2&amp;$AW$1&amp;"C"&amp;$A4))</f>
        <v>0.38</v>
      </c>
      <c r="CI4" s="3">
        <f>-IF(RTD("tos.rtd",,CI$2,"."&amp;$A$2&amp;$AW$1&amp;"P"&amp;$A4)="N/A",0,RTD("tos.rtd",,CI$2,"."&amp;$A$2&amp;$AW$1&amp;"P"&amp;$A4))</f>
        <v>0.56000000000000005</v>
      </c>
      <c r="CK4" s="3">
        <f t="shared" ref="CK4:CK38" si="17">+AS4*CD4*100+AT4*CE4*100</f>
        <v>-1071</v>
      </c>
      <c r="CL4" s="3"/>
      <c r="CM4" s="3">
        <f t="shared" ref="CM4:CM38" si="18">+AU4*CF4*100+AV4*CG4*100</f>
        <v>61028</v>
      </c>
      <c r="CN4" s="3"/>
      <c r="CO4" s="3">
        <f t="shared" ref="CO4:CO38" si="19">+AW4*CH4*100+AX4*CI4*100</f>
        <v>31158.000000000004</v>
      </c>
      <c r="CP4" s="3">
        <f>+CK4+CM4+CO4</f>
        <v>91115</v>
      </c>
      <c r="CQ4" s="3">
        <f>+BA4+BB4</f>
        <v>2108</v>
      </c>
      <c r="CR4" s="3"/>
      <c r="CS4" s="3">
        <f t="shared" ref="CS4:CS38" si="20">+BC4+BD4</f>
        <v>3382</v>
      </c>
      <c r="CT4" s="3"/>
      <c r="CU4" s="3">
        <f t="shared" ref="CU4:CU38" si="21">+BE4+BF4</f>
        <v>273</v>
      </c>
      <c r="CV4" s="3">
        <f>+CQ4+CS4+CU4</f>
        <v>5763</v>
      </c>
      <c r="CW4" s="3" t="e">
        <f ca="1">+BQ4+BS4+BU4</f>
        <v>#NUM!</v>
      </c>
      <c r="CX4" s="85"/>
      <c r="CY4" s="3" t="e">
        <f ca="1">+BX4+BZ4+CB4</f>
        <v>#NUM!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16.38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18.72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16.75</v>
      </c>
      <c r="DG4" s="86">
        <f>+$A4-$A$3</f>
        <v>10.559999999999945</v>
      </c>
      <c r="DH4" s="3">
        <f t="shared" ref="DH4:DH38" si="22">((DA4-DE4)/(DC4-DE4))*(BA4-AP4)</f>
        <v>2</v>
      </c>
      <c r="DI4" s="3">
        <f>((DB4-DF4)/(DD4-DF4))*(BB4-AQ4)</f>
        <v>0</v>
      </c>
      <c r="DJ4" s="3">
        <f>IF(DA4&gt;=(DE4+(DC4-DE4)*0.6),(BA4-AP4),IF(DA4&lt;=(DE4+(DC4-DE4)*0.4),-(BA4-AP4),0))</f>
        <v>2</v>
      </c>
      <c r="DK4" s="3">
        <f>IF(DB4&lt;=(DF4+(DD4-DF4)*0.4),-(BB4-AQ4),IF(DB4&gt;=(DF4+(DD4-DF4)*0.6),(BB4-AQ4),0))</f>
        <v>0</v>
      </c>
      <c r="DL4" s="3">
        <f>+DH4+DI4</f>
        <v>2</v>
      </c>
      <c r="DM4" s="3">
        <f>+DJ4+DK4</f>
        <v>2</v>
      </c>
      <c r="DN4" s="63" t="str">
        <f>IF(AND(DA4&gt;=(DE4+(DC4-DE4)*0.6),BA4&gt;AP4),"BUY",IF(AND(DA4&lt;=(DE4+(DC4-DE4)*0.4),BA4&gt;AP4),"SELL","UNKNOWN"))</f>
        <v>BUY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0.02</v>
      </c>
      <c r="DQ4" s="3">
        <f>+DA4*DJ4+DB4*DK4</f>
        <v>0.02</v>
      </c>
      <c r="DR4" s="3" t="e">
        <f ca="1">+BJ4*DJ4+BK4*DK4</f>
        <v>#NUM!</v>
      </c>
      <c r="DS4" s="3">
        <f>+CD4*DJ4+CE4*DK4</f>
        <v>0</v>
      </c>
      <c r="DT4" s="3">
        <f>BA4-VLOOKUP(AZ4,$AO$4:$AQ$38,2,FALSE)</f>
        <v>2</v>
      </c>
      <c r="DU4" s="3">
        <f>BB4-VLOOKUP(AZ4,$AO$4:$AQ$38,3,FALSE)</f>
        <v>0</v>
      </c>
      <c r="DV4" s="3">
        <f>AM4+IF(DN4="BUY",DT4,IF(DN4="SELL",-DT4,0))</f>
        <v>212</v>
      </c>
      <c r="DW4" s="3">
        <f t="shared" ref="DW4:DW38" si="23">AN4+IF(DO4="BUY",DU4,IF(DO4="SELL",-DU4,0))</f>
        <v>-11</v>
      </c>
      <c r="DX4" s="3" t="e">
        <f t="shared" ref="DX4:DX38" ca="1" si="24">(EXP(-POWER((LN($A$3/$A4)+($EC$1+POWER($EE4,2)/2)*($EM$1/$DY$1))/($EE4*SQRT($EM$1/$DY$1)),2)/2)/SQRT(2*PI())/($A$3*$EE4*SQRT($EM$1/$DY$1)))</f>
        <v>#NUM!</v>
      </c>
      <c r="DY4" s="3" t="e">
        <f t="shared" ref="DY4:DY38" ca="1" si="25">-(EXP(-POWER((LN($A$3/$A4)+($EC$1+POWER($EF4,2)/2)*($EM$1/$DY$1))/($EF4*SQRT($EM$1/$DY$1)),2)/2)/SQRT(2*PI())/($A$3*$EF4*SQRT($EM$1/$DY$1)))</f>
        <v>#NUM!</v>
      </c>
      <c r="DZ4" s="3">
        <f t="shared" ref="DZ4:DZ38" ca="1" si="26">(EXP(-POWER((LN($A$3/$A4)+($EC$1+POWER($EG4,2)/2)*($EO$1/$DY$1))/($EG4*SQRT($EO$1/$DY$1)),2)/2)/SQRT(2*PI())/($A$3*$EG4*SQRT($EO$1/$DY$1)))</f>
        <v>2.3699359944249401E-2</v>
      </c>
      <c r="EA4" s="3">
        <f t="shared" ref="EA4:EA38" ca="1" si="27">-(EXP(-POWER((LN($A$3/$A4)+($EC$1+POWER($EH4,2)/2)*($EO$1/$DY$1))/($EH4*SQRT($EO$1/$DY$1)),2)/2)/SQRT(2*PI())/($A$3*$EH4*SQRT($EO$1/$DY$1)))</f>
        <v>-1.0702780203811529E-2</v>
      </c>
      <c r="EB4" s="3">
        <f t="shared" ref="EB4:EB38" ca="1" si="28">(EXP(-POWER((LN($A$3/$A4)+($EC$1+POWER($EI4,2)/2)*($EO$1/$DY$1))/($EI4*SQRT($EO$1/$DY$1)),2)/2)/SQRT(2*PI())/($A$3*$EI4*SQRT($EO$1/$DY$1)))</f>
        <v>2.4294027429039061E-2</v>
      </c>
      <c r="EC4" s="3">
        <f t="shared" ref="EC4:EC38" ca="1" si="29">-(EXP(-POWER((LN($A$3/$A4)+($EC$1+POWER($EJ4,2)/2)*($EO$1/$DY$1))/($EJ4*SQRT($EO$1/$DY$1)),2)/2)/SQRT(2*PI())/($A$3*$EJ4*SQRT($EO$1/$DY$1)))</f>
        <v>-1.8842032649327232E-2</v>
      </c>
      <c r="ED4" s="63">
        <f>+DV4+DW4</f>
        <v>201</v>
      </c>
      <c r="EE4" s="59">
        <f>IFERROR(VALUE(IF(OR(EL4="--",EL4="0.00%"),$EE$1,EL4)),$EE$1)</f>
        <v>0.91539999999999999</v>
      </c>
      <c r="EF4" s="59">
        <f t="shared" ref="EF4:EF38" si="30">IFERROR(VALUE(IF(OR(EM4="--",EM4="0.00%"),$EE$1,EM4)),$EE$1)</f>
        <v>6.7388000000000003</v>
      </c>
      <c r="EG4" s="59">
        <f t="shared" ref="EG4:EG38" si="31">IFERROR(VALUE(IF(OR(EN4="--",EN4="0.00%"),$EE$1,EN4)),$EE$1)</f>
        <v>0.15409999999999999</v>
      </c>
      <c r="EH4" s="59">
        <f t="shared" ref="EH4:EH38" si="32">IFERROR(VALUE(IF(OR(EO4="--",EO4="0.00%"),$EE$1,EO4)),$EE$1)</f>
        <v>0.46700000000000003</v>
      </c>
      <c r="EI4" s="59">
        <f t="shared" ref="EI4:EI38" si="33">IFERROR(VALUE(IF(OR(EP4="--",EP4="0.00%"),$EE$1,EP4)),$EE$1)</f>
        <v>0.1361</v>
      </c>
      <c r="EJ4" s="59">
        <f t="shared" ref="EJ4:EJ38" si="34">IFERROR(VALUE(IF(OR(EQ4="--",EQ4="0.00%"),$EE$1,EQ4)),$EE$1)</f>
        <v>0.23780000000000001</v>
      </c>
      <c r="EK4" s="63" t="e">
        <f ca="1">+DV4*DX4*$A$3*$A$3+DW4*DY4*$A$3*$A$3</f>
        <v>#NUM!</v>
      </c>
      <c r="EL4" s="3" t="str">
        <f>RTD("tos.rtd",,EL$2,"."&amp;$A$2&amp;$AS$1&amp;"C"&amp;$A4)</f>
        <v>91.54%</v>
      </c>
      <c r="EM4" s="3" t="str">
        <f>RTD("tos.rtd",,EM$2,"."&amp;$A$2&amp;$AS$1&amp;"P"&amp;$A4)</f>
        <v>673.88%</v>
      </c>
      <c r="EN4" s="3" t="str">
        <f>RTD("tos.rtd",,EN$2,"."&amp;$A$2&amp;$AU$1&amp;"C"&amp;$A4)</f>
        <v>15.41%</v>
      </c>
      <c r="EO4" s="3" t="str">
        <f>RTD("tos.rtd",,EO$2,"."&amp;$A$2&amp;$AU$1&amp;"P"&amp;$A4)</f>
        <v>46.70%</v>
      </c>
      <c r="EP4" s="3" t="str">
        <f>RTD("tos.rtd",,EP$2,"."&amp;$A$2&amp;$AW$1&amp;"C"&amp;$A4)</f>
        <v>13.61%</v>
      </c>
      <c r="EQ4" s="3" t="str">
        <f>RTD("tos.rtd",,EQ$2,"."&amp;$A$2&amp;$AW$1&amp;"P"&amp;$A4)</f>
        <v>23.78%</v>
      </c>
      <c r="ES4" s="63" t="str">
        <f>IFERROR(
    A4 &amp; "," &amp; TEXT(IF(ISNUMBER(DV4+DW4), DV4+DW4, 0), "00.00"),    "Error"
)</f>
        <v>582,201.00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IF(ISNUMBER(EK4), (EK4),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IF(ISNUMBER(EK4), (EK4), 0)
        )))),
    "00.00")
)</f>
        <v>582,00.00</v>
      </c>
      <c r="EU4" s="101">
        <f>+A3</f>
        <v>571.44000000000005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2025-05-11 19:25:00,,,,,560,,,,,,,567,563,570,564</v>
      </c>
      <c r="EW4" s="67">
        <f>+A44</f>
        <v>496.17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2025-05-11 19:25:00,,,,,490,,,,,,,491,485,491,488</v>
      </c>
      <c r="EY4" s="67">
        <f>+A84</f>
        <v>5659.91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2025-05-11 19:25:00,,,,,,5800,,5650,,5650,,5700,5600,5590,5650</v>
      </c>
      <c r="FA4" s="67">
        <f>+A136</f>
        <v>20061.449000000001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2025-05-11 19:25:00,,,,,19500,,,,,,,20200,19800,19800,19500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2025-05-11 19:25:00,,,-6522.86661362743,-4693,-2576.3143030517,2066.47,,7875.37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2025-05-11 19:25:00,,,4240.26467459513,9734,1792.22686936445,3374.59,,8373.27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2025-05-11 19:25:00,,,,19759,,-828937.81,,27348.67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2025-05-11 19:25:00,,,0,0,0,0,,0</v>
      </c>
    </row>
    <row r="5" spans="1:162" s="63" customFormat="1" ht="13.5" thickBot="1" x14ac:dyDescent="0.25">
      <c r="A5" s="2">
        <f>+A4-$A$39</f>
        <v>581</v>
      </c>
      <c r="B5" s="3">
        <f t="shared" si="9"/>
        <v>3041</v>
      </c>
      <c r="C5" s="3">
        <f t="shared" si="10"/>
        <v>4598</v>
      </c>
      <c r="D5" s="3">
        <f t="shared" si="11"/>
        <v>1258</v>
      </c>
      <c r="E5" s="3">
        <f>SUM(B5:D5)</f>
        <v>8897</v>
      </c>
      <c r="F5" s="4">
        <f>+$F$3/$A$3*A5</f>
        <v>5846.1955760884784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-1413</v>
      </c>
      <c r="AN5" s="1">
        <v>15</v>
      </c>
      <c r="AO5" s="1">
        <v>581</v>
      </c>
      <c r="AP5" s="1">
        <v>4391</v>
      </c>
      <c r="AQ5" s="1">
        <v>-15</v>
      </c>
      <c r="AR5" s="1"/>
      <c r="AS5" s="6">
        <f>IF(RTD("tos.rtd",,AS$2,"."&amp;$A$2&amp;$AS$1&amp;"C"&amp;$A5)="N/A",0,RTD("tos.rtd",,AS$2,"."&amp;$A$2&amp;$AS$1&amp;"C"&amp;$A5))</f>
        <v>3016</v>
      </c>
      <c r="AT5" s="7">
        <f>-IF(RTD("tos.rtd",,AT$2,"."&amp;$A$2&amp;$AS$1&amp;"P"&amp;$A5)="N/A",0,RTD("tos.rtd",,AT$2,"."&amp;$A$2&amp;$AS$1&amp;"P"&amp;$A5))</f>
        <v>-25</v>
      </c>
      <c r="AU5" s="6">
        <f>IF(RTD("tos.rtd",,AU$2,"."&amp;$A$2&amp;$AU$1&amp;"C"&amp;$A5)="N/A",0,RTD("tos.rtd",,AU$2,"."&amp;$A$2&amp;$AU$1&amp;"C"&amp;$A5))</f>
        <v>4554</v>
      </c>
      <c r="AV5" s="7">
        <f>-IF(RTD("tos.rtd",,AV$2,"."&amp;$A$2&amp;$AU$1&amp;"P"&amp;$A5)="N/A",0,RTD("tos.rtd",,AV$2,"."&amp;$A$2&amp;$AU$1&amp;"P"&amp;$A5))</f>
        <v>-44</v>
      </c>
      <c r="AW5" s="6">
        <f>IF(RTD("tos.rtd",,AW$2,"."&amp;$A$2&amp;$AW$1&amp;"C"&amp;$A5)="N/A",0,RTD("tos.rtd",,AW$2,"."&amp;$A$2&amp;$AW$1&amp;"C"&amp;$A5))</f>
        <v>1093</v>
      </c>
      <c r="AX5" s="7">
        <f>-IF(RTD("tos.rtd",,AX$2,"."&amp;$A$2&amp;$AW$1&amp;"P"&amp;$A5)="N/A",0,RTD("tos.rtd",,AX$2,"."&amp;$A$2&amp;$AW$1&amp;"P"&amp;$A5))</f>
        <v>-165</v>
      </c>
      <c r="AY5" s="1">
        <f>SUM(AS5:AX5)</f>
        <v>8429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4392</v>
      </c>
      <c r="BB5" s="7">
        <f>-IF(RTD("tos.rtd",,BB$2,"."&amp;$A$2&amp;$AS$1&amp;"P"&amp;$A5)="N/A",0,RTD("tos.rtd",,BB$2,"."&amp;$A$2&amp;$AS$1&amp;"P"&amp;$A5))</f>
        <v>-15</v>
      </c>
      <c r="BC5" s="6">
        <f>IF(RTD("tos.rtd",,BC$2,"."&amp;$A$2&amp;$AU$1&amp;"C"&amp;$A5)="N/A",0,RTD("tos.rtd",,BC$2,"."&amp;$A$2&amp;$AU$1&amp;"C"&amp;$A5))</f>
        <v>3906</v>
      </c>
      <c r="BD5" s="7">
        <f>-IF(RTD("tos.rtd",,BD$2,"."&amp;$A$2&amp;$AU$1&amp;"P"&amp;$A5)="N/A",0,RTD("tos.rtd",,BD$2,"."&amp;$A$2&amp;$AU$1&amp;"P"&amp;$A5))</f>
        <v>-202</v>
      </c>
      <c r="BE5" s="6">
        <f>IF(RTD("tos.rtd",,BE$2,"."&amp;$A$2&amp;$AW$1&amp;"C"&amp;$A5)="N/A",0,RTD("tos.rtd",,BE$2,"."&amp;$A$2&amp;$AW$1&amp;"C"&amp;$A5))</f>
        <v>518</v>
      </c>
      <c r="BF5" s="83">
        <f>-IF(RTD("tos.rtd",,BF$2,"."&amp;$A$2&amp;$AW$1&amp;"P"&amp;$A5)="N/A",0,RTD("tos.rtd",,BF$2,"."&amp;$A$2&amp;$AW$1&amp;"P"&amp;$A5))</f>
        <v>0</v>
      </c>
      <c r="BG5" s="32">
        <f ca="1">+Hoja2!Y6</f>
        <v>1132</v>
      </c>
      <c r="BH5" s="7">
        <f t="shared" ref="BH5:BH38" ca="1" si="36">SUM(BA5:BG5)</f>
        <v>9731</v>
      </c>
      <c r="BI5" s="8" t="str">
        <f ca="1">IF(AND(BH5&lt;0,BH4&gt;0), "Cruce -", IF(AND(BH5&gt;0,BH4&lt;0),"Cruce +", ""))</f>
        <v/>
      </c>
      <c r="BJ5" s="3" t="e">
        <f ca="1">IF($BP$1=1,DX5,IF(RTD("tos.rtd",,BJ$2,"."&amp;$A$2&amp;$AS$1&amp;"C"&amp;$A5)="N/A",0,RTD("tos.rtd",,BJ$2,"."&amp;$A$2&amp;$AS$1&amp;"C"&amp;$A5)))</f>
        <v>#NUM!</v>
      </c>
      <c r="BK5" s="3" t="e">
        <f ca="1">IF($BP$1=1,DY5,-IF(RTD("tos.rtd",,BK$2,"."&amp;$A$2&amp;$AS$1&amp;"P"&amp;$A5)="N/A",0,RTD("tos.rtd",,BK$2,"."&amp;$A$2&amp;$AS$1&amp;"P"&amp;$A5)))</f>
        <v>#NUM!</v>
      </c>
      <c r="BL5" s="3">
        <f ca="1">IF($BP$1=1,DZ5,IF(RTD("tos.rtd",,BL$2,"."&amp;$A$2&amp;$AU$1&amp;"C"&amp;$A5)="N/A",0,RTD("tos.rtd",,BL$2,"."&amp;$A$2&amp;$AU$1&amp;"C"&amp;$A5)))</f>
        <v>2.5399593410016158E-2</v>
      </c>
      <c r="BM5" s="3">
        <f ca="1">IF($BP$1=1,EA5,-IF(RTD("tos.rtd",,BM$2,"."&amp;$A$2&amp;$AU$1&amp;"P"&amp;$A5)="N/A",0,RTD("tos.rtd",,BM$2,"."&amp;$A$2&amp;$AU$1&amp;"P"&amp;$A5)))</f>
        <v>-1.0975402015911125E-2</v>
      </c>
      <c r="BN5" s="3">
        <f ca="1">IF($BP$1=1,EB5,IF(RTD("tos.rtd",,BN$2,"."&amp;$A$2&amp;$AW$1&amp;"C"&amp;$A5)="N/A",0,RTD("tos.rtd",,BN$2,"."&amp;$A$2&amp;$AW$1&amp;"C"&amp;$A5)))</f>
        <v>2.638227452689336E-2</v>
      </c>
      <c r="BO5" s="3">
        <f ca="1">IF($BP$1=1,EC5,-IF(RTD("tos.rtd",,BO$2,"."&amp;$A$2&amp;$AW$1&amp;"P"&amp;$A5)="N/A",0,RTD("tos.rtd",,BO$2,"."&amp;$A$2&amp;$AW$1&amp;"P"&amp;$A5)))</f>
        <v>-1.9359119711616739E-2</v>
      </c>
      <c r="BQ5" s="3" t="e">
        <f t="shared" ref="BQ5:BQ38" ca="1" si="37">+$A$3*$A$3*AS5*BJ5-$A$3*$A$3*AT5*BK5</f>
        <v>#NUM!</v>
      </c>
      <c r="BR5" s="3" t="e">
        <f ca="1">IF(AND(BQ5&lt;0,BQ4&gt;0), "Cruce -", IF(AND(BQ5&gt;0,BQ4&lt;0),"Cruce +", ""))</f>
        <v>#NUM!</v>
      </c>
      <c r="BS5" s="3">
        <f t="shared" ref="BS5:BS38" ca="1" si="38">+$A$3*$A$3*AU5*BL5-$A$3*$A$3*AV5*BM5</f>
        <v>37613530.84728694</v>
      </c>
      <c r="BT5" s="3" t="str">
        <f ca="1">IF(AND(BS5&lt;0,BS4&gt;0), "Cruce -", IF(AND(BS5&gt;0,BS4&lt;0),"Cruce +", ""))</f>
        <v/>
      </c>
      <c r="BU5" s="3">
        <f t="shared" ref="BU5:BU38" ca="1" si="39">+$A$3*$A$3*AW5*BN5-$A$3*$A$3*AX5*BO5</f>
        <v>8373092.8909670291</v>
      </c>
      <c r="BV5" s="3" t="str">
        <f ca="1">IF(AND(BU5&lt;0,BU4&gt;0), "Cruce -", IF(AND(BU5&gt;0,BU4&lt;0),"Cruce +", ""))</f>
        <v/>
      </c>
      <c r="BX5" s="3" t="e">
        <f t="shared" ref="BX5:BX38" ca="1" si="40">+$A$3*$A$3*BA5*BJ5-$A$3*$A$3*BB5*BK5</f>
        <v>#NUM!</v>
      </c>
      <c r="BY5" s="3" t="e">
        <f ca="1">IF(AND(BX5&lt;0,BX4&gt;0), "Cruce -", IF(AND(BX5&gt;0,BX4&lt;0),"Cruce +", ""))</f>
        <v>#NUM!</v>
      </c>
      <c r="BZ5" s="3">
        <f t="shared" ref="BZ5:BZ38" ca="1" si="41">+$A$3*$A$3*BC5*BL5-$A$3*$A$3*BD5*BM5</f>
        <v>31672705.450557608</v>
      </c>
      <c r="CA5" s="3" t="str">
        <f ca="1">IF(AND(BZ5&lt;0,BZ4&gt;0), "Cruce -", IF(AND(BZ5&gt;0,BZ4&lt;0),"Cruce +", ""))</f>
        <v/>
      </c>
      <c r="CB5" s="3">
        <f t="shared" ref="CB5:CB38" ca="1" si="42">+$A$3*$A$3*BE5*BN5-$A$3*$A$3*BF5*BO5</f>
        <v>4462551.7881225683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0.62</v>
      </c>
      <c r="CF5" s="3">
        <f>IF(RTD("tos.rtd",,CF$2,"."&amp;$A$2&amp;$AU$1&amp;"C"&amp;$A5)="N/A",0,RTD("tos.rtd",,CF$2,"."&amp;$A$2&amp;$AU$1&amp;"C"&amp;$A5))</f>
        <v>0.18</v>
      </c>
      <c r="CG5" s="3">
        <f>-IF(RTD("tos.rtd",,CG$2,"."&amp;$A$2&amp;$AU$1&amp;"P"&amp;$A5)="N/A",0,RTD("tos.rtd",,CG$2,"."&amp;$A$2&amp;$AU$1&amp;"P"&amp;$A5))</f>
        <v>0.61</v>
      </c>
      <c r="CH5" s="3">
        <f>IF(RTD("tos.rtd",,CH$2,"."&amp;$A$2&amp;$AW$1&amp;"C"&amp;$A5)="N/A",0,RTD("tos.rtd",,CH$2,"."&amp;$A$2&amp;$AW$1&amp;"C"&amp;$A5))</f>
        <v>0.39</v>
      </c>
      <c r="CI5" s="3">
        <f>-IF(RTD("tos.rtd",,CI$2,"."&amp;$A$2&amp;$AW$1&amp;"P"&amp;$A5)="N/A",0,RTD("tos.rtd",,CI$2,"."&amp;$A$2&amp;$AW$1&amp;"P"&amp;$A5))</f>
        <v>0.55000000000000004</v>
      </c>
      <c r="CK5" s="3">
        <f t="shared" si="17"/>
        <v>-1550</v>
      </c>
      <c r="CL5" s="3"/>
      <c r="CM5" s="3">
        <f t="shared" si="18"/>
        <v>79287.999999999985</v>
      </c>
      <c r="CN5" s="3"/>
      <c r="CO5" s="3">
        <f t="shared" si="19"/>
        <v>33552.000000000007</v>
      </c>
      <c r="CP5" s="3">
        <f t="shared" ref="CP5:CP38" si="43">+CK5+CM5+CO5</f>
        <v>111290</v>
      </c>
      <c r="CQ5" s="3">
        <f t="shared" ref="CQ5:CQ38" si="44">+BA5+BB5</f>
        <v>4377</v>
      </c>
      <c r="CR5" s="3"/>
      <c r="CS5" s="3">
        <f t="shared" si="20"/>
        <v>3704</v>
      </c>
      <c r="CT5" s="3"/>
      <c r="CU5" s="3">
        <f t="shared" si="21"/>
        <v>518</v>
      </c>
      <c r="CV5" s="3">
        <f t="shared" ref="CV5:CV38" si="45">+CQ5+CS5+CU5</f>
        <v>8599</v>
      </c>
      <c r="CW5" s="3" t="e">
        <f t="shared" ref="CW5:CW38" ca="1" si="46">+BQ5+BS5+BU5</f>
        <v>#NUM!</v>
      </c>
      <c r="CX5" s="85" t="e">
        <f ca="1">IF(AND(CW5&lt;0,CW4&gt;0), "Cruce -", IF(AND(CW5&gt;0,CW4&lt;0),"Cruce +", ""))</f>
        <v>#NUM!</v>
      </c>
      <c r="CY5" s="3" t="e">
        <f t="shared" ref="CY5:CY38" ca="1" si="47">+BX5+BZ5+CB5</f>
        <v>#NUM!</v>
      </c>
      <c r="CZ5" s="85" t="e">
        <f ca="1">IF(AND(CY5&lt;0,CY4&gt;0), "Cruce -", IF(AND(CY5&gt;0,CY4&lt;0),"Cruce +", ""))</f>
        <v>#NUM!</v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15.34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17.72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15.75</v>
      </c>
      <c r="DG5" s="86">
        <f t="shared" ref="DG5:DG38" si="48">+$A5-$A$3</f>
        <v>9.5599999999999454</v>
      </c>
      <c r="DH5" s="3">
        <f t="shared" si="22"/>
        <v>1</v>
      </c>
      <c r="DI5" s="3">
        <f t="shared" ref="DI5:DI38" si="49">((DB5-DF5)/(DD5-DF5))*(BB5-AQ5)</f>
        <v>0</v>
      </c>
      <c r="DJ5" s="3">
        <f t="shared" ref="DJ5:DJ38" si="50">IF(DA5&gt;=(DE5+(DC5-DE5)*0.6),(BA5-AP5),IF(DA5&lt;=(DE5+(DC5-DE5)*0.4),-(BA5-AP5),0))</f>
        <v>1</v>
      </c>
      <c r="DK5" s="3">
        <f t="shared" ref="DK5:DK38" si="51">IF(DB5&lt;=(DF5+(DD5-DF5)*0.4),-(BB5-AQ5),IF(DB5&gt;=(DF5+(DD5-DF5)*0.6),(BB5-AQ5),0))</f>
        <v>0</v>
      </c>
      <c r="DL5" s="3">
        <f t="shared" ref="DL5:DL38" si="52">+DH5+DI5</f>
        <v>1</v>
      </c>
      <c r="DM5" s="3">
        <f t="shared" ref="DM5:DM38" si="53">+DJ5+DK5</f>
        <v>1</v>
      </c>
      <c r="DN5" s="63" t="str">
        <f t="shared" ref="DN5:DN38" si="54">IF(AND(DA5&gt;=(DE5+(DC5-DE5)*0.6),BA5&gt;AP5),"BUY",IF(AND(DA5&lt;=(DE5+(DC5-DE5)*0.4),BA5&gt;AP5),"SELL","UNKNOWN"))</f>
        <v>BUY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0.01</v>
      </c>
      <c r="DQ5" s="3">
        <f t="shared" ref="DQ5:DQ38" si="57">+DA5*DJ5+DB5*DK5</f>
        <v>0.01</v>
      </c>
      <c r="DR5" s="3" t="e">
        <f t="shared" ref="DR5:DR38" ca="1" si="58">+BJ5*DJ5+BK5*DK5</f>
        <v>#NUM!</v>
      </c>
      <c r="DS5" s="3">
        <f t="shared" ref="DS5:DS38" si="59">+CD5*DJ5+CE5*DK5</f>
        <v>0</v>
      </c>
      <c r="DT5" s="3">
        <f t="shared" ref="DT5:DT38" si="60">BA5-VLOOKUP(AZ5,$AO$4:$AQ$38,2,FALSE)</f>
        <v>1</v>
      </c>
      <c r="DU5" s="3">
        <f t="shared" ref="DU5:DU38" si="61">BB5-VLOOKUP(AZ5,$AO$4:$AQ$38,3,FALSE)</f>
        <v>0</v>
      </c>
      <c r="DV5" s="3">
        <f t="shared" ref="DV5:DV38" si="62">AM5+IF(DN5="BUY",DT5,IF(DN5="SELL",-DT5,0))</f>
        <v>-1412</v>
      </c>
      <c r="DW5" s="3">
        <f t="shared" si="23"/>
        <v>15</v>
      </c>
      <c r="DX5" s="3" t="e">
        <f t="shared" ca="1" si="24"/>
        <v>#NUM!</v>
      </c>
      <c r="DY5" s="3" t="e">
        <f t="shared" ca="1" si="25"/>
        <v>#NUM!</v>
      </c>
      <c r="DZ5" s="3">
        <f t="shared" ca="1" si="26"/>
        <v>2.5399593410016158E-2</v>
      </c>
      <c r="EA5" s="3">
        <f t="shared" ca="1" si="27"/>
        <v>-1.0975402015911125E-2</v>
      </c>
      <c r="EB5" s="3">
        <f t="shared" ca="1" si="28"/>
        <v>2.638227452689336E-2</v>
      </c>
      <c r="EC5" s="3">
        <f t="shared" ca="1" si="29"/>
        <v>-1.9359119711616739E-2</v>
      </c>
      <c r="ED5" s="63">
        <f t="shared" ref="ED5:ED38" si="63">+DV5+DW5</f>
        <v>-1397</v>
      </c>
      <c r="EE5" s="59">
        <f t="shared" ref="EE5:EE38" si="64">IFERROR(VALUE(IF(OR(EL5="--",EL5="0.00%"),$EE$1,EL5)),$EE$1)</f>
        <v>0.83809999999999996</v>
      </c>
      <c r="EF5" s="59">
        <f t="shared" si="30"/>
        <v>6.5217000000000001</v>
      </c>
      <c r="EG5" s="59">
        <f t="shared" si="31"/>
        <v>0.1525</v>
      </c>
      <c r="EH5" s="59">
        <f t="shared" si="32"/>
        <v>0.4577</v>
      </c>
      <c r="EI5" s="59">
        <f t="shared" si="33"/>
        <v>0.1366</v>
      </c>
      <c r="EJ5" s="59">
        <f t="shared" si="34"/>
        <v>0.23769999999999999</v>
      </c>
      <c r="EK5" s="63" t="e">
        <f t="shared" ref="EK5:EK38" ca="1" si="65">+DV5*DX5*$A$3*$A$3+DW5*DY5*$A$3*$A$3</f>
        <v>#NUM!</v>
      </c>
      <c r="EL5" s="3" t="str">
        <f>RTD("tos.rtd",,EL$2,"."&amp;$A$2&amp;$AS$1&amp;"C"&amp;$A5)</f>
        <v>83.81%</v>
      </c>
      <c r="EM5" s="3" t="str">
        <f>RTD("tos.rtd",,EM$2,"."&amp;$A$2&amp;$AS$1&amp;"P"&amp;$A5)</f>
        <v>652.17%</v>
      </c>
      <c r="EN5" s="3" t="str">
        <f>RTD("tos.rtd",,EN$2,"."&amp;$A$2&amp;$AU$1&amp;"C"&amp;$A5)</f>
        <v>15.25%</v>
      </c>
      <c r="EO5" s="3" t="str">
        <f>RTD("tos.rtd",,EO$2,"."&amp;$A$2&amp;$AU$1&amp;"P"&amp;$A5)</f>
        <v>45.77%</v>
      </c>
      <c r="EP5" s="3" t="str">
        <f>RTD("tos.rtd",,EP$2,"."&amp;$A$2&amp;$AW$1&amp;"C"&amp;$A5)</f>
        <v>13.66%</v>
      </c>
      <c r="EQ5" s="3" t="str">
        <f>RTD("tos.rtd",,EQ$2,"."&amp;$A$2&amp;$AW$1&amp;"P"&amp;$A5)</f>
        <v>23.77%</v>
      </c>
      <c r="ES5" s="63" t="str">
        <f t="shared" ref="ES5:ES38" si="66">IFERROR(
    A5 &amp; "," &amp; TEXT(IF(ISNUMBER(DV5+DW5), DV5+DW5, 0), "00.00"),    "Error"
)</f>
        <v>581,-1397.00</v>
      </c>
      <c r="ET5" s="63" t="str">
        <f t="shared" ref="ET5:ET38" ca="1" si="67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IF(ISNUMBER(EK5), (EK5),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IF(ISNUMBER(EK5), (EK5), 0)
        )))),
    "00.00")
)</f>
        <v>581,00.00</v>
      </c>
      <c r="EU5" s="67">
        <v>565.32000000000005</v>
      </c>
      <c r="EV5" s="67" t="s">
        <v>59</v>
      </c>
      <c r="EW5" s="67">
        <v>488.69</v>
      </c>
      <c r="EX5" s="67" t="s">
        <v>60</v>
      </c>
      <c r="EY5" s="67">
        <v>5663.94</v>
      </c>
      <c r="EZ5" s="67" t="s">
        <v>61</v>
      </c>
      <c r="FA5" s="67">
        <v>20063.564999999999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8">+A5-$A$39</f>
        <v>580</v>
      </c>
      <c r="B6" s="3">
        <f t="shared" si="9"/>
        <v>19313</v>
      </c>
      <c r="C6" s="3">
        <f t="shared" si="10"/>
        <v>32483</v>
      </c>
      <c r="D6" s="3">
        <f t="shared" si="11"/>
        <v>130193</v>
      </c>
      <c r="E6" s="3">
        <f>SUM(B6:D6)</f>
        <v>181989</v>
      </c>
      <c r="F6" s="4">
        <f>+$F$3/$A$3*A6</f>
        <v>5836.1332773344529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876</v>
      </c>
      <c r="AN6" s="1">
        <v>27</v>
      </c>
      <c r="AO6" s="1">
        <v>580</v>
      </c>
      <c r="AP6" s="1">
        <v>11782</v>
      </c>
      <c r="AQ6" s="1">
        <v>-123</v>
      </c>
      <c r="AR6" s="1"/>
      <c r="AS6" s="6">
        <f>IF(RTD("tos.rtd",,AS$2,"."&amp;$A$2&amp;$AS$1&amp;"C"&amp;$A6)="N/A",0,RTD("tos.rtd",,AS$2,"."&amp;$A$2&amp;$AS$1&amp;"C"&amp;$A6))</f>
        <v>19175</v>
      </c>
      <c r="AT6" s="7">
        <f>-IF(RTD("tos.rtd",,AT$2,"."&amp;$A$2&amp;$AS$1&amp;"P"&amp;$A6)="N/A",0,RTD("tos.rtd",,AT$2,"."&amp;$A$2&amp;$AS$1&amp;"P"&amp;$A6))</f>
        <v>-138</v>
      </c>
      <c r="AU6" s="6">
        <f>IF(RTD("tos.rtd",,AU$2,"."&amp;$A$2&amp;$AU$1&amp;"C"&amp;$A6)="N/A",0,RTD("tos.rtd",,AU$2,"."&amp;$A$2&amp;$AU$1&amp;"C"&amp;$A6))</f>
        <v>30852</v>
      </c>
      <c r="AV6" s="7">
        <f>-IF(RTD("tos.rtd",,AV$2,"."&amp;$A$2&amp;$AU$1&amp;"P"&amp;$A6)="N/A",0,RTD("tos.rtd",,AV$2,"."&amp;$A$2&amp;$AU$1&amp;"P"&amp;$A6))</f>
        <v>-1631</v>
      </c>
      <c r="AW6" s="6">
        <f>IF(RTD("tos.rtd",,AW$2,"."&amp;$A$2&amp;$AW$1&amp;"C"&amp;$A6)="N/A",0,RTD("tos.rtd",,AW$2,"."&amp;$A$2&amp;$AW$1&amp;"C"&amp;$A6))</f>
        <v>108593</v>
      </c>
      <c r="AX6" s="7">
        <f>-IF(RTD("tos.rtd",,AX$2,"."&amp;$A$2&amp;$AW$1&amp;"P"&amp;$A6)="N/A",0,RTD("tos.rtd",,AX$2,"."&amp;$A$2&amp;$AW$1&amp;"P"&amp;$A6))</f>
        <v>-21600</v>
      </c>
      <c r="AY6" s="1">
        <f t="shared" ref="AY6:AY38" si="69">SUM(AS6:AX6)</f>
        <v>135251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11783</v>
      </c>
      <c r="BB6" s="7">
        <f>-IF(RTD("tos.rtd",,BB$2,"."&amp;$A$2&amp;$AS$1&amp;"P"&amp;$A6)="N/A",0,RTD("tos.rtd",,BB$2,"."&amp;$A$2&amp;$AS$1&amp;"P"&amp;$A6))</f>
        <v>-127</v>
      </c>
      <c r="BC6" s="6">
        <f>IF(RTD("tos.rtd",,BC$2,"."&amp;$A$2&amp;$AU$1&amp;"C"&amp;$A6)="N/A",0,RTD("tos.rtd",,BC$2,"."&amp;$A$2&amp;$AU$1&amp;"C"&amp;$A6))</f>
        <v>24557</v>
      </c>
      <c r="BD6" s="7">
        <f>-IF(RTD("tos.rtd",,BD$2,"."&amp;$A$2&amp;$AU$1&amp;"P"&amp;$A6)="N/A",0,RTD("tos.rtd",,BD$2,"."&amp;$A$2&amp;$AU$1&amp;"P"&amp;$A6))</f>
        <v>-276</v>
      </c>
      <c r="BE6" s="6">
        <f>IF(RTD("tos.rtd",,BE$2,"."&amp;$A$2&amp;$AW$1&amp;"C"&amp;$A6)="N/A",0,RTD("tos.rtd",,BE$2,"."&amp;$A$2&amp;$AW$1&amp;"C"&amp;$A6))</f>
        <v>2140</v>
      </c>
      <c r="BF6" s="83">
        <f>-IF(RTD("tos.rtd",,BF$2,"."&amp;$A$2&amp;$AW$1&amp;"P"&amp;$A6)="N/A",0,RTD("tos.rtd",,BF$2,"."&amp;$A$2&amp;$AW$1&amp;"P"&amp;$A6))</f>
        <v>-330</v>
      </c>
      <c r="BG6" s="32">
        <f ca="1">+Hoja2!Y7</f>
        <v>11190</v>
      </c>
      <c r="BH6" s="7">
        <f t="shared" ca="1" si="36"/>
        <v>48937</v>
      </c>
      <c r="BI6" s="8" t="str">
        <f t="shared" ref="BI6" ca="1" si="70">IF(AND(BH6&lt;0,BH5&gt;0), "Cruce -", IF(AND(BH6&gt;0,BH5&lt;0),"Cruce +", ""))</f>
        <v/>
      </c>
      <c r="BJ6" s="3" t="e">
        <f ca="1">IF($BP$1=1,DX6,IF(RTD("tos.rtd",,BJ$2,"."&amp;$A$2&amp;$AS$1&amp;"C"&amp;$A6)="N/A",0,RTD("tos.rtd",,BJ$2,"."&amp;$A$2&amp;$AS$1&amp;"C"&amp;$A6)))</f>
        <v>#NUM!</v>
      </c>
      <c r="BK6" s="3" t="e">
        <f ca="1">IF($BP$1=1,DY6,-IF(RTD("tos.rtd",,BK$2,"."&amp;$A$2&amp;$AS$1&amp;"P"&amp;$A6)="N/A",0,RTD("tos.rtd",,BK$2,"."&amp;$A$2&amp;$AS$1&amp;"P"&amp;$A6)))</f>
        <v>#NUM!</v>
      </c>
      <c r="BL6" s="3">
        <f ca="1">IF($BP$1=1,DZ6,IF(RTD("tos.rtd",,BL$2,"."&amp;$A$2&amp;$AU$1&amp;"C"&amp;$A6)="N/A",0,RTD("tos.rtd",,BL$2,"."&amp;$A$2&amp;$AU$1&amp;"C"&amp;$A6)))</f>
        <v>2.7153843576077315E-2</v>
      </c>
      <c r="BM6" s="3">
        <f ca="1">IF($BP$1=1,EA6,-IF(RTD("tos.rtd",,BM$2,"."&amp;$A$2&amp;$AU$1&amp;"P"&amp;$A6)="N/A",0,RTD("tos.rtd",,BM$2,"."&amp;$A$2&amp;$AU$1&amp;"P"&amp;$A6)))</f>
        <v>-1.1247124076885728E-2</v>
      </c>
      <c r="BN6" s="3">
        <f ca="1">IF($BP$1=1,EB6,IF(RTD("tos.rtd",,BN$2,"."&amp;$A$2&amp;$AW$1&amp;"C"&amp;$A6)="N/A",0,RTD("tos.rtd",,BN$2,"."&amp;$A$2&amp;$AW$1&amp;"C"&amp;$A6)))</f>
        <v>2.8382608659244815E-2</v>
      </c>
      <c r="BO6" s="3">
        <f ca="1">IF($BP$1=1,EC6,-IF(RTD("tos.rtd",,BO$2,"."&amp;$A$2&amp;$AW$1&amp;"P"&amp;$A6)="N/A",0,RTD("tos.rtd",,BO$2,"."&amp;$A$2&amp;$AW$1&amp;"P"&amp;$A6)))</f>
        <v>-1.9781563579142496E-2</v>
      </c>
      <c r="BQ6" s="3" t="e">
        <f t="shared" ca="1" si="37"/>
        <v>#NUM!</v>
      </c>
      <c r="BR6" s="3" t="e">
        <f t="shared" ref="BR6:BT38" ca="1" si="71">IF(AND(BQ6&lt;0,BQ5&gt;0), "Cruce -", IF(AND(BQ6&gt;0,BQ5&lt;0),"Cruce +", ""))</f>
        <v>#NUM!</v>
      </c>
      <c r="BS6" s="3">
        <f t="shared" ca="1" si="38"/>
        <v>267571950.76584652</v>
      </c>
      <c r="BT6" s="3" t="str">
        <f t="shared" ca="1" si="71"/>
        <v/>
      </c>
      <c r="BU6" s="3">
        <f t="shared" ca="1" si="39"/>
        <v>866931279.90850472</v>
      </c>
      <c r="BV6" s="3" t="str">
        <f t="shared" ref="BV6" ca="1" si="72">IF(AND(BU6&lt;0,BU5&gt;0), "Cruce -", IF(AND(BU6&gt;0,BU5&lt;0),"Cruce +", ""))</f>
        <v/>
      </c>
      <c r="BX6" s="3" t="e">
        <f t="shared" ca="1" si="40"/>
        <v>#NUM!</v>
      </c>
      <c r="BY6" s="3" t="e">
        <f t="shared" ref="BY6:BY38" ca="1" si="73">IF(AND(BX6&lt;0,BX5&gt;0), "Cruce -", IF(AND(BX6&gt;0,BX5&lt;0),"Cruce +", ""))</f>
        <v>#NUM!</v>
      </c>
      <c r="BZ6" s="3">
        <f t="shared" ca="1" si="41"/>
        <v>216731193.21704927</v>
      </c>
      <c r="CA6" s="3" t="str">
        <f t="shared" ref="CA6:CA38" ca="1" si="74">IF(AND(BZ6&lt;0,BZ5&gt;0), "Cruce -", IF(AND(BZ6&gt;0,BZ5&lt;0),"Cruce +", ""))</f>
        <v/>
      </c>
      <c r="CB6" s="3">
        <f t="shared" ca="1" si="42"/>
        <v>17702215.51216758</v>
      </c>
      <c r="CC6" s="3" t="str">
        <f t="shared" ref="CC6:CC38" ca="1" si="75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0.61</v>
      </c>
      <c r="CF6" s="3">
        <f>IF(RTD("tos.rtd",,CF$2,"."&amp;$A$2&amp;$AU$1&amp;"C"&amp;$A6)="N/A",0,RTD("tos.rtd",,CF$2,"."&amp;$A$2&amp;$AU$1&amp;"C"&amp;$A6))</f>
        <v>0.2</v>
      </c>
      <c r="CG6" s="3">
        <f>-IF(RTD("tos.rtd",,CG$2,"."&amp;$A$2&amp;$AU$1&amp;"P"&amp;$A6)="N/A",0,RTD("tos.rtd",,CG$2,"."&amp;$A$2&amp;$AU$1&amp;"P"&amp;$A6))</f>
        <v>0.6</v>
      </c>
      <c r="CH6" s="3">
        <f>IF(RTD("tos.rtd",,CH$2,"."&amp;$A$2&amp;$AW$1&amp;"C"&amp;$A6)="N/A",0,RTD("tos.rtd",,CH$2,"."&amp;$A$2&amp;$AW$1&amp;"C"&amp;$A6))</f>
        <v>0.41</v>
      </c>
      <c r="CI6" s="3">
        <f>-IF(RTD("tos.rtd",,CI$2,"."&amp;$A$2&amp;$AW$1&amp;"P"&amp;$A6)="N/A",0,RTD("tos.rtd",,CI$2,"."&amp;$A$2&amp;$AW$1&amp;"P"&amp;$A6))</f>
        <v>0.55000000000000004</v>
      </c>
      <c r="CK6" s="3">
        <f t="shared" si="17"/>
        <v>-8418</v>
      </c>
      <c r="CL6" s="3"/>
      <c r="CM6" s="3">
        <f t="shared" si="18"/>
        <v>519180</v>
      </c>
      <c r="CN6" s="3"/>
      <c r="CO6" s="3">
        <f t="shared" si="19"/>
        <v>3264313</v>
      </c>
      <c r="CP6" s="3">
        <f t="shared" si="43"/>
        <v>3775075</v>
      </c>
      <c r="CQ6" s="3">
        <f t="shared" si="44"/>
        <v>11656</v>
      </c>
      <c r="CR6" s="3"/>
      <c r="CS6" s="3">
        <f t="shared" si="20"/>
        <v>24281</v>
      </c>
      <c r="CT6" s="3"/>
      <c r="CU6" s="3">
        <f t="shared" si="21"/>
        <v>1810</v>
      </c>
      <c r="CV6" s="3">
        <f t="shared" si="45"/>
        <v>37747</v>
      </c>
      <c r="CW6" s="3" t="e">
        <f t="shared" ca="1" si="46"/>
        <v>#NUM!</v>
      </c>
      <c r="CX6" s="85" t="e">
        <f t="shared" ref="CX6:CX38" ca="1" si="76">IF(AND(CW6&lt;0,CW5&gt;0), "Cruce -", IF(AND(CW6&gt;0,CW5&lt;0),"Cruce +", ""))</f>
        <v>#NUM!</v>
      </c>
      <c r="CY6" s="3" t="e">
        <f t="shared" ca="1" si="47"/>
        <v>#NUM!</v>
      </c>
      <c r="CZ6" s="85" t="e">
        <f t="shared" ref="CZ6:CZ38" ca="1" si="77">IF(AND(CY6&lt;0,CY5&gt;0), "Cruce -", IF(AND(CY6&gt;0,CY5&lt;0),"Cruce +", ""))</f>
        <v>#NUM!</v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15.53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16.739999999999998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14.75</v>
      </c>
      <c r="DG6" s="86">
        <f t="shared" si="48"/>
        <v>8.5599999999999454</v>
      </c>
      <c r="DH6" s="3">
        <f t="shared" si="22"/>
        <v>1</v>
      </c>
      <c r="DI6" s="3">
        <f t="shared" si="49"/>
        <v>-1.5678391959798994</v>
      </c>
      <c r="DJ6" s="3">
        <f t="shared" si="50"/>
        <v>1</v>
      </c>
      <c r="DK6" s="3">
        <f t="shared" si="51"/>
        <v>4</v>
      </c>
      <c r="DL6" s="3">
        <f t="shared" si="52"/>
        <v>-0.5678391959798994</v>
      </c>
      <c r="DM6" s="3">
        <f t="shared" si="53"/>
        <v>5</v>
      </c>
      <c r="DN6" s="63" t="str">
        <f t="shared" si="54"/>
        <v>BUY</v>
      </c>
      <c r="DO6" s="63" t="str">
        <f t="shared" si="55"/>
        <v>SELL</v>
      </c>
      <c r="DP6" s="3">
        <f t="shared" si="56"/>
        <v>-24.338542713567836</v>
      </c>
      <c r="DQ6" s="3">
        <f t="shared" si="57"/>
        <v>62.129999999999995</v>
      </c>
      <c r="DR6" s="3" t="e">
        <f t="shared" ca="1" si="58"/>
        <v>#NUM!</v>
      </c>
      <c r="DS6" s="3">
        <f t="shared" si="59"/>
        <v>2.44</v>
      </c>
      <c r="DT6" s="3">
        <f t="shared" si="60"/>
        <v>1</v>
      </c>
      <c r="DU6" s="3">
        <f t="shared" si="61"/>
        <v>-4</v>
      </c>
      <c r="DV6" s="3">
        <f t="shared" si="62"/>
        <v>877</v>
      </c>
      <c r="DW6" s="3">
        <f t="shared" si="23"/>
        <v>31</v>
      </c>
      <c r="DX6" s="3" t="e">
        <f t="shared" ca="1" si="24"/>
        <v>#NUM!</v>
      </c>
      <c r="DY6" s="3" t="e">
        <f t="shared" ca="1" si="25"/>
        <v>#NUM!</v>
      </c>
      <c r="DZ6" s="3">
        <f t="shared" ca="1" si="26"/>
        <v>2.7153843576077315E-2</v>
      </c>
      <c r="EA6" s="3">
        <f t="shared" ca="1" si="27"/>
        <v>-1.1247124076885728E-2</v>
      </c>
      <c r="EB6" s="3">
        <f t="shared" ca="1" si="28"/>
        <v>2.8382608659244815E-2</v>
      </c>
      <c r="EC6" s="3">
        <f t="shared" ca="1" si="29"/>
        <v>-1.9781563579142496E-2</v>
      </c>
      <c r="ED6" s="63">
        <f t="shared" si="63"/>
        <v>908</v>
      </c>
      <c r="EE6" s="59">
        <f t="shared" si="64"/>
        <v>0.7601</v>
      </c>
      <c r="EF6" s="59">
        <f t="shared" si="30"/>
        <v>6.3067000000000002</v>
      </c>
      <c r="EG6" s="59">
        <f t="shared" si="31"/>
        <v>0.15040000000000001</v>
      </c>
      <c r="EH6" s="59">
        <f t="shared" si="32"/>
        <v>0.44879999999999998</v>
      </c>
      <c r="EI6" s="59">
        <f t="shared" si="33"/>
        <v>0.13700000000000001</v>
      </c>
      <c r="EJ6" s="59">
        <f t="shared" si="34"/>
        <v>0.2384</v>
      </c>
      <c r="EK6" s="63" t="e">
        <f t="shared" ca="1" si="65"/>
        <v>#NUM!</v>
      </c>
      <c r="EL6" s="3" t="str">
        <f>RTD("tos.rtd",,EL$2,"."&amp;$A$2&amp;$AS$1&amp;"C"&amp;$A6)</f>
        <v>76.01%</v>
      </c>
      <c r="EM6" s="3" t="str">
        <f>RTD("tos.rtd",,EM$2,"."&amp;$A$2&amp;$AS$1&amp;"P"&amp;$A6)</f>
        <v>630.67%</v>
      </c>
      <c r="EN6" s="3" t="str">
        <f>RTD("tos.rtd",,EN$2,"."&amp;$A$2&amp;$AU$1&amp;"C"&amp;$A6)</f>
        <v>15.04%</v>
      </c>
      <c r="EO6" s="3" t="str">
        <f>RTD("tos.rtd",,EO$2,"."&amp;$A$2&amp;$AU$1&amp;"P"&amp;$A6)</f>
        <v>44.88%</v>
      </c>
      <c r="EP6" s="3" t="str">
        <f>RTD("tos.rtd",,EP$2,"."&amp;$A$2&amp;$AW$1&amp;"C"&amp;$A6)</f>
        <v>13.70%</v>
      </c>
      <c r="EQ6" s="3" t="str">
        <f>RTD("tos.rtd",,EQ$2,"."&amp;$A$2&amp;$AW$1&amp;"P"&amp;$A6)</f>
        <v>23.84%</v>
      </c>
      <c r="ES6" s="63" t="str">
        <f t="shared" si="66"/>
        <v>580,908.00</v>
      </c>
      <c r="ET6" s="63" t="str">
        <f t="shared" ca="1" si="67"/>
        <v>580,00.00</v>
      </c>
      <c r="EU6" s="67">
        <v>565.27</v>
      </c>
      <c r="EV6" s="67" t="s">
        <v>67</v>
      </c>
      <c r="EW6" s="67">
        <v>488.58</v>
      </c>
      <c r="EX6" s="67" t="s">
        <v>68</v>
      </c>
      <c r="EY6" s="67">
        <v>5663.94</v>
      </c>
      <c r="EZ6" s="67" t="s">
        <v>69</v>
      </c>
      <c r="FA6" s="67">
        <v>20063.564999999999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8"/>
        <v>579</v>
      </c>
      <c r="B7" s="3">
        <f t="shared" si="9"/>
        <v>12061</v>
      </c>
      <c r="C7" s="3">
        <f t="shared" si="10"/>
        <v>4893</v>
      </c>
      <c r="D7" s="3">
        <f t="shared" si="11"/>
        <v>489</v>
      </c>
      <c r="E7" s="3">
        <f t="shared" si="12"/>
        <v>17443</v>
      </c>
      <c r="F7" s="4">
        <f t="shared" si="13"/>
        <v>5826.0709785804283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-4884</v>
      </c>
      <c r="AN7" s="1">
        <v>10</v>
      </c>
      <c r="AO7" s="1">
        <v>579</v>
      </c>
      <c r="AP7" s="1">
        <v>7160</v>
      </c>
      <c r="AQ7" s="1">
        <v>-54</v>
      </c>
      <c r="AR7" s="1"/>
      <c r="AS7" s="6">
        <f>IF(RTD("tos.rtd",,AS$2,"."&amp;$A$2&amp;$AS$1&amp;"C"&amp;$A7)="N/A",0,RTD("tos.rtd",,AS$2,"."&amp;$A$2&amp;$AS$1&amp;"C"&amp;$A7))</f>
        <v>12052</v>
      </c>
      <c r="AT7" s="7">
        <f>-IF(RTD("tos.rtd",,AT$2,"."&amp;$A$2&amp;$AS$1&amp;"P"&amp;$A7)="N/A",0,RTD("tos.rtd",,AT$2,"."&amp;$A$2&amp;$AS$1&amp;"P"&amp;$A7))</f>
        <v>-9</v>
      </c>
      <c r="AU7" s="6">
        <f>IF(RTD("tos.rtd",,AU$2,"."&amp;$A$2&amp;$AU$1&amp;"C"&amp;$A7)="N/A",0,RTD("tos.rtd",,AU$2,"."&amp;$A$2&amp;$AU$1&amp;"C"&amp;$A7))</f>
        <v>4881</v>
      </c>
      <c r="AV7" s="7">
        <f>-IF(RTD("tos.rtd",,AV$2,"."&amp;$A$2&amp;$AU$1&amp;"P"&amp;$A7)="N/A",0,RTD("tos.rtd",,AV$2,"."&amp;$A$2&amp;$AU$1&amp;"P"&amp;$A7))</f>
        <v>-12</v>
      </c>
      <c r="AW7" s="6">
        <f>IF(RTD("tos.rtd",,AW$2,"."&amp;$A$2&amp;$AW$1&amp;"C"&amp;$A7)="N/A",0,RTD("tos.rtd",,AW$2,"."&amp;$A$2&amp;$AW$1&amp;"C"&amp;$A7))</f>
        <v>349</v>
      </c>
      <c r="AX7" s="7">
        <f>-IF(RTD("tos.rtd",,AX$2,"."&amp;$A$2&amp;$AW$1&amp;"P"&amp;$A7)="N/A",0,RTD("tos.rtd",,AX$2,"."&amp;$A$2&amp;$AW$1&amp;"P"&amp;$A7))</f>
        <v>-140</v>
      </c>
      <c r="AY7" s="1">
        <f t="shared" si="69"/>
        <v>17121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7161</v>
      </c>
      <c r="BB7" s="7">
        <f>-IF(RTD("tos.rtd",,BB$2,"."&amp;$A$2&amp;$AS$1&amp;"P"&amp;$A7)="N/A",0,RTD("tos.rtd",,BB$2,"."&amp;$A$2&amp;$AS$1&amp;"P"&amp;$A7))</f>
        <v>-54</v>
      </c>
      <c r="BC7" s="6">
        <f>IF(RTD("tos.rtd",,BC$2,"."&amp;$A$2&amp;$AU$1&amp;"C"&amp;$A7)="N/A",0,RTD("tos.rtd",,BC$2,"."&amp;$A$2&amp;$AU$1&amp;"C"&amp;$A7))</f>
        <v>2367</v>
      </c>
      <c r="BD7" s="7">
        <f>-IF(RTD("tos.rtd",,BD$2,"."&amp;$A$2&amp;$AU$1&amp;"P"&amp;$A7)="N/A",0,RTD("tos.rtd",,BD$2,"."&amp;$A$2&amp;$AU$1&amp;"P"&amp;$A7))</f>
        <v>-25</v>
      </c>
      <c r="BE7" s="6">
        <f>IF(RTD("tos.rtd",,BE$2,"."&amp;$A$2&amp;$AW$1&amp;"C"&amp;$A7)="N/A",0,RTD("tos.rtd",,BE$2,"."&amp;$A$2&amp;$AW$1&amp;"C"&amp;$A7))</f>
        <v>514</v>
      </c>
      <c r="BF7" s="83">
        <f>-IF(RTD("tos.rtd",,BF$2,"."&amp;$A$2&amp;$AW$1&amp;"P"&amp;$A7)="N/A",0,RTD("tos.rtd",,BF$2,"."&amp;$A$2&amp;$AW$1&amp;"P"&amp;$A7))</f>
        <v>-31</v>
      </c>
      <c r="BG7" s="32">
        <f ca="1">+Hoja2!Y8</f>
        <v>557</v>
      </c>
      <c r="BH7" s="7">
        <f t="shared" ca="1" si="36"/>
        <v>10489</v>
      </c>
      <c r="BI7" s="8" t="str">
        <f t="shared" ref="BI7" ca="1" si="78">IF(AND(BH7&lt;0,BH6&gt;0), "Cruce -", IF(AND(BH7&gt;0,BH6&lt;0),"Cruce +", ""))</f>
        <v/>
      </c>
      <c r="BJ7" s="3" t="e">
        <f ca="1">IF($BP$1=1,DX7,IF(RTD("tos.rtd",,BJ$2,"."&amp;$A$2&amp;$AS$1&amp;"C"&amp;$A7)="N/A",0,RTD("tos.rtd",,BJ$2,"."&amp;$A$2&amp;$AS$1&amp;"C"&amp;$A7)))</f>
        <v>#NUM!</v>
      </c>
      <c r="BK7" s="3" t="e">
        <f ca="1">IF($BP$1=1,DY7,-IF(RTD("tos.rtd",,BK$2,"."&amp;$A$2&amp;$AS$1&amp;"P"&amp;$A7)="N/A",0,RTD("tos.rtd",,BK$2,"."&amp;$A$2&amp;$AS$1&amp;"P"&amp;$A7)))</f>
        <v>#NUM!</v>
      </c>
      <c r="BL7" s="3">
        <f ca="1">IF($BP$1=1,DZ7,IF(RTD("tos.rtd",,BL$2,"."&amp;$A$2&amp;$AU$1&amp;"C"&amp;$A7)="N/A",0,RTD("tos.rtd",,BL$2,"."&amp;$A$2&amp;$AU$1&amp;"C"&amp;$A7)))</f>
        <v>2.8856428953723038E-2</v>
      </c>
      <c r="BM7" s="3">
        <f ca="1">IF($BP$1=1,EA7,-IF(RTD("tos.rtd",,BM$2,"."&amp;$A$2&amp;$AU$1&amp;"P"&amp;$A7)="N/A",0,RTD("tos.rtd",,BM$2,"."&amp;$A$2&amp;$AU$1&amp;"P"&amp;$A7)))</f>
        <v>-1.1528734276210994E-2</v>
      </c>
      <c r="BN7" s="3">
        <f ca="1">IF($BP$1=1,EB7,IF(RTD("tos.rtd",,BN$2,"."&amp;$A$2&amp;$AW$1&amp;"C"&amp;$A7)="N/A",0,RTD("tos.rtd",,BN$2,"."&amp;$A$2&amp;$AW$1&amp;"C"&amp;$A7)))</f>
        <v>3.0226387353781688E-2</v>
      </c>
      <c r="BO7" s="3">
        <f ca="1">IF($BP$1=1,EC7,-IF(RTD("tos.rtd",,BO$2,"."&amp;$A$2&amp;$AW$1&amp;"P"&amp;$A7)="N/A",0,RTD("tos.rtd",,BO$2,"."&amp;$A$2&amp;$AW$1&amp;"P"&amp;$A7)))</f>
        <v>-2.0179937820554848E-2</v>
      </c>
      <c r="BQ7" s="3" t="e">
        <f t="shared" ca="1" si="37"/>
        <v>#NUM!</v>
      </c>
      <c r="BR7" s="3" t="e">
        <f t="shared" ca="1" si="71"/>
        <v>#NUM!</v>
      </c>
      <c r="BS7" s="3">
        <f t="shared" ca="1" si="38"/>
        <v>45947922.730934873</v>
      </c>
      <c r="BT7" s="3" t="str">
        <f t="shared" ca="1" si="71"/>
        <v/>
      </c>
      <c r="BU7" s="3">
        <f t="shared" ca="1" si="39"/>
        <v>2522163.8685379014</v>
      </c>
      <c r="BV7" s="3" t="str">
        <f t="shared" ref="BV7" ca="1" si="79">IF(AND(BU7&lt;0,BU6&gt;0), "Cruce -", IF(AND(BU7&gt;0,BU6&lt;0),"Cruce +", ""))</f>
        <v/>
      </c>
      <c r="BX7" s="3" t="e">
        <f t="shared" ca="1" si="40"/>
        <v>#NUM!</v>
      </c>
      <c r="BY7" s="3" t="e">
        <f t="shared" ca="1" si="73"/>
        <v>#NUM!</v>
      </c>
      <c r="BZ7" s="3">
        <f t="shared" ca="1" si="41"/>
        <v>22209851.298521534</v>
      </c>
      <c r="CA7" s="3" t="str">
        <f t="shared" ca="1" si="74"/>
        <v/>
      </c>
      <c r="CB7" s="3">
        <f t="shared" ca="1" si="42"/>
        <v>4869022.5191092249</v>
      </c>
      <c r="CC7" s="3" t="str">
        <f t="shared" ca="1" si="75"/>
        <v/>
      </c>
      <c r="CD7" s="3">
        <f>IF(RTD("tos.rtd",,CD$2,"."&amp;$A$2&amp;$AS$1&amp;"C"&amp;$A7)="N/A",0,RTD("tos.rtd",,CD$2,"."&amp;$A$2&amp;$AS$1&amp;"C"&amp;$A7))</f>
        <v>0.01</v>
      </c>
      <c r="CE7" s="3">
        <f>-IF(RTD("tos.rtd",,CE$2,"."&amp;$A$2&amp;$AS$1&amp;"P"&amp;$A7)="N/A",0,RTD("tos.rtd",,CE$2,"."&amp;$A$2&amp;$AS$1&amp;"P"&amp;$A7))</f>
        <v>0.6</v>
      </c>
      <c r="CF7" s="3">
        <f>IF(RTD("tos.rtd",,CF$2,"."&amp;$A$2&amp;$AU$1&amp;"C"&amp;$A7)="N/A",0,RTD("tos.rtd",,CF$2,"."&amp;$A$2&amp;$AU$1&amp;"C"&amp;$A7))</f>
        <v>0.23</v>
      </c>
      <c r="CG7" s="3">
        <f>-IF(RTD("tos.rtd",,CG$2,"."&amp;$A$2&amp;$AU$1&amp;"P"&amp;$A7)="N/A",0,RTD("tos.rtd",,CG$2,"."&amp;$A$2&amp;$AU$1&amp;"P"&amp;$A7))</f>
        <v>0.59</v>
      </c>
      <c r="CH7" s="3">
        <f>IF(RTD("tos.rtd",,CH$2,"."&amp;$A$2&amp;$AW$1&amp;"C"&amp;$A7)="N/A",0,RTD("tos.rtd",,CH$2,"."&amp;$A$2&amp;$AW$1&amp;"C"&amp;$A7))</f>
        <v>0.43</v>
      </c>
      <c r="CI7" s="3">
        <f>-IF(RTD("tos.rtd",,CI$2,"."&amp;$A$2&amp;$AW$1&amp;"P"&amp;$A7)="N/A",0,RTD("tos.rtd",,CI$2,"."&amp;$A$2&amp;$AW$1&amp;"P"&amp;$A7))</f>
        <v>0.54</v>
      </c>
      <c r="CK7" s="3">
        <f t="shared" si="17"/>
        <v>11512</v>
      </c>
      <c r="CL7" s="3"/>
      <c r="CM7" s="3">
        <f t="shared" si="18"/>
        <v>111555.00000000001</v>
      </c>
      <c r="CN7" s="3"/>
      <c r="CO7" s="3">
        <f t="shared" si="19"/>
        <v>7446.9999999999991</v>
      </c>
      <c r="CP7" s="3">
        <f t="shared" si="43"/>
        <v>130514.00000000001</v>
      </c>
      <c r="CQ7" s="3">
        <f t="shared" si="44"/>
        <v>7107</v>
      </c>
      <c r="CR7" s="3"/>
      <c r="CS7" s="3">
        <f t="shared" si="20"/>
        <v>2342</v>
      </c>
      <c r="CT7" s="3"/>
      <c r="CU7" s="3">
        <f t="shared" si="21"/>
        <v>483</v>
      </c>
      <c r="CV7" s="3">
        <f t="shared" si="45"/>
        <v>9932</v>
      </c>
      <c r="CW7" s="3" t="e">
        <f t="shared" ca="1" si="46"/>
        <v>#NUM!</v>
      </c>
      <c r="CX7" s="85" t="e">
        <f t="shared" ca="1" si="76"/>
        <v>#NUM!</v>
      </c>
      <c r="CY7" s="3" t="e">
        <f t="shared" ca="1" si="47"/>
        <v>#NUM!</v>
      </c>
      <c r="CZ7" s="85" t="e">
        <f t="shared" ca="1" si="77"/>
        <v>#NUM!</v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14.47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15.74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13.75</v>
      </c>
      <c r="DG7" s="86">
        <f t="shared" si="48"/>
        <v>7.5599999999999454</v>
      </c>
      <c r="DH7" s="3">
        <f t="shared" si="22"/>
        <v>1</v>
      </c>
      <c r="DI7" s="3">
        <f t="shared" si="49"/>
        <v>0</v>
      </c>
      <c r="DJ7" s="3">
        <f t="shared" si="50"/>
        <v>1</v>
      </c>
      <c r="DK7" s="3">
        <f t="shared" si="51"/>
        <v>0</v>
      </c>
      <c r="DL7" s="3">
        <f t="shared" si="52"/>
        <v>1</v>
      </c>
      <c r="DM7" s="3">
        <f t="shared" si="53"/>
        <v>1</v>
      </c>
      <c r="DN7" s="63" t="str">
        <f t="shared" si="54"/>
        <v>BUY</v>
      </c>
      <c r="DO7" s="63" t="str">
        <f t="shared" si="55"/>
        <v>UNKNOWN</v>
      </c>
      <c r="DP7" s="3">
        <f t="shared" si="56"/>
        <v>0.01</v>
      </c>
      <c r="DQ7" s="3">
        <f t="shared" si="57"/>
        <v>0.01</v>
      </c>
      <c r="DR7" s="3" t="e">
        <f t="shared" ca="1" si="58"/>
        <v>#NUM!</v>
      </c>
      <c r="DS7" s="3">
        <f t="shared" si="59"/>
        <v>0.01</v>
      </c>
      <c r="DT7" s="3">
        <f t="shared" si="60"/>
        <v>1</v>
      </c>
      <c r="DU7" s="3">
        <f t="shared" si="61"/>
        <v>0</v>
      </c>
      <c r="DV7" s="3">
        <f t="shared" si="62"/>
        <v>-4883</v>
      </c>
      <c r="DW7" s="3">
        <f t="shared" si="23"/>
        <v>10</v>
      </c>
      <c r="DX7" s="3" t="e">
        <f t="shared" ca="1" si="24"/>
        <v>#NUM!</v>
      </c>
      <c r="DY7" s="3" t="e">
        <f t="shared" ca="1" si="25"/>
        <v>#NUM!</v>
      </c>
      <c r="DZ7" s="3">
        <f t="shared" ca="1" si="26"/>
        <v>2.8856428953723038E-2</v>
      </c>
      <c r="EA7" s="3">
        <f t="shared" ca="1" si="27"/>
        <v>-1.1528734276210994E-2</v>
      </c>
      <c r="EB7" s="3">
        <f t="shared" ca="1" si="28"/>
        <v>3.0226387353781688E-2</v>
      </c>
      <c r="EC7" s="3">
        <f t="shared" ca="1" si="29"/>
        <v>-2.0179937820554848E-2</v>
      </c>
      <c r="ED7" s="63">
        <f t="shared" si="63"/>
        <v>-4873</v>
      </c>
      <c r="EE7" s="59">
        <f t="shared" si="64"/>
        <v>0.68110000000000004</v>
      </c>
      <c r="EF7" s="59">
        <f t="shared" si="30"/>
        <v>6.0812999999999997</v>
      </c>
      <c r="EG7" s="59">
        <f t="shared" si="31"/>
        <v>0.14879999999999999</v>
      </c>
      <c r="EH7" s="59">
        <f t="shared" si="32"/>
        <v>0.43980000000000002</v>
      </c>
      <c r="EI7" s="59">
        <f t="shared" si="33"/>
        <v>0.1376</v>
      </c>
      <c r="EJ7" s="59">
        <f t="shared" si="34"/>
        <v>0.2387</v>
      </c>
      <c r="EK7" s="63" t="e">
        <f t="shared" ca="1" si="65"/>
        <v>#NUM!</v>
      </c>
      <c r="EL7" s="3" t="str">
        <f>RTD("tos.rtd",,EL$2,"."&amp;$A$2&amp;$AS$1&amp;"C"&amp;$A7)</f>
        <v>68.11%</v>
      </c>
      <c r="EM7" s="3" t="str">
        <f>RTD("tos.rtd",,EM$2,"."&amp;$A$2&amp;$AS$1&amp;"P"&amp;$A7)</f>
        <v>608.13%</v>
      </c>
      <c r="EN7" s="3" t="str">
        <f>RTD("tos.rtd",,EN$2,"."&amp;$A$2&amp;$AU$1&amp;"C"&amp;$A7)</f>
        <v>14.88%</v>
      </c>
      <c r="EO7" s="3" t="str">
        <f>RTD("tos.rtd",,EO$2,"."&amp;$A$2&amp;$AU$1&amp;"P"&amp;$A7)</f>
        <v>43.98%</v>
      </c>
      <c r="EP7" s="3" t="str">
        <f>RTD("tos.rtd",,EP$2,"."&amp;$A$2&amp;$AW$1&amp;"C"&amp;$A7)</f>
        <v>13.76%</v>
      </c>
      <c r="EQ7" s="3" t="str">
        <f>RTD("tos.rtd",,EQ$2,"."&amp;$A$2&amp;$AW$1&amp;"P"&amp;$A7)</f>
        <v>23.87%</v>
      </c>
      <c r="ES7" s="63" t="str">
        <f t="shared" si="66"/>
        <v>579,-4873.00</v>
      </c>
      <c r="ET7" s="63" t="str">
        <f t="shared" ca="1" si="67"/>
        <v>579,00.00</v>
      </c>
      <c r="EU7" s="67">
        <v>565.22</v>
      </c>
      <c r="EV7" s="67" t="s">
        <v>75</v>
      </c>
      <c r="EW7" s="67">
        <v>488.56</v>
      </c>
      <c r="EX7" s="67" t="s">
        <v>76</v>
      </c>
      <c r="EY7" s="67">
        <v>5663.94</v>
      </c>
      <c r="EZ7" s="67" t="s">
        <v>77</v>
      </c>
      <c r="FA7" s="67">
        <v>20063.564999999999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8"/>
        <v>578</v>
      </c>
      <c r="B8" s="3">
        <f t="shared" si="9"/>
        <v>4808</v>
      </c>
      <c r="C8" s="3">
        <f t="shared" si="10"/>
        <v>10669</v>
      </c>
      <c r="D8" s="3">
        <f t="shared" si="11"/>
        <v>1043</v>
      </c>
      <c r="E8" s="3">
        <f t="shared" si="12"/>
        <v>16520</v>
      </c>
      <c r="F8" s="4">
        <f t="shared" si="13"/>
        <v>5816.0086798264028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-4088</v>
      </c>
      <c r="AN8" s="1">
        <v>2</v>
      </c>
      <c r="AO8" s="1">
        <v>578</v>
      </c>
      <c r="AP8" s="1">
        <v>6252</v>
      </c>
      <c r="AQ8" s="1">
        <v>-37</v>
      </c>
      <c r="AR8" s="1"/>
      <c r="AS8" s="6">
        <f>IF(RTD("tos.rtd",,AS$2,"."&amp;$A$2&amp;$AS$1&amp;"C"&amp;$A8)="N/A",0,RTD("tos.rtd",,AS$2,"."&amp;$A$2&amp;$AS$1&amp;"C"&amp;$A8))</f>
        <v>4793</v>
      </c>
      <c r="AT8" s="7">
        <f>-IF(RTD("tos.rtd",,AT$2,"."&amp;$A$2&amp;$AS$1&amp;"P"&amp;$A8)="N/A",0,RTD("tos.rtd",,AT$2,"."&amp;$A$2&amp;$AS$1&amp;"P"&amp;$A8))</f>
        <v>-15</v>
      </c>
      <c r="AU8" s="6">
        <f>IF(RTD("tos.rtd",,AU$2,"."&amp;$A$2&amp;$AU$1&amp;"C"&amp;$A8)="N/A",0,RTD("tos.rtd",,AU$2,"."&amp;$A$2&amp;$AU$1&amp;"C"&amp;$A8))</f>
        <v>10374</v>
      </c>
      <c r="AV8" s="7">
        <f>-IF(RTD("tos.rtd",,AV$2,"."&amp;$A$2&amp;$AU$1&amp;"P"&amp;$A8)="N/A",0,RTD("tos.rtd",,AV$2,"."&amp;$A$2&amp;$AU$1&amp;"P"&amp;$A8))</f>
        <v>-295</v>
      </c>
      <c r="AW8" s="6">
        <f>IF(RTD("tos.rtd",,AW$2,"."&amp;$A$2&amp;$AW$1&amp;"C"&amp;$A8)="N/A",0,RTD("tos.rtd",,AW$2,"."&amp;$A$2&amp;$AW$1&amp;"C"&amp;$A8))</f>
        <v>933</v>
      </c>
      <c r="AX8" s="7">
        <f>-IF(RTD("tos.rtd",,AX$2,"."&amp;$A$2&amp;$AW$1&amp;"P"&amp;$A8)="N/A",0,RTD("tos.rtd",,AX$2,"."&amp;$A$2&amp;$AW$1&amp;"P"&amp;$A8))</f>
        <v>-110</v>
      </c>
      <c r="AY8" s="1">
        <f t="shared" si="69"/>
        <v>15680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6252</v>
      </c>
      <c r="BB8" s="7">
        <f>-IF(RTD("tos.rtd",,BB$2,"."&amp;$A$2&amp;$AS$1&amp;"P"&amp;$A8)="N/A",0,RTD("tos.rtd",,BB$2,"."&amp;$A$2&amp;$AS$1&amp;"P"&amp;$A8))</f>
        <v>-37</v>
      </c>
      <c r="BC8" s="6">
        <f>IF(RTD("tos.rtd",,BC$2,"."&amp;$A$2&amp;$AU$1&amp;"C"&amp;$A8)="N/A",0,RTD("tos.rtd",,BC$2,"."&amp;$A$2&amp;$AU$1&amp;"C"&amp;$A8))</f>
        <v>4148</v>
      </c>
      <c r="BD8" s="7">
        <f>-IF(RTD("tos.rtd",,BD$2,"."&amp;$A$2&amp;$AU$1&amp;"P"&amp;$A8)="N/A",0,RTD("tos.rtd",,BD$2,"."&amp;$A$2&amp;$AU$1&amp;"P"&amp;$A8))</f>
        <v>-29</v>
      </c>
      <c r="BE8" s="6">
        <f>IF(RTD("tos.rtd",,BE$2,"."&amp;$A$2&amp;$AW$1&amp;"C"&amp;$A8)="N/A",0,RTD("tos.rtd",,BE$2,"."&amp;$A$2&amp;$AW$1&amp;"C"&amp;$A8))</f>
        <v>519</v>
      </c>
      <c r="BF8" s="83">
        <f>-IF(RTD("tos.rtd",,BF$2,"."&amp;$A$2&amp;$AW$1&amp;"P"&amp;$A8)="N/A",0,RTD("tos.rtd",,BF$2,"."&amp;$A$2&amp;$AW$1&amp;"P"&amp;$A8))</f>
        <v>-56</v>
      </c>
      <c r="BG8" s="32">
        <f ca="1">+Hoja2!Y9</f>
        <v>908</v>
      </c>
      <c r="BH8" s="7">
        <f t="shared" ca="1" si="36"/>
        <v>11705</v>
      </c>
      <c r="BI8" s="8" t="str">
        <f t="shared" ref="BI8" ca="1" si="80">IF(AND(BH8&lt;0,BH7&gt;0), "Cruce -", IF(AND(BH8&gt;0,BH7&lt;0),"Cruce +", ""))</f>
        <v/>
      </c>
      <c r="BJ8" s="3" t="e">
        <f ca="1">IF($BP$1=1,DX8,IF(RTD("tos.rtd",,BJ$2,"."&amp;$A$2&amp;$AS$1&amp;"C"&amp;$A8)="N/A",0,RTD("tos.rtd",,BJ$2,"."&amp;$A$2&amp;$AS$1&amp;"C"&amp;$A8)))</f>
        <v>#NUM!</v>
      </c>
      <c r="BK8" s="3" t="e">
        <f ca="1">IF($BP$1=1,DY8,-IF(RTD("tos.rtd",,BK$2,"."&amp;$A$2&amp;$AS$1&amp;"P"&amp;$A8)="N/A",0,RTD("tos.rtd",,BK$2,"."&amp;$A$2&amp;$AS$1&amp;"P"&amp;$A8)))</f>
        <v>#NUM!</v>
      </c>
      <c r="BL8" s="3">
        <f ca="1">IF($BP$1=1,DZ8,IF(RTD("tos.rtd",,BL$2,"."&amp;$A$2&amp;$AU$1&amp;"C"&amp;$A8)="N/A",0,RTD("tos.rtd",,BL$2,"."&amp;$A$2&amp;$AU$1&amp;"C"&amp;$A8)))</f>
        <v>3.0646603025268671E-2</v>
      </c>
      <c r="BM8" s="3">
        <f ca="1">IF($BP$1=1,EA8,-IF(RTD("tos.rtd",,BM$2,"."&amp;$A$2&amp;$AU$1&amp;"P"&amp;$A8)="N/A",0,RTD("tos.rtd",,BM$2,"."&amp;$A$2&amp;$AU$1&amp;"P"&amp;$A8)))</f>
        <v>-1.179385158843782E-2</v>
      </c>
      <c r="BN8" s="3">
        <f ca="1">IF($BP$1=1,EB8,IF(RTD("tos.rtd",,BN$2,"."&amp;$A$2&amp;$AW$1&amp;"C"&amp;$A8)="N/A",0,RTD("tos.rtd",,BN$2,"."&amp;$A$2&amp;$AW$1&amp;"C"&amp;$A8)))</f>
        <v>3.1915248818406662E-2</v>
      </c>
      <c r="BO8" s="3">
        <f ca="1">IF($BP$1=1,EC8,-IF(RTD("tos.rtd",,BO$2,"."&amp;$A$2&amp;$AW$1&amp;"P"&amp;$A8)="N/A",0,RTD("tos.rtd",,BO$2,"."&amp;$A$2&amp;$AW$1&amp;"P"&amp;$A8)))</f>
        <v>-2.063416048147091E-2</v>
      </c>
      <c r="BQ8" s="3" t="e">
        <f t="shared" ca="1" si="37"/>
        <v>#NUM!</v>
      </c>
      <c r="BR8" s="3" t="e">
        <f t="shared" ca="1" si="71"/>
        <v>#NUM!</v>
      </c>
      <c r="BS8" s="3">
        <f t="shared" ca="1" si="38"/>
        <v>102681225.02474128</v>
      </c>
      <c r="BT8" s="3" t="str">
        <f t="shared" ca="1" si="71"/>
        <v/>
      </c>
      <c r="BU8" s="3">
        <f t="shared" ca="1" si="39"/>
        <v>8982292.1771083325</v>
      </c>
      <c r="BV8" s="3" t="str">
        <f t="shared" ref="BV8" ca="1" si="81">IF(AND(BU8&lt;0,BU7&gt;0), "Cruce -", IF(AND(BU8&gt;0,BU7&lt;0),"Cruce +", ""))</f>
        <v/>
      </c>
      <c r="BX8" s="3" t="e">
        <f t="shared" ca="1" si="40"/>
        <v>#NUM!</v>
      </c>
      <c r="BY8" s="3" t="e">
        <f t="shared" ca="1" si="73"/>
        <v>#NUM!</v>
      </c>
      <c r="BZ8" s="3">
        <f t="shared" ca="1" si="41"/>
        <v>41399235.561458908</v>
      </c>
      <c r="CA8" s="3" t="str">
        <f t="shared" ca="1" si="74"/>
        <v/>
      </c>
      <c r="CB8" s="3">
        <f t="shared" ca="1" si="42"/>
        <v>5031548.5701224757</v>
      </c>
      <c r="CC8" s="3" t="str">
        <f t="shared" ca="1" si="75"/>
        <v/>
      </c>
      <c r="CD8" s="3">
        <f>IF(RTD("tos.rtd",,CD$2,"."&amp;$A$2&amp;$AS$1&amp;"C"&amp;$A8)="N/A",0,RTD("tos.rtd",,CD$2,"."&amp;$A$2&amp;$AS$1&amp;"C"&amp;$A8))</f>
        <v>0.01</v>
      </c>
      <c r="CE8" s="3">
        <f>-IF(RTD("tos.rtd",,CE$2,"."&amp;$A$2&amp;$AS$1&amp;"P"&amp;$A8)="N/A",0,RTD("tos.rtd",,CE$2,"."&amp;$A$2&amp;$AS$1&amp;"P"&amp;$A8))</f>
        <v>0.59</v>
      </c>
      <c r="CF8" s="3">
        <f>IF(RTD("tos.rtd",,CF$2,"."&amp;$A$2&amp;$AU$1&amp;"C"&amp;$A8)="N/A",0,RTD("tos.rtd",,CF$2,"."&amp;$A$2&amp;$AU$1&amp;"C"&amp;$A8))</f>
        <v>0.26</v>
      </c>
      <c r="CG8" s="3">
        <f>-IF(RTD("tos.rtd",,CG$2,"."&amp;$A$2&amp;$AU$1&amp;"P"&amp;$A8)="N/A",0,RTD("tos.rtd",,CG$2,"."&amp;$A$2&amp;$AU$1&amp;"P"&amp;$A8))</f>
        <v>0.57999999999999996</v>
      </c>
      <c r="CH8" s="3">
        <f>IF(RTD("tos.rtd",,CH$2,"."&amp;$A$2&amp;$AW$1&amp;"C"&amp;$A8)="N/A",0,RTD("tos.rtd",,CH$2,"."&amp;$A$2&amp;$AW$1&amp;"C"&amp;$A8))</f>
        <v>0.44</v>
      </c>
      <c r="CI8" s="3">
        <f>-IF(RTD("tos.rtd",,CI$2,"."&amp;$A$2&amp;$AW$1&amp;"P"&amp;$A8)="N/A",0,RTD("tos.rtd",,CI$2,"."&amp;$A$2&amp;$AW$1&amp;"P"&amp;$A8))</f>
        <v>0.53</v>
      </c>
      <c r="CK8" s="3">
        <f t="shared" si="17"/>
        <v>3908</v>
      </c>
      <c r="CL8" s="3"/>
      <c r="CM8" s="3">
        <f t="shared" si="18"/>
        <v>252614</v>
      </c>
      <c r="CN8" s="3"/>
      <c r="CO8" s="3">
        <f t="shared" si="19"/>
        <v>35222</v>
      </c>
      <c r="CP8" s="3">
        <f t="shared" si="43"/>
        <v>291744</v>
      </c>
      <c r="CQ8" s="3">
        <f t="shared" si="44"/>
        <v>6215</v>
      </c>
      <c r="CR8" s="3"/>
      <c r="CS8" s="3">
        <f t="shared" si="20"/>
        <v>4119</v>
      </c>
      <c r="CT8" s="3"/>
      <c r="CU8" s="3">
        <f t="shared" si="21"/>
        <v>463</v>
      </c>
      <c r="CV8" s="3">
        <f t="shared" si="45"/>
        <v>10797</v>
      </c>
      <c r="CW8" s="3" t="e">
        <f t="shared" ca="1" si="46"/>
        <v>#NUM!</v>
      </c>
      <c r="CX8" s="85" t="e">
        <f t="shared" ca="1" si="76"/>
        <v>#NUM!</v>
      </c>
      <c r="CY8" s="3" t="e">
        <f t="shared" ca="1" si="47"/>
        <v>#NUM!</v>
      </c>
      <c r="CZ8" s="85" t="e">
        <f t="shared" ca="1" si="77"/>
        <v>#NUM!</v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13.74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14.74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12.75</v>
      </c>
      <c r="DG8" s="86">
        <f t="shared" si="48"/>
        <v>6.5599999999999454</v>
      </c>
      <c r="DH8" s="3">
        <f t="shared" si="22"/>
        <v>0</v>
      </c>
      <c r="DI8" s="3">
        <f t="shared" si="49"/>
        <v>0</v>
      </c>
      <c r="DJ8" s="3">
        <f t="shared" si="50"/>
        <v>0</v>
      </c>
      <c r="DK8" s="3">
        <f t="shared" si="51"/>
        <v>0</v>
      </c>
      <c r="DL8" s="3">
        <f t="shared" si="52"/>
        <v>0</v>
      </c>
      <c r="DM8" s="3">
        <f t="shared" si="53"/>
        <v>0</v>
      </c>
      <c r="DN8" s="63" t="str">
        <f t="shared" si="54"/>
        <v>UNKNOWN</v>
      </c>
      <c r="DO8" s="63" t="str">
        <f t="shared" si="55"/>
        <v>UNKNOWN</v>
      </c>
      <c r="DP8" s="3">
        <f t="shared" si="56"/>
        <v>0</v>
      </c>
      <c r="DQ8" s="3">
        <f t="shared" si="57"/>
        <v>0</v>
      </c>
      <c r="DR8" s="3" t="e">
        <f t="shared" ca="1" si="58"/>
        <v>#NUM!</v>
      </c>
      <c r="DS8" s="3">
        <f t="shared" si="59"/>
        <v>0</v>
      </c>
      <c r="DT8" s="3">
        <f t="shared" si="60"/>
        <v>0</v>
      </c>
      <c r="DU8" s="3">
        <f t="shared" si="61"/>
        <v>0</v>
      </c>
      <c r="DV8" s="3">
        <f t="shared" si="62"/>
        <v>-4088</v>
      </c>
      <c r="DW8" s="3">
        <f t="shared" si="23"/>
        <v>2</v>
      </c>
      <c r="DX8" s="3" t="e">
        <f t="shared" ca="1" si="24"/>
        <v>#NUM!</v>
      </c>
      <c r="DY8" s="3" t="e">
        <f t="shared" ca="1" si="25"/>
        <v>#NUM!</v>
      </c>
      <c r="DZ8" s="3">
        <f t="shared" ca="1" si="26"/>
        <v>3.0646603025268671E-2</v>
      </c>
      <c r="EA8" s="3">
        <f t="shared" ca="1" si="27"/>
        <v>-1.179385158843782E-2</v>
      </c>
      <c r="EB8" s="3">
        <f t="shared" ca="1" si="28"/>
        <v>3.1915248818406662E-2</v>
      </c>
      <c r="EC8" s="3">
        <f t="shared" ca="1" si="29"/>
        <v>-2.063416048147091E-2</v>
      </c>
      <c r="ED8" s="63">
        <f t="shared" si="63"/>
        <v>-4086</v>
      </c>
      <c r="EE8" s="59">
        <f t="shared" si="64"/>
        <v>0.60099999999999998</v>
      </c>
      <c r="EF8" s="59">
        <f t="shared" si="30"/>
        <v>5.8507999999999996</v>
      </c>
      <c r="EG8" s="59">
        <f t="shared" si="31"/>
        <v>0.14630000000000001</v>
      </c>
      <c r="EH8" s="59">
        <f t="shared" si="32"/>
        <v>0.43169999999999997</v>
      </c>
      <c r="EI8" s="59">
        <f t="shared" si="33"/>
        <v>0.13800000000000001</v>
      </c>
      <c r="EJ8" s="59">
        <f t="shared" si="34"/>
        <v>0.23760000000000001</v>
      </c>
      <c r="EK8" s="63" t="e">
        <f t="shared" ca="1" si="65"/>
        <v>#NUM!</v>
      </c>
      <c r="EL8" s="3" t="str">
        <f>RTD("tos.rtd",,EL$2,"."&amp;$A$2&amp;$AS$1&amp;"C"&amp;$A8)</f>
        <v>60.10%</v>
      </c>
      <c r="EM8" s="3" t="str">
        <f>RTD("tos.rtd",,EM$2,"."&amp;$A$2&amp;$AS$1&amp;"P"&amp;$A8)</f>
        <v>585.08%</v>
      </c>
      <c r="EN8" s="3" t="str">
        <f>RTD("tos.rtd",,EN$2,"."&amp;$A$2&amp;$AU$1&amp;"C"&amp;$A8)</f>
        <v>14.63%</v>
      </c>
      <c r="EO8" s="3" t="str">
        <f>RTD("tos.rtd",,EO$2,"."&amp;$A$2&amp;$AU$1&amp;"P"&amp;$A8)</f>
        <v>43.17%</v>
      </c>
      <c r="EP8" s="3" t="str">
        <f>RTD("tos.rtd",,EP$2,"."&amp;$A$2&amp;$AW$1&amp;"C"&amp;$A8)</f>
        <v>13.80%</v>
      </c>
      <c r="EQ8" s="3" t="str">
        <f>RTD("tos.rtd",,EQ$2,"."&amp;$A$2&amp;$AW$1&amp;"P"&amp;$A8)</f>
        <v>23.76%</v>
      </c>
      <c r="ES8" s="63" t="str">
        <f t="shared" si="66"/>
        <v>578,-4086.00</v>
      </c>
      <c r="ET8" s="63" t="str">
        <f t="shared" ca="1" si="67"/>
        <v>578,00.00</v>
      </c>
      <c r="EU8" s="67">
        <v>564.98</v>
      </c>
      <c r="EV8" s="67" t="s">
        <v>83</v>
      </c>
      <c r="EW8" s="67">
        <v>488.29</v>
      </c>
      <c r="EX8" s="67" t="s">
        <v>84</v>
      </c>
      <c r="EY8" s="67">
        <v>5663.94</v>
      </c>
      <c r="EZ8" s="67" t="s">
        <v>85</v>
      </c>
      <c r="FA8" s="67">
        <v>20063.564999999999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8"/>
        <v>577</v>
      </c>
      <c r="B9" s="3">
        <f t="shared" ref="B9:B14" si="82">+IF($A$1="ABS",AS9-AT9,AS9+AT9)</f>
        <v>4806</v>
      </c>
      <c r="C9" s="3">
        <f t="shared" ref="C9:C14" si="83">+IF($A$1="ABS",AU9-AV9,AU9+AV9)</f>
        <v>4702</v>
      </c>
      <c r="D9" s="3">
        <f t="shared" ref="D9:D14" si="84">+IF($A$1="ABS",AW9-AX9,AW9+AX9)</f>
        <v>1453</v>
      </c>
      <c r="E9" s="3">
        <f t="shared" ref="E9:E14" si="85">SUM(B9:D9)</f>
        <v>10961</v>
      </c>
      <c r="F9" s="4">
        <f t="shared" ref="F9:F14" si="86">+$F$3/$A$3*A9</f>
        <v>5805.9463810723782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-327</v>
      </c>
      <c r="AN9" s="1">
        <v>-30</v>
      </c>
      <c r="AO9" s="1">
        <v>577</v>
      </c>
      <c r="AP9" s="1">
        <v>13773</v>
      </c>
      <c r="AQ9" s="1">
        <v>-111</v>
      </c>
      <c r="AR9" s="1"/>
      <c r="AS9" s="6">
        <f>IF(RTD("tos.rtd",,AS$2,"."&amp;$A$2&amp;$AS$1&amp;"C"&amp;$A9)="N/A",0,RTD("tos.rtd",,AS$2,"."&amp;$A$2&amp;$AS$1&amp;"C"&amp;$A9))</f>
        <v>4796</v>
      </c>
      <c r="AT9" s="7">
        <f>-IF(RTD("tos.rtd",,AT$2,"."&amp;$A$2&amp;$AS$1&amp;"P"&amp;$A9)="N/A",0,RTD("tos.rtd",,AT$2,"."&amp;$A$2&amp;$AS$1&amp;"P"&amp;$A9))</f>
        <v>-10</v>
      </c>
      <c r="AU9" s="6">
        <f>IF(RTD("tos.rtd",,AU$2,"."&amp;$A$2&amp;$AU$1&amp;"C"&amp;$A9)="N/A",0,RTD("tos.rtd",,AU$2,"."&amp;$A$2&amp;$AU$1&amp;"C"&amp;$A9))</f>
        <v>4664</v>
      </c>
      <c r="AV9" s="7">
        <f>-IF(RTD("tos.rtd",,AV$2,"."&amp;$A$2&amp;$AU$1&amp;"P"&amp;$A9)="N/A",0,RTD("tos.rtd",,AV$2,"."&amp;$A$2&amp;$AU$1&amp;"P"&amp;$A9))</f>
        <v>-38</v>
      </c>
      <c r="AW9" s="6">
        <f>IF(RTD("tos.rtd",,AW$2,"."&amp;$A$2&amp;$AW$1&amp;"C"&amp;$A9)="N/A",0,RTD("tos.rtd",,AW$2,"."&amp;$A$2&amp;$AW$1&amp;"C"&amp;$A9))</f>
        <v>1315</v>
      </c>
      <c r="AX9" s="7">
        <f>-IF(RTD("tos.rtd",,AX$2,"."&amp;$A$2&amp;$AW$1&amp;"P"&amp;$A9)="N/A",0,RTD("tos.rtd",,AX$2,"."&amp;$A$2&amp;$AW$1&amp;"P"&amp;$A9))</f>
        <v>-138</v>
      </c>
      <c r="AY9" s="1">
        <f t="shared" ref="AY9:AY14" si="87">SUM(AS9:AX9)</f>
        <v>10589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13773</v>
      </c>
      <c r="BB9" s="7">
        <f>-IF(RTD("tos.rtd",,BB$2,"."&amp;$A$2&amp;$AS$1&amp;"P"&amp;$A9)="N/A",0,RTD("tos.rtd",,BB$2,"."&amp;$A$2&amp;$AS$1&amp;"P"&amp;$A9))</f>
        <v>-111</v>
      </c>
      <c r="BC9" s="6">
        <f>IF(RTD("tos.rtd",,BC$2,"."&amp;$A$2&amp;$AU$1&amp;"C"&amp;$A9)="N/A",0,RTD("tos.rtd",,BC$2,"."&amp;$A$2&amp;$AU$1&amp;"C"&amp;$A9))</f>
        <v>2466</v>
      </c>
      <c r="BD9" s="7">
        <f>-IF(RTD("tos.rtd",,BD$2,"."&amp;$A$2&amp;$AU$1&amp;"P"&amp;$A9)="N/A",0,RTD("tos.rtd",,BD$2,"."&amp;$A$2&amp;$AU$1&amp;"P"&amp;$A9))</f>
        <v>-34</v>
      </c>
      <c r="BE9" s="6">
        <f>IF(RTD("tos.rtd",,BE$2,"."&amp;$A$2&amp;$AW$1&amp;"C"&amp;$A9)="N/A",0,RTD("tos.rtd",,BE$2,"."&amp;$A$2&amp;$AW$1&amp;"C"&amp;$A9))</f>
        <v>272</v>
      </c>
      <c r="BF9" s="83">
        <f>-IF(RTD("tos.rtd",,BF$2,"."&amp;$A$2&amp;$AW$1&amp;"P"&amp;$A9)="N/A",0,RTD("tos.rtd",,BF$2,"."&amp;$A$2&amp;$AW$1&amp;"P"&amp;$A9))</f>
        <v>-72</v>
      </c>
      <c r="BG9" s="32">
        <f ca="1">+Hoja2!Y10</f>
        <v>608</v>
      </c>
      <c r="BH9" s="7">
        <f t="shared" ca="1" si="36"/>
        <v>16902</v>
      </c>
      <c r="BI9" s="8" t="str">
        <f t="shared" ref="BI9" ca="1" si="88">IF(AND(BH9&lt;0,BH8&gt;0), "Cruce -", IF(AND(BH9&gt;0,BH8&lt;0),"Cruce +", ""))</f>
        <v/>
      </c>
      <c r="BJ9" s="3" t="e">
        <f ca="1">IF($BP$1=1,DX9,IF(RTD("tos.rtd",,BJ$2,"."&amp;$A$2&amp;$AS$1&amp;"C"&amp;$A9)="N/A",0,RTD("tos.rtd",,BJ$2,"."&amp;$A$2&amp;$AS$1&amp;"C"&amp;$A9)))</f>
        <v>#NUM!</v>
      </c>
      <c r="BK9" s="3" t="e">
        <f ca="1">IF($BP$1=1,DY9,-IF(RTD("tos.rtd",,BK$2,"."&amp;$A$2&amp;$AS$1&amp;"P"&amp;$A9)="N/A",0,RTD("tos.rtd",,BK$2,"."&amp;$A$2&amp;$AS$1&amp;"P"&amp;$A9)))</f>
        <v>#NUM!</v>
      </c>
      <c r="BL9" s="3">
        <f ca="1">IF($BP$1=1,DZ9,IF(RTD("tos.rtd",,BL$2,"."&amp;$A$2&amp;$AU$1&amp;"C"&amp;$A9)="N/A",0,RTD("tos.rtd",,BL$2,"."&amp;$A$2&amp;$AU$1&amp;"C"&amp;$A9)))</f>
        <v>3.2354824989161139E-2</v>
      </c>
      <c r="BM9" s="3">
        <f ca="1">IF($BP$1=1,EA9,-IF(RTD("tos.rtd",,BM$2,"."&amp;$A$2&amp;$AU$1&amp;"P"&amp;$A9)="N/A",0,RTD("tos.rtd",,BM$2,"."&amp;$A$2&amp;$AU$1&amp;"P"&amp;$A9)))</f>
        <v>-1.2063295570306786E-2</v>
      </c>
      <c r="BN9" s="3">
        <f ca="1">IF($BP$1=1,EB9,IF(RTD("tos.rtd",,BN$2,"."&amp;$A$2&amp;$AW$1&amp;"C"&amp;$A9)="N/A",0,RTD("tos.rtd",,BN$2,"."&amp;$A$2&amp;$AW$1&amp;"C"&amp;$A9)))</f>
        <v>3.3375290948694451E-2</v>
      </c>
      <c r="BO9" s="3">
        <f ca="1">IF($BP$1=1,EC9,-IF(RTD("tos.rtd",,BO$2,"."&amp;$A$2&amp;$AW$1&amp;"P"&amp;$A9)="N/A",0,RTD("tos.rtd",,BO$2,"."&amp;$A$2&amp;$AW$1&amp;"P"&amp;$A9)))</f>
        <v>-2.094750439890335E-2</v>
      </c>
      <c r="BQ9" s="3" t="e">
        <f t="shared" ref="BQ9:BQ14" ca="1" si="89">+$A$3*$A$3*AS9*BJ9-$A$3*$A$3*AT9*BK9</f>
        <v>#NUM!</v>
      </c>
      <c r="BR9" s="3" t="e">
        <f t="shared" ca="1" si="71"/>
        <v>#NUM!</v>
      </c>
      <c r="BS9" s="3">
        <f t="shared" ref="BS9:BS14" ca="1" si="90">+$A$3*$A$3*AU9*BL9-$A$3*$A$3*AV9*BM9</f>
        <v>49126699.218904302</v>
      </c>
      <c r="BT9" s="3" t="str">
        <f t="shared" ca="1" si="71"/>
        <v/>
      </c>
      <c r="BU9" s="3">
        <f t="shared" ref="BU9:BU14" ca="1" si="91">+$A$3*$A$3*AW9*BN9-$A$3*$A$3*AX9*BO9</f>
        <v>13387556.544314535</v>
      </c>
      <c r="BV9" s="3" t="str">
        <f t="shared" ref="BV9" ca="1" si="92">IF(AND(BU9&lt;0,BU8&gt;0), "Cruce -", IF(AND(BU9&gt;0,BU8&lt;0),"Cruce +", ""))</f>
        <v/>
      </c>
      <c r="BX9" s="3" t="e">
        <f t="shared" ref="BX9:BX14" ca="1" si="93">+$A$3*$A$3*BA9*BJ9-$A$3*$A$3*BB9*BK9</f>
        <v>#NUM!</v>
      </c>
      <c r="BY9" s="3" t="e">
        <f t="shared" ca="1" si="73"/>
        <v>#NUM!</v>
      </c>
      <c r="BZ9" s="3">
        <f t="shared" ref="BZ9:BZ14" ca="1" si="94">+$A$3*$A$3*BC9*BL9-$A$3*$A$3*BD9*BM9</f>
        <v>25920007.013709925</v>
      </c>
      <c r="CA9" s="3" t="str">
        <f t="shared" ca="1" si="74"/>
        <v/>
      </c>
      <c r="CB9" s="3">
        <f t="shared" ref="CB9:CB14" ca="1" si="95">+$A$3*$A$3*BE9*BN9-$A$3*$A$3*BF9*BO9</f>
        <v>2471889.5081484565</v>
      </c>
      <c r="CC9" s="3" t="str">
        <f t="shared" ca="1" si="75"/>
        <v/>
      </c>
      <c r="CD9" s="3">
        <f>IF(RTD("tos.rtd",,CD$2,"."&amp;$A$2&amp;$AS$1&amp;"C"&amp;$A9)="N/A",0,RTD("tos.rtd",,CD$2,"."&amp;$A$2&amp;$AS$1&amp;"C"&amp;$A9))</f>
        <v>0.01</v>
      </c>
      <c r="CE9" s="3">
        <f>-IF(RTD("tos.rtd",,CE$2,"."&amp;$A$2&amp;$AS$1&amp;"P"&amp;$A9)="N/A",0,RTD("tos.rtd",,CE$2,"."&amp;$A$2&amp;$AS$1&amp;"P"&amp;$A9))</f>
        <v>0.57999999999999996</v>
      </c>
      <c r="CF9" s="3">
        <f>IF(RTD("tos.rtd",,CF$2,"."&amp;$A$2&amp;$AU$1&amp;"C"&amp;$A9)="N/A",0,RTD("tos.rtd",,CF$2,"."&amp;$A$2&amp;$AU$1&amp;"C"&amp;$A9))</f>
        <v>0.28999999999999998</v>
      </c>
      <c r="CG9" s="3">
        <f>-IF(RTD("tos.rtd",,CG$2,"."&amp;$A$2&amp;$AU$1&amp;"P"&amp;$A9)="N/A",0,RTD("tos.rtd",,CG$2,"."&amp;$A$2&amp;$AU$1&amp;"P"&amp;$A9))</f>
        <v>0.56999999999999995</v>
      </c>
      <c r="CH9" s="3">
        <f>IF(RTD("tos.rtd",,CH$2,"."&amp;$A$2&amp;$AW$1&amp;"C"&amp;$A9)="N/A",0,RTD("tos.rtd",,CH$2,"."&amp;$A$2&amp;$AW$1&amp;"C"&amp;$A9))</f>
        <v>0.46</v>
      </c>
      <c r="CI9" s="3">
        <f>-IF(RTD("tos.rtd",,CI$2,"."&amp;$A$2&amp;$AW$1&amp;"P"&amp;$A9)="N/A",0,RTD("tos.rtd",,CI$2,"."&amp;$A$2&amp;$AW$1&amp;"P"&amp;$A9))</f>
        <v>0.52</v>
      </c>
      <c r="CK9" s="3">
        <f t="shared" ref="CK9:CK14" si="96">+AS9*CD9*100+AT9*CE9*100</f>
        <v>4216</v>
      </c>
      <c r="CL9" s="3"/>
      <c r="CM9" s="3">
        <f t="shared" ref="CM9:CM14" si="97">+AU9*CF9*100+AV9*CG9*100</f>
        <v>133090</v>
      </c>
      <c r="CN9" s="3"/>
      <c r="CO9" s="3">
        <f t="shared" ref="CO9:CO14" si="98">+AW9*CH9*100+AX9*CI9*100</f>
        <v>53314</v>
      </c>
      <c r="CP9" s="3">
        <f t="shared" ref="CP9:CP14" si="99">+CK9+CM9+CO9</f>
        <v>190620</v>
      </c>
      <c r="CQ9" s="3">
        <f t="shared" ref="CQ9:CQ14" si="100">+BA9+BB9</f>
        <v>13662</v>
      </c>
      <c r="CR9" s="3"/>
      <c r="CS9" s="3">
        <f t="shared" ref="CS9:CS14" si="101">+BC9+BD9</f>
        <v>2432</v>
      </c>
      <c r="CT9" s="3"/>
      <c r="CU9" s="3">
        <f t="shared" ref="CU9:CU14" si="102">+BE9+BF9</f>
        <v>200</v>
      </c>
      <c r="CV9" s="3">
        <f t="shared" ref="CV9:CV14" si="103">+CQ9+CS9+CU9</f>
        <v>16294</v>
      </c>
      <c r="CW9" s="3" t="e">
        <f t="shared" ref="CW9:CW14" ca="1" si="104">+BQ9+BS9+BU9</f>
        <v>#NUM!</v>
      </c>
      <c r="CX9" s="85" t="e">
        <f t="shared" ca="1" si="76"/>
        <v>#NUM!</v>
      </c>
      <c r="CY9" s="3" t="e">
        <f t="shared" ref="CY9:CY14" ca="1" si="105">+BX9+BZ9+CB9</f>
        <v>#NUM!</v>
      </c>
      <c r="CZ9" s="85" t="e">
        <f t="shared" ca="1" si="77"/>
        <v>#NUM!</v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12.49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13.72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11.75</v>
      </c>
      <c r="DG9" s="86">
        <f t="shared" si="48"/>
        <v>5.5599999999999454</v>
      </c>
      <c r="DH9" s="3">
        <f t="shared" ref="DH9:DH14" si="106">((DA9-DE9)/(DC9-DE9))*(BA9-AP9)</f>
        <v>0</v>
      </c>
      <c r="DI9" s="3">
        <f t="shared" ref="DI9:DI14" si="107">((DB9-DF9)/(DD9-DF9))*(BB9-AQ9)</f>
        <v>0</v>
      </c>
      <c r="DJ9" s="3">
        <f t="shared" ref="DJ9:DJ14" si="108">IF(DA9&gt;=(DE9+(DC9-DE9)*0.6),(BA9-AP9),IF(DA9&lt;=(DE9+(DC9-DE9)*0.4),-(BA9-AP9),0))</f>
        <v>0</v>
      </c>
      <c r="DK9" s="3">
        <f t="shared" si="51"/>
        <v>0</v>
      </c>
      <c r="DL9" s="3">
        <f t="shared" si="52"/>
        <v>0</v>
      </c>
      <c r="DM9" s="3">
        <f t="shared" si="53"/>
        <v>0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0</v>
      </c>
      <c r="DQ9" s="3">
        <f t="shared" si="57"/>
        <v>0</v>
      </c>
      <c r="DR9" s="3" t="e">
        <f t="shared" ca="1" si="58"/>
        <v>#NUM!</v>
      </c>
      <c r="DS9" s="3">
        <f t="shared" si="59"/>
        <v>0</v>
      </c>
      <c r="DT9" s="3">
        <f t="shared" si="60"/>
        <v>0</v>
      </c>
      <c r="DU9" s="3">
        <f t="shared" si="61"/>
        <v>0</v>
      </c>
      <c r="DV9" s="3">
        <f t="shared" si="62"/>
        <v>-327</v>
      </c>
      <c r="DW9" s="3">
        <f t="shared" si="23"/>
        <v>-30</v>
      </c>
      <c r="DX9" s="3" t="e">
        <f t="shared" ca="1" si="24"/>
        <v>#NUM!</v>
      </c>
      <c r="DY9" s="3" t="e">
        <f t="shared" ca="1" si="25"/>
        <v>#NUM!</v>
      </c>
      <c r="DZ9" s="3">
        <f t="shared" ca="1" si="26"/>
        <v>3.2354824989161139E-2</v>
      </c>
      <c r="EA9" s="3">
        <f t="shared" ca="1" si="27"/>
        <v>-1.2063295570306786E-2</v>
      </c>
      <c r="EB9" s="3">
        <f t="shared" ca="1" si="28"/>
        <v>3.3375290948694451E-2</v>
      </c>
      <c r="EC9" s="3">
        <f t="shared" ca="1" si="29"/>
        <v>-2.094750439890335E-2</v>
      </c>
      <c r="ED9" s="63">
        <f t="shared" si="63"/>
        <v>-357</v>
      </c>
      <c r="EE9" s="59">
        <f t="shared" ref="EE9:EE14" si="109">IFERROR(VALUE(IF(OR(EL9="--",EL9="0.00%"),$EE$1,EL9)),$EE$1)</f>
        <v>0.51959999999999995</v>
      </c>
      <c r="EF9" s="59">
        <f t="shared" ref="EF9:EF14" si="110">IFERROR(VALUE(IF(OR(EM9="--",EM9="0.00%"),$EE$1,EM9)),$EE$1)</f>
        <v>5.6093999999999999</v>
      </c>
      <c r="EG9" s="59">
        <f t="shared" ref="EG9:EG14" si="111">IFERROR(VALUE(IF(OR(EN9="--",EN9="0.00%"),$EE$1,EN9)),$EE$1)</f>
        <v>0.14410000000000001</v>
      </c>
      <c r="EH9" s="59">
        <f t="shared" ref="EH9:EH14" si="112">IFERROR(VALUE(IF(OR(EO9="--",EO9="0.00%"),$EE$1,EO9)),$EE$1)</f>
        <v>0.42359999999999998</v>
      </c>
      <c r="EI9" s="59">
        <f t="shared" ref="EI9:EI14" si="113">IFERROR(VALUE(IF(OR(EP9="--",EP9="0.00%"),$EE$1,EP9)),$EE$1)</f>
        <v>0.13850000000000001</v>
      </c>
      <c r="EJ9" s="59">
        <f t="shared" ref="EJ9:EJ14" si="114">IFERROR(VALUE(IF(OR(EQ9="--",EQ9="0.00%"),$EE$1,EQ9)),$EE$1)</f>
        <v>0.23769999999999999</v>
      </c>
      <c r="EK9" s="63" t="e">
        <f t="shared" ca="1" si="65"/>
        <v>#NUM!</v>
      </c>
      <c r="EL9" s="3" t="str">
        <f>RTD("tos.rtd",,EL$2,"."&amp;$A$2&amp;$AS$1&amp;"C"&amp;$A9)</f>
        <v>51.96%</v>
      </c>
      <c r="EM9" s="3" t="str">
        <f>RTD("tos.rtd",,EM$2,"."&amp;$A$2&amp;$AS$1&amp;"P"&amp;$A9)</f>
        <v>560.94%</v>
      </c>
      <c r="EN9" s="3" t="str">
        <f>RTD("tos.rtd",,EN$2,"."&amp;$A$2&amp;$AU$1&amp;"C"&amp;$A9)</f>
        <v>14.41%</v>
      </c>
      <c r="EO9" s="3" t="str">
        <f>RTD("tos.rtd",,EO$2,"."&amp;$A$2&amp;$AU$1&amp;"P"&amp;$A9)</f>
        <v>42.36%</v>
      </c>
      <c r="EP9" s="3" t="str">
        <f>RTD("tos.rtd",,EP$2,"."&amp;$A$2&amp;$AW$1&amp;"C"&amp;$A9)</f>
        <v>13.85%</v>
      </c>
      <c r="EQ9" s="3" t="str">
        <f>RTD("tos.rtd",,EQ$2,"."&amp;$A$2&amp;$AW$1&amp;"P"&amp;$A9)</f>
        <v>23.77%</v>
      </c>
      <c r="ES9" s="63" t="str">
        <f t="shared" si="66"/>
        <v>577,-357.00</v>
      </c>
      <c r="ET9" s="63" t="str">
        <f t="shared" ca="1" si="67"/>
        <v>577,00.00</v>
      </c>
      <c r="EU9" s="67">
        <v>565.03</v>
      </c>
      <c r="EV9" s="67" t="s">
        <v>91</v>
      </c>
      <c r="EW9" s="67">
        <v>488.32</v>
      </c>
      <c r="EX9" s="67" t="s">
        <v>92</v>
      </c>
      <c r="EY9" s="67">
        <v>5663.94</v>
      </c>
      <c r="EZ9" s="67" t="s">
        <v>93</v>
      </c>
      <c r="FA9" s="67">
        <v>20063.564999999999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8"/>
        <v>576</v>
      </c>
      <c r="B10" s="3">
        <f t="shared" si="82"/>
        <v>4843</v>
      </c>
      <c r="C10" s="3">
        <f t="shared" si="83"/>
        <v>4705</v>
      </c>
      <c r="D10" s="3">
        <f t="shared" si="84"/>
        <v>1154</v>
      </c>
      <c r="E10" s="3">
        <f t="shared" si="85"/>
        <v>10702</v>
      </c>
      <c r="F10" s="4">
        <f t="shared" si="86"/>
        <v>5795.8840823183536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-1967</v>
      </c>
      <c r="AN10" s="1">
        <v>-51</v>
      </c>
      <c r="AO10" s="1">
        <v>576</v>
      </c>
      <c r="AP10" s="1">
        <v>17723</v>
      </c>
      <c r="AQ10" s="1">
        <v>-570</v>
      </c>
      <c r="AR10" s="1"/>
      <c r="AS10" s="6">
        <f>IF(RTD("tos.rtd",,AS$2,"."&amp;$A$2&amp;$AS$1&amp;"C"&amp;$A10)="N/A",0,RTD("tos.rtd",,AS$2,"."&amp;$A$2&amp;$AS$1&amp;"C"&amp;$A10))</f>
        <v>4756</v>
      </c>
      <c r="AT10" s="7">
        <f>-IF(RTD("tos.rtd",,AT$2,"."&amp;$A$2&amp;$AS$1&amp;"P"&amp;$A10)="N/A",0,RTD("tos.rtd",,AT$2,"."&amp;$A$2&amp;$AS$1&amp;"P"&amp;$A10))</f>
        <v>-87</v>
      </c>
      <c r="AU10" s="6">
        <f>IF(RTD("tos.rtd",,AU$2,"."&amp;$A$2&amp;$AU$1&amp;"C"&amp;$A10)="N/A",0,RTD("tos.rtd",,AU$2,"."&amp;$A$2&amp;$AU$1&amp;"C"&amp;$A10))</f>
        <v>4396</v>
      </c>
      <c r="AV10" s="7">
        <f>-IF(RTD("tos.rtd",,AV$2,"."&amp;$A$2&amp;$AU$1&amp;"P"&amp;$A10)="N/A",0,RTD("tos.rtd",,AV$2,"."&amp;$A$2&amp;$AU$1&amp;"P"&amp;$A10))</f>
        <v>-309</v>
      </c>
      <c r="AW10" s="6">
        <f>IF(RTD("tos.rtd",,AW$2,"."&amp;$A$2&amp;$AW$1&amp;"C"&amp;$A10)="N/A",0,RTD("tos.rtd",,AW$2,"."&amp;$A$2&amp;$AW$1&amp;"C"&amp;$A10))</f>
        <v>1034</v>
      </c>
      <c r="AX10" s="7">
        <f>-IF(RTD("tos.rtd",,AX$2,"."&amp;$A$2&amp;$AW$1&amp;"P"&amp;$A10)="N/A",0,RTD("tos.rtd",,AX$2,"."&amp;$A$2&amp;$AW$1&amp;"P"&amp;$A10))</f>
        <v>-120</v>
      </c>
      <c r="AY10" s="1">
        <f t="shared" si="87"/>
        <v>9670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17723</v>
      </c>
      <c r="BB10" s="7">
        <f>-IF(RTD("tos.rtd",,BB$2,"."&amp;$A$2&amp;$AS$1&amp;"P"&amp;$A10)="N/A",0,RTD("tos.rtd",,BB$2,"."&amp;$A$2&amp;$AS$1&amp;"P"&amp;$A10))</f>
        <v>-570</v>
      </c>
      <c r="BC10" s="6">
        <f>IF(RTD("tos.rtd",,BC$2,"."&amp;$A$2&amp;$AU$1&amp;"C"&amp;$A10)="N/A",0,RTD("tos.rtd",,BC$2,"."&amp;$A$2&amp;$AU$1&amp;"C"&amp;$A10))</f>
        <v>3648</v>
      </c>
      <c r="BD10" s="7">
        <f>-IF(RTD("tos.rtd",,BD$2,"."&amp;$A$2&amp;$AU$1&amp;"P"&amp;$A10)="N/A",0,RTD("tos.rtd",,BD$2,"."&amp;$A$2&amp;$AU$1&amp;"P"&amp;$A10))</f>
        <v>-18</v>
      </c>
      <c r="BE10" s="6">
        <f>IF(RTD("tos.rtd",,BE$2,"."&amp;$A$2&amp;$AW$1&amp;"C"&amp;$A10)="N/A",0,RTD("tos.rtd",,BE$2,"."&amp;$A$2&amp;$AW$1&amp;"C"&amp;$A10))</f>
        <v>444</v>
      </c>
      <c r="BF10" s="83">
        <f>-IF(RTD("tos.rtd",,BF$2,"."&amp;$A$2&amp;$AW$1&amp;"P"&amp;$A10)="N/A",0,RTD("tos.rtd",,BF$2,"."&amp;$A$2&amp;$AW$1&amp;"P"&amp;$A10))</f>
        <v>-84</v>
      </c>
      <c r="BG10" s="32">
        <f ca="1">+Hoja2!Y11</f>
        <v>1057</v>
      </c>
      <c r="BH10" s="7">
        <f t="shared" ca="1" si="36"/>
        <v>22200</v>
      </c>
      <c r="BI10" s="8" t="str">
        <f t="shared" ref="BI10" ca="1" si="115">IF(AND(BH10&lt;0,BH9&gt;0), "Cruce -", IF(AND(BH10&gt;0,BH9&lt;0),"Cruce +", ""))</f>
        <v/>
      </c>
      <c r="BJ10" s="3" t="e">
        <f ca="1">IF($BP$1=1,DX10,IF(RTD("tos.rtd",,BJ$2,"."&amp;$A$2&amp;$AS$1&amp;"C"&amp;$A10)="N/A",0,RTD("tos.rtd",,BJ$2,"."&amp;$A$2&amp;$AS$1&amp;"C"&amp;$A10)))</f>
        <v>#NUM!</v>
      </c>
      <c r="BK10" s="3" t="e">
        <f ca="1">IF($BP$1=1,DY10,-IF(RTD("tos.rtd",,BK$2,"."&amp;$A$2&amp;$AS$1&amp;"P"&amp;$A10)="N/A",0,RTD("tos.rtd",,BK$2,"."&amp;$A$2&amp;$AS$1&amp;"P"&amp;$A10)))</f>
        <v>#NUM!</v>
      </c>
      <c r="BL10" s="3">
        <f ca="1">IF($BP$1=1,DZ10,IF(RTD("tos.rtd",,BL$2,"."&amp;$A$2&amp;$AU$1&amp;"C"&amp;$A10)="N/A",0,RTD("tos.rtd",,BL$2,"."&amp;$A$2&amp;$AU$1&amp;"C"&amp;$A10)))</f>
        <v>3.4041320428395486E-2</v>
      </c>
      <c r="BM10" s="3">
        <f ca="1">IF($BP$1=1,EA10,-IF(RTD("tos.rtd",,BM$2,"."&amp;$A$2&amp;$AU$1&amp;"P"&amp;$A10)="N/A",0,RTD("tos.rtd",,BM$2,"."&amp;$A$2&amp;$AU$1&amp;"P"&amp;$A10)))</f>
        <v>-1.2304255849649115E-2</v>
      </c>
      <c r="BN10" s="3">
        <f ca="1">IF($BP$1=1,EB10,IF(RTD("tos.rtd",,BN$2,"."&amp;$A$2&amp;$AW$1&amp;"C"&amp;$A10)="N/A",0,RTD("tos.rtd",,BN$2,"."&amp;$A$2&amp;$AW$1&amp;"C"&amp;$A10)))</f>
        <v>3.4607971410279707E-2</v>
      </c>
      <c r="BO10" s="3">
        <f ca="1">IF($BP$1=1,EC10,-IF(RTD("tos.rtd",,BO$2,"."&amp;$A$2&amp;$AW$1&amp;"P"&amp;$A10)="N/A",0,RTD("tos.rtd",,BO$2,"."&amp;$A$2&amp;$AW$1&amp;"P"&amp;$A10)))</f>
        <v>-2.1204138706405144E-2</v>
      </c>
      <c r="BQ10" s="3" t="e">
        <f t="shared" ca="1" si="89"/>
        <v>#NUM!</v>
      </c>
      <c r="BR10" s="3" t="e">
        <f t="shared" ca="1" si="71"/>
        <v>#NUM!</v>
      </c>
      <c r="BS10" s="3">
        <f t="shared" ca="1" si="90"/>
        <v>47624314.56300547</v>
      </c>
      <c r="BT10" s="3" t="str">
        <f t="shared" ca="1" si="71"/>
        <v/>
      </c>
      <c r="BU10" s="3">
        <f t="shared" ca="1" si="91"/>
        <v>10854359.318396213</v>
      </c>
      <c r="BV10" s="3" t="str">
        <f t="shared" ref="BV10" ca="1" si="116">IF(AND(BU10&lt;0,BU9&gt;0), "Cruce -", IF(AND(BU10&gt;0,BU9&lt;0),"Cruce +", ""))</f>
        <v/>
      </c>
      <c r="BX10" s="3" t="e">
        <f t="shared" ca="1" si="93"/>
        <v>#NUM!</v>
      </c>
      <c r="BY10" s="3" t="e">
        <f t="shared" ca="1" si="73"/>
        <v>#NUM!</v>
      </c>
      <c r="BZ10" s="3">
        <f t="shared" ca="1" si="94"/>
        <v>40478765.328160085</v>
      </c>
      <c r="CA10" s="3" t="str">
        <f t="shared" ca="1" si="74"/>
        <v/>
      </c>
      <c r="CB10" s="3">
        <f t="shared" ca="1" si="95"/>
        <v>4436027.7720575575</v>
      </c>
      <c r="CC10" s="3" t="str">
        <f t="shared" ca="1" si="75"/>
        <v/>
      </c>
      <c r="CD10" s="3">
        <f>IF(RTD("tos.rtd",,CD$2,"."&amp;$A$2&amp;$AS$1&amp;"C"&amp;$A10)="N/A",0,RTD("tos.rtd",,CD$2,"."&amp;$A$2&amp;$AS$1&amp;"C"&amp;$A10))</f>
        <v>0.01</v>
      </c>
      <c r="CE10" s="3">
        <f>-IF(RTD("tos.rtd",,CE$2,"."&amp;$A$2&amp;$AS$1&amp;"P"&amp;$A10)="N/A",0,RTD("tos.rtd",,CE$2,"."&amp;$A$2&amp;$AS$1&amp;"P"&amp;$A10))</f>
        <v>0.56999999999999995</v>
      </c>
      <c r="CF10" s="3">
        <f>IF(RTD("tos.rtd",,CF$2,"."&amp;$A$2&amp;$AU$1&amp;"C"&amp;$A10)="N/A",0,RTD("tos.rtd",,CF$2,"."&amp;$A$2&amp;$AU$1&amp;"C"&amp;$A10))</f>
        <v>0.33</v>
      </c>
      <c r="CG10" s="3">
        <f>-IF(RTD("tos.rtd",,CG$2,"."&amp;$A$2&amp;$AU$1&amp;"P"&amp;$A10)="N/A",0,RTD("tos.rtd",,CG$2,"."&amp;$A$2&amp;$AU$1&amp;"P"&amp;$A10))</f>
        <v>0.55000000000000004</v>
      </c>
      <c r="CH10" s="3">
        <f>IF(RTD("tos.rtd",,CH$2,"."&amp;$A$2&amp;$AW$1&amp;"C"&amp;$A10)="N/A",0,RTD("tos.rtd",,CH$2,"."&amp;$A$2&amp;$AW$1&amp;"C"&amp;$A10))</f>
        <v>0.47</v>
      </c>
      <c r="CI10" s="3">
        <f>-IF(RTD("tos.rtd",,CI$2,"."&amp;$A$2&amp;$AW$1&amp;"P"&amp;$A10)="N/A",0,RTD("tos.rtd",,CI$2,"."&amp;$A$2&amp;$AW$1&amp;"P"&amp;$A10))</f>
        <v>0.51</v>
      </c>
      <c r="CK10" s="3">
        <f t="shared" si="96"/>
        <v>-203</v>
      </c>
      <c r="CL10" s="3"/>
      <c r="CM10" s="3">
        <f t="shared" si="97"/>
        <v>128073</v>
      </c>
      <c r="CN10" s="3"/>
      <c r="CO10" s="3">
        <f t="shared" si="98"/>
        <v>42477.999999999993</v>
      </c>
      <c r="CP10" s="3">
        <f t="shared" si="99"/>
        <v>170348</v>
      </c>
      <c r="CQ10" s="3">
        <f t="shared" si="100"/>
        <v>17153</v>
      </c>
      <c r="CR10" s="3"/>
      <c r="CS10" s="3">
        <f t="shared" si="101"/>
        <v>3630</v>
      </c>
      <c r="CT10" s="3"/>
      <c r="CU10" s="3">
        <f t="shared" si="102"/>
        <v>360</v>
      </c>
      <c r="CV10" s="3">
        <f t="shared" si="103"/>
        <v>21143</v>
      </c>
      <c r="CW10" s="3" t="e">
        <f t="shared" ca="1" si="104"/>
        <v>#NUM!</v>
      </c>
      <c r="CX10" s="85" t="e">
        <f t="shared" ca="1" si="76"/>
        <v>#NUM!</v>
      </c>
      <c r="CY10" s="3" t="e">
        <f t="shared" ca="1" si="105"/>
        <v>#NUM!</v>
      </c>
      <c r="CZ10" s="85" t="e">
        <f t="shared" ca="1" si="77"/>
        <v>#NUM!</v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11.58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12.67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10.75</v>
      </c>
      <c r="DG10" s="86">
        <f t="shared" si="48"/>
        <v>4.5599999999999454</v>
      </c>
      <c r="DH10" s="3">
        <f t="shared" si="106"/>
        <v>0</v>
      </c>
      <c r="DI10" s="3">
        <f t="shared" si="107"/>
        <v>0</v>
      </c>
      <c r="DJ10" s="3">
        <f t="shared" si="108"/>
        <v>0</v>
      </c>
      <c r="DK10" s="3">
        <f t="shared" si="51"/>
        <v>0</v>
      </c>
      <c r="DL10" s="3">
        <f t="shared" si="52"/>
        <v>0</v>
      </c>
      <c r="DM10" s="3">
        <f t="shared" si="53"/>
        <v>0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0</v>
      </c>
      <c r="DQ10" s="3">
        <f t="shared" si="57"/>
        <v>0</v>
      </c>
      <c r="DR10" s="3" t="e">
        <f t="shared" ca="1" si="58"/>
        <v>#NUM!</v>
      </c>
      <c r="DS10" s="3">
        <f t="shared" si="59"/>
        <v>0</v>
      </c>
      <c r="DT10" s="3">
        <f t="shared" si="60"/>
        <v>0</v>
      </c>
      <c r="DU10" s="3">
        <f t="shared" si="61"/>
        <v>0</v>
      </c>
      <c r="DV10" s="3">
        <f t="shared" si="62"/>
        <v>-1967</v>
      </c>
      <c r="DW10" s="3">
        <f t="shared" si="23"/>
        <v>-51</v>
      </c>
      <c r="DX10" s="3" t="e">
        <f t="shared" ca="1" si="24"/>
        <v>#NUM!</v>
      </c>
      <c r="DY10" s="3" t="e">
        <f t="shared" ca="1" si="25"/>
        <v>#NUM!</v>
      </c>
      <c r="DZ10" s="3">
        <f t="shared" ca="1" si="26"/>
        <v>3.4041320428395486E-2</v>
      </c>
      <c r="EA10" s="3">
        <f t="shared" ca="1" si="27"/>
        <v>-1.2304255849649115E-2</v>
      </c>
      <c r="EB10" s="3">
        <f t="shared" ca="1" si="28"/>
        <v>3.4607971410279707E-2</v>
      </c>
      <c r="EC10" s="3">
        <f t="shared" ca="1" si="29"/>
        <v>-2.1204138706405144E-2</v>
      </c>
      <c r="ED10" s="63">
        <f t="shared" si="63"/>
        <v>-2018</v>
      </c>
      <c r="EE10" s="59">
        <f t="shared" si="109"/>
        <v>0.43659999999999999</v>
      </c>
      <c r="EF10" s="59">
        <f t="shared" si="110"/>
        <v>5.3532999999999999</v>
      </c>
      <c r="EG10" s="59">
        <f t="shared" si="111"/>
        <v>0.1416</v>
      </c>
      <c r="EH10" s="59">
        <f t="shared" si="112"/>
        <v>0.41660000000000003</v>
      </c>
      <c r="EI10" s="59">
        <f t="shared" si="113"/>
        <v>0.1389</v>
      </c>
      <c r="EJ10" s="59">
        <f t="shared" si="114"/>
        <v>0.23780000000000001</v>
      </c>
      <c r="EK10" s="63" t="e">
        <f t="shared" ca="1" si="65"/>
        <v>#NUM!</v>
      </c>
      <c r="EL10" s="3" t="str">
        <f>RTD("tos.rtd",,EL$2,"."&amp;$A$2&amp;$AS$1&amp;"C"&amp;$A10)</f>
        <v>43.66%</v>
      </c>
      <c r="EM10" s="3" t="str">
        <f>RTD("tos.rtd",,EM$2,"."&amp;$A$2&amp;$AS$1&amp;"P"&amp;$A10)</f>
        <v>535.33%</v>
      </c>
      <c r="EN10" s="3" t="str">
        <f>RTD("tos.rtd",,EN$2,"."&amp;$A$2&amp;$AU$1&amp;"C"&amp;$A10)</f>
        <v>14.16%</v>
      </c>
      <c r="EO10" s="3" t="str">
        <f>RTD("tos.rtd",,EO$2,"."&amp;$A$2&amp;$AU$1&amp;"P"&amp;$A10)</f>
        <v>41.66%</v>
      </c>
      <c r="EP10" s="3" t="str">
        <f>RTD("tos.rtd",,EP$2,"."&amp;$A$2&amp;$AW$1&amp;"C"&amp;$A10)</f>
        <v>13.89%</v>
      </c>
      <c r="EQ10" s="3" t="str">
        <f>RTD("tos.rtd",,EQ$2,"."&amp;$A$2&amp;$AW$1&amp;"P"&amp;$A10)</f>
        <v>23.78%</v>
      </c>
      <c r="ES10" s="63" t="str">
        <f t="shared" si="66"/>
        <v>576,-2018.00</v>
      </c>
      <c r="ET10" s="63" t="str">
        <f t="shared" ca="1" si="67"/>
        <v>576,00.00</v>
      </c>
      <c r="EU10" s="67">
        <v>565.03</v>
      </c>
      <c r="EV10" s="67" t="s">
        <v>99</v>
      </c>
      <c r="EW10" s="67">
        <v>488.4</v>
      </c>
      <c r="EX10" s="67" t="s">
        <v>100</v>
      </c>
      <c r="EY10" s="67">
        <v>5663.94</v>
      </c>
      <c r="EZ10" s="67" t="s">
        <v>101</v>
      </c>
      <c r="FA10" s="67">
        <v>20063.564999999999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8"/>
        <v>575</v>
      </c>
      <c r="B11" s="3">
        <f t="shared" si="82"/>
        <v>20044</v>
      </c>
      <c r="C11" s="3">
        <f t="shared" si="83"/>
        <v>51061</v>
      </c>
      <c r="D11" s="3">
        <f t="shared" si="84"/>
        <v>43345</v>
      </c>
      <c r="E11" s="3">
        <f t="shared" si="85"/>
        <v>114450</v>
      </c>
      <c r="F11" s="4">
        <f t="shared" si="86"/>
        <v>5785.8217835643281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4944</v>
      </c>
      <c r="AN11" s="1">
        <v>-442</v>
      </c>
      <c r="AO11" s="1">
        <v>575</v>
      </c>
      <c r="AP11" s="1">
        <v>43554</v>
      </c>
      <c r="AQ11" s="1">
        <v>-1768</v>
      </c>
      <c r="AR11" s="1"/>
      <c r="AS11" s="6">
        <f>IF(RTD("tos.rtd",,AS$2,"."&amp;$A$2&amp;$AS$1&amp;"C"&amp;$A11)="N/A",0,RTD("tos.rtd",,AS$2,"."&amp;$A$2&amp;$AS$1&amp;"C"&amp;$A11))</f>
        <v>19915</v>
      </c>
      <c r="AT11" s="7">
        <f>-IF(RTD("tos.rtd",,AT$2,"."&amp;$A$2&amp;$AS$1&amp;"P"&amp;$A11)="N/A",0,RTD("tos.rtd",,AT$2,"."&amp;$A$2&amp;$AS$1&amp;"P"&amp;$A11))</f>
        <v>-129</v>
      </c>
      <c r="AU11" s="6">
        <f>IF(RTD("tos.rtd",,AU$2,"."&amp;$A$2&amp;$AU$1&amp;"C"&amp;$A11)="N/A",0,RTD("tos.rtd",,AU$2,"."&amp;$A$2&amp;$AU$1&amp;"C"&amp;$A11))</f>
        <v>48089</v>
      </c>
      <c r="AV11" s="7">
        <f>-IF(RTD("tos.rtd",,AV$2,"."&amp;$A$2&amp;$AU$1&amp;"P"&amp;$A11)="N/A",0,RTD("tos.rtd",,AV$2,"."&amp;$A$2&amp;$AU$1&amp;"P"&amp;$A11))</f>
        <v>-2972</v>
      </c>
      <c r="AW11" s="6">
        <f>IF(RTD("tos.rtd",,AW$2,"."&amp;$A$2&amp;$AW$1&amp;"C"&amp;$A11)="N/A",0,RTD("tos.rtd",,AW$2,"."&amp;$A$2&amp;$AW$1&amp;"C"&amp;$A11))</f>
        <v>26508</v>
      </c>
      <c r="AX11" s="7">
        <f>-IF(RTD("tos.rtd",,AX$2,"."&amp;$A$2&amp;$AW$1&amp;"P"&amp;$A11)="N/A",0,RTD("tos.rtd",,AX$2,"."&amp;$A$2&amp;$AW$1&amp;"P"&amp;$A11))</f>
        <v>-16837</v>
      </c>
      <c r="AY11" s="1">
        <f t="shared" si="87"/>
        <v>74574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43555</v>
      </c>
      <c r="BB11" s="7">
        <f>-IF(RTD("tos.rtd",,BB$2,"."&amp;$A$2&amp;$AS$1&amp;"P"&amp;$A11)="N/A",0,RTD("tos.rtd",,BB$2,"."&amp;$A$2&amp;$AS$1&amp;"P"&amp;$A11))</f>
        <v>-1768</v>
      </c>
      <c r="BC11" s="6">
        <f>IF(RTD("tos.rtd",,BC$2,"."&amp;$A$2&amp;$AU$1&amp;"C"&amp;$A11)="N/A",0,RTD("tos.rtd",,BC$2,"."&amp;$A$2&amp;$AU$1&amp;"C"&amp;$A11))</f>
        <v>20039</v>
      </c>
      <c r="BD11" s="7">
        <f>-IF(RTD("tos.rtd",,BD$2,"."&amp;$A$2&amp;$AU$1&amp;"P"&amp;$A11)="N/A",0,RTD("tos.rtd",,BD$2,"."&amp;$A$2&amp;$AU$1&amp;"P"&amp;$A11))</f>
        <v>-471</v>
      </c>
      <c r="BE11" s="6">
        <f>IF(RTD("tos.rtd",,BE$2,"."&amp;$A$2&amp;$AW$1&amp;"C"&amp;$A11)="N/A",0,RTD("tos.rtd",,BE$2,"."&amp;$A$2&amp;$AW$1&amp;"C"&amp;$A11))</f>
        <v>3225</v>
      </c>
      <c r="BF11" s="83">
        <f>-IF(RTD("tos.rtd",,BF$2,"."&amp;$A$2&amp;$AW$1&amp;"P"&amp;$A11)="N/A",0,RTD("tos.rtd",,BF$2,"."&amp;$A$2&amp;$AW$1&amp;"P"&amp;$A11))</f>
        <v>-280</v>
      </c>
      <c r="BG11" s="32">
        <f ca="1">+Hoja2!Y12</f>
        <v>5109</v>
      </c>
      <c r="BH11" s="7">
        <f t="shared" ca="1" si="36"/>
        <v>69409</v>
      </c>
      <c r="BI11" s="8" t="str">
        <f t="shared" ref="BI11" ca="1" si="117">IF(AND(BH11&lt;0,BH10&gt;0), "Cruce -", IF(AND(BH11&gt;0,BH10&lt;0),"Cruce +", ""))</f>
        <v/>
      </c>
      <c r="BJ11" s="3" t="e">
        <f ca="1">IF($BP$1=1,DX11,IF(RTD("tos.rtd",,BJ$2,"."&amp;$A$2&amp;$AS$1&amp;"C"&amp;$A11)="N/A",0,RTD("tos.rtd",,BJ$2,"."&amp;$A$2&amp;$AS$1&amp;"C"&amp;$A11)))</f>
        <v>#NUM!</v>
      </c>
      <c r="BK11" s="3" t="e">
        <f ca="1">IF($BP$1=1,DY11,-IF(RTD("tos.rtd",,BK$2,"."&amp;$A$2&amp;$AS$1&amp;"P"&amp;$A11)="N/A",0,RTD("tos.rtd",,BK$2,"."&amp;$A$2&amp;$AS$1&amp;"P"&amp;$A11)))</f>
        <v>#NUM!</v>
      </c>
      <c r="BL11" s="3">
        <f ca="1">IF($BP$1=1,DZ11,IF(RTD("tos.rtd",,BL$2,"."&amp;$A$2&amp;$AU$1&amp;"C"&amp;$A11)="N/A",0,RTD("tos.rtd",,BL$2,"."&amp;$A$2&amp;$AU$1&amp;"C"&amp;$A11)))</f>
        <v>3.5734781442882453E-2</v>
      </c>
      <c r="BM11" s="3">
        <f ca="1">IF($BP$1=1,EA11,-IF(RTD("tos.rtd",,BM$2,"."&amp;$A$2&amp;$AU$1&amp;"P"&amp;$A11)="N/A",0,RTD("tos.rtd",,BM$2,"."&amp;$A$2&amp;$AU$1&amp;"P"&amp;$A11)))</f>
        <v>-1.2535787642463877E-2</v>
      </c>
      <c r="BN11" s="3">
        <f ca="1">IF($BP$1=1,EB11,IF(RTD("tos.rtd",,BN$2,"."&amp;$A$2&amp;$AW$1&amp;"C"&amp;$A11)="N/A",0,RTD("tos.rtd",,BN$2,"."&amp;$A$2&amp;$AW$1&amp;"C"&amp;$A11)))</f>
        <v>3.5570138422751578E-2</v>
      </c>
      <c r="BO11" s="3">
        <f ca="1">IF($BP$1=1,EC11,-IF(RTD("tos.rtd",,BO$2,"."&amp;$A$2&amp;$AW$1&amp;"P"&amp;$A11)="N/A",0,RTD("tos.rtd",,BO$2,"."&amp;$A$2&amp;$AW$1&amp;"P"&amp;$A11)))</f>
        <v>-2.1384240169978766E-2</v>
      </c>
      <c r="BQ11" s="3" t="e">
        <f t="shared" ca="1" si="89"/>
        <v>#NUM!</v>
      </c>
      <c r="BR11" s="3" t="e">
        <f t="shared" ca="1" si="71"/>
        <v>#NUM!</v>
      </c>
      <c r="BS11" s="3">
        <f t="shared" ca="1" si="90"/>
        <v>548983115.86860633</v>
      </c>
      <c r="BT11" s="3" t="str">
        <f t="shared" ca="1" si="71"/>
        <v/>
      </c>
      <c r="BU11" s="3">
        <f t="shared" ca="1" si="91"/>
        <v>190324927.89309642</v>
      </c>
      <c r="BV11" s="3" t="str">
        <f t="shared" ref="BV11" ca="1" si="118">IF(AND(BU11&lt;0,BU10&gt;0), "Cruce -", IF(AND(BU11&gt;0,BU10&lt;0),"Cruce +", ""))</f>
        <v/>
      </c>
      <c r="BX11" s="3" t="e">
        <f t="shared" ca="1" si="93"/>
        <v>#NUM!</v>
      </c>
      <c r="BY11" s="3" t="e">
        <f t="shared" ca="1" si="73"/>
        <v>#NUM!</v>
      </c>
      <c r="BZ11" s="3">
        <f t="shared" ca="1" si="94"/>
        <v>231906395.76671648</v>
      </c>
      <c r="CA11" s="3" t="str">
        <f t="shared" ca="1" si="74"/>
        <v/>
      </c>
      <c r="CB11" s="3">
        <f t="shared" ca="1" si="95"/>
        <v>35503823.103228368</v>
      </c>
      <c r="CC11" s="3" t="str">
        <f t="shared" ca="1" si="75"/>
        <v/>
      </c>
      <c r="CD11" s="3">
        <f>IF(RTD("tos.rtd",,CD$2,"."&amp;$A$2&amp;$AS$1&amp;"C"&amp;$A11)="N/A",0,RTD("tos.rtd",,CD$2,"."&amp;$A$2&amp;$AS$1&amp;"C"&amp;$A11))</f>
        <v>0.01</v>
      </c>
      <c r="CE11" s="3">
        <f>-IF(RTD("tos.rtd",,CE$2,"."&amp;$A$2&amp;$AS$1&amp;"P"&amp;$A11)="N/A",0,RTD("tos.rtd",,CE$2,"."&amp;$A$2&amp;$AS$1&amp;"P"&amp;$A11))</f>
        <v>0.56000000000000005</v>
      </c>
      <c r="CF11" s="3">
        <f>IF(RTD("tos.rtd",,CF$2,"."&amp;$A$2&amp;$AU$1&amp;"C"&amp;$A11)="N/A",0,RTD("tos.rtd",,CF$2,"."&amp;$A$2&amp;$AU$1&amp;"C"&amp;$A11))</f>
        <v>0.36</v>
      </c>
      <c r="CG11" s="3">
        <f>-IF(RTD("tos.rtd",,CG$2,"."&amp;$A$2&amp;$AU$1&amp;"P"&amp;$A11)="N/A",0,RTD("tos.rtd",,CG$2,"."&amp;$A$2&amp;$AU$1&amp;"P"&amp;$A11))</f>
        <v>0.54</v>
      </c>
      <c r="CH11" s="3">
        <f>IF(RTD("tos.rtd",,CH$2,"."&amp;$A$2&amp;$AW$1&amp;"C"&amp;$A11)="N/A",0,RTD("tos.rtd",,CH$2,"."&amp;$A$2&amp;$AW$1&amp;"C"&amp;$A11))</f>
        <v>0.49</v>
      </c>
      <c r="CI11" s="3">
        <f>-IF(RTD("tos.rtd",,CI$2,"."&amp;$A$2&amp;$AW$1&amp;"P"&amp;$A11)="N/A",0,RTD("tos.rtd",,CI$2,"."&amp;$A$2&amp;$AW$1&amp;"P"&amp;$A11))</f>
        <v>0.5</v>
      </c>
      <c r="CK11" s="3">
        <f t="shared" si="96"/>
        <v>12691</v>
      </c>
      <c r="CL11" s="3"/>
      <c r="CM11" s="3">
        <f t="shared" si="97"/>
        <v>1570716</v>
      </c>
      <c r="CN11" s="3"/>
      <c r="CO11" s="3">
        <f t="shared" si="98"/>
        <v>457042</v>
      </c>
      <c r="CP11" s="3">
        <f t="shared" si="99"/>
        <v>2040449</v>
      </c>
      <c r="CQ11" s="3">
        <f t="shared" si="100"/>
        <v>41787</v>
      </c>
      <c r="CR11" s="3"/>
      <c r="CS11" s="3">
        <f t="shared" si="101"/>
        <v>19568</v>
      </c>
      <c r="CT11" s="3"/>
      <c r="CU11" s="3">
        <f t="shared" si="102"/>
        <v>2945</v>
      </c>
      <c r="CV11" s="3">
        <f t="shared" si="103"/>
        <v>64300</v>
      </c>
      <c r="CW11" s="3" t="e">
        <f t="shared" ca="1" si="104"/>
        <v>#NUM!</v>
      </c>
      <c r="CX11" s="85" t="e">
        <f t="shared" ca="1" si="76"/>
        <v>#NUM!</v>
      </c>
      <c r="CY11" s="3" t="e">
        <f t="shared" ca="1" si="105"/>
        <v>#NUM!</v>
      </c>
      <c r="CZ11" s="85" t="e">
        <f t="shared" ca="1" si="77"/>
        <v>#NUM!</v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10.58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11.67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9.75</v>
      </c>
      <c r="DG11" s="86">
        <f t="shared" si="48"/>
        <v>3.5599999999999454</v>
      </c>
      <c r="DH11" s="3">
        <f t="shared" si="106"/>
        <v>1</v>
      </c>
      <c r="DI11" s="3">
        <f t="shared" si="107"/>
        <v>0</v>
      </c>
      <c r="DJ11" s="3">
        <f t="shared" si="108"/>
        <v>1</v>
      </c>
      <c r="DK11" s="3">
        <f t="shared" si="51"/>
        <v>0</v>
      </c>
      <c r="DL11" s="3">
        <f t="shared" si="52"/>
        <v>1</v>
      </c>
      <c r="DM11" s="3">
        <f t="shared" si="53"/>
        <v>1</v>
      </c>
      <c r="DN11" s="63" t="str">
        <f t="shared" si="54"/>
        <v>BUY</v>
      </c>
      <c r="DO11" s="63" t="str">
        <f t="shared" si="55"/>
        <v>UNKNOWN</v>
      </c>
      <c r="DP11" s="3">
        <f t="shared" si="56"/>
        <v>0.01</v>
      </c>
      <c r="DQ11" s="3">
        <f t="shared" si="57"/>
        <v>0.01</v>
      </c>
      <c r="DR11" s="3" t="e">
        <f t="shared" ca="1" si="58"/>
        <v>#NUM!</v>
      </c>
      <c r="DS11" s="3">
        <f t="shared" si="59"/>
        <v>0.01</v>
      </c>
      <c r="DT11" s="3">
        <f t="shared" si="60"/>
        <v>1</v>
      </c>
      <c r="DU11" s="3">
        <f t="shared" si="61"/>
        <v>0</v>
      </c>
      <c r="DV11" s="3">
        <f t="shared" si="62"/>
        <v>4945</v>
      </c>
      <c r="DW11" s="3">
        <f t="shared" si="23"/>
        <v>-442</v>
      </c>
      <c r="DX11" s="3" t="e">
        <f t="shared" ca="1" si="24"/>
        <v>#NUM!</v>
      </c>
      <c r="DY11" s="3" t="e">
        <f t="shared" ca="1" si="25"/>
        <v>#NUM!</v>
      </c>
      <c r="DZ11" s="3">
        <f t="shared" ca="1" si="26"/>
        <v>3.5734781442882453E-2</v>
      </c>
      <c r="EA11" s="3">
        <f t="shared" ca="1" si="27"/>
        <v>-1.2535787642463877E-2</v>
      </c>
      <c r="EB11" s="3">
        <f t="shared" ca="1" si="28"/>
        <v>3.5570138422751578E-2</v>
      </c>
      <c r="EC11" s="3">
        <f t="shared" ca="1" si="29"/>
        <v>-2.1384240169978766E-2</v>
      </c>
      <c r="ED11" s="63">
        <f t="shared" si="63"/>
        <v>4503</v>
      </c>
      <c r="EE11" s="59">
        <f t="shared" si="109"/>
        <v>0.3518</v>
      </c>
      <c r="EF11" s="59">
        <f t="shared" si="110"/>
        <v>5.1054000000000004</v>
      </c>
      <c r="EG11" s="59">
        <f t="shared" si="111"/>
        <v>0.1386</v>
      </c>
      <c r="EH11" s="59">
        <f t="shared" si="112"/>
        <v>0.40989999999999999</v>
      </c>
      <c r="EI11" s="59">
        <f t="shared" si="113"/>
        <v>0.13930000000000001</v>
      </c>
      <c r="EJ11" s="59">
        <f t="shared" si="114"/>
        <v>0.23810000000000001</v>
      </c>
      <c r="EK11" s="63" t="e">
        <f t="shared" ca="1" si="65"/>
        <v>#NUM!</v>
      </c>
      <c r="EL11" s="3" t="str">
        <f>RTD("tos.rtd",,EL$2,"."&amp;$A$2&amp;$AS$1&amp;"C"&amp;$A11)</f>
        <v>35.18%</v>
      </c>
      <c r="EM11" s="3" t="str">
        <f>RTD("tos.rtd",,EM$2,"."&amp;$A$2&amp;$AS$1&amp;"P"&amp;$A11)</f>
        <v>510.54%</v>
      </c>
      <c r="EN11" s="3" t="str">
        <f>RTD("tos.rtd",,EN$2,"."&amp;$A$2&amp;$AU$1&amp;"C"&amp;$A11)</f>
        <v>13.86%</v>
      </c>
      <c r="EO11" s="3" t="str">
        <f>RTD("tos.rtd",,EO$2,"."&amp;$A$2&amp;$AU$1&amp;"P"&amp;$A11)</f>
        <v>40.99%</v>
      </c>
      <c r="EP11" s="3" t="str">
        <f>RTD("tos.rtd",,EP$2,"."&amp;$A$2&amp;$AW$1&amp;"C"&amp;$A11)</f>
        <v>13.93%</v>
      </c>
      <c r="EQ11" s="3" t="str">
        <f>RTD("tos.rtd",,EQ$2,"."&amp;$A$2&amp;$AW$1&amp;"P"&amp;$A11)</f>
        <v>23.81%</v>
      </c>
      <c r="ES11" s="63" t="str">
        <f t="shared" si="66"/>
        <v>575,4503.00</v>
      </c>
      <c r="ET11" s="63" t="str">
        <f t="shared" ca="1" si="67"/>
        <v>575,00.00</v>
      </c>
      <c r="EU11" s="67">
        <v>565.03</v>
      </c>
      <c r="EV11" s="67" t="s">
        <v>107</v>
      </c>
      <c r="EW11" s="67">
        <v>488.41</v>
      </c>
      <c r="EX11" s="67" t="s">
        <v>108</v>
      </c>
      <c r="EY11" s="67">
        <v>5663.94</v>
      </c>
      <c r="EZ11" s="67" t="s">
        <v>109</v>
      </c>
      <c r="FA11" s="67">
        <v>20063.564999999999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8"/>
        <v>574</v>
      </c>
      <c r="B12" s="3">
        <f t="shared" si="82"/>
        <v>4205</v>
      </c>
      <c r="C12" s="3">
        <f t="shared" si="83"/>
        <v>3227</v>
      </c>
      <c r="D12" s="3">
        <f t="shared" si="84"/>
        <v>1233</v>
      </c>
      <c r="E12" s="3">
        <f t="shared" si="85"/>
        <v>8665</v>
      </c>
      <c r="F12" s="4">
        <f t="shared" si="86"/>
        <v>5775.7594848103035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2260</v>
      </c>
      <c r="AN12" s="1">
        <v>23</v>
      </c>
      <c r="AO12" s="1">
        <v>574</v>
      </c>
      <c r="AP12" s="1">
        <v>27682</v>
      </c>
      <c r="AQ12" s="1">
        <v>-402</v>
      </c>
      <c r="AR12" s="1"/>
      <c r="AS12" s="6">
        <f>IF(RTD("tos.rtd",,AS$2,"."&amp;$A$2&amp;$AS$1&amp;"C"&amp;$A12)="N/A",0,RTD("tos.rtd",,AS$2,"."&amp;$A$2&amp;$AS$1&amp;"C"&amp;$A12))</f>
        <v>4115</v>
      </c>
      <c r="AT12" s="7">
        <f>-IF(RTD("tos.rtd",,AT$2,"."&amp;$A$2&amp;$AS$1&amp;"P"&amp;$A12)="N/A",0,RTD("tos.rtd",,AT$2,"."&amp;$A$2&amp;$AS$1&amp;"P"&amp;$A12))</f>
        <v>-90</v>
      </c>
      <c r="AU12" s="6">
        <f>IF(RTD("tos.rtd",,AU$2,"."&amp;$A$2&amp;$AU$1&amp;"C"&amp;$A12)="N/A",0,RTD("tos.rtd",,AU$2,"."&amp;$A$2&amp;$AU$1&amp;"C"&amp;$A12))</f>
        <v>2859</v>
      </c>
      <c r="AV12" s="7">
        <f>-IF(RTD("tos.rtd",,AV$2,"."&amp;$A$2&amp;$AU$1&amp;"P"&amp;$A12)="N/A",0,RTD("tos.rtd",,AV$2,"."&amp;$A$2&amp;$AU$1&amp;"P"&amp;$A12))</f>
        <v>-368</v>
      </c>
      <c r="AW12" s="6">
        <f>IF(RTD("tos.rtd",,AW$2,"."&amp;$A$2&amp;$AW$1&amp;"C"&amp;$A12)="N/A",0,RTD("tos.rtd",,AW$2,"."&amp;$A$2&amp;$AW$1&amp;"C"&amp;$A12))</f>
        <v>960</v>
      </c>
      <c r="AX12" s="7">
        <f>-IF(RTD("tos.rtd",,AX$2,"."&amp;$A$2&amp;$AW$1&amp;"P"&amp;$A12)="N/A",0,RTD("tos.rtd",,AX$2,"."&amp;$A$2&amp;$AW$1&amp;"P"&amp;$A12))</f>
        <v>-273</v>
      </c>
      <c r="AY12" s="1">
        <f t="shared" si="87"/>
        <v>7203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27683</v>
      </c>
      <c r="BB12" s="7">
        <f>-IF(RTD("tos.rtd",,BB$2,"."&amp;$A$2&amp;$AS$1&amp;"P"&amp;$A12)="N/A",0,RTD("tos.rtd",,BB$2,"."&amp;$A$2&amp;$AS$1&amp;"P"&amp;$A12))</f>
        <v>-402</v>
      </c>
      <c r="BC12" s="6">
        <f>IF(RTD("tos.rtd",,BC$2,"."&amp;$A$2&amp;$AU$1&amp;"C"&amp;$A12)="N/A",0,RTD("tos.rtd",,BC$2,"."&amp;$A$2&amp;$AU$1&amp;"C"&amp;$A12))</f>
        <v>1697</v>
      </c>
      <c r="BD12" s="7">
        <f>-IF(RTD("tos.rtd",,BD$2,"."&amp;$A$2&amp;$AU$1&amp;"P"&amp;$A12)="N/A",0,RTD("tos.rtd",,BD$2,"."&amp;$A$2&amp;$AU$1&amp;"P"&amp;$A12))</f>
        <v>-15</v>
      </c>
      <c r="BE12" s="6">
        <f>IF(RTD("tos.rtd",,BE$2,"."&amp;$A$2&amp;$AW$1&amp;"C"&amp;$A12)="N/A",0,RTD("tos.rtd",,BE$2,"."&amp;$A$2&amp;$AW$1&amp;"C"&amp;$A12))</f>
        <v>193</v>
      </c>
      <c r="BF12" s="83">
        <f>-IF(RTD("tos.rtd",,BF$2,"."&amp;$A$2&amp;$AW$1&amp;"P"&amp;$A12)="N/A",0,RTD("tos.rtd",,BF$2,"."&amp;$A$2&amp;$AW$1&amp;"P"&amp;$A12))</f>
        <v>-124</v>
      </c>
      <c r="BG12" s="32">
        <f ca="1">+Hoja2!Y13</f>
        <v>631</v>
      </c>
      <c r="BH12" s="7">
        <f t="shared" ca="1" si="36"/>
        <v>29663</v>
      </c>
      <c r="BI12" s="8" t="str">
        <f t="shared" ref="BI12" ca="1" si="119">IF(AND(BH12&lt;0,BH11&gt;0), "Cruce -", IF(AND(BH12&gt;0,BH11&lt;0),"Cruce +", ""))</f>
        <v/>
      </c>
      <c r="BJ12" s="3" t="e">
        <f ca="1">IF($BP$1=1,DX12,IF(RTD("tos.rtd",,BJ$2,"."&amp;$A$2&amp;$AS$1&amp;"C"&amp;$A12)="N/A",0,RTD("tos.rtd",,BJ$2,"."&amp;$A$2&amp;$AS$1&amp;"C"&amp;$A12)))</f>
        <v>#NUM!</v>
      </c>
      <c r="BK12" s="3" t="e">
        <f ca="1">IF($BP$1=1,DY12,-IF(RTD("tos.rtd",,BK$2,"."&amp;$A$2&amp;$AS$1&amp;"P"&amp;$A12)="N/A",0,RTD("tos.rtd",,BK$2,"."&amp;$A$2&amp;$AS$1&amp;"P"&amp;$A12)))</f>
        <v>#NUM!</v>
      </c>
      <c r="BL12" s="3">
        <f ca="1">IF($BP$1=1,DZ12,IF(RTD("tos.rtd",,BL$2,"."&amp;$A$2&amp;$AU$1&amp;"C"&amp;$A12)="N/A",0,RTD("tos.rtd",,BL$2,"."&amp;$A$2&amp;$AU$1&amp;"C"&amp;$A12)))</f>
        <v>3.7398968103027029E-2</v>
      </c>
      <c r="BM12" s="3">
        <f ca="1">IF($BP$1=1,EA12,-IF(RTD("tos.rtd",,BM$2,"."&amp;$A$2&amp;$AU$1&amp;"P"&amp;$A12)="N/A",0,RTD("tos.rtd",,BM$2,"."&amp;$A$2&amp;$AU$1&amp;"P"&amp;$A12)))</f>
        <v>-1.2771383055141132E-2</v>
      </c>
      <c r="BN12" s="3">
        <f ca="1">IF($BP$1=1,EB12,IF(RTD("tos.rtd",,BN$2,"."&amp;$A$2&amp;$AW$1&amp;"C"&amp;$A12)="N/A",0,RTD("tos.rtd",,BN$2,"."&amp;$A$2&amp;$AW$1&amp;"C"&amp;$A12)))</f>
        <v>3.6215996646372609E-2</v>
      </c>
      <c r="BO12" s="3">
        <f ca="1">IF($BP$1=1,EC12,-IF(RTD("tos.rtd",,BO$2,"."&amp;$A$2&amp;$AW$1&amp;"P"&amp;$A12)="N/A",0,RTD("tos.rtd",,BO$2,"."&amp;$A$2&amp;$AW$1&amp;"P"&amp;$A12)))</f>
        <v>-2.1511586788762325E-2</v>
      </c>
      <c r="BQ12" s="3" t="e">
        <f t="shared" ca="1" si="89"/>
        <v>#NUM!</v>
      </c>
      <c r="BR12" s="3" t="e">
        <f t="shared" ca="1" si="71"/>
        <v>#NUM!</v>
      </c>
      <c r="BS12" s="3">
        <f t="shared" ca="1" si="90"/>
        <v>33380528.925513647</v>
      </c>
      <c r="BT12" s="3" t="str">
        <f t="shared" ca="1" si="71"/>
        <v/>
      </c>
      <c r="BU12" s="3">
        <f t="shared" ca="1" si="91"/>
        <v>9435379.3915059436</v>
      </c>
      <c r="BV12" s="3" t="str">
        <f t="shared" ref="BV12" ca="1" si="120">IF(AND(BU12&lt;0,BU11&gt;0), "Cruce -", IF(AND(BU12&gt;0,BU11&lt;0),"Cruce +", ""))</f>
        <v/>
      </c>
      <c r="BX12" s="3" t="e">
        <f t="shared" ca="1" si="93"/>
        <v>#NUM!</v>
      </c>
      <c r="BY12" s="3" t="e">
        <f t="shared" ca="1" si="73"/>
        <v>#NUM!</v>
      </c>
      <c r="BZ12" s="3">
        <f t="shared" ca="1" si="94"/>
        <v>20661880.532063525</v>
      </c>
      <c r="CA12" s="3" t="str">
        <f t="shared" ca="1" si="74"/>
        <v/>
      </c>
      <c r="CB12" s="3">
        <f t="shared" ca="1" si="95"/>
        <v>1411403.5861864239</v>
      </c>
      <c r="CC12" s="3" t="str">
        <f t="shared" ca="1" si="75"/>
        <v/>
      </c>
      <c r="CD12" s="3">
        <f>IF(RTD("tos.rtd",,CD$2,"."&amp;$A$2&amp;$AS$1&amp;"C"&amp;$A12)="N/A",0,RTD("tos.rtd",,CD$2,"."&amp;$A$2&amp;$AS$1&amp;"C"&amp;$A12))</f>
        <v>0.01</v>
      </c>
      <c r="CE12" s="3">
        <f>-IF(RTD("tos.rtd",,CE$2,"."&amp;$A$2&amp;$AS$1&amp;"P"&amp;$A12)="N/A",0,RTD("tos.rtd",,CE$2,"."&amp;$A$2&amp;$AS$1&amp;"P"&amp;$A12))</f>
        <v>0.54</v>
      </c>
      <c r="CF12" s="3">
        <f>IF(RTD("tos.rtd",,CF$2,"."&amp;$A$2&amp;$AU$1&amp;"C"&amp;$A12)="N/A",0,RTD("tos.rtd",,CF$2,"."&amp;$A$2&amp;$AU$1&amp;"C"&amp;$A12))</f>
        <v>0.4</v>
      </c>
      <c r="CG12" s="3">
        <f>-IF(RTD("tos.rtd",,CG$2,"."&amp;$A$2&amp;$AU$1&amp;"P"&amp;$A12)="N/A",0,RTD("tos.rtd",,CG$2,"."&amp;$A$2&amp;$AU$1&amp;"P"&amp;$A12))</f>
        <v>0.53</v>
      </c>
      <c r="CH12" s="3">
        <f>IF(RTD("tos.rtd",,CH$2,"."&amp;$A$2&amp;$AW$1&amp;"C"&amp;$A12)="N/A",0,RTD("tos.rtd",,CH$2,"."&amp;$A$2&amp;$AW$1&amp;"C"&amp;$A12))</f>
        <v>0.5</v>
      </c>
      <c r="CI12" s="3">
        <f>-IF(RTD("tos.rtd",,CI$2,"."&amp;$A$2&amp;$AW$1&amp;"P"&amp;$A12)="N/A",0,RTD("tos.rtd",,CI$2,"."&amp;$A$2&amp;$AW$1&amp;"P"&amp;$A12))</f>
        <v>0.49</v>
      </c>
      <c r="CK12" s="3">
        <f t="shared" si="96"/>
        <v>-745</v>
      </c>
      <c r="CL12" s="3"/>
      <c r="CM12" s="3">
        <f t="shared" si="97"/>
        <v>94856.000000000015</v>
      </c>
      <c r="CN12" s="3"/>
      <c r="CO12" s="3">
        <f t="shared" si="98"/>
        <v>34623</v>
      </c>
      <c r="CP12" s="3">
        <f t="shared" si="99"/>
        <v>128734.00000000001</v>
      </c>
      <c r="CQ12" s="3">
        <f t="shared" si="100"/>
        <v>27281</v>
      </c>
      <c r="CR12" s="3"/>
      <c r="CS12" s="3">
        <f t="shared" si="101"/>
        <v>1682</v>
      </c>
      <c r="CT12" s="3"/>
      <c r="CU12" s="3">
        <f t="shared" si="102"/>
        <v>69</v>
      </c>
      <c r="CV12" s="3">
        <f t="shared" si="103"/>
        <v>29032</v>
      </c>
      <c r="CW12" s="3" t="e">
        <f t="shared" ca="1" si="104"/>
        <v>#NUM!</v>
      </c>
      <c r="CX12" s="85" t="e">
        <f t="shared" ca="1" si="76"/>
        <v>#NUM!</v>
      </c>
      <c r="CY12" s="3" t="e">
        <f t="shared" ca="1" si="105"/>
        <v>#NUM!</v>
      </c>
      <c r="CZ12" s="85" t="e">
        <f t="shared" ca="1" si="77"/>
        <v>#NUM!</v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9.7899999999999991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10.67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8.75</v>
      </c>
      <c r="DG12" s="86">
        <f t="shared" si="48"/>
        <v>2.5599999999999454</v>
      </c>
      <c r="DH12" s="3">
        <f t="shared" si="106"/>
        <v>1</v>
      </c>
      <c r="DI12" s="3">
        <f t="shared" si="107"/>
        <v>0</v>
      </c>
      <c r="DJ12" s="3">
        <f t="shared" si="108"/>
        <v>1</v>
      </c>
      <c r="DK12" s="3">
        <f t="shared" si="51"/>
        <v>0</v>
      </c>
      <c r="DL12" s="3">
        <f t="shared" si="52"/>
        <v>1</v>
      </c>
      <c r="DM12" s="3">
        <f t="shared" si="53"/>
        <v>1</v>
      </c>
      <c r="DN12" s="63" t="str">
        <f t="shared" si="54"/>
        <v>BUY</v>
      </c>
      <c r="DO12" s="63" t="str">
        <f t="shared" si="55"/>
        <v>UNKNOWN</v>
      </c>
      <c r="DP12" s="3">
        <f t="shared" si="56"/>
        <v>0.01</v>
      </c>
      <c r="DQ12" s="3">
        <f t="shared" si="57"/>
        <v>0.01</v>
      </c>
      <c r="DR12" s="3" t="e">
        <f t="shared" ca="1" si="58"/>
        <v>#NUM!</v>
      </c>
      <c r="DS12" s="3">
        <f t="shared" si="59"/>
        <v>0.01</v>
      </c>
      <c r="DT12" s="3">
        <f t="shared" si="60"/>
        <v>1</v>
      </c>
      <c r="DU12" s="3">
        <f t="shared" si="61"/>
        <v>0</v>
      </c>
      <c r="DV12" s="3">
        <f t="shared" si="62"/>
        <v>2261</v>
      </c>
      <c r="DW12" s="3">
        <f t="shared" si="23"/>
        <v>23</v>
      </c>
      <c r="DX12" s="3" t="e">
        <f t="shared" ca="1" si="24"/>
        <v>#NUM!</v>
      </c>
      <c r="DY12" s="3" t="e">
        <f t="shared" ca="1" si="25"/>
        <v>#NUM!</v>
      </c>
      <c r="DZ12" s="3">
        <f t="shared" ca="1" si="26"/>
        <v>3.7398968103027029E-2</v>
      </c>
      <c r="EA12" s="3">
        <f t="shared" ca="1" si="27"/>
        <v>-1.2771383055141132E-2</v>
      </c>
      <c r="EB12" s="3">
        <f t="shared" ca="1" si="28"/>
        <v>3.6215996646372609E-2</v>
      </c>
      <c r="EC12" s="3">
        <f t="shared" ca="1" si="29"/>
        <v>-2.1511586788762325E-2</v>
      </c>
      <c r="ED12" s="63">
        <f t="shared" si="63"/>
        <v>2284</v>
      </c>
      <c r="EE12" s="59">
        <f t="shared" si="109"/>
        <v>0.26419999999999999</v>
      </c>
      <c r="EF12" s="59">
        <f t="shared" si="110"/>
        <v>4.8499999999999996</v>
      </c>
      <c r="EG12" s="59">
        <f t="shared" si="111"/>
        <v>0.13519999999999999</v>
      </c>
      <c r="EH12" s="59">
        <f t="shared" si="112"/>
        <v>0.40300000000000002</v>
      </c>
      <c r="EI12" s="59">
        <f t="shared" si="113"/>
        <v>0.13980000000000001</v>
      </c>
      <c r="EJ12" s="59">
        <f t="shared" si="114"/>
        <v>0.23830000000000001</v>
      </c>
      <c r="EK12" s="63" t="e">
        <f t="shared" ca="1" si="65"/>
        <v>#NUM!</v>
      </c>
      <c r="EL12" s="3" t="str">
        <f>RTD("tos.rtd",,EL$2,"."&amp;$A$2&amp;$AS$1&amp;"C"&amp;$A12)</f>
        <v>26.42%</v>
      </c>
      <c r="EM12" s="3" t="str">
        <f>RTD("tos.rtd",,EM$2,"."&amp;$A$2&amp;$AS$1&amp;"P"&amp;$A12)</f>
        <v>485.00%</v>
      </c>
      <c r="EN12" s="3" t="str">
        <f>RTD("tos.rtd",,EN$2,"."&amp;$A$2&amp;$AU$1&amp;"C"&amp;$A12)</f>
        <v>13.52%</v>
      </c>
      <c r="EO12" s="3" t="str">
        <f>RTD("tos.rtd",,EO$2,"."&amp;$A$2&amp;$AU$1&amp;"P"&amp;$A12)</f>
        <v>40.30%</v>
      </c>
      <c r="EP12" s="3" t="str">
        <f>RTD("tos.rtd",,EP$2,"."&amp;$A$2&amp;$AW$1&amp;"C"&amp;$A12)</f>
        <v>13.98%</v>
      </c>
      <c r="EQ12" s="3" t="str">
        <f>RTD("tos.rtd",,EQ$2,"."&amp;$A$2&amp;$AW$1&amp;"P"&amp;$A12)</f>
        <v>23.83%</v>
      </c>
      <c r="ES12" s="63" t="str">
        <f t="shared" si="66"/>
        <v>574,2284.00</v>
      </c>
      <c r="ET12" s="63" t="str">
        <f t="shared" ca="1" si="67"/>
        <v>574,00.00</v>
      </c>
      <c r="EU12" s="67">
        <v>564.62</v>
      </c>
      <c r="EV12" s="67" t="s">
        <v>115</v>
      </c>
      <c r="EW12" s="67">
        <v>488.12</v>
      </c>
      <c r="EX12" s="67" t="s">
        <v>116</v>
      </c>
      <c r="EY12" s="67">
        <v>5663.94</v>
      </c>
      <c r="EZ12" s="67" t="s">
        <v>117</v>
      </c>
      <c r="FA12" s="67">
        <v>20063.564999999999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8"/>
        <v>573</v>
      </c>
      <c r="B13" s="3">
        <f t="shared" si="82"/>
        <v>7547</v>
      </c>
      <c r="C13" s="3">
        <f t="shared" si="83"/>
        <v>4258</v>
      </c>
      <c r="D13" s="3">
        <f t="shared" si="84"/>
        <v>1116</v>
      </c>
      <c r="E13" s="3">
        <f t="shared" si="85"/>
        <v>12921</v>
      </c>
      <c r="F13" s="4">
        <f t="shared" si="86"/>
        <v>5765.697186056279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11139</v>
      </c>
      <c r="AN13" s="1">
        <v>-587</v>
      </c>
      <c r="AO13" s="1">
        <v>573</v>
      </c>
      <c r="AP13" s="1">
        <v>36737</v>
      </c>
      <c r="AQ13" s="1">
        <v>-1067</v>
      </c>
      <c r="AR13" s="1"/>
      <c r="AS13" s="6">
        <f>IF(RTD("tos.rtd",,AS$2,"."&amp;$A$2&amp;$AS$1&amp;"C"&amp;$A13)="N/A",0,RTD("tos.rtd",,AS$2,"."&amp;$A$2&amp;$AS$1&amp;"C"&amp;$A13))</f>
        <v>7342</v>
      </c>
      <c r="AT13" s="7">
        <f>-IF(RTD("tos.rtd",,AT$2,"."&amp;$A$2&amp;$AS$1&amp;"P"&amp;$A13)="N/A",0,RTD("tos.rtd",,AT$2,"."&amp;$A$2&amp;$AS$1&amp;"P"&amp;$A13))</f>
        <v>-205</v>
      </c>
      <c r="AU13" s="6">
        <f>IF(RTD("tos.rtd",,AU$2,"."&amp;$A$2&amp;$AU$1&amp;"C"&amp;$A13)="N/A",0,RTD("tos.rtd",,AU$2,"."&amp;$A$2&amp;$AU$1&amp;"C"&amp;$A13))</f>
        <v>3726</v>
      </c>
      <c r="AV13" s="7">
        <f>-IF(RTD("tos.rtd",,AV$2,"."&amp;$A$2&amp;$AU$1&amp;"P"&amp;$A13)="N/A",0,RTD("tos.rtd",,AV$2,"."&amp;$A$2&amp;$AU$1&amp;"P"&amp;$A13))</f>
        <v>-532</v>
      </c>
      <c r="AW13" s="6">
        <f>IF(RTD("tos.rtd",,AW$2,"."&amp;$A$2&amp;$AW$1&amp;"C"&amp;$A13)="N/A",0,RTD("tos.rtd",,AW$2,"."&amp;$A$2&amp;$AW$1&amp;"C"&amp;$A13))</f>
        <v>839</v>
      </c>
      <c r="AX13" s="7">
        <f>-IF(RTD("tos.rtd",,AX$2,"."&amp;$A$2&amp;$AW$1&amp;"P"&amp;$A13)="N/A",0,RTD("tos.rtd",,AX$2,"."&amp;$A$2&amp;$AW$1&amp;"P"&amp;$A13))</f>
        <v>-277</v>
      </c>
      <c r="AY13" s="1">
        <f t="shared" si="87"/>
        <v>10893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36747</v>
      </c>
      <c r="BB13" s="7">
        <f>-IF(RTD("tos.rtd",,BB$2,"."&amp;$A$2&amp;$AS$1&amp;"P"&amp;$A13)="N/A",0,RTD("tos.rtd",,BB$2,"."&amp;$A$2&amp;$AS$1&amp;"P"&amp;$A13))</f>
        <v>-1067</v>
      </c>
      <c r="BC13" s="6">
        <f>IF(RTD("tos.rtd",,BC$2,"."&amp;$A$2&amp;$AU$1&amp;"C"&amp;$A13)="N/A",0,RTD("tos.rtd",,BC$2,"."&amp;$A$2&amp;$AU$1&amp;"C"&amp;$A13))</f>
        <v>2031</v>
      </c>
      <c r="BD13" s="7">
        <f>-IF(RTD("tos.rtd",,BD$2,"."&amp;$A$2&amp;$AU$1&amp;"P"&amp;$A13)="N/A",0,RTD("tos.rtd",,BD$2,"."&amp;$A$2&amp;$AU$1&amp;"P"&amp;$A13))</f>
        <v>-44</v>
      </c>
      <c r="BE13" s="6">
        <f>IF(RTD("tos.rtd",,BE$2,"."&amp;$A$2&amp;$AW$1&amp;"C"&amp;$A13)="N/A",0,RTD("tos.rtd",,BE$2,"."&amp;$A$2&amp;$AW$1&amp;"C"&amp;$A13))</f>
        <v>222</v>
      </c>
      <c r="BF13" s="83">
        <f>-IF(RTD("tos.rtd",,BF$2,"."&amp;$A$2&amp;$AW$1&amp;"P"&amp;$A13)="N/A",0,RTD("tos.rtd",,BF$2,"."&amp;$A$2&amp;$AW$1&amp;"P"&amp;$A13))</f>
        <v>-62</v>
      </c>
      <c r="BG13" s="32">
        <f ca="1">+Hoja2!Y14</f>
        <v>1275</v>
      </c>
      <c r="BH13" s="7">
        <f t="shared" ca="1" si="36"/>
        <v>39102</v>
      </c>
      <c r="BI13" s="8" t="str">
        <f t="shared" ref="BI13" ca="1" si="121">IF(AND(BH13&lt;0,BH12&gt;0), "Cruce -", IF(AND(BH13&gt;0,BH12&lt;0),"Cruce +", ""))</f>
        <v/>
      </c>
      <c r="BJ13" s="3" t="e">
        <f ca="1">IF($BP$1=1,DX13,IF(RTD("tos.rtd",,BJ$2,"."&amp;$A$2&amp;$AS$1&amp;"C"&amp;$A13)="N/A",0,RTD("tos.rtd",,BJ$2,"."&amp;$A$2&amp;$AS$1&amp;"C"&amp;$A13)))</f>
        <v>#NUM!</v>
      </c>
      <c r="BK13" s="3" t="e">
        <f ca="1">IF($BP$1=1,DY13,-IF(RTD("tos.rtd",,BK$2,"."&amp;$A$2&amp;$AS$1&amp;"P"&amp;$A13)="N/A",0,RTD("tos.rtd",,BK$2,"."&amp;$A$2&amp;$AS$1&amp;"P"&amp;$A13)))</f>
        <v>#NUM!</v>
      </c>
      <c r="BL13" s="3">
        <f ca="1">IF($BP$1=1,DZ13,IF(RTD("tos.rtd",,BL$2,"."&amp;$A$2&amp;$AU$1&amp;"C"&amp;$A13)="N/A",0,RTD("tos.rtd",,BL$2,"."&amp;$A$2&amp;$AU$1&amp;"C"&amp;$A13)))</f>
        <v>3.8973265279113392E-2</v>
      </c>
      <c r="BM13" s="3">
        <f ca="1">IF($BP$1=1,EA13,-IF(RTD("tos.rtd",,BM$2,"."&amp;$A$2&amp;$AU$1&amp;"P"&amp;$A13)="N/A",0,RTD("tos.rtd",,BM$2,"."&amp;$A$2&amp;$AU$1&amp;"P"&amp;$A13)))</f>
        <v>-1.2961359207262237E-2</v>
      </c>
      <c r="BN13" s="3">
        <f ca="1">IF($BP$1=1,EB13,IF(RTD("tos.rtd",,BN$2,"."&amp;$A$2&amp;$AW$1&amp;"C"&amp;$A13)="N/A",0,RTD("tos.rtd",,BN$2,"."&amp;$A$2&amp;$AW$1&amp;"C"&amp;$A13)))</f>
        <v>3.6555261258722827E-2</v>
      </c>
      <c r="BO13" s="3">
        <f ca="1">IF($BP$1=1,EC13,-IF(RTD("tos.rtd",,BO$2,"."&amp;$A$2&amp;$AW$1&amp;"P"&amp;$A13)="N/A",0,RTD("tos.rtd",,BO$2,"."&amp;$A$2&amp;$AW$1&amp;"P"&amp;$A13)))</f>
        <v>-2.1567573051385514E-2</v>
      </c>
      <c r="BQ13" s="3" t="e">
        <f t="shared" ca="1" si="89"/>
        <v>#NUM!</v>
      </c>
      <c r="BR13" s="3" t="e">
        <f t="shared" ca="1" si="71"/>
        <v>#NUM!</v>
      </c>
      <c r="BS13" s="3">
        <f t="shared" ca="1" si="90"/>
        <v>45167175.884007782</v>
      </c>
      <c r="BT13" s="3" t="str">
        <f t="shared" ca="1" si="71"/>
        <v/>
      </c>
      <c r="BU13" s="3">
        <f t="shared" ca="1" si="91"/>
        <v>8064207.1172477901</v>
      </c>
      <c r="BV13" s="3" t="str">
        <f t="shared" ref="BV13" ca="1" si="122">IF(AND(BU13&lt;0,BU12&gt;0), "Cruce -", IF(AND(BU13&gt;0,BU12&lt;0),"Cruce +", ""))</f>
        <v/>
      </c>
      <c r="BX13" s="3" t="e">
        <f t="shared" ca="1" si="93"/>
        <v>#NUM!</v>
      </c>
      <c r="BY13" s="3" t="e">
        <f t="shared" ca="1" si="73"/>
        <v>#NUM!</v>
      </c>
      <c r="BZ13" s="3">
        <f t="shared" ca="1" si="94"/>
        <v>25661239.309150234</v>
      </c>
      <c r="CA13" s="3" t="str">
        <f t="shared" ca="1" si="74"/>
        <v/>
      </c>
      <c r="CB13" s="3">
        <f t="shared" ca="1" si="95"/>
        <v>2213338.6436246885</v>
      </c>
      <c r="CC13" s="3" t="str">
        <f t="shared" ca="1" si="75"/>
        <v/>
      </c>
      <c r="CD13" s="3">
        <f>IF(RTD("tos.rtd",,CD$2,"."&amp;$A$2&amp;$AS$1&amp;"C"&amp;$A13)="N/A",0,RTD("tos.rtd",,CD$2,"."&amp;$A$2&amp;$AS$1&amp;"C"&amp;$A13))</f>
        <v>0.02</v>
      </c>
      <c r="CE13" s="3">
        <f>-IF(RTD("tos.rtd",,CE$2,"."&amp;$A$2&amp;$AS$1&amp;"P"&amp;$A13)="N/A",0,RTD("tos.rtd",,CE$2,"."&amp;$A$2&amp;$AS$1&amp;"P"&amp;$A13))</f>
        <v>0.52</v>
      </c>
      <c r="CF13" s="3">
        <f>IF(RTD("tos.rtd",,CF$2,"."&amp;$A$2&amp;$AU$1&amp;"C"&amp;$A13)="N/A",0,RTD("tos.rtd",,CF$2,"."&amp;$A$2&amp;$AU$1&amp;"C"&amp;$A13))</f>
        <v>0.44</v>
      </c>
      <c r="CG13" s="3">
        <f>-IF(RTD("tos.rtd",,CG$2,"."&amp;$A$2&amp;$AU$1&amp;"P"&amp;$A13)="N/A",0,RTD("tos.rtd",,CG$2,"."&amp;$A$2&amp;$AU$1&amp;"P"&amp;$A13))</f>
        <v>0.51</v>
      </c>
      <c r="CH13" s="3">
        <f>IF(RTD("tos.rtd",,CH$2,"."&amp;$A$2&amp;$AW$1&amp;"C"&amp;$A13)="N/A",0,RTD("tos.rtd",,CH$2,"."&amp;$A$2&amp;$AW$1&amp;"C"&amp;$A13))</f>
        <v>0.52</v>
      </c>
      <c r="CI13" s="3">
        <f>-IF(RTD("tos.rtd",,CI$2,"."&amp;$A$2&amp;$AW$1&amp;"P"&amp;$A13)="N/A",0,RTD("tos.rtd",,CI$2,"."&amp;$A$2&amp;$AW$1&amp;"P"&amp;$A13))</f>
        <v>0.48</v>
      </c>
      <c r="CK13" s="3">
        <f t="shared" si="96"/>
        <v>4024</v>
      </c>
      <c r="CL13" s="3"/>
      <c r="CM13" s="3">
        <f t="shared" si="97"/>
        <v>136812</v>
      </c>
      <c r="CN13" s="3"/>
      <c r="CO13" s="3">
        <f t="shared" si="98"/>
        <v>30332</v>
      </c>
      <c r="CP13" s="3">
        <f t="shared" si="99"/>
        <v>171168</v>
      </c>
      <c r="CQ13" s="3">
        <f t="shared" si="100"/>
        <v>35680</v>
      </c>
      <c r="CR13" s="3"/>
      <c r="CS13" s="3">
        <f t="shared" si="101"/>
        <v>1987</v>
      </c>
      <c r="CT13" s="3"/>
      <c r="CU13" s="3">
        <f t="shared" si="102"/>
        <v>160</v>
      </c>
      <c r="CV13" s="3">
        <f t="shared" si="103"/>
        <v>37827</v>
      </c>
      <c r="CW13" s="3" t="e">
        <f t="shared" ca="1" si="104"/>
        <v>#NUM!</v>
      </c>
      <c r="CX13" s="85" t="e">
        <f t="shared" ca="1" si="76"/>
        <v>#NUM!</v>
      </c>
      <c r="CY13" s="3" t="e">
        <f t="shared" ca="1" si="105"/>
        <v>#NUM!</v>
      </c>
      <c r="CZ13" s="85" t="e">
        <f t="shared" ca="1" si="77"/>
        <v>#NUM!</v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8.57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9.67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7.75</v>
      </c>
      <c r="DG13" s="86">
        <f t="shared" si="48"/>
        <v>1.5599999999999454</v>
      </c>
      <c r="DH13" s="3">
        <f t="shared" si="106"/>
        <v>10</v>
      </c>
      <c r="DI13" s="3">
        <f t="shared" si="107"/>
        <v>0</v>
      </c>
      <c r="DJ13" s="3">
        <f t="shared" si="108"/>
        <v>10</v>
      </c>
      <c r="DK13" s="3">
        <f t="shared" si="51"/>
        <v>0</v>
      </c>
      <c r="DL13" s="3">
        <f t="shared" si="52"/>
        <v>10</v>
      </c>
      <c r="DM13" s="3">
        <f t="shared" si="53"/>
        <v>10</v>
      </c>
      <c r="DN13" s="63" t="str">
        <f t="shared" si="54"/>
        <v>BUY</v>
      </c>
      <c r="DO13" s="63" t="str">
        <f t="shared" si="55"/>
        <v>UNKNOWN</v>
      </c>
      <c r="DP13" s="3">
        <f t="shared" si="56"/>
        <v>0.1</v>
      </c>
      <c r="DQ13" s="3">
        <f t="shared" si="57"/>
        <v>0.1</v>
      </c>
      <c r="DR13" s="3" t="e">
        <f t="shared" ca="1" si="58"/>
        <v>#NUM!</v>
      </c>
      <c r="DS13" s="3">
        <f t="shared" si="59"/>
        <v>0.2</v>
      </c>
      <c r="DT13" s="3">
        <f t="shared" si="60"/>
        <v>10</v>
      </c>
      <c r="DU13" s="3">
        <f t="shared" si="61"/>
        <v>0</v>
      </c>
      <c r="DV13" s="3">
        <f t="shared" si="62"/>
        <v>11149</v>
      </c>
      <c r="DW13" s="3">
        <f t="shared" si="23"/>
        <v>-587</v>
      </c>
      <c r="DX13" s="3" t="e">
        <f t="shared" ca="1" si="24"/>
        <v>#NUM!</v>
      </c>
      <c r="DY13" s="3" t="e">
        <f t="shared" ca="1" si="25"/>
        <v>#NUM!</v>
      </c>
      <c r="DZ13" s="3">
        <f t="shared" ca="1" si="26"/>
        <v>3.8973265279113392E-2</v>
      </c>
      <c r="EA13" s="3">
        <f t="shared" ca="1" si="27"/>
        <v>-1.2961359207262237E-2</v>
      </c>
      <c r="EB13" s="3">
        <f t="shared" ca="1" si="28"/>
        <v>3.6555261258722827E-2</v>
      </c>
      <c r="EC13" s="3">
        <f t="shared" ca="1" si="29"/>
        <v>-2.1567573051385514E-2</v>
      </c>
      <c r="ED13" s="63">
        <f t="shared" si="63"/>
        <v>10562</v>
      </c>
      <c r="EE13" s="59">
        <f t="shared" si="109"/>
        <v>0.17280000000000001</v>
      </c>
      <c r="EF13" s="59">
        <f t="shared" si="110"/>
        <v>4.5861000000000001</v>
      </c>
      <c r="EG13" s="59">
        <f t="shared" si="111"/>
        <v>0.13150000000000001</v>
      </c>
      <c r="EH13" s="59">
        <f t="shared" si="112"/>
        <v>0.39739999999999998</v>
      </c>
      <c r="EI13" s="59">
        <f t="shared" si="113"/>
        <v>0.14030000000000001</v>
      </c>
      <c r="EJ13" s="59">
        <f t="shared" si="114"/>
        <v>0.23860000000000001</v>
      </c>
      <c r="EK13" s="63" t="e">
        <f t="shared" ca="1" si="65"/>
        <v>#NUM!</v>
      </c>
      <c r="EL13" s="3" t="str">
        <f>RTD("tos.rtd",,EL$2,"."&amp;$A$2&amp;$AS$1&amp;"C"&amp;$A13)</f>
        <v>17.28%</v>
      </c>
      <c r="EM13" s="3" t="str">
        <f>RTD("tos.rtd",,EM$2,"."&amp;$A$2&amp;$AS$1&amp;"P"&amp;$A13)</f>
        <v>458.61%</v>
      </c>
      <c r="EN13" s="3" t="str">
        <f>RTD("tos.rtd",,EN$2,"."&amp;$A$2&amp;$AU$1&amp;"C"&amp;$A13)</f>
        <v>13.15%</v>
      </c>
      <c r="EO13" s="3" t="str">
        <f>RTD("tos.rtd",,EO$2,"."&amp;$A$2&amp;$AU$1&amp;"P"&amp;$A13)</f>
        <v>39.74%</v>
      </c>
      <c r="EP13" s="3" t="str">
        <f>RTD("tos.rtd",,EP$2,"."&amp;$A$2&amp;$AW$1&amp;"C"&amp;$A13)</f>
        <v>14.03%</v>
      </c>
      <c r="EQ13" s="3" t="str">
        <f>RTD("tos.rtd",,EQ$2,"."&amp;$A$2&amp;$AW$1&amp;"P"&amp;$A13)</f>
        <v>23.86%</v>
      </c>
      <c r="ES13" s="63" t="str">
        <f t="shared" si="66"/>
        <v>573,10562.00</v>
      </c>
      <c r="ET13" s="63" t="str">
        <f t="shared" ca="1" si="67"/>
        <v>573,00.00</v>
      </c>
      <c r="EU13" s="67">
        <v>564.84</v>
      </c>
      <c r="EV13" s="67" t="s">
        <v>123</v>
      </c>
      <c r="EW13" s="67">
        <v>488.29</v>
      </c>
      <c r="EX13" s="67" t="s">
        <v>124</v>
      </c>
      <c r="EY13" s="67">
        <v>5663.94</v>
      </c>
      <c r="EZ13" s="67" t="s">
        <v>125</v>
      </c>
      <c r="FA13" s="67">
        <v>20063.564999999999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8"/>
        <v>572</v>
      </c>
      <c r="B14" s="3">
        <f t="shared" si="82"/>
        <v>14022</v>
      </c>
      <c r="C14" s="3">
        <f t="shared" si="83"/>
        <v>3639</v>
      </c>
      <c r="D14" s="3">
        <f t="shared" si="84"/>
        <v>887</v>
      </c>
      <c r="E14" s="3">
        <f t="shared" si="85"/>
        <v>18548</v>
      </c>
      <c r="F14" s="4">
        <f t="shared" si="86"/>
        <v>5755.6348873022534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-1912</v>
      </c>
      <c r="AN14" s="1">
        <v>14</v>
      </c>
      <c r="AO14" s="1">
        <v>572</v>
      </c>
      <c r="AP14" s="1">
        <v>73398</v>
      </c>
      <c r="AQ14" s="1">
        <v>-1665</v>
      </c>
      <c r="AR14" s="1"/>
      <c r="AS14" s="6">
        <f>IF(RTD("tos.rtd",,AS$2,"."&amp;$A$2&amp;$AS$1&amp;"C"&amp;$A14)="N/A",0,RTD("tos.rtd",,AS$2,"."&amp;$A$2&amp;$AS$1&amp;"C"&amp;$A14))</f>
        <v>13194</v>
      </c>
      <c r="AT14" s="7">
        <f>-IF(RTD("tos.rtd",,AT$2,"."&amp;$A$2&amp;$AS$1&amp;"P"&amp;$A14)="N/A",0,RTD("tos.rtd",,AT$2,"."&amp;$A$2&amp;$AS$1&amp;"P"&amp;$A14))</f>
        <v>-828</v>
      </c>
      <c r="AU14" s="6">
        <f>IF(RTD("tos.rtd",,AU$2,"."&amp;$A$2&amp;$AU$1&amp;"C"&amp;$A14)="N/A",0,RTD("tos.rtd",,AU$2,"."&amp;$A$2&amp;$AU$1&amp;"C"&amp;$A14))</f>
        <v>2830</v>
      </c>
      <c r="AV14" s="7">
        <f>-IF(RTD("tos.rtd",,AV$2,"."&amp;$A$2&amp;$AU$1&amp;"P"&amp;$A14)="N/A",0,RTD("tos.rtd",,AV$2,"."&amp;$A$2&amp;$AU$1&amp;"P"&amp;$A14))</f>
        <v>-809</v>
      </c>
      <c r="AW14" s="6">
        <f>IF(RTD("tos.rtd",,AW$2,"."&amp;$A$2&amp;$AW$1&amp;"C"&amp;$A14)="N/A",0,RTD("tos.rtd",,AW$2,"."&amp;$A$2&amp;$AW$1&amp;"C"&amp;$A14))</f>
        <v>708</v>
      </c>
      <c r="AX14" s="7">
        <f>-IF(RTD("tos.rtd",,AX$2,"."&amp;$A$2&amp;$AW$1&amp;"P"&amp;$A14)="N/A",0,RTD("tos.rtd",,AX$2,"."&amp;$A$2&amp;$AW$1&amp;"P"&amp;$A14))</f>
        <v>-179</v>
      </c>
      <c r="AY14" s="1">
        <f t="shared" si="87"/>
        <v>14916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73412</v>
      </c>
      <c r="BB14" s="7">
        <f>-IF(RTD("tos.rtd",,BB$2,"."&amp;$A$2&amp;$AS$1&amp;"P"&amp;$A14)="N/A",0,RTD("tos.rtd",,BB$2,"."&amp;$A$2&amp;$AS$1&amp;"P"&amp;$A14))</f>
        <v>-1733</v>
      </c>
      <c r="BC14" s="6">
        <f>IF(RTD("tos.rtd",,BC$2,"."&amp;$A$2&amp;$AU$1&amp;"C"&amp;$A14)="N/A",0,RTD("tos.rtd",,BC$2,"."&amp;$A$2&amp;$AU$1&amp;"C"&amp;$A14))</f>
        <v>2726</v>
      </c>
      <c r="BD14" s="7">
        <f>-IF(RTD("tos.rtd",,BD$2,"."&amp;$A$2&amp;$AU$1&amp;"P"&amp;$A14)="N/A",0,RTD("tos.rtd",,BD$2,"."&amp;$A$2&amp;$AU$1&amp;"P"&amp;$A14))</f>
        <v>-67</v>
      </c>
      <c r="BE14" s="6">
        <f>IF(RTD("tos.rtd",,BE$2,"."&amp;$A$2&amp;$AW$1&amp;"C"&amp;$A14)="N/A",0,RTD("tos.rtd",,BE$2,"."&amp;$A$2&amp;$AW$1&amp;"C"&amp;$A14))</f>
        <v>270</v>
      </c>
      <c r="BF14" s="83">
        <f>-IF(RTD("tos.rtd",,BF$2,"."&amp;$A$2&amp;$AW$1&amp;"P"&amp;$A14)="N/A",0,RTD("tos.rtd",,BF$2,"."&amp;$A$2&amp;$AW$1&amp;"P"&amp;$A14))</f>
        <v>-8</v>
      </c>
      <c r="BG14" s="32">
        <f ca="1">+Hoja2!Y15</f>
        <v>1164</v>
      </c>
      <c r="BH14" s="7">
        <f t="shared" ca="1" si="36"/>
        <v>75764</v>
      </c>
      <c r="BI14" s="8" t="str">
        <f t="shared" ref="BI14" ca="1" si="123">IF(AND(BH14&lt;0,BH13&gt;0), "Cruce -", IF(AND(BH14&gt;0,BH13&lt;0),"Cruce +", ""))</f>
        <v/>
      </c>
      <c r="BJ14" s="3" t="e">
        <f ca="1">IF($BP$1=1,DX14,IF(RTD("tos.rtd",,BJ$2,"."&amp;$A$2&amp;$AS$1&amp;"C"&amp;$A14)="N/A",0,RTD("tos.rtd",,BJ$2,"."&amp;$A$2&amp;$AS$1&amp;"C"&amp;$A14)))</f>
        <v>#NUM!</v>
      </c>
      <c r="BK14" s="3" t="e">
        <f ca="1">IF($BP$1=1,DY14,-IF(RTD("tos.rtd",,BK$2,"."&amp;$A$2&amp;$AS$1&amp;"P"&amp;$A14)="N/A",0,RTD("tos.rtd",,BK$2,"."&amp;$A$2&amp;$AS$1&amp;"P"&amp;$A14)))</f>
        <v>#NUM!</v>
      </c>
      <c r="BL14" s="3">
        <f ca="1">IF($BP$1=1,DZ14,IF(RTD("tos.rtd",,BL$2,"."&amp;$A$2&amp;$AU$1&amp;"C"&amp;$A14)="N/A",0,RTD("tos.rtd",,BL$2,"."&amp;$A$2&amp;$AU$1&amp;"C"&amp;$A14)))</f>
        <v>4.0559360139837131E-2</v>
      </c>
      <c r="BM14" s="3">
        <f ca="1">IF($BP$1=1,EA14,-IF(RTD("tos.rtd",,BM$2,"."&amp;$A$2&amp;$AU$1&amp;"P"&amp;$A14)="N/A",0,RTD("tos.rtd",,BM$2,"."&amp;$A$2&amp;$AU$1&amp;"P"&amp;$A14)))</f>
        <v>-1.3147182990168111E-2</v>
      </c>
      <c r="BN14" s="3">
        <f ca="1">IF($BP$1=1,EB14,IF(RTD("tos.rtd",,BN$2,"."&amp;$A$2&amp;$AW$1&amp;"C"&amp;$A14)="N/A",0,RTD("tos.rtd",,BN$2,"."&amp;$A$2&amp;$AW$1&amp;"C"&amp;$A14)))</f>
        <v>3.6636308227617591E-2</v>
      </c>
      <c r="BO14" s="3">
        <f ca="1">IF($BP$1=1,EC14,-IF(RTD("tos.rtd",,BO$2,"."&amp;$A$2&amp;$AW$1&amp;"P"&amp;$A14)="N/A",0,RTD("tos.rtd",,BO$2,"."&amp;$A$2&amp;$AW$1&amp;"P"&amp;$A14)))</f>
        <v>-2.1551564133885908E-2</v>
      </c>
      <c r="BQ14" s="3" t="e">
        <f t="shared" ca="1" si="89"/>
        <v>#NUM!</v>
      </c>
      <c r="BR14" s="3" t="e">
        <f t="shared" ca="1" si="71"/>
        <v>#NUM!</v>
      </c>
      <c r="BS14" s="3">
        <f t="shared" ca="1" si="90"/>
        <v>34008517.249005102</v>
      </c>
      <c r="BT14" s="3" t="str">
        <f t="shared" ca="1" si="71"/>
        <v/>
      </c>
      <c r="BU14" s="3">
        <f t="shared" ca="1" si="91"/>
        <v>7210337.7910432005</v>
      </c>
      <c r="BV14" s="3" t="str">
        <f t="shared" ref="BV14" ca="1" si="124">IF(AND(BU14&lt;0,BU13&gt;0), "Cruce -", IF(AND(BU14&gt;0,BU13&lt;0),"Cruce +", ""))</f>
        <v/>
      </c>
      <c r="BX14" s="3" t="e">
        <f t="shared" ca="1" si="93"/>
        <v>#NUM!</v>
      </c>
      <c r="BY14" s="3" t="e">
        <f t="shared" ca="1" si="73"/>
        <v>#NUM!</v>
      </c>
      <c r="BZ14" s="3">
        <f t="shared" ca="1" si="94"/>
        <v>35816601.431153499</v>
      </c>
      <c r="CA14" s="3" t="str">
        <f t="shared" ca="1" si="74"/>
        <v/>
      </c>
      <c r="CB14" s="3">
        <f t="shared" ca="1" si="95"/>
        <v>3173805.5470699607</v>
      </c>
      <c r="CC14" s="3" t="str">
        <f t="shared" ca="1" si="75"/>
        <v/>
      </c>
      <c r="CD14" s="3">
        <f>IF(RTD("tos.rtd",,CD$2,"."&amp;$A$2&amp;$AS$1&amp;"C"&amp;$A14)="N/A",0,RTD("tos.rtd",,CD$2,"."&amp;$A$2&amp;$AS$1&amp;"C"&amp;$A14))</f>
        <v>0.04</v>
      </c>
      <c r="CE14" s="3">
        <f>-IF(RTD("tos.rtd",,CE$2,"."&amp;$A$2&amp;$AS$1&amp;"P"&amp;$A14)="N/A",0,RTD("tos.rtd",,CE$2,"."&amp;$A$2&amp;$AS$1&amp;"P"&amp;$A14))</f>
        <v>0.51</v>
      </c>
      <c r="CF14" s="3">
        <f>IF(RTD("tos.rtd",,CF$2,"."&amp;$A$2&amp;$AU$1&amp;"C"&amp;$A14)="N/A",0,RTD("tos.rtd",,CF$2,"."&amp;$A$2&amp;$AU$1&amp;"C"&amp;$A14))</f>
        <v>0.49</v>
      </c>
      <c r="CG14" s="3">
        <f>-IF(RTD("tos.rtd",,CG$2,"."&amp;$A$2&amp;$AU$1&amp;"P"&amp;$A14)="N/A",0,RTD("tos.rtd",,CG$2,"."&amp;$A$2&amp;$AU$1&amp;"P"&amp;$A14))</f>
        <v>0.5</v>
      </c>
      <c r="CH14" s="3">
        <f>IF(RTD("tos.rtd",,CH$2,"."&amp;$A$2&amp;$AW$1&amp;"C"&amp;$A14)="N/A",0,RTD("tos.rtd",,CH$2,"."&amp;$A$2&amp;$AW$1&amp;"C"&amp;$A14))</f>
        <v>0.53</v>
      </c>
      <c r="CI14" s="3">
        <f>-IF(RTD("tos.rtd",,CI$2,"."&amp;$A$2&amp;$AW$1&amp;"P"&amp;$A14)="N/A",0,RTD("tos.rtd",,CI$2,"."&amp;$A$2&amp;$AW$1&amp;"P"&amp;$A14))</f>
        <v>0.47</v>
      </c>
      <c r="CK14" s="3">
        <f t="shared" si="96"/>
        <v>10548</v>
      </c>
      <c r="CL14" s="3"/>
      <c r="CM14" s="3">
        <f t="shared" si="97"/>
        <v>98220</v>
      </c>
      <c r="CN14" s="3"/>
      <c r="CO14" s="3">
        <f t="shared" si="98"/>
        <v>29111</v>
      </c>
      <c r="CP14" s="3">
        <f t="shared" si="99"/>
        <v>137879</v>
      </c>
      <c r="CQ14" s="3">
        <f t="shared" si="100"/>
        <v>71679</v>
      </c>
      <c r="CR14" s="3"/>
      <c r="CS14" s="3">
        <f t="shared" si="101"/>
        <v>2659</v>
      </c>
      <c r="CT14" s="3"/>
      <c r="CU14" s="3">
        <f t="shared" si="102"/>
        <v>262</v>
      </c>
      <c r="CV14" s="3">
        <f t="shared" si="103"/>
        <v>74600</v>
      </c>
      <c r="CW14" s="3" t="e">
        <f t="shared" ca="1" si="104"/>
        <v>#NUM!</v>
      </c>
      <c r="CX14" s="85" t="e">
        <f t="shared" ca="1" si="76"/>
        <v>#NUM!</v>
      </c>
      <c r="CY14" s="3" t="e">
        <f t="shared" ca="1" si="105"/>
        <v>#NUM!</v>
      </c>
      <c r="CZ14" s="85" t="e">
        <f t="shared" ca="1" si="77"/>
        <v>#NUM!</v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7.59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8.48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6.75</v>
      </c>
      <c r="DG14" s="86">
        <f t="shared" si="48"/>
        <v>0.55999999999994543</v>
      </c>
      <c r="DH14" s="3">
        <f t="shared" si="106"/>
        <v>14</v>
      </c>
      <c r="DI14" s="3">
        <f t="shared" si="107"/>
        <v>-33.017341040462412</v>
      </c>
      <c r="DJ14" s="3">
        <f t="shared" si="108"/>
        <v>14</v>
      </c>
      <c r="DK14" s="3">
        <f t="shared" si="51"/>
        <v>0</v>
      </c>
      <c r="DL14" s="3">
        <f t="shared" si="52"/>
        <v>-19.017341040462412</v>
      </c>
      <c r="DM14" s="3">
        <f t="shared" si="53"/>
        <v>14</v>
      </c>
      <c r="DN14" s="63" t="str">
        <f t="shared" si="54"/>
        <v>BUY</v>
      </c>
      <c r="DO14" s="63" t="str">
        <f t="shared" si="55"/>
        <v>UNKNOWN</v>
      </c>
      <c r="DP14" s="3">
        <f t="shared" si="56"/>
        <v>-250.46161849710973</v>
      </c>
      <c r="DQ14" s="3">
        <f t="shared" si="57"/>
        <v>0.14000000000000001</v>
      </c>
      <c r="DR14" s="3" t="e">
        <f t="shared" ca="1" si="58"/>
        <v>#NUM!</v>
      </c>
      <c r="DS14" s="3">
        <f t="shared" si="59"/>
        <v>0.56000000000000005</v>
      </c>
      <c r="DT14" s="3">
        <f t="shared" si="60"/>
        <v>14</v>
      </c>
      <c r="DU14" s="3">
        <f t="shared" si="61"/>
        <v>-68</v>
      </c>
      <c r="DV14" s="3">
        <f t="shared" si="62"/>
        <v>-1898</v>
      </c>
      <c r="DW14" s="3">
        <f t="shared" si="23"/>
        <v>14</v>
      </c>
      <c r="DX14" s="3" t="e">
        <f t="shared" ca="1" si="24"/>
        <v>#NUM!</v>
      </c>
      <c r="DY14" s="3" t="e">
        <f t="shared" ca="1" si="25"/>
        <v>#NUM!</v>
      </c>
      <c r="DZ14" s="3">
        <f t="shared" ca="1" si="26"/>
        <v>4.0559360139837131E-2</v>
      </c>
      <c r="EA14" s="3">
        <f t="shared" ca="1" si="27"/>
        <v>-1.3147182990168111E-2</v>
      </c>
      <c r="EB14" s="3">
        <f t="shared" ca="1" si="28"/>
        <v>3.6636308227617591E-2</v>
      </c>
      <c r="EC14" s="3">
        <f t="shared" ca="1" si="29"/>
        <v>-2.1551564133885908E-2</v>
      </c>
      <c r="ED14" s="63">
        <f t="shared" si="63"/>
        <v>-1884</v>
      </c>
      <c r="EE14" s="59">
        <f t="shared" si="109"/>
        <v>7.3499999999999996E-2</v>
      </c>
      <c r="EF14" s="59">
        <f t="shared" si="110"/>
        <v>4.2568000000000001</v>
      </c>
      <c r="EG14" s="59">
        <f t="shared" si="111"/>
        <v>0.127</v>
      </c>
      <c r="EH14" s="59">
        <f t="shared" si="112"/>
        <v>0.39169999999999999</v>
      </c>
      <c r="EI14" s="59">
        <f t="shared" si="113"/>
        <v>0.1406</v>
      </c>
      <c r="EJ14" s="59">
        <f t="shared" si="114"/>
        <v>0.23899999999999999</v>
      </c>
      <c r="EK14" s="63" t="e">
        <f t="shared" ca="1" si="65"/>
        <v>#NUM!</v>
      </c>
      <c r="EL14" s="3" t="str">
        <f>RTD("tos.rtd",,EL$2,"."&amp;$A$2&amp;$AS$1&amp;"C"&amp;$A14)</f>
        <v>7.35%</v>
      </c>
      <c r="EM14" s="3" t="str">
        <f>RTD("tos.rtd",,EM$2,"."&amp;$A$2&amp;$AS$1&amp;"P"&amp;$A14)</f>
        <v>425.68%</v>
      </c>
      <c r="EN14" s="3" t="str">
        <f>RTD("tos.rtd",,EN$2,"."&amp;$A$2&amp;$AU$1&amp;"C"&amp;$A14)</f>
        <v>12.70%</v>
      </c>
      <c r="EO14" s="3" t="str">
        <f>RTD("tos.rtd",,EO$2,"."&amp;$A$2&amp;$AU$1&amp;"P"&amp;$A14)</f>
        <v>39.17%</v>
      </c>
      <c r="EP14" s="3" t="str">
        <f>RTD("tos.rtd",,EP$2,"."&amp;$A$2&amp;$AW$1&amp;"C"&amp;$A14)</f>
        <v>14.06%</v>
      </c>
      <c r="EQ14" s="3" t="str">
        <f>RTD("tos.rtd",,EQ$2,"."&amp;$A$2&amp;$AW$1&amp;"P"&amp;$A14)</f>
        <v>23.90%</v>
      </c>
      <c r="ES14" s="63" t="str">
        <f t="shared" si="66"/>
        <v>572,-1884.00</v>
      </c>
      <c r="ET14" s="63" t="str">
        <f t="shared" ca="1" si="67"/>
        <v>572,00.00</v>
      </c>
      <c r="EU14" s="67">
        <v>564.86</v>
      </c>
      <c r="EV14" s="67" t="s">
        <v>131</v>
      </c>
      <c r="EW14" s="67">
        <v>488.24</v>
      </c>
      <c r="EX14" s="67" t="s">
        <v>132</v>
      </c>
      <c r="EY14" s="67">
        <v>5663.94</v>
      </c>
      <c r="EZ14" s="67" t="s">
        <v>133</v>
      </c>
      <c r="FA14" s="67">
        <v>20063.564999999999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8"/>
        <v>571</v>
      </c>
      <c r="B15" s="3">
        <f t="shared" si="9"/>
        <v>10817</v>
      </c>
      <c r="C15" s="3">
        <f t="shared" si="10"/>
        <v>3968</v>
      </c>
      <c r="D15" s="3">
        <f t="shared" si="11"/>
        <v>1737</v>
      </c>
      <c r="E15" s="3">
        <f t="shared" si="12"/>
        <v>16522</v>
      </c>
      <c r="F15" s="4">
        <f t="shared" si="13"/>
        <v>5745.5725885482289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-1211</v>
      </c>
      <c r="AN15" s="1">
        <v>6</v>
      </c>
      <c r="AO15" s="1">
        <v>571</v>
      </c>
      <c r="AP15" s="1">
        <v>81705</v>
      </c>
      <c r="AQ15" s="1">
        <v>-1496</v>
      </c>
      <c r="AR15" s="1"/>
      <c r="AS15" s="6">
        <f>IF(RTD("tos.rtd",,AS$2,"."&amp;$A$2&amp;$AS$1&amp;"C"&amp;$A15)="N/A",0,RTD("tos.rtd",,AS$2,"."&amp;$A$2&amp;$AS$1&amp;"C"&amp;$A15))</f>
        <v>8834</v>
      </c>
      <c r="AT15" s="7">
        <f>-IF(RTD("tos.rtd",,AT$2,"."&amp;$A$2&amp;$AS$1&amp;"P"&amp;$A15)="N/A",0,RTD("tos.rtd",,AT$2,"."&amp;$A$2&amp;$AS$1&amp;"P"&amp;$A15))</f>
        <v>-1983</v>
      </c>
      <c r="AU15" s="6">
        <f>IF(RTD("tos.rtd",,AU$2,"."&amp;$A$2&amp;$AU$1&amp;"C"&amp;$A15)="N/A",0,RTD("tos.rtd",,AU$2,"."&amp;$A$2&amp;$AU$1&amp;"C"&amp;$A15))</f>
        <v>3097</v>
      </c>
      <c r="AV15" s="7">
        <f>-IF(RTD("tos.rtd",,AV$2,"."&amp;$A$2&amp;$AU$1&amp;"P"&amp;$A15)="N/A",0,RTD("tos.rtd",,AV$2,"."&amp;$A$2&amp;$AU$1&amp;"P"&amp;$A15))</f>
        <v>-871</v>
      </c>
      <c r="AW15" s="6">
        <f>IF(RTD("tos.rtd",,AW$2,"."&amp;$A$2&amp;$AW$1&amp;"C"&amp;$A15)="N/A",0,RTD("tos.rtd",,AW$2,"."&amp;$A$2&amp;$AW$1&amp;"C"&amp;$A15))</f>
        <v>1305</v>
      </c>
      <c r="AX15" s="7">
        <f>-IF(RTD("tos.rtd",,AX$2,"."&amp;$A$2&amp;$AW$1&amp;"P"&amp;$A15)="N/A",0,RTD("tos.rtd",,AX$2,"."&amp;$A$2&amp;$AW$1&amp;"P"&amp;$A15))</f>
        <v>-432</v>
      </c>
      <c r="AY15" s="1">
        <f t="shared" si="69"/>
        <v>9950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81781</v>
      </c>
      <c r="BB15" s="7">
        <f>-IF(RTD("tos.rtd",,BB$2,"."&amp;$A$2&amp;$AS$1&amp;"P"&amp;$A15)="N/A",0,RTD("tos.rtd",,BB$2,"."&amp;$A$2&amp;$AS$1&amp;"P"&amp;$A15))</f>
        <v>-1727</v>
      </c>
      <c r="BC15" s="6">
        <f>IF(RTD("tos.rtd",,BC$2,"."&amp;$A$2&amp;$AU$1&amp;"C"&amp;$A15)="N/A",0,RTD("tos.rtd",,BC$2,"."&amp;$A$2&amp;$AU$1&amp;"C"&amp;$A15))</f>
        <v>3571</v>
      </c>
      <c r="BD15" s="7">
        <f>-IF(RTD("tos.rtd",,BD$2,"."&amp;$A$2&amp;$AU$1&amp;"P"&amp;$A15)="N/A",0,RTD("tos.rtd",,BD$2,"."&amp;$A$2&amp;$AU$1&amp;"P"&amp;$A15))</f>
        <v>-17</v>
      </c>
      <c r="BE15" s="6">
        <f>IF(RTD("tos.rtd",,BE$2,"."&amp;$A$2&amp;$AW$1&amp;"C"&amp;$A15)="N/A",0,RTD("tos.rtd",,BE$2,"."&amp;$A$2&amp;$AW$1&amp;"C"&amp;$A15))</f>
        <v>188</v>
      </c>
      <c r="BF15" s="83">
        <f>-IF(RTD("tos.rtd",,BF$2,"."&amp;$A$2&amp;$AW$1&amp;"P"&amp;$A15)="N/A",0,RTD("tos.rtd",,BF$2,"."&amp;$A$2&amp;$AW$1&amp;"P"&amp;$A15))</f>
        <v>-90</v>
      </c>
      <c r="BG15" s="32">
        <f ca="1">+Hoja2!Y16</f>
        <v>2072</v>
      </c>
      <c r="BH15" s="7">
        <f t="shared" ca="1" si="36"/>
        <v>85778</v>
      </c>
      <c r="BI15" s="8" t="str">
        <f t="shared" ref="BI15" ca="1" si="125">IF(AND(BH15&lt;0,BH14&gt;0), "Cruce -", IF(AND(BH15&gt;0,BH14&lt;0),"Cruce +", ""))</f>
        <v/>
      </c>
      <c r="BJ15" s="3" t="e">
        <f ca="1">IF($BP$1=1,DX15,IF(RTD("tos.rtd",,BJ$2,"."&amp;$A$2&amp;$AS$1&amp;"C"&amp;$A15)="N/A",0,RTD("tos.rtd",,BJ$2,"."&amp;$A$2&amp;$AS$1&amp;"C"&amp;$A15)))</f>
        <v>#NUM!</v>
      </c>
      <c r="BK15" s="3" t="e">
        <f ca="1">IF($BP$1=1,DY15,-IF(RTD("tos.rtd",,BK$2,"."&amp;$A$2&amp;$AS$1&amp;"P"&amp;$A15)="N/A",0,RTD("tos.rtd",,BK$2,"."&amp;$A$2&amp;$AS$1&amp;"P"&amp;$A15)))</f>
        <v>#NUM!</v>
      </c>
      <c r="BL15" s="3">
        <f ca="1">IF($BP$1=1,DZ15,IF(RTD("tos.rtd",,BL$2,"."&amp;$A$2&amp;$AU$1&amp;"C"&amp;$A15)="N/A",0,RTD("tos.rtd",,BL$2,"."&amp;$A$2&amp;$AU$1&amp;"C"&amp;$A15)))</f>
        <v>4.2073282872427044E-2</v>
      </c>
      <c r="BM15" s="3">
        <f ca="1">IF($BP$1=1,EA15,-IF(RTD("tos.rtd",,BM$2,"."&amp;$A$2&amp;$AU$1&amp;"P"&amp;$A15)="N/A",0,RTD("tos.rtd",,BM$2,"."&amp;$A$2&amp;$AU$1&amp;"P"&amp;$A15)))</f>
        <v>-1.3310318226954939E-2</v>
      </c>
      <c r="BN15" s="3">
        <f ca="1">IF($BP$1=1,EB15,IF(RTD("tos.rtd",,BN$2,"."&amp;$A$2&amp;$AW$1&amp;"C"&amp;$A15)="N/A",0,RTD("tos.rtd",,BN$2,"."&amp;$A$2&amp;$AW$1&amp;"C"&amp;$A15)))</f>
        <v>3.6383986396855417E-2</v>
      </c>
      <c r="BO15" s="3">
        <f ca="1">IF($BP$1=1,EC15,-IF(RTD("tos.rtd",,BO$2,"."&amp;$A$2&amp;$AW$1&amp;"P"&amp;$A15)="N/A",0,RTD("tos.rtd",,BO$2,"."&amp;$A$2&amp;$AW$1&amp;"P"&amp;$A15)))</f>
        <v>-2.1472917211998777E-2</v>
      </c>
      <c r="BQ15" s="3" t="e">
        <f t="shared" ca="1" si="37"/>
        <v>#NUM!</v>
      </c>
      <c r="BR15" s="3" t="e">
        <f t="shared" ca="1" si="71"/>
        <v>#NUM!</v>
      </c>
      <c r="BS15" s="3">
        <f t="shared" ca="1" si="38"/>
        <v>38763238.60718599</v>
      </c>
      <c r="BT15" s="3" t="str">
        <f t="shared" ca="1" si="71"/>
        <v/>
      </c>
      <c r="BU15" s="3">
        <f t="shared" ca="1" si="39"/>
        <v>12475536.398261311</v>
      </c>
      <c r="BV15" s="3" t="str">
        <f t="shared" ref="BV15" ca="1" si="126">IF(AND(BU15&lt;0,BU14&gt;0), "Cruce -", IF(AND(BU15&gt;0,BU14&lt;0),"Cruce +", ""))</f>
        <v/>
      </c>
      <c r="BX15" s="3" t="e">
        <f t="shared" ca="1" si="40"/>
        <v>#NUM!</v>
      </c>
      <c r="BY15" s="3" t="e">
        <f t="shared" ca="1" si="73"/>
        <v>#NUM!</v>
      </c>
      <c r="BZ15" s="3">
        <f t="shared" ca="1" si="41"/>
        <v>48987238.688749328</v>
      </c>
      <c r="CA15" s="3" t="str">
        <f t="shared" ca="1" si="74"/>
        <v/>
      </c>
      <c r="CB15" s="3">
        <f t="shared" ca="1" si="42"/>
        <v>1602554.5144710925</v>
      </c>
      <c r="CC15" s="3" t="str">
        <f t="shared" ca="1" si="75"/>
        <v/>
      </c>
      <c r="CD15" s="3">
        <f>IF(RTD("tos.rtd",,CD$2,"."&amp;$A$2&amp;$AS$1&amp;"C"&amp;$A15)="N/A",0,RTD("tos.rtd",,CD$2,"."&amp;$A$2&amp;$AS$1&amp;"C"&amp;$A15))</f>
        <v>1</v>
      </c>
      <c r="CE15" s="3">
        <f>-IF(RTD("tos.rtd",,CE$2,"."&amp;$A$2&amp;$AS$1&amp;"P"&amp;$A15)="N/A",0,RTD("tos.rtd",,CE$2,"."&amp;$A$2&amp;$AS$1&amp;"P"&amp;$A15))</f>
        <v>0.48</v>
      </c>
      <c r="CF15" s="3">
        <f>IF(RTD("tos.rtd",,CF$2,"."&amp;$A$2&amp;$AU$1&amp;"C"&amp;$A15)="N/A",0,RTD("tos.rtd",,CF$2,"."&amp;$A$2&amp;$AU$1&amp;"C"&amp;$A15))</f>
        <v>0.54</v>
      </c>
      <c r="CG15" s="3">
        <f>-IF(RTD("tos.rtd",,CG$2,"."&amp;$A$2&amp;$AU$1&amp;"P"&amp;$A15)="N/A",0,RTD("tos.rtd",,CG$2,"."&amp;$A$2&amp;$AU$1&amp;"P"&amp;$A15))</f>
        <v>0.48</v>
      </c>
      <c r="CH15" s="3">
        <f>IF(RTD("tos.rtd",,CH$2,"."&amp;$A$2&amp;$AW$1&amp;"C"&amp;$A15)="N/A",0,RTD("tos.rtd",,CH$2,"."&amp;$A$2&amp;$AW$1&amp;"C"&amp;$A15))</f>
        <v>0.55000000000000004</v>
      </c>
      <c r="CI15" s="3">
        <f>-IF(RTD("tos.rtd",,CI$2,"."&amp;$A$2&amp;$AW$1&amp;"P"&amp;$A15)="N/A",0,RTD("tos.rtd",,CI$2,"."&amp;$A$2&amp;$AW$1&amp;"P"&amp;$A15))</f>
        <v>0.46</v>
      </c>
      <c r="CK15" s="3">
        <f t="shared" si="17"/>
        <v>788216</v>
      </c>
      <c r="CL15" s="3"/>
      <c r="CM15" s="3">
        <f t="shared" si="18"/>
        <v>125430</v>
      </c>
      <c r="CN15" s="3"/>
      <c r="CO15" s="3">
        <f t="shared" si="19"/>
        <v>51903.000000000015</v>
      </c>
      <c r="CP15" s="3">
        <f t="shared" si="43"/>
        <v>965549</v>
      </c>
      <c r="CQ15" s="3">
        <f t="shared" si="44"/>
        <v>80054</v>
      </c>
      <c r="CR15" s="3"/>
      <c r="CS15" s="3">
        <f t="shared" si="20"/>
        <v>3554</v>
      </c>
      <c r="CT15" s="3"/>
      <c r="CU15" s="3">
        <f t="shared" si="21"/>
        <v>98</v>
      </c>
      <c r="CV15" s="3">
        <f t="shared" si="45"/>
        <v>83706</v>
      </c>
      <c r="CW15" s="3" t="e">
        <f t="shared" ca="1" si="46"/>
        <v>#NUM!</v>
      </c>
      <c r="CX15" s="85" t="e">
        <f t="shared" ca="1" si="76"/>
        <v>#NUM!</v>
      </c>
      <c r="CY15" s="3" t="e">
        <f t="shared" ca="1" si="47"/>
        <v>#NUM!</v>
      </c>
      <c r="CZ15" s="85" t="e">
        <f t="shared" ca="1" si="77"/>
        <v>#NUM!</v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6.36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7.47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5.75</v>
      </c>
      <c r="DG15" s="86">
        <f t="shared" si="48"/>
        <v>-0.44000000000005457</v>
      </c>
      <c r="DH15" s="3">
        <f t="shared" si="22"/>
        <v>76</v>
      </c>
      <c r="DI15" s="3">
        <f t="shared" si="49"/>
        <v>-81.924418604651223</v>
      </c>
      <c r="DJ15" s="3">
        <f t="shared" si="50"/>
        <v>76</v>
      </c>
      <c r="DK15" s="3">
        <f t="shared" si="51"/>
        <v>231</v>
      </c>
      <c r="DL15" s="3">
        <f t="shared" si="52"/>
        <v>-5.9244186046512226</v>
      </c>
      <c r="DM15" s="3">
        <f t="shared" si="53"/>
        <v>307</v>
      </c>
      <c r="DN15" s="63" t="str">
        <f t="shared" si="54"/>
        <v>BUY</v>
      </c>
      <c r="DO15" s="63" t="str">
        <f t="shared" si="55"/>
        <v>SELL</v>
      </c>
      <c r="DP15" s="3">
        <f t="shared" si="56"/>
        <v>-520.27930232558185</v>
      </c>
      <c r="DQ15" s="3">
        <f t="shared" si="57"/>
        <v>1469.92</v>
      </c>
      <c r="DR15" s="3" t="e">
        <f t="shared" ca="1" si="58"/>
        <v>#NUM!</v>
      </c>
      <c r="DS15" s="3">
        <f t="shared" si="59"/>
        <v>186.88</v>
      </c>
      <c r="DT15" s="3">
        <f t="shared" si="60"/>
        <v>76</v>
      </c>
      <c r="DU15" s="3">
        <f t="shared" si="61"/>
        <v>-231</v>
      </c>
      <c r="DV15" s="3">
        <f t="shared" si="62"/>
        <v>-1135</v>
      </c>
      <c r="DW15" s="3">
        <f t="shared" si="23"/>
        <v>237</v>
      </c>
      <c r="DX15" s="3" t="e">
        <f t="shared" ca="1" si="24"/>
        <v>#NUM!</v>
      </c>
      <c r="DY15" s="3" t="e">
        <f t="shared" ca="1" si="25"/>
        <v>#NUM!</v>
      </c>
      <c r="DZ15" s="3">
        <f t="shared" ca="1" si="26"/>
        <v>4.2073282872427044E-2</v>
      </c>
      <c r="EA15" s="3">
        <f t="shared" ca="1" si="27"/>
        <v>-1.3310318226954939E-2</v>
      </c>
      <c r="EB15" s="3">
        <f t="shared" ca="1" si="28"/>
        <v>3.6383986396855417E-2</v>
      </c>
      <c r="EC15" s="3">
        <f t="shared" ca="1" si="29"/>
        <v>-2.1472917211998777E-2</v>
      </c>
      <c r="ED15" s="63">
        <f t="shared" si="63"/>
        <v>-898</v>
      </c>
      <c r="EE15" s="59">
        <f t="shared" si="64"/>
        <v>0.25</v>
      </c>
      <c r="EF15" s="59">
        <f t="shared" si="30"/>
        <v>3.9676999999999998</v>
      </c>
      <c r="EG15" s="59">
        <f t="shared" si="31"/>
        <v>0.12180000000000001</v>
      </c>
      <c r="EH15" s="59">
        <f t="shared" si="32"/>
        <v>0.38640000000000002</v>
      </c>
      <c r="EI15" s="59">
        <f t="shared" si="33"/>
        <v>0.14099999999999999</v>
      </c>
      <c r="EJ15" s="59">
        <f t="shared" si="34"/>
        <v>0.2394</v>
      </c>
      <c r="EK15" s="63" t="e">
        <f t="shared" ca="1" si="65"/>
        <v>#NUM!</v>
      </c>
      <c r="EL15" s="3" t="str">
        <f>RTD("tos.rtd",,EL$2,"."&amp;$A$2&amp;$AS$1&amp;"C"&amp;$A15)</f>
        <v>--</v>
      </c>
      <c r="EM15" s="3" t="str">
        <f>RTD("tos.rtd",,EM$2,"."&amp;$A$2&amp;$AS$1&amp;"P"&amp;$A15)</f>
        <v>396.77%</v>
      </c>
      <c r="EN15" s="3" t="str">
        <f>RTD("tos.rtd",,EN$2,"."&amp;$A$2&amp;$AU$1&amp;"C"&amp;$A15)</f>
        <v>12.18%</v>
      </c>
      <c r="EO15" s="3" t="str">
        <f>RTD("tos.rtd",,EO$2,"."&amp;$A$2&amp;$AU$1&amp;"P"&amp;$A15)</f>
        <v>38.64%</v>
      </c>
      <c r="EP15" s="3" t="str">
        <f>RTD("tos.rtd",,EP$2,"."&amp;$A$2&amp;$AW$1&amp;"C"&amp;$A15)</f>
        <v>14.10%</v>
      </c>
      <c r="EQ15" s="3" t="str">
        <f>RTD("tos.rtd",,EQ$2,"."&amp;$A$2&amp;$AW$1&amp;"P"&amp;$A15)</f>
        <v>23.94%</v>
      </c>
      <c r="ES15" s="63" t="str">
        <f t="shared" si="66"/>
        <v>571,-898.00</v>
      </c>
      <c r="ET15" s="63" t="str">
        <f t="shared" ca="1" si="67"/>
        <v>571,00.00</v>
      </c>
      <c r="EU15" s="67">
        <v>565.01</v>
      </c>
      <c r="EV15" s="67" t="s">
        <v>139</v>
      </c>
      <c r="EW15" s="67">
        <v>488.32</v>
      </c>
      <c r="EX15" s="67" t="s">
        <v>140</v>
      </c>
      <c r="EY15" s="67">
        <v>5663.94</v>
      </c>
      <c r="EZ15" s="67" t="s">
        <v>141</v>
      </c>
      <c r="FA15" s="67">
        <v>20063.564999999999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8"/>
        <v>570</v>
      </c>
      <c r="B16" s="3">
        <f t="shared" si="9"/>
        <v>23284</v>
      </c>
      <c r="C16" s="3">
        <f t="shared" si="10"/>
        <v>37981</v>
      </c>
      <c r="D16" s="3">
        <f>+IF($A$1="ABS",AW16-AX16,AW16+AX16)</f>
        <v>63798</v>
      </c>
      <c r="E16" s="3">
        <f t="shared" si="12"/>
        <v>125063</v>
      </c>
      <c r="F16" s="4">
        <f t="shared" si="13"/>
        <v>5735.5102897942043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60576</v>
      </c>
      <c r="AN16" s="1">
        <v>-1395</v>
      </c>
      <c r="AO16" s="1">
        <v>570</v>
      </c>
      <c r="AP16" s="1">
        <v>230046</v>
      </c>
      <c r="AQ16" s="1">
        <v>-10076</v>
      </c>
      <c r="AR16" s="1"/>
      <c r="AS16" s="6">
        <f>IF(RTD("tos.rtd",,AS$2,"."&amp;$A$2&amp;$AS$1&amp;"C"&amp;$A16)="N/A",0,RTD("tos.rtd",,AS$2,"."&amp;$A$2&amp;$AS$1&amp;"C"&amp;$A16))</f>
        <v>19050</v>
      </c>
      <c r="AT16" s="7">
        <f>-IF(RTD("tos.rtd",,AT$2,"."&amp;$A$2&amp;$AS$1&amp;"P"&amp;$A16)="N/A",0,RTD("tos.rtd",,AT$2,"."&amp;$A$2&amp;$AS$1&amp;"P"&amp;$A16))</f>
        <v>-4234</v>
      </c>
      <c r="AU16" s="6">
        <f>IF(RTD("tos.rtd",,AU$2,"."&amp;$A$2&amp;$AU$1&amp;"C"&amp;$A16)="N/A",0,RTD("tos.rtd",,AU$2,"."&amp;$A$2&amp;$AU$1&amp;"C"&amp;$A16))</f>
        <v>21921</v>
      </c>
      <c r="AV16" s="7">
        <f>-IF(RTD("tos.rtd",,AV$2,"."&amp;$A$2&amp;$AU$1&amp;"P"&amp;$A16)="N/A",0,RTD("tos.rtd",,AV$2,"."&amp;$A$2&amp;$AU$1&amp;"P"&amp;$A16))</f>
        <v>-16060</v>
      </c>
      <c r="AW16" s="6">
        <f>IF(RTD("tos.rtd",,AW$2,"."&amp;$A$2&amp;$AW$1&amp;"C"&amp;$A16)="N/A",0,RTD("tos.rtd",,AW$2,"."&amp;$A$2&amp;$AW$1&amp;"C"&amp;$A16))</f>
        <v>45024</v>
      </c>
      <c r="AX16" s="7">
        <f>-IF(RTD("tos.rtd",,AX$2,"."&amp;$A$2&amp;$AW$1&amp;"P"&amp;$A16)="N/A",0,RTD("tos.rtd",,AX$2,"."&amp;$A$2&amp;$AW$1&amp;"P"&amp;$A16))</f>
        <v>-18774</v>
      </c>
      <c r="AY16" s="1">
        <f t="shared" si="69"/>
        <v>46927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230171</v>
      </c>
      <c r="BB16" s="7">
        <f>-IF(RTD("tos.rtd",,BB$2,"."&amp;$A$2&amp;$AS$1&amp;"P"&amp;$A16)="N/A",0,RTD("tos.rtd",,BB$2,"."&amp;$A$2&amp;$AS$1&amp;"P"&amp;$A16))</f>
        <v>-10311</v>
      </c>
      <c r="BC16" s="6">
        <f>IF(RTD("tos.rtd",,BC$2,"."&amp;$A$2&amp;$AU$1&amp;"C"&amp;$A16)="N/A",0,RTD("tos.rtd",,BC$2,"."&amp;$A$2&amp;$AU$1&amp;"C"&amp;$A16))</f>
        <v>28207</v>
      </c>
      <c r="BD16" s="7">
        <f>-IF(RTD("tos.rtd",,BD$2,"."&amp;$A$2&amp;$AU$1&amp;"P"&amp;$A16)="N/A",0,RTD("tos.rtd",,BD$2,"."&amp;$A$2&amp;$AU$1&amp;"P"&amp;$A16))</f>
        <v>-1942</v>
      </c>
      <c r="BE16" s="6">
        <f>IF(RTD("tos.rtd",,BE$2,"."&amp;$A$2&amp;$AW$1&amp;"C"&amp;$A16)="N/A",0,RTD("tos.rtd",,BE$2,"."&amp;$A$2&amp;$AW$1&amp;"C"&amp;$A16))</f>
        <v>2702</v>
      </c>
      <c r="BF16" s="83">
        <f>-IF(RTD("tos.rtd",,BF$2,"."&amp;$A$2&amp;$AW$1&amp;"P"&amp;$A16)="N/A",0,RTD("tos.rtd",,BF$2,"."&amp;$A$2&amp;$AW$1&amp;"P"&amp;$A16))</f>
        <v>-2752</v>
      </c>
      <c r="BG16" s="32">
        <f ca="1">+Hoja2!Y17</f>
        <v>3594</v>
      </c>
      <c r="BH16" s="7">
        <f t="shared" ca="1" si="36"/>
        <v>249669</v>
      </c>
      <c r="BI16" s="8" t="str">
        <f t="shared" ref="BI16" ca="1" si="127">IF(AND(BH16&lt;0,BH15&gt;0), "Cruce -", IF(AND(BH16&gt;0,BH15&lt;0),"Cruce +", ""))</f>
        <v/>
      </c>
      <c r="BJ16" s="3" t="e">
        <f ca="1">IF($BP$1=1,DX16,IF(RTD("tos.rtd",,BJ$2,"."&amp;$A$2&amp;$AS$1&amp;"C"&amp;$A16)="N/A",0,RTD("tos.rtd",,BJ$2,"."&amp;$A$2&amp;$AS$1&amp;"C"&amp;$A16)))</f>
        <v>#NUM!</v>
      </c>
      <c r="BK16" s="3" t="e">
        <f ca="1">IF($BP$1=1,DY16,-IF(RTD("tos.rtd",,BK$2,"."&amp;$A$2&amp;$AS$1&amp;"P"&amp;$A16)="N/A",0,RTD("tos.rtd",,BK$2,"."&amp;$A$2&amp;$AS$1&amp;"P"&amp;$A16)))</f>
        <v>#NUM!</v>
      </c>
      <c r="BL16" s="3">
        <f ca="1">IF($BP$1=1,DZ16,IF(RTD("tos.rtd",,BL$2,"."&amp;$A$2&amp;$AU$1&amp;"C"&amp;$A16)="N/A",0,RTD("tos.rtd",,BL$2,"."&amp;$A$2&amp;$AU$1&amp;"C"&amp;$A16)))</f>
        <v>4.3620166242102895E-2</v>
      </c>
      <c r="BM16" s="3">
        <f ca="1">IF($BP$1=1,EA16,-IF(RTD("tos.rtd",,BM$2,"."&amp;$A$2&amp;$AU$1&amp;"P"&amp;$A16)="N/A",0,RTD("tos.rtd",,BM$2,"."&amp;$A$2&amp;$AU$1&amp;"P"&amp;$A16)))</f>
        <v>-1.3430550357207345E-2</v>
      </c>
      <c r="BN16" s="3">
        <f ca="1">IF($BP$1=1,EB16,IF(RTD("tos.rtd",,BN$2,"."&amp;$A$2&amp;$AW$1&amp;"C"&amp;$A16)="N/A",0,RTD("tos.rtd",,BN$2,"."&amp;$A$2&amp;$AW$1&amp;"C"&amp;$A16)))</f>
        <v>3.5883226876207985E-2</v>
      </c>
      <c r="BO16" s="3">
        <f ca="1">IF($BP$1=1,EC16,-IF(RTD("tos.rtd",,BO$2,"."&amp;$A$2&amp;$AW$1&amp;"P"&amp;$A16)="N/A",0,RTD("tos.rtd",,BO$2,"."&amp;$A$2&amp;$AW$1&amp;"P"&amp;$A16)))</f>
        <v>-2.1323810375185263E-2</v>
      </c>
      <c r="BQ16" s="3" t="e">
        <f t="shared" ca="1" si="37"/>
        <v>#NUM!</v>
      </c>
      <c r="BR16" s="3" t="e">
        <f t="shared" ca="1" si="71"/>
        <v>#NUM!</v>
      </c>
      <c r="BS16" s="3">
        <f t="shared" ca="1" si="38"/>
        <v>241806578.24444312</v>
      </c>
      <c r="BT16" s="3" t="str">
        <f t="shared" ca="1" si="71"/>
        <v/>
      </c>
      <c r="BU16" s="3">
        <f t="shared" ca="1" si="39"/>
        <v>396839772.18103027</v>
      </c>
      <c r="BV16" s="3" t="str">
        <f t="shared" ref="BV16" ca="1" si="128">IF(AND(BU16&lt;0,BU15&gt;0), "Cruce -", IF(AND(BU16&gt;0,BU15&lt;0),"Cruce +", ""))</f>
        <v/>
      </c>
      <c r="BX16" s="3" t="e">
        <f t="shared" ca="1" si="40"/>
        <v>#NUM!</v>
      </c>
      <c r="BY16" s="3" t="e">
        <f t="shared" ca="1" si="73"/>
        <v>#NUM!</v>
      </c>
      <c r="BZ16" s="3">
        <f t="shared" ca="1" si="41"/>
        <v>393260432.11593157</v>
      </c>
      <c r="CA16" s="3" t="str">
        <f t="shared" ca="1" si="74"/>
        <v/>
      </c>
      <c r="CB16" s="3">
        <f t="shared" ca="1" si="42"/>
        <v>12497921.24618062</v>
      </c>
      <c r="CC16" s="3" t="str">
        <f t="shared" ca="1" si="75"/>
        <v/>
      </c>
      <c r="CD16" s="3">
        <f>IF(RTD("tos.rtd",,CD$2,"."&amp;$A$2&amp;$AS$1&amp;"C"&amp;$A16)="N/A",0,RTD("tos.rtd",,CD$2,"."&amp;$A$2&amp;$AS$1&amp;"C"&amp;$A16))</f>
        <v>1</v>
      </c>
      <c r="CE16" s="3">
        <f>-IF(RTD("tos.rtd",,CE$2,"."&amp;$A$2&amp;$AS$1&amp;"P"&amp;$A16)="N/A",0,RTD("tos.rtd",,CE$2,"."&amp;$A$2&amp;$AS$1&amp;"P"&amp;$A16))</f>
        <v>0.46</v>
      </c>
      <c r="CF16" s="3">
        <f>IF(RTD("tos.rtd",,CF$2,"."&amp;$A$2&amp;$AU$1&amp;"C"&amp;$A16)="N/A",0,RTD("tos.rtd",,CF$2,"."&amp;$A$2&amp;$AU$1&amp;"C"&amp;$A16))</f>
        <v>0.59</v>
      </c>
      <c r="CG16" s="3">
        <f>-IF(RTD("tos.rtd",,CG$2,"."&amp;$A$2&amp;$AU$1&amp;"P"&amp;$A16)="N/A",0,RTD("tos.rtd",,CG$2,"."&amp;$A$2&amp;$AU$1&amp;"P"&amp;$A16))</f>
        <v>0.46</v>
      </c>
      <c r="CH16" s="3">
        <f>IF(RTD("tos.rtd",,CH$2,"."&amp;$A$2&amp;$AW$1&amp;"C"&amp;$A16)="N/A",0,RTD("tos.rtd",,CH$2,"."&amp;$A$2&amp;$AW$1&amp;"C"&amp;$A16))</f>
        <v>0.56000000000000005</v>
      </c>
      <c r="CI16" s="3">
        <f>-IF(RTD("tos.rtd",,CI$2,"."&amp;$A$2&amp;$AW$1&amp;"P"&amp;$A16)="N/A",0,RTD("tos.rtd",,CI$2,"."&amp;$A$2&amp;$AW$1&amp;"P"&amp;$A16))</f>
        <v>0.46</v>
      </c>
      <c r="CK16" s="3">
        <f t="shared" si="17"/>
        <v>1710236</v>
      </c>
      <c r="CL16" s="3"/>
      <c r="CM16" s="3">
        <f t="shared" si="18"/>
        <v>554579</v>
      </c>
      <c r="CN16" s="3"/>
      <c r="CO16" s="3">
        <f t="shared" si="19"/>
        <v>1657740</v>
      </c>
      <c r="CP16" s="3">
        <f t="shared" si="43"/>
        <v>3922555</v>
      </c>
      <c r="CQ16" s="3">
        <f t="shared" si="44"/>
        <v>219860</v>
      </c>
      <c r="CR16" s="3"/>
      <c r="CS16" s="3">
        <f t="shared" si="20"/>
        <v>26265</v>
      </c>
      <c r="CT16" s="3"/>
      <c r="CU16" s="3">
        <f t="shared" si="21"/>
        <v>-50</v>
      </c>
      <c r="CV16" s="3">
        <f t="shared" si="45"/>
        <v>246075</v>
      </c>
      <c r="CW16" s="3" t="e">
        <f t="shared" ca="1" si="46"/>
        <v>#NUM!</v>
      </c>
      <c r="CX16" s="85" t="e">
        <f t="shared" ca="1" si="76"/>
        <v>#NUM!</v>
      </c>
      <c r="CY16" s="3" t="e">
        <f t="shared" ca="1" si="47"/>
        <v>#NUM!</v>
      </c>
      <c r="CZ16" s="85" t="e">
        <f t="shared" ca="1" si="77"/>
        <v>#NUM!</v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5.68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6.6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4.72</v>
      </c>
      <c r="DG16" s="86">
        <f t="shared" si="48"/>
        <v>-1.4400000000000546</v>
      </c>
      <c r="DH16" s="3">
        <f t="shared" si="22"/>
        <v>125</v>
      </c>
      <c r="DI16" s="3">
        <f t="shared" si="49"/>
        <v>-119.99999999999999</v>
      </c>
      <c r="DJ16" s="3">
        <f t="shared" si="50"/>
        <v>125</v>
      </c>
      <c r="DK16" s="3">
        <f t="shared" si="51"/>
        <v>0</v>
      </c>
      <c r="DL16" s="3">
        <f t="shared" si="52"/>
        <v>5.0000000000000142</v>
      </c>
      <c r="DM16" s="3">
        <f t="shared" si="53"/>
        <v>125</v>
      </c>
      <c r="DN16" s="63" t="str">
        <f t="shared" si="54"/>
        <v>BUY</v>
      </c>
      <c r="DO16" s="63" t="str">
        <f t="shared" si="55"/>
        <v>UNKNOWN</v>
      </c>
      <c r="DP16" s="3">
        <f t="shared" si="56"/>
        <v>-680.34999999999991</v>
      </c>
      <c r="DQ16" s="3">
        <f t="shared" si="57"/>
        <v>1.25</v>
      </c>
      <c r="DR16" s="3" t="e">
        <f t="shared" ca="1" si="58"/>
        <v>#NUM!</v>
      </c>
      <c r="DS16" s="3">
        <f t="shared" si="59"/>
        <v>125</v>
      </c>
      <c r="DT16" s="3">
        <f t="shared" si="60"/>
        <v>125</v>
      </c>
      <c r="DU16" s="3">
        <f t="shared" si="61"/>
        <v>-235</v>
      </c>
      <c r="DV16" s="3">
        <f t="shared" si="62"/>
        <v>60701</v>
      </c>
      <c r="DW16" s="3">
        <f t="shared" si="23"/>
        <v>-1395</v>
      </c>
      <c r="DX16" s="3" t="e">
        <f t="shared" ca="1" si="24"/>
        <v>#NUM!</v>
      </c>
      <c r="DY16" s="3" t="e">
        <f t="shared" ca="1" si="25"/>
        <v>#NUM!</v>
      </c>
      <c r="DZ16" s="3">
        <f t="shared" ca="1" si="26"/>
        <v>4.3620166242102895E-2</v>
      </c>
      <c r="EA16" s="3">
        <f t="shared" ca="1" si="27"/>
        <v>-1.3430550357207345E-2</v>
      </c>
      <c r="EB16" s="3">
        <f t="shared" ca="1" si="28"/>
        <v>3.5883226876207985E-2</v>
      </c>
      <c r="EC16" s="3">
        <f t="shared" ca="1" si="29"/>
        <v>-2.1323810375185263E-2</v>
      </c>
      <c r="ED16" s="63">
        <f t="shared" si="63"/>
        <v>59306</v>
      </c>
      <c r="EE16" s="59">
        <f t="shared" si="64"/>
        <v>0.25</v>
      </c>
      <c r="EF16" s="59">
        <f t="shared" si="30"/>
        <v>3.6956000000000002</v>
      </c>
      <c r="EG16" s="59">
        <f t="shared" si="31"/>
        <v>0.1153</v>
      </c>
      <c r="EH16" s="59">
        <f t="shared" si="32"/>
        <v>0.38200000000000001</v>
      </c>
      <c r="EI16" s="59">
        <f t="shared" si="33"/>
        <v>0.14119999999999999</v>
      </c>
      <c r="EJ16" s="59">
        <f t="shared" si="34"/>
        <v>0.2399</v>
      </c>
      <c r="EK16" s="63" t="e">
        <f t="shared" ca="1" si="65"/>
        <v>#NUM!</v>
      </c>
      <c r="EL16" s="3" t="str">
        <f>RTD("tos.rtd",,EL$2,"."&amp;$A$2&amp;$AS$1&amp;"C"&amp;$A16)</f>
        <v>--</v>
      </c>
      <c r="EM16" s="3" t="str">
        <f>RTD("tos.rtd",,EM$2,"."&amp;$A$2&amp;$AS$1&amp;"P"&amp;$A16)</f>
        <v>369.56%</v>
      </c>
      <c r="EN16" s="3" t="str">
        <f>RTD("tos.rtd",,EN$2,"."&amp;$A$2&amp;$AU$1&amp;"C"&amp;$A16)</f>
        <v>11.53%</v>
      </c>
      <c r="EO16" s="3" t="str">
        <f>RTD("tos.rtd",,EO$2,"."&amp;$A$2&amp;$AU$1&amp;"P"&amp;$A16)</f>
        <v>38.20%</v>
      </c>
      <c r="EP16" s="3" t="str">
        <f>RTD("tos.rtd",,EP$2,"."&amp;$A$2&amp;$AW$1&amp;"C"&amp;$A16)</f>
        <v>14.12%</v>
      </c>
      <c r="EQ16" s="3" t="str">
        <f>RTD("tos.rtd",,EQ$2,"."&amp;$A$2&amp;$AW$1&amp;"P"&amp;$A16)</f>
        <v>23.99%</v>
      </c>
      <c r="ES16" s="63" t="str">
        <f t="shared" si="66"/>
        <v>570,59306.00</v>
      </c>
      <c r="ET16" s="63" t="str">
        <f t="shared" ca="1" si="67"/>
        <v>570,00.00</v>
      </c>
      <c r="EU16" s="67">
        <v>565.05999999999995</v>
      </c>
      <c r="EV16" s="67" t="s">
        <v>147</v>
      </c>
      <c r="EW16" s="67">
        <v>488.38</v>
      </c>
      <c r="EX16" s="67" t="s">
        <v>148</v>
      </c>
      <c r="EY16" s="67">
        <v>5663.94</v>
      </c>
      <c r="EZ16" s="67" t="s">
        <v>149</v>
      </c>
      <c r="FA16" s="67">
        <v>20063.564999999999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8"/>
        <v>569</v>
      </c>
      <c r="B17" s="3">
        <f t="shared" si="9"/>
        <v>12588</v>
      </c>
      <c r="C17" s="3">
        <f t="shared" si="10"/>
        <v>6031</v>
      </c>
      <c r="D17" s="3">
        <f t="shared" si="11"/>
        <v>2075</v>
      </c>
      <c r="E17" s="3">
        <f t="shared" si="12"/>
        <v>20694</v>
      </c>
      <c r="F17" s="4">
        <f t="shared" si="13"/>
        <v>5725.4479910401787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-5277</v>
      </c>
      <c r="AN17" s="1">
        <v>-633</v>
      </c>
      <c r="AO17" s="1">
        <v>569</v>
      </c>
      <c r="AP17" s="1">
        <v>178597</v>
      </c>
      <c r="AQ17" s="1">
        <v>-6640</v>
      </c>
      <c r="AR17" s="1"/>
      <c r="AS17" s="6">
        <f>IF(RTD("tos.rtd",,AS$2,"."&amp;$A$2&amp;$AS$1&amp;"C"&amp;$A17)="N/A",0,RTD("tos.rtd",,AS$2,"."&amp;$A$2&amp;$AS$1&amp;"C"&amp;$A17))</f>
        <v>8923</v>
      </c>
      <c r="AT17" s="7">
        <f>-IF(RTD("tos.rtd",,AT$2,"."&amp;$A$2&amp;$AS$1&amp;"P"&amp;$A17)="N/A",0,RTD("tos.rtd",,AT$2,"."&amp;$A$2&amp;$AS$1&amp;"P"&amp;$A17))</f>
        <v>-3665</v>
      </c>
      <c r="AU17" s="6">
        <f>IF(RTD("tos.rtd",,AU$2,"."&amp;$A$2&amp;$AU$1&amp;"C"&amp;$A17)="N/A",0,RTD("tos.rtd",,AU$2,"."&amp;$A$2&amp;$AU$1&amp;"C"&amp;$A17))</f>
        <v>3633</v>
      </c>
      <c r="AV17" s="7">
        <f>-IF(RTD("tos.rtd",,AV$2,"."&amp;$A$2&amp;$AU$1&amp;"P"&amp;$A17)="N/A",0,RTD("tos.rtd",,AV$2,"."&amp;$A$2&amp;$AU$1&amp;"P"&amp;$A17))</f>
        <v>-2398</v>
      </c>
      <c r="AW17" s="6">
        <f>IF(RTD("tos.rtd",,AW$2,"."&amp;$A$2&amp;$AW$1&amp;"C"&amp;$A17)="N/A",0,RTD("tos.rtd",,AW$2,"."&amp;$A$2&amp;$AW$1&amp;"C"&amp;$A17))</f>
        <v>1270</v>
      </c>
      <c r="AX17" s="7">
        <f>-IF(RTD("tos.rtd",,AX$2,"."&amp;$A$2&amp;$AW$1&amp;"P"&amp;$A17)="N/A",0,RTD("tos.rtd",,AX$2,"."&amp;$A$2&amp;$AW$1&amp;"P"&amp;$A17))</f>
        <v>-805</v>
      </c>
      <c r="AY17" s="1">
        <f t="shared" si="69"/>
        <v>6958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178857</v>
      </c>
      <c r="BB17" s="7">
        <f>-IF(RTD("tos.rtd",,BB$2,"."&amp;$A$2&amp;$AS$1&amp;"P"&amp;$A17)="N/A",0,RTD("tos.rtd",,BB$2,"."&amp;$A$2&amp;$AS$1&amp;"P"&amp;$A17))</f>
        <v>-6738</v>
      </c>
      <c r="BC17" s="6">
        <f>IF(RTD("tos.rtd",,BC$2,"."&amp;$A$2&amp;$AU$1&amp;"C"&amp;$A17)="N/A",0,RTD("tos.rtd",,BC$2,"."&amp;$A$2&amp;$AU$1&amp;"C"&amp;$A17))</f>
        <v>4892</v>
      </c>
      <c r="BD17" s="7">
        <f>-IF(RTD("tos.rtd",,BD$2,"."&amp;$A$2&amp;$AU$1&amp;"P"&amp;$A17)="N/A",0,RTD("tos.rtd",,BD$2,"."&amp;$A$2&amp;$AU$1&amp;"P"&amp;$A17))</f>
        <v>-1079</v>
      </c>
      <c r="BE17" s="6">
        <f>IF(RTD("tos.rtd",,BE$2,"."&amp;$A$2&amp;$AW$1&amp;"C"&amp;$A17)="N/A",0,RTD("tos.rtd",,BE$2,"."&amp;$A$2&amp;$AW$1&amp;"C"&amp;$A17))</f>
        <v>369</v>
      </c>
      <c r="BF17" s="83">
        <f>-IF(RTD("tos.rtd",,BF$2,"."&amp;$A$2&amp;$AW$1&amp;"P"&amp;$A17)="N/A",0,RTD("tos.rtd",,BF$2,"."&amp;$A$2&amp;$AW$1&amp;"P"&amp;$A17))</f>
        <v>-313</v>
      </c>
      <c r="BG17" s="32">
        <f ca="1">+Hoja2!Y18</f>
        <v>357</v>
      </c>
      <c r="BH17" s="7">
        <f t="shared" ca="1" si="36"/>
        <v>176345</v>
      </c>
      <c r="BI17" s="8" t="str">
        <f t="shared" ref="BI17" ca="1" si="129">IF(AND(BH17&lt;0,BH16&gt;0), "Cruce -", IF(AND(BH17&gt;0,BH16&lt;0),"Cruce +", ""))</f>
        <v/>
      </c>
      <c r="BJ17" s="3" t="e">
        <f ca="1">IF($BP$1=1,DX17,IF(RTD("tos.rtd",,BJ$2,"."&amp;$A$2&amp;$AS$1&amp;"C"&amp;$A17)="N/A",0,RTD("tos.rtd",,BJ$2,"."&amp;$A$2&amp;$AS$1&amp;"C"&amp;$A17)))</f>
        <v>#NUM!</v>
      </c>
      <c r="BK17" s="3" t="e">
        <f ca="1">IF($BP$1=1,DY17,-IF(RTD("tos.rtd",,BK$2,"."&amp;$A$2&amp;$AS$1&amp;"P"&amp;$A17)="N/A",0,RTD("tos.rtd",,BK$2,"."&amp;$A$2&amp;$AS$1&amp;"P"&amp;$A17)))</f>
        <v>#NUM!</v>
      </c>
      <c r="BL17" s="3">
        <f ca="1">IF($BP$1=1,DZ17,IF(RTD("tos.rtd",,BL$2,"."&amp;$A$2&amp;$AU$1&amp;"C"&amp;$A17)="N/A",0,RTD("tos.rtd",,BL$2,"."&amp;$A$2&amp;$AU$1&amp;"C"&amp;$A17)))</f>
        <v>4.5007751341145485E-2</v>
      </c>
      <c r="BM17" s="3">
        <f ca="1">IF($BP$1=1,EA17,-IF(RTD("tos.rtd",,BM$2,"."&amp;$A$2&amp;$AU$1&amp;"P"&amp;$A17)="N/A",0,RTD("tos.rtd",,BM$2,"."&amp;$A$2&amp;$AU$1&amp;"P"&amp;$A17)))</f>
        <v>-1.3540218578285549E-2</v>
      </c>
      <c r="BN17" s="3">
        <f ca="1">IF($BP$1=1,EB17,IF(RTD("tos.rtd",,BN$2,"."&amp;$A$2&amp;$AW$1&amp;"C"&amp;$A17)="N/A",0,RTD("tos.rtd",,BN$2,"."&amp;$A$2&amp;$AW$1&amp;"C"&amp;$A17)))</f>
        <v>3.507227765020593E-2</v>
      </c>
      <c r="BO17" s="3">
        <f ca="1">IF($BP$1=1,EC17,-IF(RTD("tos.rtd",,BO$2,"."&amp;$A$2&amp;$AW$1&amp;"P"&amp;$A17)="N/A",0,RTD("tos.rtd",,BO$2,"."&amp;$A$2&amp;$AW$1&amp;"P"&amp;$A17)))</f>
        <v>-2.11064216139022E-2</v>
      </c>
      <c r="BQ17" s="3" t="e">
        <f t="shared" ca="1" si="37"/>
        <v>#NUM!</v>
      </c>
      <c r="BR17" s="3" t="e">
        <f t="shared" ca="1" si="71"/>
        <v>#NUM!</v>
      </c>
      <c r="BS17" s="3">
        <f t="shared" ca="1" si="38"/>
        <v>42791496.578850336</v>
      </c>
      <c r="BT17" s="3" t="str">
        <f t="shared" ca="1" si="71"/>
        <v/>
      </c>
      <c r="BU17" s="3">
        <f t="shared" ca="1" si="39"/>
        <v>8996644.9869451039</v>
      </c>
      <c r="BV17" s="3" t="str">
        <f t="shared" ref="BV17" ca="1" si="130">IF(AND(BU17&lt;0,BU16&gt;0), "Cruce -", IF(AND(BU17&gt;0,BU16&lt;0),"Cruce +", ""))</f>
        <v/>
      </c>
      <c r="BX17" s="3" t="e">
        <f t="shared" ca="1" si="40"/>
        <v>#NUM!</v>
      </c>
      <c r="BY17" s="3" t="e">
        <f t="shared" ca="1" si="73"/>
        <v>#NUM!</v>
      </c>
      <c r="BZ17" s="3">
        <f t="shared" ca="1" si="41"/>
        <v>67126937.638559818</v>
      </c>
      <c r="CA17" s="3" t="str">
        <f t="shared" ca="1" si="74"/>
        <v/>
      </c>
      <c r="CB17" s="3">
        <f t="shared" ca="1" si="42"/>
        <v>2068771.8872582065</v>
      </c>
      <c r="CC17" s="3" t="str">
        <f t="shared" ca="1" si="75"/>
        <v/>
      </c>
      <c r="CD17" s="3">
        <f>IF(RTD("tos.rtd",,CD$2,"."&amp;$A$2&amp;$AS$1&amp;"C"&amp;$A17)="N/A",0,RTD("tos.rtd",,CD$2,"."&amp;$A$2&amp;$AS$1&amp;"C"&amp;$A17))</f>
        <v>1</v>
      </c>
      <c r="CE17" s="3">
        <f>-IF(RTD("tos.rtd",,CE$2,"."&amp;$A$2&amp;$AS$1&amp;"P"&amp;$A17)="N/A",0,RTD("tos.rtd",,CE$2,"."&amp;$A$2&amp;$AS$1&amp;"P"&amp;$A17))</f>
        <v>0.43</v>
      </c>
      <c r="CF17" s="3">
        <f>IF(RTD("tos.rtd",,CF$2,"."&amp;$A$2&amp;$AU$1&amp;"C"&amp;$A17)="N/A",0,RTD("tos.rtd",,CF$2,"."&amp;$A$2&amp;$AU$1&amp;"C"&amp;$A17))</f>
        <v>0.65</v>
      </c>
      <c r="CG17" s="3">
        <f>-IF(RTD("tos.rtd",,CG$2,"."&amp;$A$2&amp;$AU$1&amp;"P"&amp;$A17)="N/A",0,RTD("tos.rtd",,CG$2,"."&amp;$A$2&amp;$AU$1&amp;"P"&amp;$A17))</f>
        <v>0.45</v>
      </c>
      <c r="CH17" s="3">
        <f>IF(RTD("tos.rtd",,CH$2,"."&amp;$A$2&amp;$AW$1&amp;"C"&amp;$A17)="N/A",0,RTD("tos.rtd",,CH$2,"."&amp;$A$2&amp;$AW$1&amp;"C"&amp;$A17))</f>
        <v>0.57999999999999996</v>
      </c>
      <c r="CI17" s="3">
        <f>-IF(RTD("tos.rtd",,CI$2,"."&amp;$A$2&amp;$AW$1&amp;"P"&amp;$A17)="N/A",0,RTD("tos.rtd",,CI$2,"."&amp;$A$2&amp;$AW$1&amp;"P"&amp;$A17))</f>
        <v>0.45</v>
      </c>
      <c r="CK17" s="3">
        <f t="shared" si="17"/>
        <v>734705</v>
      </c>
      <c r="CL17" s="3"/>
      <c r="CM17" s="3">
        <f t="shared" si="18"/>
        <v>128235.00000000001</v>
      </c>
      <c r="CN17" s="3"/>
      <c r="CO17" s="3">
        <f t="shared" si="19"/>
        <v>37434.999999999985</v>
      </c>
      <c r="CP17" s="3">
        <f t="shared" si="43"/>
        <v>900375</v>
      </c>
      <c r="CQ17" s="3">
        <f t="shared" si="44"/>
        <v>172119</v>
      </c>
      <c r="CR17" s="3"/>
      <c r="CS17" s="3">
        <f t="shared" si="20"/>
        <v>3813</v>
      </c>
      <c r="CT17" s="3"/>
      <c r="CU17" s="3">
        <f t="shared" si="21"/>
        <v>56</v>
      </c>
      <c r="CV17" s="3">
        <f t="shared" si="45"/>
        <v>175988</v>
      </c>
      <c r="CW17" s="3" t="e">
        <f t="shared" ca="1" si="46"/>
        <v>#NUM!</v>
      </c>
      <c r="CX17" s="85" t="e">
        <f t="shared" ca="1" si="76"/>
        <v>#NUM!</v>
      </c>
      <c r="CY17" s="3" t="e">
        <f t="shared" ca="1" si="47"/>
        <v>#NUM!</v>
      </c>
      <c r="CZ17" s="85" t="e">
        <f t="shared" ca="1" si="77"/>
        <v>#NUM!</v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4.66</v>
      </c>
      <c r="DC17" s="3">
        <f>IF(RTD("tos.rtd",,DC$2,"."&amp;$A$2&amp;$AS$1&amp;"C"&amp;$A17)="N/A",0,RTD("tos.rtd",,DC$2,"."&amp;$A$2&amp;$AS$1&amp;"C"&amp;$A17))</f>
        <v>0.01</v>
      </c>
      <c r="DD17" s="3">
        <f>IF(RTD("tos.rtd",,DD$2,"."&amp;$A$2&amp;$AS$1&amp;"P"&amp;$A17)="N/A",0,RTD("tos.rtd",,DD$2,"."&amp;$A$2&amp;$AS$1&amp;"P"&amp;$A17))</f>
        <v>5.6</v>
      </c>
      <c r="DE17" s="3">
        <f>IF(RTD("tos.rtd",,DE$2,"."&amp;$A$2&amp;$AS$1&amp;"C"&amp;$A17)="N/A",0,RTD("tos.rtd",,DE$2,"."&amp;$A$2&amp;$AS$1&amp;"C"&amp;$A17))</f>
        <v>0</v>
      </c>
      <c r="DF17" s="3">
        <f>IF(RTD("tos.rtd",,DF$2,"."&amp;$A$2&amp;$AS$1&amp;"P"&amp;$A17)="N/A",0,RTD("tos.rtd",,DF$2,"."&amp;$A$2&amp;$AS$1&amp;"P"&amp;$A17))</f>
        <v>3.69</v>
      </c>
      <c r="DG17" s="86">
        <f t="shared" si="48"/>
        <v>-2.4400000000000546</v>
      </c>
      <c r="DH17" s="3">
        <f t="shared" si="22"/>
        <v>260</v>
      </c>
      <c r="DI17" s="3">
        <f t="shared" si="49"/>
        <v>-49.76963350785342</v>
      </c>
      <c r="DJ17" s="3">
        <f t="shared" si="50"/>
        <v>260</v>
      </c>
      <c r="DK17" s="3">
        <f t="shared" si="51"/>
        <v>0</v>
      </c>
      <c r="DL17" s="3">
        <f t="shared" si="52"/>
        <v>210.23036649214657</v>
      </c>
      <c r="DM17" s="3">
        <f t="shared" si="53"/>
        <v>260</v>
      </c>
      <c r="DN17" s="63" t="str">
        <f t="shared" si="54"/>
        <v>BUY</v>
      </c>
      <c r="DO17" s="63" t="str">
        <f t="shared" si="55"/>
        <v>UNKNOWN</v>
      </c>
      <c r="DP17" s="3">
        <f t="shared" si="56"/>
        <v>-229.32649214659696</v>
      </c>
      <c r="DQ17" s="3">
        <f t="shared" si="57"/>
        <v>2.6</v>
      </c>
      <c r="DR17" s="3" t="e">
        <f t="shared" ca="1" si="58"/>
        <v>#NUM!</v>
      </c>
      <c r="DS17" s="3">
        <f t="shared" si="59"/>
        <v>260</v>
      </c>
      <c r="DT17" s="3">
        <f t="shared" si="60"/>
        <v>260</v>
      </c>
      <c r="DU17" s="3">
        <f t="shared" si="61"/>
        <v>-98</v>
      </c>
      <c r="DV17" s="3">
        <f t="shared" si="62"/>
        <v>-5017</v>
      </c>
      <c r="DW17" s="3">
        <f t="shared" si="23"/>
        <v>-633</v>
      </c>
      <c r="DX17" s="3" t="e">
        <f t="shared" ca="1" si="24"/>
        <v>#NUM!</v>
      </c>
      <c r="DY17" s="3" t="e">
        <f t="shared" ca="1" si="25"/>
        <v>#NUM!</v>
      </c>
      <c r="DZ17" s="3">
        <f t="shared" ca="1" si="26"/>
        <v>4.5007751341145485E-2</v>
      </c>
      <c r="EA17" s="3">
        <f t="shared" ca="1" si="27"/>
        <v>-1.3540218578285549E-2</v>
      </c>
      <c r="EB17" s="3">
        <f t="shared" ca="1" si="28"/>
        <v>3.507227765020593E-2</v>
      </c>
      <c r="EC17" s="3">
        <f t="shared" ca="1" si="29"/>
        <v>-2.11064216139022E-2</v>
      </c>
      <c r="ED17" s="63">
        <f t="shared" si="63"/>
        <v>-5650</v>
      </c>
      <c r="EE17" s="59">
        <f t="shared" si="64"/>
        <v>0.25</v>
      </c>
      <c r="EF17" s="59">
        <f t="shared" si="30"/>
        <v>3.3664999999999998</v>
      </c>
      <c r="EG17" s="59">
        <f t="shared" si="31"/>
        <v>0.1075</v>
      </c>
      <c r="EH17" s="59">
        <f t="shared" si="32"/>
        <v>0.3775</v>
      </c>
      <c r="EI17" s="59">
        <f t="shared" si="33"/>
        <v>0.14149999999999999</v>
      </c>
      <c r="EJ17" s="59">
        <f t="shared" si="34"/>
        <v>0.24049999999999999</v>
      </c>
      <c r="EK17" s="63" t="e">
        <f t="shared" ca="1" si="65"/>
        <v>#NUM!</v>
      </c>
      <c r="EL17" s="3" t="str">
        <f>RTD("tos.rtd",,EL$2,"."&amp;$A$2&amp;$AS$1&amp;"C"&amp;$A17)</f>
        <v>--</v>
      </c>
      <c r="EM17" s="3" t="str">
        <f>RTD("tos.rtd",,EM$2,"."&amp;$A$2&amp;$AS$1&amp;"P"&amp;$A17)</f>
        <v>336.65%</v>
      </c>
      <c r="EN17" s="3" t="str">
        <f>RTD("tos.rtd",,EN$2,"."&amp;$A$2&amp;$AU$1&amp;"C"&amp;$A17)</f>
        <v>10.75%</v>
      </c>
      <c r="EO17" s="3" t="str">
        <f>RTD("tos.rtd",,EO$2,"."&amp;$A$2&amp;$AU$1&amp;"P"&amp;$A17)</f>
        <v>37.75%</v>
      </c>
      <c r="EP17" s="3" t="str">
        <f>RTD("tos.rtd",,EP$2,"."&amp;$A$2&amp;$AW$1&amp;"C"&amp;$A17)</f>
        <v>14.15%</v>
      </c>
      <c r="EQ17" s="3" t="str">
        <f>RTD("tos.rtd",,EQ$2,"."&amp;$A$2&amp;$AW$1&amp;"P"&amp;$A17)</f>
        <v>24.05%</v>
      </c>
      <c r="ES17" s="63" t="str">
        <f t="shared" si="66"/>
        <v>569,-5650.00</v>
      </c>
      <c r="ET17" s="63" t="str">
        <f t="shared" ca="1" si="67"/>
        <v>569,00.00</v>
      </c>
      <c r="EU17" s="67">
        <v>565.1</v>
      </c>
      <c r="EV17" s="67" t="s">
        <v>155</v>
      </c>
      <c r="EW17" s="67">
        <v>488.53</v>
      </c>
      <c r="EX17" s="67" t="s">
        <v>156</v>
      </c>
      <c r="EY17" s="67">
        <v>5663.94</v>
      </c>
      <c r="EZ17" s="67" t="s">
        <v>157</v>
      </c>
      <c r="FA17" s="67">
        <v>20063.564999999999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8"/>
        <v>568</v>
      </c>
      <c r="B18" s="3">
        <f t="shared" si="9"/>
        <v>14457</v>
      </c>
      <c r="C18" s="3">
        <f t="shared" si="10"/>
        <v>10756</v>
      </c>
      <c r="D18" s="3">
        <f t="shared" si="11"/>
        <v>2054</v>
      </c>
      <c r="E18" s="3">
        <f t="shared" si="12"/>
        <v>27267</v>
      </c>
      <c r="F18" s="4">
        <f t="shared" si="13"/>
        <v>5715.3856922861542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-3067</v>
      </c>
      <c r="AN18" s="1">
        <v>707</v>
      </c>
      <c r="AO18" s="1">
        <v>568</v>
      </c>
      <c r="AP18" s="1">
        <v>217287</v>
      </c>
      <c r="AQ18" s="1">
        <v>-18357</v>
      </c>
      <c r="AR18" s="1"/>
      <c r="AS18" s="6">
        <f>IF(RTD("tos.rtd",,AS$2,"."&amp;$A$2&amp;$AS$1&amp;"C"&amp;$A18)="N/A",0,RTD("tos.rtd",,AS$2,"."&amp;$A$2&amp;$AS$1&amp;"C"&amp;$A18))</f>
        <v>10091</v>
      </c>
      <c r="AT18" s="7">
        <f>-IF(RTD("tos.rtd",,AT$2,"."&amp;$A$2&amp;$AS$1&amp;"P"&amp;$A18)="N/A",0,RTD("tos.rtd",,AT$2,"."&amp;$A$2&amp;$AS$1&amp;"P"&amp;$A18))</f>
        <v>-4366</v>
      </c>
      <c r="AU18" s="6">
        <f>IF(RTD("tos.rtd",,AU$2,"."&amp;$A$2&amp;$AU$1&amp;"C"&amp;$A18)="N/A",0,RTD("tos.rtd",,AU$2,"."&amp;$A$2&amp;$AU$1&amp;"C"&amp;$A18))</f>
        <v>7460</v>
      </c>
      <c r="AV18" s="7">
        <f>-IF(RTD("tos.rtd",,AV$2,"."&amp;$A$2&amp;$AU$1&amp;"P"&amp;$A18)="N/A",0,RTD("tos.rtd",,AV$2,"."&amp;$A$2&amp;$AU$1&amp;"P"&amp;$A18))</f>
        <v>-3296</v>
      </c>
      <c r="AW18" s="6">
        <f>IF(RTD("tos.rtd",,AW$2,"."&amp;$A$2&amp;$AW$1&amp;"C"&amp;$A18)="N/A",0,RTD("tos.rtd",,AW$2,"."&amp;$A$2&amp;$AW$1&amp;"C"&amp;$A18))</f>
        <v>1251</v>
      </c>
      <c r="AX18" s="7">
        <f>-IF(RTD("tos.rtd",,AX$2,"."&amp;$A$2&amp;$AW$1&amp;"P"&amp;$A18)="N/A",0,RTD("tos.rtd",,AX$2,"."&amp;$A$2&amp;$AW$1&amp;"P"&amp;$A18))</f>
        <v>-803</v>
      </c>
      <c r="AY18" s="1">
        <f t="shared" si="69"/>
        <v>10337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217360</v>
      </c>
      <c r="BB18" s="7">
        <f>-IF(RTD("tos.rtd",,BB$2,"."&amp;$A$2&amp;$AS$1&amp;"P"&amp;$A18)="N/A",0,RTD("tos.rtd",,BB$2,"."&amp;$A$2&amp;$AS$1&amp;"P"&amp;$A18))</f>
        <v>-18389</v>
      </c>
      <c r="BC18" s="6">
        <f>IF(RTD("tos.rtd",,BC$2,"."&amp;$A$2&amp;$AU$1&amp;"C"&amp;$A18)="N/A",0,RTD("tos.rtd",,BC$2,"."&amp;$A$2&amp;$AU$1&amp;"C"&amp;$A18))</f>
        <v>7129</v>
      </c>
      <c r="BD18" s="7">
        <f>-IF(RTD("tos.rtd",,BD$2,"."&amp;$A$2&amp;$AU$1&amp;"P"&amp;$A18)="N/A",0,RTD("tos.rtd",,BD$2,"."&amp;$A$2&amp;$AU$1&amp;"P"&amp;$A18))</f>
        <v>-1593</v>
      </c>
      <c r="BE18" s="6">
        <f>IF(RTD("tos.rtd",,BE$2,"."&amp;$A$2&amp;$AW$1&amp;"C"&amp;$A18)="N/A",0,RTD("tos.rtd",,BE$2,"."&amp;$A$2&amp;$AW$1&amp;"C"&amp;$A18))</f>
        <v>766</v>
      </c>
      <c r="BF18" s="83">
        <f>-IF(RTD("tos.rtd",,BF$2,"."&amp;$A$2&amp;$AW$1&amp;"P"&amp;$A18)="N/A",0,RTD("tos.rtd",,BF$2,"."&amp;$A$2&amp;$AW$1&amp;"P"&amp;$A18))</f>
        <v>-809</v>
      </c>
      <c r="BG18" s="32">
        <f ca="1">+Hoja2!Y19</f>
        <v>1459</v>
      </c>
      <c r="BH18" s="7">
        <f t="shared" ca="1" si="36"/>
        <v>205923</v>
      </c>
      <c r="BI18" s="8" t="str">
        <f t="shared" ref="BI18" ca="1" si="131">IF(AND(BH18&lt;0,BH17&gt;0), "Cruce -", IF(AND(BH18&gt;0,BH17&lt;0),"Cruce +", ""))</f>
        <v/>
      </c>
      <c r="BJ18" s="3" t="e">
        <f ca="1">IF($BP$1=1,DX18,IF(RTD("tos.rtd",,BJ$2,"."&amp;$A$2&amp;$AS$1&amp;"C"&amp;$A18)="N/A",0,RTD("tos.rtd",,BJ$2,"."&amp;$A$2&amp;$AS$1&amp;"C"&amp;$A18)))</f>
        <v>#NUM!</v>
      </c>
      <c r="BK18" s="3" t="e">
        <f ca="1">IF($BP$1=1,DY18,-IF(RTD("tos.rtd",,BK$2,"."&amp;$A$2&amp;$AS$1&amp;"P"&amp;$A18)="N/A",0,RTD("tos.rtd",,BK$2,"."&amp;$A$2&amp;$AS$1&amp;"P"&amp;$A18)))</f>
        <v>#NUM!</v>
      </c>
      <c r="BL18" s="3">
        <f ca="1">IF($BP$1=1,DZ18,IF(RTD("tos.rtd",,BL$2,"."&amp;$A$2&amp;$AU$1&amp;"C"&amp;$A18)="N/A",0,RTD("tos.rtd",,BL$2,"."&amp;$A$2&amp;$AU$1&amp;"C"&amp;$A18)))</f>
        <v>4.6243498335658488E-2</v>
      </c>
      <c r="BM18" s="3">
        <f ca="1">IF($BP$1=1,EA18,-IF(RTD("tos.rtd",,BM$2,"."&amp;$A$2&amp;$AU$1&amp;"P"&amp;$A18)="N/A",0,RTD("tos.rtd",,BM$2,"."&amp;$A$2&amp;$AU$1&amp;"P"&amp;$A18)))</f>
        <v>-1.3616316265539344E-2</v>
      </c>
      <c r="BN18" s="3">
        <f ca="1">IF($BP$1=1,EB18,IF(RTD("tos.rtd",,BN$2,"."&amp;$A$2&amp;$AW$1&amp;"C"&amp;$A18)="N/A",0,RTD("tos.rtd",,BN$2,"."&amp;$A$2&amp;$AW$1&amp;"C"&amp;$A18)))</f>
        <v>3.3998560707097128E-2</v>
      </c>
      <c r="BO18" s="3">
        <f ca="1">IF($BP$1=1,EC18,-IF(RTD("tos.rtd",,BO$2,"."&amp;$A$2&amp;$AW$1&amp;"P"&amp;$A18)="N/A",0,RTD("tos.rtd",,BO$2,"."&amp;$A$2&amp;$AW$1&amp;"P"&amp;$A18)))</f>
        <v>-2.0832122314509632E-2</v>
      </c>
      <c r="BQ18" s="3" t="e">
        <f t="shared" ca="1" si="37"/>
        <v>#NUM!</v>
      </c>
      <c r="BR18" s="3" t="e">
        <f t="shared" ca="1" si="71"/>
        <v>#NUM!</v>
      </c>
      <c r="BS18" s="3">
        <f t="shared" ca="1" si="38"/>
        <v>97994815.731461361</v>
      </c>
      <c r="BT18" s="3" t="str">
        <f t="shared" ca="1" si="71"/>
        <v/>
      </c>
      <c r="BU18" s="3">
        <f t="shared" ca="1" si="39"/>
        <v>8426134.6601005457</v>
      </c>
      <c r="BV18" s="3" t="str">
        <f t="shared" ref="BV18" ca="1" si="132">IF(AND(BU18&lt;0,BU17&gt;0), "Cruce -", IF(AND(BU18&gt;0,BU17&lt;0),"Cruce +", ""))</f>
        <v/>
      </c>
      <c r="BX18" s="3" t="e">
        <f t="shared" ca="1" si="40"/>
        <v>#NUM!</v>
      </c>
      <c r="BY18" s="3" t="e">
        <f t="shared" ca="1" si="73"/>
        <v>#NUM!</v>
      </c>
      <c r="BZ18" s="3">
        <f t="shared" ca="1" si="41"/>
        <v>100568629.26086852</v>
      </c>
      <c r="CA18" s="3" t="str">
        <f t="shared" ca="1" si="74"/>
        <v/>
      </c>
      <c r="CB18" s="3">
        <f t="shared" ca="1" si="42"/>
        <v>3000841.8420558237</v>
      </c>
      <c r="CC18" s="3" t="str">
        <f t="shared" ca="1" si="75"/>
        <v/>
      </c>
      <c r="CD18" s="3">
        <f>IF(RTD("tos.rtd",,CD$2,"."&amp;$A$2&amp;$AS$1&amp;"C"&amp;$A18)="N/A",0,RTD("tos.rtd",,CD$2,"."&amp;$A$2&amp;$AS$1&amp;"C"&amp;$A18))</f>
        <v>1</v>
      </c>
      <c r="CE18" s="3">
        <f>-IF(RTD("tos.rtd",,CE$2,"."&amp;$A$2&amp;$AS$1&amp;"P"&amp;$A18)="N/A",0,RTD("tos.rtd",,CE$2,"."&amp;$A$2&amp;$AS$1&amp;"P"&amp;$A18))</f>
        <v>0.39</v>
      </c>
      <c r="CF18" s="3">
        <f>IF(RTD("tos.rtd",,CF$2,"."&amp;$A$2&amp;$AU$1&amp;"C"&amp;$A18)="N/A",0,RTD("tos.rtd",,CF$2,"."&amp;$A$2&amp;$AU$1&amp;"C"&amp;$A18))</f>
        <v>0.72</v>
      </c>
      <c r="CG18" s="3">
        <f>-IF(RTD("tos.rtd",,CG$2,"."&amp;$A$2&amp;$AU$1&amp;"P"&amp;$A18)="N/A",0,RTD("tos.rtd",,CG$2,"."&amp;$A$2&amp;$AU$1&amp;"P"&amp;$A18))</f>
        <v>0.43</v>
      </c>
      <c r="CH18" s="3">
        <f>IF(RTD("tos.rtd",,CH$2,"."&amp;$A$2&amp;$AW$1&amp;"C"&amp;$A18)="N/A",0,RTD("tos.rtd",,CH$2,"."&amp;$A$2&amp;$AW$1&amp;"C"&amp;$A18))</f>
        <v>0.59</v>
      </c>
      <c r="CI18" s="3">
        <f>-IF(RTD("tos.rtd",,CI$2,"."&amp;$A$2&amp;$AW$1&amp;"P"&amp;$A18)="N/A",0,RTD("tos.rtd",,CI$2,"."&amp;$A$2&amp;$AW$1&amp;"P"&amp;$A18))</f>
        <v>0.44</v>
      </c>
      <c r="CK18" s="3">
        <f t="shared" si="17"/>
        <v>838826</v>
      </c>
      <c r="CL18" s="3"/>
      <c r="CM18" s="3">
        <f t="shared" si="18"/>
        <v>395392</v>
      </c>
      <c r="CN18" s="3"/>
      <c r="CO18" s="3">
        <f t="shared" si="19"/>
        <v>38476.999999999985</v>
      </c>
      <c r="CP18" s="3">
        <f t="shared" si="43"/>
        <v>1272695</v>
      </c>
      <c r="CQ18" s="3">
        <f t="shared" si="44"/>
        <v>198971</v>
      </c>
      <c r="CR18" s="3"/>
      <c r="CS18" s="3">
        <f t="shared" si="20"/>
        <v>5536</v>
      </c>
      <c r="CT18" s="3"/>
      <c r="CU18" s="3">
        <f t="shared" si="21"/>
        <v>-43</v>
      </c>
      <c r="CV18" s="3">
        <f t="shared" si="45"/>
        <v>204464</v>
      </c>
      <c r="CW18" s="3" t="e">
        <f t="shared" ca="1" si="46"/>
        <v>#NUM!</v>
      </c>
      <c r="CX18" s="85" t="e">
        <f t="shared" ca="1" si="76"/>
        <v>#NUM!</v>
      </c>
      <c r="CY18" s="3" t="e">
        <f t="shared" ca="1" si="47"/>
        <v>#NUM!</v>
      </c>
      <c r="CZ18" s="85" t="e">
        <f t="shared" ca="1" si="77"/>
        <v>#NUM!</v>
      </c>
      <c r="DA18" s="3">
        <f>IF(RTD("tos.rtd",,DA$2,"."&amp;$A$2&amp;$AS$1&amp;"C"&amp;$A18)="N/A",0,RTD("tos.rtd",,DA$2,"."&amp;$A$2&amp;$AS$1&amp;"C"&amp;$A18))</f>
        <v>0.01</v>
      </c>
      <c r="DB18" s="3">
        <f>IF(RTD("tos.rtd",,DB$2,"."&amp;$A$2&amp;$AS$1&amp;"P"&amp;$A18)="N/A",0,RTD("tos.rtd",,DB$2,"."&amp;$A$2&amp;$AS$1&amp;"P"&amp;$A18))</f>
        <v>3.48</v>
      </c>
      <c r="DC18" s="3">
        <f>IF(RTD("tos.rtd",,DC$2,"."&amp;$A$2&amp;$AS$1&amp;"C"&amp;$A18)="N/A",0,RTD("tos.rtd",,DC$2,"."&amp;$A$2&amp;$AS$1&amp;"C"&amp;$A18))</f>
        <v>0.01</v>
      </c>
      <c r="DD18" s="3">
        <f>IF(RTD("tos.rtd",,DD$2,"."&amp;$A$2&amp;$AS$1&amp;"P"&amp;$A18)="N/A",0,RTD("tos.rtd",,DD$2,"."&amp;$A$2&amp;$AS$1&amp;"P"&amp;$A18))</f>
        <v>4.57</v>
      </c>
      <c r="DE18" s="3">
        <f>IF(RTD("tos.rtd",,DE$2,"."&amp;$A$2&amp;$AS$1&amp;"C"&amp;$A18)="N/A",0,RTD("tos.rtd",,DE$2,"."&amp;$A$2&amp;$AS$1&amp;"C"&amp;$A18))</f>
        <v>0</v>
      </c>
      <c r="DF18" s="3">
        <f>IF(RTD("tos.rtd",,DF$2,"."&amp;$A$2&amp;$AS$1&amp;"P"&amp;$A18)="N/A",0,RTD("tos.rtd",,DF$2,"."&amp;$A$2&amp;$AS$1&amp;"P"&amp;$A18))</f>
        <v>2.76</v>
      </c>
      <c r="DG18" s="86">
        <f t="shared" si="48"/>
        <v>-3.4400000000000546</v>
      </c>
      <c r="DH18" s="3">
        <f t="shared" si="22"/>
        <v>73</v>
      </c>
      <c r="DI18" s="3">
        <f t="shared" si="49"/>
        <v>-12.729281767955801</v>
      </c>
      <c r="DJ18" s="3">
        <f t="shared" si="50"/>
        <v>73</v>
      </c>
      <c r="DK18" s="3">
        <f t="shared" si="51"/>
        <v>32</v>
      </c>
      <c r="DL18" s="3">
        <f t="shared" si="52"/>
        <v>60.270718232044203</v>
      </c>
      <c r="DM18" s="3">
        <f t="shared" si="53"/>
        <v>105</v>
      </c>
      <c r="DN18" s="63" t="str">
        <f t="shared" si="54"/>
        <v>BUY</v>
      </c>
      <c r="DO18" s="63" t="str">
        <f t="shared" si="55"/>
        <v>SELL</v>
      </c>
      <c r="DP18" s="3">
        <f t="shared" si="56"/>
        <v>-43.567900552486186</v>
      </c>
      <c r="DQ18" s="3">
        <f t="shared" si="57"/>
        <v>112.09</v>
      </c>
      <c r="DR18" s="3" t="e">
        <f t="shared" ca="1" si="58"/>
        <v>#NUM!</v>
      </c>
      <c r="DS18" s="3">
        <f t="shared" si="59"/>
        <v>85.48</v>
      </c>
      <c r="DT18" s="3">
        <f t="shared" si="60"/>
        <v>73</v>
      </c>
      <c r="DU18" s="3">
        <f t="shared" si="61"/>
        <v>-32</v>
      </c>
      <c r="DV18" s="3">
        <f t="shared" si="62"/>
        <v>-2994</v>
      </c>
      <c r="DW18" s="3">
        <f t="shared" si="23"/>
        <v>739</v>
      </c>
      <c r="DX18" s="3" t="e">
        <f t="shared" ca="1" si="24"/>
        <v>#NUM!</v>
      </c>
      <c r="DY18" s="3" t="e">
        <f t="shared" ca="1" si="25"/>
        <v>#NUM!</v>
      </c>
      <c r="DZ18" s="3">
        <f t="shared" ca="1" si="26"/>
        <v>4.6243498335658488E-2</v>
      </c>
      <c r="EA18" s="3">
        <f t="shared" ca="1" si="27"/>
        <v>-1.3616316265539344E-2</v>
      </c>
      <c r="EB18" s="3">
        <f t="shared" ca="1" si="28"/>
        <v>3.3998560707097128E-2</v>
      </c>
      <c r="EC18" s="3">
        <f t="shared" ca="1" si="29"/>
        <v>-2.0832122314509632E-2</v>
      </c>
      <c r="ED18" s="63">
        <f t="shared" si="63"/>
        <v>-2255</v>
      </c>
      <c r="EE18" s="59">
        <f t="shared" si="64"/>
        <v>0.25</v>
      </c>
      <c r="EF18" s="59">
        <f t="shared" si="30"/>
        <v>3.0329000000000002</v>
      </c>
      <c r="EG18" s="59">
        <f t="shared" si="31"/>
        <v>9.7100000000000006E-2</v>
      </c>
      <c r="EH18" s="59">
        <f t="shared" si="32"/>
        <v>0.3735</v>
      </c>
      <c r="EI18" s="59">
        <f t="shared" si="33"/>
        <v>0.14180000000000001</v>
      </c>
      <c r="EJ18" s="59">
        <f t="shared" si="34"/>
        <v>0.24110000000000001</v>
      </c>
      <c r="EK18" s="63" t="e">
        <f t="shared" ca="1" si="65"/>
        <v>#NUM!</v>
      </c>
      <c r="EL18" s="3" t="str">
        <f>RTD("tos.rtd",,EL$2,"."&amp;$A$2&amp;$AS$1&amp;"C"&amp;$A18)</f>
        <v>--</v>
      </c>
      <c r="EM18" s="3" t="str">
        <f>RTD("tos.rtd",,EM$2,"."&amp;$A$2&amp;$AS$1&amp;"P"&amp;$A18)</f>
        <v>303.29%</v>
      </c>
      <c r="EN18" s="3" t="str">
        <f>RTD("tos.rtd",,EN$2,"."&amp;$A$2&amp;$AU$1&amp;"C"&amp;$A18)</f>
        <v>9.71%</v>
      </c>
      <c r="EO18" s="3" t="str">
        <f>RTD("tos.rtd",,EO$2,"."&amp;$A$2&amp;$AU$1&amp;"P"&amp;$A18)</f>
        <v>37.35%</v>
      </c>
      <c r="EP18" s="3" t="str">
        <f>RTD("tos.rtd",,EP$2,"."&amp;$A$2&amp;$AW$1&amp;"C"&amp;$A18)</f>
        <v>14.18%</v>
      </c>
      <c r="EQ18" s="3" t="str">
        <f>RTD("tos.rtd",,EQ$2,"."&amp;$A$2&amp;$AW$1&amp;"P"&amp;$A18)</f>
        <v>24.11%</v>
      </c>
      <c r="ES18" s="63" t="str">
        <f t="shared" si="66"/>
        <v>568,-2255.00</v>
      </c>
      <c r="ET18" s="63" t="str">
        <f t="shared" ca="1" si="67"/>
        <v>568,00.00</v>
      </c>
      <c r="EU18" s="67">
        <v>565.20000000000005</v>
      </c>
      <c r="EV18" s="67" t="s">
        <v>163</v>
      </c>
      <c r="EW18" s="67">
        <v>488.6</v>
      </c>
      <c r="EX18" s="67" t="s">
        <v>164</v>
      </c>
      <c r="EY18" s="67">
        <v>5663.94</v>
      </c>
      <c r="EZ18" s="67" t="s">
        <v>165</v>
      </c>
      <c r="FA18" s="67">
        <v>20063.564999999999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8"/>
        <v>567</v>
      </c>
      <c r="B19" s="3">
        <f t="shared" si="9"/>
        <v>12394</v>
      </c>
      <c r="C19" s="3">
        <f t="shared" si="10"/>
        <v>7794</v>
      </c>
      <c r="D19" s="3">
        <f t="shared" si="11"/>
        <v>1426</v>
      </c>
      <c r="E19" s="3">
        <f t="shared" si="12"/>
        <v>21614</v>
      </c>
      <c r="F19" s="4">
        <f t="shared" si="13"/>
        <v>5705.3233935321296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2578</v>
      </c>
      <c r="AN19" s="1">
        <v>-14678</v>
      </c>
      <c r="AO19" s="1">
        <v>567</v>
      </c>
      <c r="AP19" s="1">
        <v>389420</v>
      </c>
      <c r="AQ19" s="1">
        <v>-72507</v>
      </c>
      <c r="AR19" s="1"/>
      <c r="AS19" s="6">
        <f>IF(RTD("tos.rtd",,AS$2,"."&amp;$A$2&amp;$AS$1&amp;"C"&amp;$A19)="N/A",0,RTD("tos.rtd",,AS$2,"."&amp;$A$2&amp;$AS$1&amp;"C"&amp;$A19))</f>
        <v>9415</v>
      </c>
      <c r="AT19" s="7">
        <f>-IF(RTD("tos.rtd",,AT$2,"."&amp;$A$2&amp;$AS$1&amp;"P"&amp;$A19)="N/A",0,RTD("tos.rtd",,AT$2,"."&amp;$A$2&amp;$AS$1&amp;"P"&amp;$A19))</f>
        <v>-2979</v>
      </c>
      <c r="AU19" s="6">
        <f>IF(RTD("tos.rtd",,AU$2,"."&amp;$A$2&amp;$AU$1&amp;"C"&amp;$A19)="N/A",0,RTD("tos.rtd",,AU$2,"."&amp;$A$2&amp;$AU$1&amp;"C"&amp;$A19))</f>
        <v>4563</v>
      </c>
      <c r="AV19" s="7">
        <f>-IF(RTD("tos.rtd",,AV$2,"."&amp;$A$2&amp;$AU$1&amp;"P"&amp;$A19)="N/A",0,RTD("tos.rtd",,AV$2,"."&amp;$A$2&amp;$AU$1&amp;"P"&amp;$A19))</f>
        <v>-3231</v>
      </c>
      <c r="AW19" s="6">
        <f>IF(RTD("tos.rtd",,AW$2,"."&amp;$A$2&amp;$AW$1&amp;"C"&amp;$A19)="N/A",0,RTD("tos.rtd",,AW$2,"."&amp;$A$2&amp;$AW$1&amp;"C"&amp;$A19))</f>
        <v>644</v>
      </c>
      <c r="AX19" s="7">
        <f>-IF(RTD("tos.rtd",,AX$2,"."&amp;$A$2&amp;$AW$1&amp;"P"&amp;$A19)="N/A",0,RTD("tos.rtd",,AX$2,"."&amp;$A$2&amp;$AW$1&amp;"P"&amp;$A19))</f>
        <v>-782</v>
      </c>
      <c r="AY19" s="1">
        <f t="shared" si="69"/>
        <v>7630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397613</v>
      </c>
      <c r="BB19" s="7">
        <f>-IF(RTD("tos.rtd",,BB$2,"."&amp;$A$2&amp;$AS$1&amp;"P"&amp;$A19)="N/A",0,RTD("tos.rtd",,BB$2,"."&amp;$A$2&amp;$AS$1&amp;"P"&amp;$A19))</f>
        <v>-72903</v>
      </c>
      <c r="BC19" s="6">
        <f>IF(RTD("tos.rtd",,BC$2,"."&amp;$A$2&amp;$AU$1&amp;"C"&amp;$A19)="N/A",0,RTD("tos.rtd",,BC$2,"."&amp;$A$2&amp;$AU$1&amp;"C"&amp;$A19))</f>
        <v>13645</v>
      </c>
      <c r="BD19" s="7">
        <f>-IF(RTD("tos.rtd",,BD$2,"."&amp;$A$2&amp;$AU$1&amp;"P"&amp;$A19)="N/A",0,RTD("tos.rtd",,BD$2,"."&amp;$A$2&amp;$AU$1&amp;"P"&amp;$A19))</f>
        <v>-3740</v>
      </c>
      <c r="BE19" s="6">
        <f>IF(RTD("tos.rtd",,BE$2,"."&amp;$A$2&amp;$AW$1&amp;"C"&amp;$A19)="N/A",0,RTD("tos.rtd",,BE$2,"."&amp;$A$2&amp;$AW$1&amp;"C"&amp;$A19))</f>
        <v>230</v>
      </c>
      <c r="BF19" s="83">
        <f>-IF(RTD("tos.rtd",,BF$2,"."&amp;$A$2&amp;$AW$1&amp;"P"&amp;$A19)="N/A",0,RTD("tos.rtd",,BF$2,"."&amp;$A$2&amp;$AW$1&amp;"P"&amp;$A19))</f>
        <v>-491</v>
      </c>
      <c r="BG19" s="32">
        <f ca="1">+Hoja2!Y20</f>
        <v>14</v>
      </c>
      <c r="BH19" s="7">
        <f t="shared" ca="1" si="36"/>
        <v>334368</v>
      </c>
      <c r="BI19" s="8" t="str">
        <f t="shared" ref="BI19" ca="1" si="133">IF(AND(BH19&lt;0,BH18&gt;0), "Cruce -", IF(AND(BH19&gt;0,BH18&lt;0),"Cruce +", ""))</f>
        <v/>
      </c>
      <c r="BJ19" s="3" t="e">
        <f ca="1">IF($BP$1=1,DX19,IF(RTD("tos.rtd",,BJ$2,"."&amp;$A$2&amp;$AS$1&amp;"C"&amp;$A19)="N/A",0,RTD("tos.rtd",,BJ$2,"."&amp;$A$2&amp;$AS$1&amp;"C"&amp;$A19)))</f>
        <v>#NUM!</v>
      </c>
      <c r="BK19" s="3" t="e">
        <f ca="1">IF($BP$1=1,DY19,-IF(RTD("tos.rtd",,BK$2,"."&amp;$A$2&amp;$AS$1&amp;"P"&amp;$A19)="N/A",0,RTD("tos.rtd",,BK$2,"."&amp;$A$2&amp;$AS$1&amp;"P"&amp;$A19)))</f>
        <v>#NUM!</v>
      </c>
      <c r="BL19" s="3">
        <f ca="1">IF($BP$1=1,DZ19,IF(RTD("tos.rtd",,BL$2,"."&amp;$A$2&amp;$AU$1&amp;"C"&amp;$A19)="N/A",0,RTD("tos.rtd",,BL$2,"."&amp;$A$2&amp;$AU$1&amp;"C"&amp;$A19)))</f>
        <v>4.6201007484275788E-2</v>
      </c>
      <c r="BM19" s="3">
        <f ca="1">IF($BP$1=1,EA19,-IF(RTD("tos.rtd",,BM$2,"."&amp;$A$2&amp;$AU$1&amp;"P"&amp;$A19)="N/A",0,RTD("tos.rtd",,BM$2,"."&amp;$A$2&amp;$AU$1&amp;"P"&amp;$A19)))</f>
        <v>-1.3660525241589162E-2</v>
      </c>
      <c r="BN19" s="3">
        <f ca="1">IF($BP$1=1,EB19,IF(RTD("tos.rtd",,BN$2,"."&amp;$A$2&amp;$AW$1&amp;"C"&amp;$A19)="N/A",0,RTD("tos.rtd",,BN$2,"."&amp;$A$2&amp;$AW$1&amp;"C"&amp;$A19)))</f>
        <v>3.2707897158724367E-2</v>
      </c>
      <c r="BO19" s="3">
        <f ca="1">IF($BP$1=1,EC19,-IF(RTD("tos.rtd",,BO$2,"."&amp;$A$2&amp;$AW$1&amp;"P"&amp;$A19)="N/A",0,RTD("tos.rtd",,BO$2,"."&amp;$A$2&amp;$AW$1&amp;"P"&amp;$A19)))</f>
        <v>-2.0511659298854741E-2</v>
      </c>
      <c r="BQ19" s="3" t="e">
        <f t="shared" ca="1" si="37"/>
        <v>#NUM!</v>
      </c>
      <c r="BR19" s="3" t="e">
        <f t="shared" ca="1" si="71"/>
        <v>#NUM!</v>
      </c>
      <c r="BS19" s="3">
        <f t="shared" ca="1" si="38"/>
        <v>54427659.521126829</v>
      </c>
      <c r="BT19" s="3" t="str">
        <f t="shared" ca="1" si="71"/>
        <v/>
      </c>
      <c r="BU19" s="3">
        <f t="shared" ca="1" si="39"/>
        <v>1640479.7228576429</v>
      </c>
      <c r="BV19" s="3" t="str">
        <f t="shared" ref="BV19" ca="1" si="134">IF(AND(BU19&lt;0,BU18&gt;0), "Cruce -", IF(AND(BU19&gt;0,BU18&lt;0),"Cruce +", ""))</f>
        <v/>
      </c>
      <c r="BX19" s="3" t="e">
        <f t="shared" ca="1" si="40"/>
        <v>#NUM!</v>
      </c>
      <c r="BY19" s="3" t="e">
        <f t="shared" ca="1" si="73"/>
        <v>#NUM!</v>
      </c>
      <c r="BZ19" s="3">
        <f t="shared" ca="1" si="41"/>
        <v>189174059.05189794</v>
      </c>
      <c r="CA19" s="3" t="str">
        <f t="shared" ca="1" si="74"/>
        <v/>
      </c>
      <c r="CB19" s="3">
        <f t="shared" ca="1" si="42"/>
        <v>-832166.63072170038</v>
      </c>
      <c r="CC19" s="3" t="str">
        <f t="shared" ca="1" si="75"/>
        <v>Cruce -</v>
      </c>
      <c r="CD19" s="3">
        <f>IF(RTD("tos.rtd",,CD$2,"."&amp;$A$2&amp;$AS$1&amp;"C"&amp;$A19)="N/A",0,RTD("tos.rtd",,CD$2,"."&amp;$A$2&amp;$AS$1&amp;"C"&amp;$A19))</f>
        <v>1</v>
      </c>
      <c r="CE19" s="3">
        <f>-IF(RTD("tos.rtd",,CE$2,"."&amp;$A$2&amp;$AS$1&amp;"P"&amp;$A19)="N/A",0,RTD("tos.rtd",,CE$2,"."&amp;$A$2&amp;$AS$1&amp;"P"&amp;$A19))</f>
        <v>0.34</v>
      </c>
      <c r="CF19" s="3">
        <f>IF(RTD("tos.rtd",,CF$2,"."&amp;$A$2&amp;$AU$1&amp;"C"&amp;$A19)="N/A",0,RTD("tos.rtd",,CF$2,"."&amp;$A$2&amp;$AU$1&amp;"C"&amp;$A19))</f>
        <v>0.81</v>
      </c>
      <c r="CG19" s="3">
        <f>-IF(RTD("tos.rtd",,CG$2,"."&amp;$A$2&amp;$AU$1&amp;"P"&amp;$A19)="N/A",0,RTD("tos.rtd",,CG$2,"."&amp;$A$2&amp;$AU$1&amp;"P"&amp;$A19))</f>
        <v>0.42</v>
      </c>
      <c r="CH19" s="3">
        <f>IF(RTD("tos.rtd",,CH$2,"."&amp;$A$2&amp;$AW$1&amp;"C"&amp;$A19)="N/A",0,RTD("tos.rtd",,CH$2,"."&amp;$A$2&amp;$AW$1&amp;"C"&amp;$A19))</f>
        <v>0.6</v>
      </c>
      <c r="CI19" s="3">
        <f>-IF(RTD("tos.rtd",,CI$2,"."&amp;$A$2&amp;$AW$1&amp;"P"&amp;$A19)="N/A",0,RTD("tos.rtd",,CI$2,"."&amp;$A$2&amp;$AW$1&amp;"P"&amp;$A19))</f>
        <v>0.43</v>
      </c>
      <c r="CK19" s="3">
        <f t="shared" si="17"/>
        <v>840214</v>
      </c>
      <c r="CL19" s="3"/>
      <c r="CM19" s="3">
        <f t="shared" si="18"/>
        <v>233901</v>
      </c>
      <c r="CN19" s="3"/>
      <c r="CO19" s="3">
        <f t="shared" si="19"/>
        <v>5014</v>
      </c>
      <c r="CP19" s="3">
        <f t="shared" si="43"/>
        <v>1079129</v>
      </c>
      <c r="CQ19" s="3">
        <f t="shared" si="44"/>
        <v>324710</v>
      </c>
      <c r="CR19" s="3"/>
      <c r="CS19" s="3">
        <f t="shared" si="20"/>
        <v>9905</v>
      </c>
      <c r="CT19" s="3"/>
      <c r="CU19" s="3">
        <f t="shared" si="21"/>
        <v>-261</v>
      </c>
      <c r="CV19" s="3">
        <f t="shared" si="45"/>
        <v>334354</v>
      </c>
      <c r="CW19" s="3" t="e">
        <f t="shared" ca="1" si="46"/>
        <v>#NUM!</v>
      </c>
      <c r="CX19" s="85" t="e">
        <f t="shared" ca="1" si="76"/>
        <v>#NUM!</v>
      </c>
      <c r="CY19" s="3" t="e">
        <f t="shared" ca="1" si="47"/>
        <v>#NUM!</v>
      </c>
      <c r="CZ19" s="85" t="e">
        <f t="shared" ca="1" si="77"/>
        <v>#NUM!</v>
      </c>
      <c r="DA19" s="3">
        <f>IF(RTD("tos.rtd",,DA$2,"."&amp;$A$2&amp;$AS$1&amp;"C"&amp;$A19)="N/A",0,RTD("tos.rtd",,DA$2,"."&amp;$A$2&amp;$AS$1&amp;"C"&amp;$A19))</f>
        <v>0.01</v>
      </c>
      <c r="DB19" s="3">
        <f>IF(RTD("tos.rtd",,DB$2,"."&amp;$A$2&amp;$AS$1&amp;"P"&amp;$A19)="N/A",0,RTD("tos.rtd",,DB$2,"."&amp;$A$2&amp;$AS$1&amp;"P"&amp;$A19))</f>
        <v>2.64</v>
      </c>
      <c r="DC19" s="3">
        <f>IF(RTD("tos.rtd",,DC$2,"."&amp;$A$2&amp;$AS$1&amp;"C"&amp;$A19)="N/A",0,RTD("tos.rtd",,DC$2,"."&amp;$A$2&amp;$AS$1&amp;"C"&amp;$A19))</f>
        <v>0.01</v>
      </c>
      <c r="DD19" s="3">
        <f>IF(RTD("tos.rtd",,DD$2,"."&amp;$A$2&amp;$AS$1&amp;"P"&amp;$A19)="N/A",0,RTD("tos.rtd",,DD$2,"."&amp;$A$2&amp;$AS$1&amp;"P"&amp;$A19))</f>
        <v>3.66</v>
      </c>
      <c r="DE19" s="3">
        <f>IF(RTD("tos.rtd",,DE$2,"."&amp;$A$2&amp;$AS$1&amp;"C"&amp;$A19)="N/A",0,RTD("tos.rtd",,DE$2,"."&amp;$A$2&amp;$AS$1&amp;"C"&amp;$A19))</f>
        <v>0</v>
      </c>
      <c r="DF19" s="3">
        <f>IF(RTD("tos.rtd",,DF$2,"."&amp;$A$2&amp;$AS$1&amp;"P"&amp;$A19)="N/A",0,RTD("tos.rtd",,DF$2,"."&amp;$A$2&amp;$AS$1&amp;"P"&amp;$A19))</f>
        <v>1.66</v>
      </c>
      <c r="DG19" s="86">
        <f t="shared" si="48"/>
        <v>-4.4400000000000546</v>
      </c>
      <c r="DH19" s="3">
        <f t="shared" si="22"/>
        <v>8193</v>
      </c>
      <c r="DI19" s="3">
        <f t="shared" si="49"/>
        <v>-194.04000000000005</v>
      </c>
      <c r="DJ19" s="3">
        <f t="shared" si="50"/>
        <v>8193</v>
      </c>
      <c r="DK19" s="3">
        <f t="shared" si="51"/>
        <v>0</v>
      </c>
      <c r="DL19" s="3">
        <f t="shared" si="52"/>
        <v>7998.96</v>
      </c>
      <c r="DM19" s="3">
        <f t="shared" si="53"/>
        <v>8193</v>
      </c>
      <c r="DN19" s="63" t="str">
        <f t="shared" si="54"/>
        <v>BUY</v>
      </c>
      <c r="DO19" s="63" t="str">
        <f t="shared" si="55"/>
        <v>UNKNOWN</v>
      </c>
      <c r="DP19" s="3">
        <f t="shared" si="56"/>
        <v>-430.33560000000017</v>
      </c>
      <c r="DQ19" s="3">
        <f t="shared" si="57"/>
        <v>81.93</v>
      </c>
      <c r="DR19" s="3" t="e">
        <f t="shared" ca="1" si="58"/>
        <v>#NUM!</v>
      </c>
      <c r="DS19" s="3">
        <f t="shared" si="59"/>
        <v>8193</v>
      </c>
      <c r="DT19" s="3">
        <f t="shared" si="60"/>
        <v>8193</v>
      </c>
      <c r="DU19" s="3">
        <f t="shared" si="61"/>
        <v>-396</v>
      </c>
      <c r="DV19" s="3">
        <f t="shared" si="62"/>
        <v>10771</v>
      </c>
      <c r="DW19" s="3">
        <f t="shared" si="23"/>
        <v>-14678</v>
      </c>
      <c r="DX19" s="3" t="e">
        <f t="shared" ca="1" si="24"/>
        <v>#NUM!</v>
      </c>
      <c r="DY19" s="3" t="e">
        <f t="shared" ca="1" si="25"/>
        <v>#NUM!</v>
      </c>
      <c r="DZ19" s="3">
        <f t="shared" ca="1" si="26"/>
        <v>4.6201007484275788E-2</v>
      </c>
      <c r="EA19" s="3">
        <f t="shared" ca="1" si="27"/>
        <v>-1.3660525241589162E-2</v>
      </c>
      <c r="EB19" s="3">
        <f t="shared" ca="1" si="28"/>
        <v>3.2707897158724367E-2</v>
      </c>
      <c r="EC19" s="3">
        <f t="shared" ca="1" si="29"/>
        <v>-2.0511659298854741E-2</v>
      </c>
      <c r="ED19" s="63">
        <f t="shared" si="63"/>
        <v>-3907</v>
      </c>
      <c r="EE19" s="59">
        <f t="shared" si="64"/>
        <v>0.25</v>
      </c>
      <c r="EF19" s="59">
        <f t="shared" si="30"/>
        <v>2.6469999999999998</v>
      </c>
      <c r="EG19" s="59">
        <f t="shared" si="31"/>
        <v>8.3099999999999993E-2</v>
      </c>
      <c r="EH19" s="59">
        <f t="shared" si="32"/>
        <v>0.36990000000000001</v>
      </c>
      <c r="EI19" s="59">
        <f t="shared" si="33"/>
        <v>0.14199999999999999</v>
      </c>
      <c r="EJ19" s="59">
        <f t="shared" si="34"/>
        <v>0.24160000000000001</v>
      </c>
      <c r="EK19" s="63" t="e">
        <f t="shared" ca="1" si="65"/>
        <v>#NUM!</v>
      </c>
      <c r="EL19" s="3" t="str">
        <f>RTD("tos.rtd",,EL$2,"."&amp;$A$2&amp;$AS$1&amp;"C"&amp;$A19)</f>
        <v>--</v>
      </c>
      <c r="EM19" s="3" t="str">
        <f>RTD("tos.rtd",,EM$2,"."&amp;$A$2&amp;$AS$1&amp;"P"&amp;$A19)</f>
        <v>264.70%</v>
      </c>
      <c r="EN19" s="3" t="str">
        <f>RTD("tos.rtd",,EN$2,"."&amp;$A$2&amp;$AU$1&amp;"C"&amp;$A19)</f>
        <v>8.31%</v>
      </c>
      <c r="EO19" s="3" t="str">
        <f>RTD("tos.rtd",,EO$2,"."&amp;$A$2&amp;$AU$1&amp;"P"&amp;$A19)</f>
        <v>36.99%</v>
      </c>
      <c r="EP19" s="3" t="str">
        <f>RTD("tos.rtd",,EP$2,"."&amp;$A$2&amp;$AW$1&amp;"C"&amp;$A19)</f>
        <v>14.20%</v>
      </c>
      <c r="EQ19" s="3" t="str">
        <f>RTD("tos.rtd",,EQ$2,"."&amp;$A$2&amp;$AW$1&amp;"P"&amp;$A19)</f>
        <v>24.16%</v>
      </c>
      <c r="ES19" s="63" t="str">
        <f t="shared" si="66"/>
        <v>567,-3907.00</v>
      </c>
      <c r="ET19" s="63" t="str">
        <f t="shared" ca="1" si="67"/>
        <v>567,00.00</v>
      </c>
      <c r="EU19" s="67">
        <v>565.22</v>
      </c>
      <c r="EV19" s="67" t="s">
        <v>171</v>
      </c>
      <c r="EW19" s="67">
        <v>488.66</v>
      </c>
      <c r="EX19" s="67" t="s">
        <v>172</v>
      </c>
      <c r="EY19" s="67">
        <v>5663.94</v>
      </c>
      <c r="EZ19" s="67" t="s">
        <v>173</v>
      </c>
      <c r="FA19" s="67">
        <v>20063.564999999999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8"/>
        <v>566</v>
      </c>
      <c r="B20" s="3">
        <f t="shared" si="9"/>
        <v>13784</v>
      </c>
      <c r="C20" s="3">
        <f t="shared" si="10"/>
        <v>9309</v>
      </c>
      <c r="D20" s="3">
        <f t="shared" si="11"/>
        <v>1234</v>
      </c>
      <c r="E20" s="3">
        <f t="shared" si="12"/>
        <v>24327</v>
      </c>
      <c r="F20" s="4">
        <f t="shared" si="13"/>
        <v>5695.2610947781041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-694</v>
      </c>
      <c r="AN20" s="1">
        <v>29462</v>
      </c>
      <c r="AO20" s="1">
        <v>566</v>
      </c>
      <c r="AP20" s="1">
        <v>384759</v>
      </c>
      <c r="AQ20" s="1">
        <v>-171541</v>
      </c>
      <c r="AR20" s="1"/>
      <c r="AS20" s="6">
        <f>IF(RTD("tos.rtd",,AS$2,"."&amp;$A$2&amp;$AS$1&amp;"C"&amp;$A20)="N/A",0,RTD("tos.rtd",,AS$2,"."&amp;$A$2&amp;$AS$1&amp;"C"&amp;$A20))</f>
        <v>8954</v>
      </c>
      <c r="AT20" s="7">
        <f>-IF(RTD("tos.rtd",,AT$2,"."&amp;$A$2&amp;$AS$1&amp;"P"&amp;$A20)="N/A",0,RTD("tos.rtd",,AT$2,"."&amp;$A$2&amp;$AS$1&amp;"P"&amp;$A20))</f>
        <v>-4830</v>
      </c>
      <c r="AU20" s="6">
        <f>IF(RTD("tos.rtd",,AU$2,"."&amp;$A$2&amp;$AU$1&amp;"C"&amp;$A20)="N/A",0,RTD("tos.rtd",,AU$2,"."&amp;$A$2&amp;$AU$1&amp;"C"&amp;$A20))</f>
        <v>5539</v>
      </c>
      <c r="AV20" s="7">
        <f>-IF(RTD("tos.rtd",,AV$2,"."&amp;$A$2&amp;$AU$1&amp;"P"&amp;$A20)="N/A",0,RTD("tos.rtd",,AV$2,"."&amp;$A$2&amp;$AU$1&amp;"P"&amp;$A20))</f>
        <v>-3770</v>
      </c>
      <c r="AW20" s="6">
        <f>IF(RTD("tos.rtd",,AW$2,"."&amp;$A$2&amp;$AW$1&amp;"C"&amp;$A20)="N/A",0,RTD("tos.rtd",,AW$2,"."&amp;$A$2&amp;$AW$1&amp;"C"&amp;$A20))</f>
        <v>559</v>
      </c>
      <c r="AX20" s="7">
        <f>-IF(RTD("tos.rtd",,AX$2,"."&amp;$A$2&amp;$AW$1&amp;"P"&amp;$A20)="N/A",0,RTD("tos.rtd",,AX$2,"."&amp;$A$2&amp;$AW$1&amp;"P"&amp;$A20))</f>
        <v>-675</v>
      </c>
      <c r="AY20" s="1">
        <f t="shared" si="69"/>
        <v>5777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387340</v>
      </c>
      <c r="BB20" s="7">
        <f>-IF(RTD("tos.rtd",,BB$2,"."&amp;$A$2&amp;$AS$1&amp;"P"&amp;$A20)="N/A",0,RTD("tos.rtd",,BB$2,"."&amp;$A$2&amp;$AS$1&amp;"P"&amp;$A20))</f>
        <v>-172752</v>
      </c>
      <c r="BC20" s="6">
        <f>IF(RTD("tos.rtd",,BC$2,"."&amp;$A$2&amp;$AU$1&amp;"C"&amp;$A20)="N/A",0,RTD("tos.rtd",,BC$2,"."&amp;$A$2&amp;$AU$1&amp;"C"&amp;$A20))</f>
        <v>7469</v>
      </c>
      <c r="BD20" s="7">
        <f>-IF(RTD("tos.rtd",,BD$2,"."&amp;$A$2&amp;$AU$1&amp;"P"&amp;$A20)="N/A",0,RTD("tos.rtd",,BD$2,"."&amp;$A$2&amp;$AU$1&amp;"P"&amp;$A20))</f>
        <v>-3679</v>
      </c>
      <c r="BE20" s="6">
        <f>IF(RTD("tos.rtd",,BE$2,"."&amp;$A$2&amp;$AW$1&amp;"C"&amp;$A20)="N/A",0,RTD("tos.rtd",,BE$2,"."&amp;$A$2&amp;$AW$1&amp;"C"&amp;$A20))</f>
        <v>312</v>
      </c>
      <c r="BF20" s="83">
        <f>-IF(RTD("tos.rtd",,BF$2,"."&amp;$A$2&amp;$AW$1&amp;"P"&amp;$A20)="N/A",0,RTD("tos.rtd",,BF$2,"."&amp;$A$2&amp;$AW$1&amp;"P"&amp;$A20))</f>
        <v>-491</v>
      </c>
      <c r="BG20" s="32">
        <f ca="1">+Hoja2!Y21</f>
        <v>478</v>
      </c>
      <c r="BH20" s="7">
        <f t="shared" ca="1" si="36"/>
        <v>218677</v>
      </c>
      <c r="BI20" s="8" t="str">
        <f t="shared" ref="BI20" ca="1" si="135">IF(AND(BH20&lt;0,BH19&gt;0), "Cruce -", IF(AND(BH20&gt;0,BH19&lt;0),"Cruce +", ""))</f>
        <v/>
      </c>
      <c r="BJ20" s="3" t="e">
        <f ca="1">IF($BP$1=1,DX20,IF(RTD("tos.rtd",,BJ$2,"."&amp;$A$2&amp;$AS$1&amp;"C"&amp;$A20)="N/A",0,RTD("tos.rtd",,BJ$2,"."&amp;$A$2&amp;$AS$1&amp;"C"&amp;$A20)))</f>
        <v>#NUM!</v>
      </c>
      <c r="BK20" s="3" t="e">
        <f ca="1">IF($BP$1=1,DY20,-IF(RTD("tos.rtd",,BK$2,"."&amp;$A$2&amp;$AS$1&amp;"P"&amp;$A20)="N/A",0,RTD("tos.rtd",,BK$2,"."&amp;$A$2&amp;$AS$1&amp;"P"&amp;$A20)))</f>
        <v>#NUM!</v>
      </c>
      <c r="BL20" s="3">
        <f ca="1">IF($BP$1=1,DZ20,IF(RTD("tos.rtd",,BL$2,"."&amp;$A$2&amp;$AU$1&amp;"C"&amp;$A20)="N/A",0,RTD("tos.rtd",,BL$2,"."&amp;$A$2&amp;$AU$1&amp;"C"&amp;$A20)))</f>
        <v>3.4936274811805924E-2</v>
      </c>
      <c r="BM20" s="3">
        <f ca="1">IF($BP$1=1,EA20,-IF(RTD("tos.rtd",,BM$2,"."&amp;$A$2&amp;$AU$1&amp;"P"&amp;$A20)="N/A",0,RTD("tos.rtd",,BM$2,"."&amp;$A$2&amp;$AU$1&amp;"P"&amp;$A20)))</f>
        <v>-1.3682155909137846E-2</v>
      </c>
      <c r="BN20" s="3">
        <f ca="1">IF($BP$1=1,EB20,IF(RTD("tos.rtd",,BN$2,"."&amp;$A$2&amp;$AW$1&amp;"C"&amp;$A20)="N/A",0,RTD("tos.rtd",,BN$2,"."&amp;$A$2&amp;$AW$1&amp;"C"&amp;$A20)))</f>
        <v>3.1223629786579277E-2</v>
      </c>
      <c r="BO20" s="3">
        <f ca="1">IF($BP$1=1,EC20,-IF(RTD("tos.rtd",,BO$2,"."&amp;$A$2&amp;$AW$1&amp;"P"&amp;$A20)="N/A",0,RTD("tos.rtd",,BO$2,"."&amp;$A$2&amp;$AW$1&amp;"P"&amp;$A20)))</f>
        <v>-2.0124527019760891E-2</v>
      </c>
      <c r="BQ20" s="3" t="e">
        <f t="shared" ca="1" si="37"/>
        <v>#NUM!</v>
      </c>
      <c r="BR20" s="3" t="e">
        <f t="shared" ca="1" si="71"/>
        <v>#NUM!</v>
      </c>
      <c r="BS20" s="3">
        <f t="shared" ca="1" si="38"/>
        <v>46346441.036359727</v>
      </c>
      <c r="BT20" s="3" t="str">
        <f t="shared" ca="1" si="71"/>
        <v/>
      </c>
      <c r="BU20" s="3">
        <f t="shared" ca="1" si="39"/>
        <v>1263708.7712782668</v>
      </c>
      <c r="BV20" s="3" t="str">
        <f t="shared" ref="BV20" ca="1" si="136">IF(AND(BU20&lt;0,BU19&gt;0), "Cruce -", IF(AND(BU20&gt;0,BU19&lt;0),"Cruce +", ""))</f>
        <v/>
      </c>
      <c r="BX20" s="3" t="e">
        <f t="shared" ca="1" si="40"/>
        <v>#NUM!</v>
      </c>
      <c r="BY20" s="3" t="e">
        <f t="shared" ca="1" si="73"/>
        <v>#NUM!</v>
      </c>
      <c r="BZ20" s="3">
        <f t="shared" ca="1" si="41"/>
        <v>68770876.460179731</v>
      </c>
      <c r="CA20" s="3" t="str">
        <f t="shared" ca="1" si="74"/>
        <v/>
      </c>
      <c r="CB20" s="3">
        <f t="shared" ca="1" si="42"/>
        <v>-45510.481030708179</v>
      </c>
      <c r="CC20" s="3" t="str">
        <f t="shared" ca="1" si="75"/>
        <v/>
      </c>
      <c r="CD20" s="3">
        <f>IF(RTD("tos.rtd",,CD$2,"."&amp;$A$2&amp;$AS$1&amp;"C"&amp;$A20)="N/A",0,RTD("tos.rtd",,CD$2,"."&amp;$A$2&amp;$AS$1&amp;"C"&amp;$A20))</f>
        <v>1</v>
      </c>
      <c r="CE20" s="3">
        <f>-IF(RTD("tos.rtd",,CE$2,"."&amp;$A$2&amp;$AS$1&amp;"P"&amp;$A20)="N/A",0,RTD("tos.rtd",,CE$2,"."&amp;$A$2&amp;$AS$1&amp;"P"&amp;$A20))</f>
        <v>0.28000000000000003</v>
      </c>
      <c r="CF20" s="3">
        <f>IF(RTD("tos.rtd",,CF$2,"."&amp;$A$2&amp;$AU$1&amp;"C"&amp;$A20)="N/A",0,RTD("tos.rtd",,CF$2,"."&amp;$A$2&amp;$AU$1&amp;"C"&amp;$A20))</f>
        <v>0.95</v>
      </c>
      <c r="CG20" s="3">
        <f>-IF(RTD("tos.rtd",,CG$2,"."&amp;$A$2&amp;$AU$1&amp;"P"&amp;$A20)="N/A",0,RTD("tos.rtd",,CG$2,"."&amp;$A$2&amp;$AU$1&amp;"P"&amp;$A20))</f>
        <v>0.4</v>
      </c>
      <c r="CH20" s="3">
        <f>IF(RTD("tos.rtd",,CH$2,"."&amp;$A$2&amp;$AW$1&amp;"C"&amp;$A20)="N/A",0,RTD("tos.rtd",,CH$2,"."&amp;$A$2&amp;$AW$1&amp;"C"&amp;$A20))</f>
        <v>0.62</v>
      </c>
      <c r="CI20" s="3">
        <f>-IF(RTD("tos.rtd",,CI$2,"."&amp;$A$2&amp;$AW$1&amp;"P"&amp;$A20)="N/A",0,RTD("tos.rtd",,CI$2,"."&amp;$A$2&amp;$AW$1&amp;"P"&amp;$A20))</f>
        <v>0.42</v>
      </c>
      <c r="CK20" s="3">
        <f t="shared" si="17"/>
        <v>760160</v>
      </c>
      <c r="CL20" s="3"/>
      <c r="CM20" s="3">
        <f t="shared" si="18"/>
        <v>375405</v>
      </c>
      <c r="CN20" s="3"/>
      <c r="CO20" s="3">
        <f t="shared" si="19"/>
        <v>6308</v>
      </c>
      <c r="CP20" s="3">
        <f t="shared" si="43"/>
        <v>1141873</v>
      </c>
      <c r="CQ20" s="3">
        <f t="shared" si="44"/>
        <v>214588</v>
      </c>
      <c r="CR20" s="3"/>
      <c r="CS20" s="3">
        <f t="shared" si="20"/>
        <v>3790</v>
      </c>
      <c r="CT20" s="3"/>
      <c r="CU20" s="3">
        <f t="shared" si="21"/>
        <v>-179</v>
      </c>
      <c r="CV20" s="3">
        <f t="shared" si="45"/>
        <v>218199</v>
      </c>
      <c r="CW20" s="3" t="e">
        <f t="shared" ca="1" si="46"/>
        <v>#NUM!</v>
      </c>
      <c r="CX20" s="85" t="e">
        <f t="shared" ca="1" si="76"/>
        <v>#NUM!</v>
      </c>
      <c r="CY20" s="3" t="e">
        <f t="shared" ca="1" si="47"/>
        <v>#NUM!</v>
      </c>
      <c r="CZ20" s="85" t="e">
        <f t="shared" ca="1" si="77"/>
        <v>#NUM!</v>
      </c>
      <c r="DA20" s="3">
        <f>IF(RTD("tos.rtd",,DA$2,"."&amp;$A$2&amp;$AS$1&amp;"C"&amp;$A20)="N/A",0,RTD("tos.rtd",,DA$2,"."&amp;$A$2&amp;$AS$1&amp;"C"&amp;$A20))</f>
        <v>0.01</v>
      </c>
      <c r="DB20" s="3">
        <f>IF(RTD("tos.rtd",,DB$2,"."&amp;$A$2&amp;$AS$1&amp;"P"&amp;$A20)="N/A",0,RTD("tos.rtd",,DB$2,"."&amp;$A$2&amp;$AS$1&amp;"P"&amp;$A20))</f>
        <v>1.69</v>
      </c>
      <c r="DC20" s="3">
        <f>IF(RTD("tos.rtd",,DC$2,"."&amp;$A$2&amp;$AS$1&amp;"C"&amp;$A20)="N/A",0,RTD("tos.rtd",,DC$2,"."&amp;$A$2&amp;$AS$1&amp;"C"&amp;$A20))</f>
        <v>0.01</v>
      </c>
      <c r="DD20" s="3">
        <f>IF(RTD("tos.rtd",,DD$2,"."&amp;$A$2&amp;$AS$1&amp;"P"&amp;$A20)="N/A",0,RTD("tos.rtd",,DD$2,"."&amp;$A$2&amp;$AS$1&amp;"P"&amp;$A20))</f>
        <v>2.61</v>
      </c>
      <c r="DE20" s="3">
        <f>IF(RTD("tos.rtd",,DE$2,"."&amp;$A$2&amp;$AS$1&amp;"C"&amp;$A20)="N/A",0,RTD("tos.rtd",,DE$2,"."&amp;$A$2&amp;$AS$1&amp;"C"&amp;$A20))</f>
        <v>0</v>
      </c>
      <c r="DF20" s="3">
        <f>IF(RTD("tos.rtd",,DF$2,"."&amp;$A$2&amp;$AS$1&amp;"P"&amp;$A20)="N/A",0,RTD("tos.rtd",,DF$2,"."&amp;$A$2&amp;$AS$1&amp;"P"&amp;$A20))</f>
        <v>0.69</v>
      </c>
      <c r="DG20" s="86">
        <f t="shared" si="48"/>
        <v>-5.4400000000000546</v>
      </c>
      <c r="DH20" s="3">
        <f t="shared" si="22"/>
        <v>2581</v>
      </c>
      <c r="DI20" s="3">
        <f t="shared" si="49"/>
        <v>-630.72916666666674</v>
      </c>
      <c r="DJ20" s="3">
        <f t="shared" si="50"/>
        <v>2581</v>
      </c>
      <c r="DK20" s="3">
        <f t="shared" si="51"/>
        <v>0</v>
      </c>
      <c r="DL20" s="3">
        <f t="shared" si="52"/>
        <v>1950.2708333333333</v>
      </c>
      <c r="DM20" s="3">
        <f t="shared" si="53"/>
        <v>2581</v>
      </c>
      <c r="DN20" s="63" t="str">
        <f t="shared" si="54"/>
        <v>BUY</v>
      </c>
      <c r="DO20" s="63" t="str">
        <f t="shared" si="55"/>
        <v>UNKNOWN</v>
      </c>
      <c r="DP20" s="3">
        <f t="shared" si="56"/>
        <v>-1040.1222916666668</v>
      </c>
      <c r="DQ20" s="3">
        <f t="shared" si="57"/>
        <v>25.810000000000002</v>
      </c>
      <c r="DR20" s="3" t="e">
        <f t="shared" ca="1" si="58"/>
        <v>#NUM!</v>
      </c>
      <c r="DS20" s="3">
        <f t="shared" si="59"/>
        <v>2581</v>
      </c>
      <c r="DT20" s="3">
        <f t="shared" si="60"/>
        <v>2581</v>
      </c>
      <c r="DU20" s="3">
        <f t="shared" si="61"/>
        <v>-1211</v>
      </c>
      <c r="DV20" s="3">
        <f t="shared" si="62"/>
        <v>1887</v>
      </c>
      <c r="DW20" s="3">
        <f t="shared" si="23"/>
        <v>29462</v>
      </c>
      <c r="DX20" s="3" t="e">
        <f t="shared" ca="1" si="24"/>
        <v>#NUM!</v>
      </c>
      <c r="DY20" s="3" t="e">
        <f t="shared" ca="1" si="25"/>
        <v>#NUM!</v>
      </c>
      <c r="DZ20" s="3">
        <f t="shared" ca="1" si="26"/>
        <v>3.4936274811805924E-2</v>
      </c>
      <c r="EA20" s="3">
        <f t="shared" ca="1" si="27"/>
        <v>-1.3682155909137846E-2</v>
      </c>
      <c r="EB20" s="3">
        <f t="shared" ca="1" si="28"/>
        <v>3.1223629786579277E-2</v>
      </c>
      <c r="EC20" s="3">
        <f t="shared" ca="1" si="29"/>
        <v>-2.0124527019760891E-2</v>
      </c>
      <c r="ED20" s="63">
        <f t="shared" si="63"/>
        <v>31349</v>
      </c>
      <c r="EE20" s="59">
        <f t="shared" si="64"/>
        <v>0.25</v>
      </c>
      <c r="EF20" s="59">
        <f t="shared" si="30"/>
        <v>2.1949000000000001</v>
      </c>
      <c r="EG20" s="59">
        <f t="shared" si="31"/>
        <v>5.3900000000000003E-2</v>
      </c>
      <c r="EH20" s="59">
        <f t="shared" si="32"/>
        <v>0.3664</v>
      </c>
      <c r="EI20" s="59">
        <f t="shared" si="33"/>
        <v>0.1421</v>
      </c>
      <c r="EJ20" s="59">
        <f t="shared" si="34"/>
        <v>0.24229999999999999</v>
      </c>
      <c r="EK20" s="63" t="e">
        <f t="shared" ca="1" si="65"/>
        <v>#NUM!</v>
      </c>
      <c r="EL20" s="3" t="str">
        <f>RTD("tos.rtd",,EL$2,"."&amp;$A$2&amp;$AS$1&amp;"C"&amp;$A20)</f>
        <v>--</v>
      </c>
      <c r="EM20" s="3" t="str">
        <f>RTD("tos.rtd",,EM$2,"."&amp;$A$2&amp;$AS$1&amp;"P"&amp;$A20)</f>
        <v>219.49%</v>
      </c>
      <c r="EN20" s="3" t="str">
        <f>RTD("tos.rtd",,EN$2,"."&amp;$A$2&amp;$AU$1&amp;"C"&amp;$A20)</f>
        <v>5.39%</v>
      </c>
      <c r="EO20" s="3" t="str">
        <f>RTD("tos.rtd",,EO$2,"."&amp;$A$2&amp;$AU$1&amp;"P"&amp;$A20)</f>
        <v>36.64%</v>
      </c>
      <c r="EP20" s="3" t="str">
        <f>RTD("tos.rtd",,EP$2,"."&amp;$A$2&amp;$AW$1&amp;"C"&amp;$A20)</f>
        <v>14.21%</v>
      </c>
      <c r="EQ20" s="3" t="str">
        <f>RTD("tos.rtd",,EQ$2,"."&amp;$A$2&amp;$AW$1&amp;"P"&amp;$A20)</f>
        <v>24.23%</v>
      </c>
      <c r="ES20" s="63" t="str">
        <f t="shared" si="66"/>
        <v>566,31349.00</v>
      </c>
      <c r="ET20" s="63" t="str">
        <f t="shared" ca="1" si="67"/>
        <v>566,00.00</v>
      </c>
      <c r="EU20" s="67">
        <v>565.25</v>
      </c>
      <c r="EV20" s="67" t="s">
        <v>179</v>
      </c>
      <c r="EW20" s="67">
        <v>488.69</v>
      </c>
      <c r="EX20" s="67" t="s">
        <v>180</v>
      </c>
      <c r="EY20" s="67">
        <v>5663.94</v>
      </c>
      <c r="EZ20" s="67" t="s">
        <v>181</v>
      </c>
      <c r="FA20" s="67">
        <v>20063.564999999999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8"/>
        <v>565</v>
      </c>
      <c r="B21" s="33">
        <f t="shared" si="9"/>
        <v>19993</v>
      </c>
      <c r="C21" s="33">
        <f t="shared" si="10"/>
        <v>30509</v>
      </c>
      <c r="D21" s="33">
        <f t="shared" si="11"/>
        <v>32678</v>
      </c>
      <c r="E21" s="33">
        <f t="shared" si="12"/>
        <v>83180</v>
      </c>
      <c r="F21" s="34">
        <f t="shared" si="13"/>
        <v>5685.1987960240795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-46214</v>
      </c>
      <c r="AN21" s="12">
        <v>-20046</v>
      </c>
      <c r="AO21" s="12">
        <v>565</v>
      </c>
      <c r="AP21" s="12">
        <v>486365</v>
      </c>
      <c r="AQ21" s="12">
        <v>-345961</v>
      </c>
      <c r="AR21" s="12"/>
      <c r="AS21" s="13">
        <f>IF(RTD("tos.rtd",,AS$2,"."&amp;$A$2&amp;$AS$1&amp;"C"&amp;$A21)="N/A",0,RTD("tos.rtd",,AS$2,"."&amp;$A$2&amp;$AS$1&amp;"C"&amp;$A21))</f>
        <v>8590</v>
      </c>
      <c r="AT21" s="29">
        <f>-IF(RTD("tos.rtd",,AT$2,"."&amp;$A$2&amp;$AS$1&amp;"P"&amp;$A21)="N/A",0,RTD("tos.rtd",,AT$2,"."&amp;$A$2&amp;$AS$1&amp;"P"&amp;$A21))</f>
        <v>-11403</v>
      </c>
      <c r="AU21" s="13">
        <f>IF(RTD("tos.rtd",,AU$2,"."&amp;$A$2&amp;$AU$1&amp;"C"&amp;$A21)="N/A",0,RTD("tos.rtd",,AU$2,"."&amp;$A$2&amp;$AU$1&amp;"C"&amp;$A21))</f>
        <v>18222</v>
      </c>
      <c r="AV21" s="29">
        <f>-IF(RTD("tos.rtd",,AV$2,"."&amp;$A$2&amp;$AU$1&amp;"P"&amp;$A21)="N/A",0,RTD("tos.rtd",,AV$2,"."&amp;$A$2&amp;$AU$1&amp;"P"&amp;$A21))</f>
        <v>-12287</v>
      </c>
      <c r="AW21" s="13">
        <f>IF(RTD("tos.rtd",,AW$2,"."&amp;$A$2&amp;$AW$1&amp;"C"&amp;$A21)="N/A",0,RTD("tos.rtd",,AW$2,"."&amp;$A$2&amp;$AW$1&amp;"C"&amp;$A21))</f>
        <v>20435</v>
      </c>
      <c r="AX21" s="29">
        <f>-IF(RTD("tos.rtd",,AX$2,"."&amp;$A$2&amp;$AW$1&amp;"P"&amp;$A21)="N/A",0,RTD("tos.rtd",,AX$2,"."&amp;$A$2&amp;$AW$1&amp;"P"&amp;$A21))</f>
        <v>-12243</v>
      </c>
      <c r="AY21" s="1">
        <f t="shared" si="69"/>
        <v>11314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491754</v>
      </c>
      <c r="BB21" s="29">
        <f>-IF(RTD("tos.rtd",,BB$2,"."&amp;$A$2&amp;$AS$1&amp;"P"&amp;$A21)="N/A",0,RTD("tos.rtd",,BB$2,"."&amp;$A$2&amp;$AS$1&amp;"P"&amp;$A21))</f>
        <v>-347771</v>
      </c>
      <c r="BC21" s="13">
        <f>IF(RTD("tos.rtd",,BC$2,"."&amp;$A$2&amp;$AU$1&amp;"C"&amp;$A21)="N/A",0,RTD("tos.rtd",,BC$2,"."&amp;$A$2&amp;$AU$1&amp;"C"&amp;$A21))</f>
        <v>28175</v>
      </c>
      <c r="BD21" s="29">
        <f>-IF(RTD("tos.rtd",,BD$2,"."&amp;$A$2&amp;$AU$1&amp;"P"&amp;$A21)="N/A",0,RTD("tos.rtd",,BD$2,"."&amp;$A$2&amp;$AU$1&amp;"P"&amp;$A21))</f>
        <v>-27590</v>
      </c>
      <c r="BE21" s="13">
        <f>IF(RTD("tos.rtd",,BE$2,"."&amp;$A$2&amp;$AW$1&amp;"C"&amp;$A21)="N/A",0,RTD("tos.rtd",,BE$2,"."&amp;$A$2&amp;$AW$1&amp;"C"&amp;$A21))</f>
        <v>2738</v>
      </c>
      <c r="BF21" s="12">
        <f>-IF(RTD("tos.rtd",,BF$2,"."&amp;$A$2&amp;$AW$1&amp;"P"&amp;$A21)="N/A",0,RTD("tos.rtd",,BF$2,"."&amp;$A$2&amp;$AW$1&amp;"P"&amp;$A21))</f>
        <v>-7136</v>
      </c>
      <c r="BG21" s="100">
        <f ca="1">+Hoja2!Y22</f>
        <v>3299</v>
      </c>
      <c r="BH21" s="29">
        <f t="shared" ca="1" si="36"/>
        <v>143469</v>
      </c>
      <c r="BI21" s="8" t="str">
        <f t="shared" ref="BI21" ca="1" si="137">IF(AND(BH21&lt;0,BH20&gt;0), "Cruce -", IF(AND(BH21&gt;0,BH20&lt;0),"Cruce +", ""))</f>
        <v/>
      </c>
      <c r="BJ21" s="3" t="e">
        <f ca="1">IF($BP$1=1,DX21,IF(RTD("tos.rtd",,BJ$2,"."&amp;$A$2&amp;$AS$1&amp;"C"&amp;$A21)="N/A",0,RTD("tos.rtd",,BJ$2,"."&amp;$A$2&amp;$AS$1&amp;"C"&amp;$A21)))</f>
        <v>#NUM!</v>
      </c>
      <c r="BK21" s="3" t="e">
        <f ca="1">IF($BP$1=1,DY21,-IF(RTD("tos.rtd",,BK$2,"."&amp;$A$2&amp;$AS$1&amp;"P"&amp;$A21)="N/A",0,RTD("tos.rtd",,BK$2,"."&amp;$A$2&amp;$AS$1&amp;"P"&amp;$A21)))</f>
        <v>#NUM!</v>
      </c>
      <c r="BL21" s="3">
        <f ca="1">IF($BP$1=1,DZ21,IF(RTD("tos.rtd",,BL$2,"."&amp;$A$2&amp;$AU$1&amp;"C"&amp;$A21)="N/A",0,RTD("tos.rtd",,BL$2,"."&amp;$A$2&amp;$AU$1&amp;"C"&amp;$A21)))</f>
        <v>1.9211001175265679E-2</v>
      </c>
      <c r="BM21" s="3">
        <f ca="1">IF($BP$1=1,EA21,-IF(RTD("tos.rtd",,BM$2,"."&amp;$A$2&amp;$AU$1&amp;"P"&amp;$A21)="N/A",0,RTD("tos.rtd",,BM$2,"."&amp;$A$2&amp;$AU$1&amp;"P"&amp;$A21)))</f>
        <v>-1.3669328021931304E-2</v>
      </c>
      <c r="BN21" s="3">
        <f ca="1">IF($BP$1=1,EB21,IF(RTD("tos.rtd",,BN$2,"."&amp;$A$2&amp;$AW$1&amp;"C"&amp;$A21)="N/A",0,RTD("tos.rtd",,BN$2,"."&amp;$A$2&amp;$AW$1&amp;"C"&amp;$A21)))</f>
        <v>2.9545817465444088E-2</v>
      </c>
      <c r="BO21" s="3">
        <f ca="1">IF($BP$1=1,EC21,-IF(RTD("tos.rtd",,BO$2,"."&amp;$A$2&amp;$AW$1&amp;"P"&amp;$A21)="N/A",0,RTD("tos.rtd",,BO$2,"."&amp;$A$2&amp;$AW$1&amp;"P"&amp;$A21)))</f>
        <v>-1.9697993406937158E-2</v>
      </c>
      <c r="BQ21" s="3" t="e">
        <f t="shared" ca="1" si="37"/>
        <v>#NUM!</v>
      </c>
      <c r="BR21" s="3" t="e">
        <f t="shared" ca="1" si="71"/>
        <v>#NUM!</v>
      </c>
      <c r="BS21" s="3">
        <f t="shared" ca="1" si="38"/>
        <v>59466159.802861989</v>
      </c>
      <c r="BT21" s="3" t="str">
        <f t="shared" ca="1" si="71"/>
        <v/>
      </c>
      <c r="BU21" s="3">
        <f t="shared" ca="1" si="39"/>
        <v>118406775.84330642</v>
      </c>
      <c r="BV21" s="3" t="str">
        <f t="shared" ref="BV21" ca="1" si="138">IF(AND(BU21&lt;0,BU20&gt;0), "Cruce -", IF(AND(BU21&gt;0,BU20&lt;0),"Cruce +", ""))</f>
        <v/>
      </c>
      <c r="BX21" s="3" t="e">
        <f t="shared" ca="1" si="40"/>
        <v>#NUM!</v>
      </c>
      <c r="BY21" s="3" t="e">
        <f t="shared" ca="1" si="73"/>
        <v>#NUM!</v>
      </c>
      <c r="BZ21" s="3">
        <f t="shared" ca="1" si="41"/>
        <v>53596657.430726081</v>
      </c>
      <c r="CA21" s="3" t="str">
        <f t="shared" ca="1" si="74"/>
        <v/>
      </c>
      <c r="CB21" s="3">
        <f t="shared" ca="1" si="42"/>
        <v>-19484349.222104259</v>
      </c>
      <c r="CC21" s="3" t="str">
        <f t="shared" ca="1" si="75"/>
        <v/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0.17</v>
      </c>
      <c r="CF21" s="3">
        <f>IF(RTD("tos.rtd",,CF$2,"."&amp;$A$2&amp;$AU$1&amp;"C"&amp;$A21)="N/A",0,RTD("tos.rtd",,CF$2,"."&amp;$A$2&amp;$AU$1&amp;"C"&amp;$A21))</f>
        <v>1</v>
      </c>
      <c r="CG21" s="3">
        <f>-IF(RTD("tos.rtd",,CG$2,"."&amp;$A$2&amp;$AU$1&amp;"P"&amp;$A21)="N/A",0,RTD("tos.rtd",,CG$2,"."&amp;$A$2&amp;$AU$1&amp;"P"&amp;$A21))</f>
        <v>0.38</v>
      </c>
      <c r="CH21" s="3">
        <f>IF(RTD("tos.rtd",,CH$2,"."&amp;$A$2&amp;$AW$1&amp;"C"&amp;$A21)="N/A",0,RTD("tos.rtd",,CH$2,"."&amp;$A$2&amp;$AW$1&amp;"C"&amp;$A21))</f>
        <v>0.63</v>
      </c>
      <c r="CI21" s="3">
        <f>-IF(RTD("tos.rtd",,CI$2,"."&amp;$A$2&amp;$AW$1&amp;"P"&amp;$A21)="N/A",0,RTD("tos.rtd",,CI$2,"."&amp;$A$2&amp;$AW$1&amp;"P"&amp;$A21))</f>
        <v>0.41</v>
      </c>
      <c r="CK21" s="3">
        <f t="shared" si="17"/>
        <v>665149</v>
      </c>
      <c r="CL21" s="3"/>
      <c r="CM21" s="3">
        <f t="shared" si="18"/>
        <v>1355294</v>
      </c>
      <c r="CN21" s="3"/>
      <c r="CO21" s="3">
        <f t="shared" si="19"/>
        <v>785442</v>
      </c>
      <c r="CP21" s="3">
        <f t="shared" si="43"/>
        <v>2805885</v>
      </c>
      <c r="CQ21" s="3">
        <f t="shared" si="44"/>
        <v>143983</v>
      </c>
      <c r="CR21" s="3"/>
      <c r="CS21" s="3">
        <f t="shared" si="20"/>
        <v>585</v>
      </c>
      <c r="CT21" s="3"/>
      <c r="CU21" s="3">
        <f t="shared" si="21"/>
        <v>-4398</v>
      </c>
      <c r="CV21" s="3">
        <f t="shared" si="45"/>
        <v>140170</v>
      </c>
      <c r="CW21" s="3" t="e">
        <f t="shared" ca="1" si="46"/>
        <v>#NUM!</v>
      </c>
      <c r="CX21" s="85" t="e">
        <f t="shared" ca="1" si="76"/>
        <v>#NUM!</v>
      </c>
      <c r="CY21" s="3" t="e">
        <f t="shared" ca="1" si="47"/>
        <v>#NUM!</v>
      </c>
      <c r="CZ21" s="85" t="e">
        <f t="shared" ca="1" si="77"/>
        <v>#NUM!</v>
      </c>
      <c r="DA21" s="3">
        <f>IF(RTD("tos.rtd",,DA$2,"."&amp;$A$2&amp;$AS$1&amp;"C"&amp;$A21)="N/A",0,RTD("tos.rtd",,DA$2,"."&amp;$A$2&amp;$AS$1&amp;"C"&amp;$A21))</f>
        <v>0.01</v>
      </c>
      <c r="DB21" s="3">
        <f>IF(RTD("tos.rtd",,DB$2,"."&amp;$A$2&amp;$AS$1&amp;"P"&amp;$A21)="N/A",0,RTD("tos.rtd",,DB$2,"."&amp;$A$2&amp;$AS$1&amp;"P"&amp;$A21))</f>
        <v>0.59</v>
      </c>
      <c r="DC21" s="3">
        <f>IF(RTD("tos.rtd",,DC$2,"."&amp;$A$2&amp;$AS$1&amp;"C"&amp;$A21)="N/A",0,RTD("tos.rtd",,DC$2,"."&amp;$A$2&amp;$AS$1&amp;"C"&amp;$A21))</f>
        <v>0.02</v>
      </c>
      <c r="DD21" s="3">
        <f>IF(RTD("tos.rtd",,DD$2,"."&amp;$A$2&amp;$AS$1&amp;"P"&amp;$A21)="N/A",0,RTD("tos.rtd",,DD$2,"."&amp;$A$2&amp;$AS$1&amp;"P"&amp;$A21))</f>
        <v>0.66</v>
      </c>
      <c r="DE21" s="3">
        <f>IF(RTD("tos.rtd",,DE$2,"."&amp;$A$2&amp;$AS$1&amp;"C"&amp;$A21)="N/A",0,RTD("tos.rtd",,DE$2,"."&amp;$A$2&amp;$AS$1&amp;"C"&amp;$A21))</f>
        <v>0.01</v>
      </c>
      <c r="DF21" s="3">
        <f>IF(RTD("tos.rtd",,DF$2,"."&amp;$A$2&amp;$AS$1&amp;"P"&amp;$A21)="N/A",0,RTD("tos.rtd",,DF$2,"."&amp;$A$2&amp;$AS$1&amp;"P"&amp;$A21))</f>
        <v>0.53</v>
      </c>
      <c r="DG21" s="86">
        <f t="shared" si="48"/>
        <v>-6.4400000000000546</v>
      </c>
      <c r="DH21" s="3">
        <f t="shared" si="22"/>
        <v>0</v>
      </c>
      <c r="DI21" s="3">
        <f t="shared" si="49"/>
        <v>-835.38461538461456</v>
      </c>
      <c r="DJ21" s="3">
        <f t="shared" si="50"/>
        <v>-5389</v>
      </c>
      <c r="DK21" s="3">
        <f t="shared" si="51"/>
        <v>0</v>
      </c>
      <c r="DL21" s="3">
        <f t="shared" si="52"/>
        <v>-835.38461538461456</v>
      </c>
      <c r="DM21" s="3">
        <f t="shared" si="53"/>
        <v>-5389</v>
      </c>
      <c r="DN21" s="63" t="str">
        <f t="shared" si="54"/>
        <v>SELL</v>
      </c>
      <c r="DO21" s="63" t="str">
        <f t="shared" si="55"/>
        <v>UNKNOWN</v>
      </c>
      <c r="DP21" s="3">
        <f t="shared" si="56"/>
        <v>-492.87692307692259</v>
      </c>
      <c r="DQ21" s="3">
        <f t="shared" si="57"/>
        <v>-53.89</v>
      </c>
      <c r="DR21" s="3" t="e">
        <f t="shared" ca="1" si="58"/>
        <v>#NUM!</v>
      </c>
      <c r="DS21" s="3">
        <f t="shared" si="59"/>
        <v>-5389</v>
      </c>
      <c r="DT21" s="3">
        <f t="shared" si="60"/>
        <v>5389</v>
      </c>
      <c r="DU21" s="3">
        <f t="shared" si="61"/>
        <v>-1810</v>
      </c>
      <c r="DV21" s="3">
        <f t="shared" si="62"/>
        <v>-51603</v>
      </c>
      <c r="DW21" s="3">
        <f t="shared" si="23"/>
        <v>-20046</v>
      </c>
      <c r="DX21" s="3" t="e">
        <f t="shared" ca="1" si="24"/>
        <v>#NUM!</v>
      </c>
      <c r="DY21" s="3" t="e">
        <f t="shared" ca="1" si="25"/>
        <v>#NUM!</v>
      </c>
      <c r="DZ21" s="3">
        <f t="shared" ca="1" si="26"/>
        <v>1.9211001175265679E-2</v>
      </c>
      <c r="EA21" s="3">
        <f t="shared" ca="1" si="27"/>
        <v>-1.3669328021931304E-2</v>
      </c>
      <c r="EB21" s="3">
        <f t="shared" ca="1" si="28"/>
        <v>2.9545817465444088E-2</v>
      </c>
      <c r="EC21" s="3">
        <f t="shared" ca="1" si="29"/>
        <v>-1.9697993406937158E-2</v>
      </c>
      <c r="ED21" s="63">
        <f t="shared" si="63"/>
        <v>-71649</v>
      </c>
      <c r="EE21" s="59">
        <f t="shared" si="64"/>
        <v>0.25</v>
      </c>
      <c r="EF21" s="59">
        <f t="shared" si="30"/>
        <v>1.5557000000000001</v>
      </c>
      <c r="EG21" s="59">
        <f t="shared" si="31"/>
        <v>0.25</v>
      </c>
      <c r="EH21" s="59">
        <f t="shared" si="32"/>
        <v>0.36330000000000001</v>
      </c>
      <c r="EI21" s="59">
        <f t="shared" si="33"/>
        <v>0.14230000000000001</v>
      </c>
      <c r="EJ21" s="59">
        <f t="shared" si="34"/>
        <v>0.2429</v>
      </c>
      <c r="EK21" s="63" t="e">
        <f t="shared" ca="1" si="65"/>
        <v>#NUM!</v>
      </c>
      <c r="EL21" s="3" t="str">
        <f>RTD("tos.rtd",,EL$2,"."&amp;$A$2&amp;$AS$1&amp;"C"&amp;$A21)</f>
        <v>--</v>
      </c>
      <c r="EM21" s="3" t="str">
        <f>RTD("tos.rtd",,EM$2,"."&amp;$A$2&amp;$AS$1&amp;"P"&amp;$A21)</f>
        <v>155.57%</v>
      </c>
      <c r="EN21" s="3" t="str">
        <f>RTD("tos.rtd",,EN$2,"."&amp;$A$2&amp;$AU$1&amp;"C"&amp;$A21)</f>
        <v>--</v>
      </c>
      <c r="EO21" s="3" t="str">
        <f>RTD("tos.rtd",,EO$2,"."&amp;$A$2&amp;$AU$1&amp;"P"&amp;$A21)</f>
        <v>36.33%</v>
      </c>
      <c r="EP21" s="3" t="str">
        <f>RTD("tos.rtd",,EP$2,"."&amp;$A$2&amp;$AW$1&amp;"C"&amp;$A21)</f>
        <v>14.23%</v>
      </c>
      <c r="EQ21" s="3" t="str">
        <f>RTD("tos.rtd",,EQ$2,"."&amp;$A$2&amp;$AW$1&amp;"P"&amp;$A21)</f>
        <v>24.29%</v>
      </c>
      <c r="ES21" s="63" t="str">
        <f t="shared" si="66"/>
        <v>565,-71649.00</v>
      </c>
      <c r="ET21" s="63" t="str">
        <f t="shared" ca="1" si="67"/>
        <v>565,00.00</v>
      </c>
      <c r="EU21" s="67">
        <v>565.22</v>
      </c>
      <c r="EV21" s="67" t="s">
        <v>187</v>
      </c>
      <c r="EW21" s="67">
        <v>488.65</v>
      </c>
      <c r="EX21" s="67" t="s">
        <v>188</v>
      </c>
      <c r="EY21" s="67">
        <v>5663.94</v>
      </c>
      <c r="EZ21" s="67" t="s">
        <v>189</v>
      </c>
      <c r="FA21" s="67">
        <v>20063.564999999999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8"/>
        <v>564</v>
      </c>
      <c r="B22" s="3">
        <f t="shared" si="9"/>
        <v>9614</v>
      </c>
      <c r="C22" s="3">
        <f t="shared" si="10"/>
        <v>5186</v>
      </c>
      <c r="D22" s="3">
        <f t="shared" si="11"/>
        <v>1302</v>
      </c>
      <c r="E22" s="3">
        <f t="shared" si="12"/>
        <v>16102</v>
      </c>
      <c r="F22" s="14">
        <f t="shared" si="13"/>
        <v>5675.136497270054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-32468</v>
      </c>
      <c r="AN22" s="1">
        <v>-75809</v>
      </c>
      <c r="AO22" s="1">
        <v>564</v>
      </c>
      <c r="AP22" s="1">
        <v>309884</v>
      </c>
      <c r="AQ22" s="1">
        <v>-418996</v>
      </c>
      <c r="AR22" s="1"/>
      <c r="AS22" s="6">
        <f>IF(RTD("tos.rtd",,AS$2,"."&amp;$A$2&amp;$AS$1&amp;"C"&amp;$A22)="N/A",0,RTD("tos.rtd",,AS$2,"."&amp;$A$2&amp;$AS$1&amp;"C"&amp;$A22))</f>
        <v>4240</v>
      </c>
      <c r="AT22" s="7">
        <f>-IF(RTD("tos.rtd",,AT$2,"."&amp;$A$2&amp;$AS$1&amp;"P"&amp;$A22)="N/A",0,RTD("tos.rtd",,AT$2,"."&amp;$A$2&amp;$AS$1&amp;"P"&amp;$A22))</f>
        <v>-5374</v>
      </c>
      <c r="AU22" s="6">
        <f>IF(RTD("tos.rtd",,AU$2,"."&amp;$A$2&amp;$AU$1&amp;"C"&amp;$A22)="N/A",0,RTD("tos.rtd",,AU$2,"."&amp;$A$2&amp;$AU$1&amp;"C"&amp;$A22))</f>
        <v>3149</v>
      </c>
      <c r="AV22" s="7">
        <f>-IF(RTD("tos.rtd",,AV$2,"."&amp;$A$2&amp;$AU$1&amp;"P"&amp;$A22)="N/A",0,RTD("tos.rtd",,AV$2,"."&amp;$A$2&amp;$AU$1&amp;"P"&amp;$A22))</f>
        <v>-2037</v>
      </c>
      <c r="AW22" s="6">
        <f>IF(RTD("tos.rtd",,AW$2,"."&amp;$A$2&amp;$AW$1&amp;"C"&amp;$A22)="N/A",0,RTD("tos.rtd",,AW$2,"."&amp;$A$2&amp;$AW$1&amp;"C"&amp;$A22))</f>
        <v>665</v>
      </c>
      <c r="AX22" s="7">
        <f>-IF(RTD("tos.rtd",,AX$2,"."&amp;$A$2&amp;$AW$1&amp;"P"&amp;$A22)="N/A",0,RTD("tos.rtd",,AX$2,"."&amp;$A$2&amp;$AW$1&amp;"P"&amp;$A22))</f>
        <v>-637</v>
      </c>
      <c r="AY22" s="1">
        <f t="shared" si="69"/>
        <v>6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311920</v>
      </c>
      <c r="BB22" s="7">
        <f>-IF(RTD("tos.rtd",,BB$2,"."&amp;$A$2&amp;$AS$1&amp;"P"&amp;$A22)="N/A",0,RTD("tos.rtd",,BB$2,"."&amp;$A$2&amp;$AS$1&amp;"P"&amp;$A22))</f>
        <v>-423574</v>
      </c>
      <c r="BC22" s="6">
        <f>IF(RTD("tos.rtd",,BC$2,"."&amp;$A$2&amp;$AU$1&amp;"C"&amp;$A22)="N/A",0,RTD("tos.rtd",,BC$2,"."&amp;$A$2&amp;$AU$1&amp;"C"&amp;$A22))</f>
        <v>7537</v>
      </c>
      <c r="BD22" s="7">
        <f>-IF(RTD("tos.rtd",,BD$2,"."&amp;$A$2&amp;$AU$1&amp;"P"&amp;$A22)="N/A",0,RTD("tos.rtd",,BD$2,"."&amp;$A$2&amp;$AU$1&amp;"P"&amp;$A22))</f>
        <v>-7077</v>
      </c>
      <c r="BE22" s="6">
        <f>IF(RTD("tos.rtd",,BE$2,"."&amp;$A$2&amp;$AW$1&amp;"C"&amp;$A22)="N/A",0,RTD("tos.rtd",,BE$2,"."&amp;$A$2&amp;$AW$1&amp;"C"&amp;$A22))</f>
        <v>728</v>
      </c>
      <c r="BF22" s="83">
        <f>-IF(RTD("tos.rtd",,BF$2,"."&amp;$A$2&amp;$AW$1&amp;"P"&amp;$A22)="N/A",0,RTD("tos.rtd",,BF$2,"."&amp;$A$2&amp;$AW$1&amp;"P"&amp;$A22))</f>
        <v>-751</v>
      </c>
      <c r="BG22" s="32">
        <f ca="1">+Hoja2!Y23</f>
        <v>-1003</v>
      </c>
      <c r="BH22" s="7">
        <f t="shared" ca="1" si="36"/>
        <v>-112220</v>
      </c>
      <c r="BI22" s="8" t="str">
        <f t="shared" ref="BI22" ca="1" si="139">IF(AND(BH22&lt;0,BH21&gt;0), "Cruce -", IF(AND(BH22&gt;0,BH21&lt;0),"Cruce +", ""))</f>
        <v>Cruce -</v>
      </c>
      <c r="BJ22" s="3" t="e">
        <f ca="1">IF($BP$1=1,DX22,IF(RTD("tos.rtd",,BJ$2,"."&amp;$A$2&amp;$AS$1&amp;"C"&amp;$A22)="N/A",0,RTD("tos.rtd",,BJ$2,"."&amp;$A$2&amp;$AS$1&amp;"C"&amp;$A22)))</f>
        <v>#NUM!</v>
      </c>
      <c r="BK22" s="3" t="e">
        <f ca="1">IF($BP$1=1,DY22,-IF(RTD("tos.rtd",,BK$2,"."&amp;$A$2&amp;$AS$1&amp;"P"&amp;$A22)="N/A",0,RTD("tos.rtd",,BK$2,"."&amp;$A$2&amp;$AS$1&amp;"P"&amp;$A22)))</f>
        <v>#NUM!</v>
      </c>
      <c r="BL22" s="3">
        <f ca="1">IF($BP$1=1,DZ22,IF(RTD("tos.rtd",,BL$2,"."&amp;$A$2&amp;$AU$1&amp;"C"&amp;$A22)="N/A",0,RTD("tos.rtd",,BL$2,"."&amp;$A$2&amp;$AU$1&amp;"C"&amp;$A22)))</f>
        <v>1.8813072227561178E-2</v>
      </c>
      <c r="BM22" s="3">
        <f ca="1">IF($BP$1=1,EA22,-IF(RTD("tos.rtd",,BM$2,"."&amp;$A$2&amp;$AU$1&amp;"P"&amp;$A22)="N/A",0,RTD("tos.rtd",,BM$2,"."&amp;$A$2&amp;$AU$1&amp;"P"&amp;$A22)))</f>
        <v>-1.3628377157796254E-2</v>
      </c>
      <c r="BN22" s="3">
        <f ca="1">IF($BP$1=1,EB22,IF(RTD("tos.rtd",,BN$2,"."&amp;$A$2&amp;$AW$1&amp;"C"&amp;$A22)="N/A",0,RTD("tos.rtd",,BN$2,"."&amp;$A$2&amp;$AW$1&amp;"C"&amp;$A22)))</f>
        <v>2.7758015444768053E-2</v>
      </c>
      <c r="BO22" s="3">
        <f ca="1">IF($BP$1=1,EC22,-IF(RTD("tos.rtd",,BO$2,"."&amp;$A$2&amp;$AW$1&amp;"P"&amp;$A22)="N/A",0,RTD("tos.rtd",,BO$2,"."&amp;$A$2&amp;$AW$1&amp;"P"&amp;$A22)))</f>
        <v>-1.9227973078258073E-2</v>
      </c>
      <c r="BQ22" s="3" t="e">
        <f t="shared" ca="1" si="37"/>
        <v>#NUM!</v>
      </c>
      <c r="BR22" s="3" t="e">
        <f t="shared" ca="1" si="71"/>
        <v>#NUM!</v>
      </c>
      <c r="BS22" s="3">
        <f t="shared" ca="1" si="38"/>
        <v>10280039.001194676</v>
      </c>
      <c r="BT22" s="3" t="str">
        <f t="shared" ca="1" si="71"/>
        <v/>
      </c>
      <c r="BU22" s="3">
        <f t="shared" ca="1" si="39"/>
        <v>2028117.5042813071</v>
      </c>
      <c r="BV22" s="3" t="str">
        <f t="shared" ref="BV22" ca="1" si="140">IF(AND(BU22&lt;0,BU21&gt;0), "Cruce -", IF(AND(BU22&gt;0,BU21&lt;0),"Cruce +", ""))</f>
        <v/>
      </c>
      <c r="BX22" s="3" t="e">
        <f t="shared" ca="1" si="40"/>
        <v>#NUM!</v>
      </c>
      <c r="BY22" s="3" t="e">
        <f t="shared" ca="1" si="73"/>
        <v>#NUM!</v>
      </c>
      <c r="BZ22" s="3">
        <f t="shared" ca="1" si="41"/>
        <v>14807482.153649725</v>
      </c>
      <c r="CA22" s="3" t="str">
        <f t="shared" ca="1" si="74"/>
        <v/>
      </c>
      <c r="CB22" s="3">
        <f t="shared" ca="1" si="42"/>
        <v>1883382.2594040371</v>
      </c>
      <c r="CC22" s="3" t="str">
        <f t="shared" ca="1" si="75"/>
        <v>Cruce +</v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0.01</v>
      </c>
      <c r="CF22" s="3">
        <f>IF(RTD("tos.rtd",,CF$2,"."&amp;$A$2&amp;$AU$1&amp;"C"&amp;$A22)="N/A",0,RTD("tos.rtd",,CF$2,"."&amp;$A$2&amp;$AU$1&amp;"C"&amp;$A22))</f>
        <v>1</v>
      </c>
      <c r="CG22" s="3">
        <f>-IF(RTD("tos.rtd",,CG$2,"."&amp;$A$2&amp;$AU$1&amp;"P"&amp;$A22)="N/A",0,RTD("tos.rtd",,CG$2,"."&amp;$A$2&amp;$AU$1&amp;"P"&amp;$A22))</f>
        <v>0.36</v>
      </c>
      <c r="CH22" s="3">
        <f>IF(RTD("tos.rtd",,CH$2,"."&amp;$A$2&amp;$AW$1&amp;"C"&amp;$A22)="N/A",0,RTD("tos.rtd",,CH$2,"."&amp;$A$2&amp;$AW$1&amp;"C"&amp;$A22))</f>
        <v>0.65</v>
      </c>
      <c r="CI22" s="3">
        <f>-IF(RTD("tos.rtd",,CI$2,"."&amp;$A$2&amp;$AW$1&amp;"P"&amp;$A22)="N/A",0,RTD("tos.rtd",,CI$2,"."&amp;$A$2&amp;$AW$1&amp;"P"&amp;$A22))</f>
        <v>0.4</v>
      </c>
      <c r="CK22" s="3">
        <f t="shared" si="17"/>
        <v>418626</v>
      </c>
      <c r="CL22" s="3"/>
      <c r="CM22" s="3">
        <f t="shared" si="18"/>
        <v>241568</v>
      </c>
      <c r="CN22" s="3"/>
      <c r="CO22" s="3">
        <f t="shared" si="19"/>
        <v>17745</v>
      </c>
      <c r="CP22" s="3">
        <f t="shared" si="43"/>
        <v>677939</v>
      </c>
      <c r="CQ22" s="3">
        <f t="shared" si="44"/>
        <v>-111654</v>
      </c>
      <c r="CR22" s="3"/>
      <c r="CS22" s="3">
        <f t="shared" si="20"/>
        <v>460</v>
      </c>
      <c r="CT22" s="3"/>
      <c r="CU22" s="3">
        <f t="shared" si="21"/>
        <v>-23</v>
      </c>
      <c r="CV22" s="3">
        <f t="shared" si="45"/>
        <v>-111217</v>
      </c>
      <c r="CW22" s="3" t="e">
        <f t="shared" ca="1" si="46"/>
        <v>#NUM!</v>
      </c>
      <c r="CX22" s="85" t="e">
        <f t="shared" ca="1" si="76"/>
        <v>#NUM!</v>
      </c>
      <c r="CY22" s="3" t="e">
        <f t="shared" ca="1" si="47"/>
        <v>#NUM!</v>
      </c>
      <c r="CZ22" s="85" t="e">
        <f t="shared" ca="1" si="77"/>
        <v>#NUM!</v>
      </c>
      <c r="DA22" s="3">
        <f>IF(RTD("tos.rtd",,DA$2,"."&amp;$A$2&amp;$AS$1&amp;"C"&amp;$A22)="N/A",0,RTD("tos.rtd",,DA$2,"."&amp;$A$2&amp;$AS$1&amp;"C"&amp;$A22))</f>
        <v>0.45</v>
      </c>
      <c r="DB22" s="3">
        <f>IF(RTD("tos.rtd",,DB$2,"."&amp;$A$2&amp;$AS$1&amp;"P"&amp;$A22)="N/A",0,RTD("tos.rtd",,DB$2,"."&amp;$A$2&amp;$AS$1&amp;"P"&amp;$A22))</f>
        <v>0.01</v>
      </c>
      <c r="DC22" s="3">
        <f>IF(RTD("tos.rtd",,DC$2,"."&amp;$A$2&amp;$AS$1&amp;"C"&amp;$A22)="N/A",0,RTD("tos.rtd",,DC$2,"."&amp;$A$2&amp;$AS$1&amp;"C"&amp;$A22))</f>
        <v>0.48</v>
      </c>
      <c r="DD22" s="3">
        <f>IF(RTD("tos.rtd",,DD$2,"."&amp;$A$2&amp;$AS$1&amp;"P"&amp;$A22)="N/A",0,RTD("tos.rtd",,DD$2,"."&amp;$A$2&amp;$AS$1&amp;"P"&amp;$A22))</f>
        <v>0.02</v>
      </c>
      <c r="DE22" s="3">
        <f>IF(RTD("tos.rtd",,DE$2,"."&amp;$A$2&amp;$AS$1&amp;"C"&amp;$A22)="N/A",0,RTD("tos.rtd",,DE$2,"."&amp;$A$2&amp;$AS$1&amp;"C"&amp;$A22))</f>
        <v>0.39</v>
      </c>
      <c r="DF22" s="3">
        <f>IF(RTD("tos.rtd",,DF$2,"."&amp;$A$2&amp;$AS$1&amp;"P"&amp;$A22)="N/A",0,RTD("tos.rtd",,DF$2,"."&amp;$A$2&amp;$AS$1&amp;"P"&amp;$A22))</f>
        <v>0.01</v>
      </c>
      <c r="DG22" s="86">
        <f t="shared" si="48"/>
        <v>-7.4400000000000546</v>
      </c>
      <c r="DH22" s="3">
        <f t="shared" si="22"/>
        <v>1357.3333333333337</v>
      </c>
      <c r="DI22" s="3">
        <f t="shared" si="49"/>
        <v>0</v>
      </c>
      <c r="DJ22" s="3">
        <f t="shared" si="50"/>
        <v>2036</v>
      </c>
      <c r="DK22" s="3">
        <f t="shared" si="51"/>
        <v>4578</v>
      </c>
      <c r="DL22" s="3">
        <f t="shared" si="52"/>
        <v>1357.3333333333337</v>
      </c>
      <c r="DM22" s="3">
        <f t="shared" si="53"/>
        <v>6614</v>
      </c>
      <c r="DN22" s="63" t="str">
        <f t="shared" si="54"/>
        <v>BUY</v>
      </c>
      <c r="DO22" s="63" t="str">
        <f t="shared" si="55"/>
        <v>SELL</v>
      </c>
      <c r="DP22" s="3">
        <f t="shared" si="56"/>
        <v>610.80000000000018</v>
      </c>
      <c r="DQ22" s="3">
        <f t="shared" si="57"/>
        <v>961.98</v>
      </c>
      <c r="DR22" s="3" t="e">
        <f t="shared" ca="1" si="58"/>
        <v>#NUM!</v>
      </c>
      <c r="DS22" s="3">
        <f t="shared" si="59"/>
        <v>2081.7800000000002</v>
      </c>
      <c r="DT22" s="3">
        <f t="shared" si="60"/>
        <v>2036</v>
      </c>
      <c r="DU22" s="3">
        <f t="shared" si="61"/>
        <v>-4578</v>
      </c>
      <c r="DV22" s="3">
        <f t="shared" si="62"/>
        <v>-30432</v>
      </c>
      <c r="DW22" s="3">
        <f t="shared" si="23"/>
        <v>-71231</v>
      </c>
      <c r="DX22" s="3" t="e">
        <f t="shared" ca="1" si="24"/>
        <v>#NUM!</v>
      </c>
      <c r="DY22" s="3" t="e">
        <f t="shared" ca="1" si="25"/>
        <v>#NUM!</v>
      </c>
      <c r="DZ22" s="3">
        <f t="shared" ca="1" si="26"/>
        <v>1.8813072227561178E-2</v>
      </c>
      <c r="EA22" s="3">
        <f t="shared" ca="1" si="27"/>
        <v>-1.3628377157796254E-2</v>
      </c>
      <c r="EB22" s="3">
        <f t="shared" ca="1" si="28"/>
        <v>2.7758015444768053E-2</v>
      </c>
      <c r="EC22" s="3">
        <f t="shared" ca="1" si="29"/>
        <v>-1.9227973078258073E-2</v>
      </c>
      <c r="ED22" s="63">
        <f t="shared" si="63"/>
        <v>-101663</v>
      </c>
      <c r="EE22" s="59">
        <f t="shared" si="64"/>
        <v>0.25</v>
      </c>
      <c r="EF22" s="59">
        <f t="shared" si="30"/>
        <v>0.77680000000000005</v>
      </c>
      <c r="EG22" s="59">
        <f t="shared" si="31"/>
        <v>0.25</v>
      </c>
      <c r="EH22" s="59">
        <f t="shared" si="32"/>
        <v>0.3604</v>
      </c>
      <c r="EI22" s="59">
        <f t="shared" si="33"/>
        <v>0.14219999999999999</v>
      </c>
      <c r="EJ22" s="59">
        <f t="shared" si="34"/>
        <v>0.24349999999999999</v>
      </c>
      <c r="EK22" s="63" t="e">
        <f t="shared" ca="1" si="65"/>
        <v>#NUM!</v>
      </c>
      <c r="EL22" s="3" t="str">
        <f>RTD("tos.rtd",,EL$2,"."&amp;$A$2&amp;$AS$1&amp;"C"&amp;$A22)</f>
        <v>--</v>
      </c>
      <c r="EM22" s="3" t="str">
        <f>RTD("tos.rtd",,EM$2,"."&amp;$A$2&amp;$AS$1&amp;"P"&amp;$A22)</f>
        <v>77.68%</v>
      </c>
      <c r="EN22" s="3" t="str">
        <f>RTD("tos.rtd",,EN$2,"."&amp;$A$2&amp;$AU$1&amp;"C"&amp;$A22)</f>
        <v>--</v>
      </c>
      <c r="EO22" s="3" t="str">
        <f>RTD("tos.rtd",,EO$2,"."&amp;$A$2&amp;$AU$1&amp;"P"&amp;$A22)</f>
        <v>36.04%</v>
      </c>
      <c r="EP22" s="3" t="str">
        <f>RTD("tos.rtd",,EP$2,"."&amp;$A$2&amp;$AW$1&amp;"C"&amp;$A22)</f>
        <v>14.22%</v>
      </c>
      <c r="EQ22" s="3" t="str">
        <f>RTD("tos.rtd",,EQ$2,"."&amp;$A$2&amp;$AW$1&amp;"P"&amp;$A22)</f>
        <v>24.35%</v>
      </c>
      <c r="ES22" s="63" t="str">
        <f t="shared" si="66"/>
        <v>564,-101663.00</v>
      </c>
      <c r="ET22" s="63" t="str">
        <f t="shared" ca="1" si="67"/>
        <v>564,00.00</v>
      </c>
      <c r="EU22" s="67">
        <v>565.41999999999996</v>
      </c>
      <c r="EV22" s="67" t="s">
        <v>195</v>
      </c>
      <c r="EW22" s="67">
        <v>488.92</v>
      </c>
      <c r="EX22" s="67" t="s">
        <v>196</v>
      </c>
      <c r="EY22" s="67">
        <v>5663.94</v>
      </c>
      <c r="EZ22" s="67" t="s">
        <v>197</v>
      </c>
      <c r="FA22" s="67">
        <v>20063.564999999999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8"/>
        <v>563</v>
      </c>
      <c r="B23" s="3">
        <f t="shared" ref="B23:B29" si="141">+IF($A$1="ABS",AS23-AT23,AS23+AT23)</f>
        <v>9493</v>
      </c>
      <c r="C23" s="3">
        <f t="shared" ref="C23:C29" si="142">+IF($A$1="ABS",AU23-AV23,AU23+AV23)</f>
        <v>6940</v>
      </c>
      <c r="D23" s="3">
        <f t="shared" ref="D23:D29" si="143">+IF($A$1="ABS",AW23-AX23,AW23+AX23)</f>
        <v>1824</v>
      </c>
      <c r="E23" s="3">
        <f t="shared" ref="E23:E29" si="144">SUM(B23:D23)</f>
        <v>18257</v>
      </c>
      <c r="F23" s="4">
        <f t="shared" ref="F23:F29" si="145">+$F$3/$A$3*A23</f>
        <v>5665.0741985160294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-11758</v>
      </c>
      <c r="AN23" s="1">
        <v>37556</v>
      </c>
      <c r="AO23" s="1">
        <v>563</v>
      </c>
      <c r="AP23" s="1">
        <v>71314</v>
      </c>
      <c r="AQ23" s="1">
        <v>-326143</v>
      </c>
      <c r="AR23" s="1"/>
      <c r="AS23" s="6">
        <f>IF(RTD("tos.rtd",,AS$2,"."&amp;$A$2&amp;$AS$1&amp;"C"&amp;$A23)="N/A",0,RTD("tos.rtd",,AS$2,"."&amp;$A$2&amp;$AS$1&amp;"C"&amp;$A23))</f>
        <v>3033</v>
      </c>
      <c r="AT23" s="7">
        <f>-IF(RTD("tos.rtd",,AT$2,"."&amp;$A$2&amp;$AS$1&amp;"P"&amp;$A23)="N/A",0,RTD("tos.rtd",,AT$2,"."&amp;$A$2&amp;$AS$1&amp;"P"&amp;$A23))</f>
        <v>-6460</v>
      </c>
      <c r="AU23" s="6">
        <f>IF(RTD("tos.rtd",,AU$2,"."&amp;$A$2&amp;$AU$1&amp;"C"&amp;$A23)="N/A",0,RTD("tos.rtd",,AU$2,"."&amp;$A$2&amp;$AU$1&amp;"C"&amp;$A23))</f>
        <v>4571</v>
      </c>
      <c r="AV23" s="7">
        <f>-IF(RTD("tos.rtd",,AV$2,"."&amp;$A$2&amp;$AU$1&amp;"P"&amp;$A23)="N/A",0,RTD("tos.rtd",,AV$2,"."&amp;$A$2&amp;$AU$1&amp;"P"&amp;$A23))</f>
        <v>-2369</v>
      </c>
      <c r="AW23" s="6">
        <f>IF(RTD("tos.rtd",,AW$2,"."&amp;$A$2&amp;$AW$1&amp;"C"&amp;$A23)="N/A",0,RTD("tos.rtd",,AW$2,"."&amp;$A$2&amp;$AW$1&amp;"C"&amp;$A23))</f>
        <v>896</v>
      </c>
      <c r="AX23" s="7">
        <f>-IF(RTD("tos.rtd",,AX$2,"."&amp;$A$2&amp;$AW$1&amp;"P"&amp;$A23)="N/A",0,RTD("tos.rtd",,AX$2,"."&amp;$A$2&amp;$AW$1&amp;"P"&amp;$A23))</f>
        <v>-928</v>
      </c>
      <c r="AY23" s="1">
        <f t="shared" ref="AY23:AY29" si="146">SUM(AS23:AX23)</f>
        <v>-1257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71490</v>
      </c>
      <c r="BB23" s="7">
        <f>-IF(RTD("tos.rtd",,BB$2,"."&amp;$A$2&amp;$AS$1&amp;"P"&amp;$A23)="N/A",0,RTD("tos.rtd",,BB$2,"."&amp;$A$2&amp;$AS$1&amp;"P"&amp;$A23))</f>
        <v>-329830</v>
      </c>
      <c r="BC23" s="6">
        <f>IF(RTD("tos.rtd",,BC$2,"."&amp;$A$2&amp;$AU$1&amp;"C"&amp;$A23)="N/A",0,RTD("tos.rtd",,BC$2,"."&amp;$A$2&amp;$AU$1&amp;"C"&amp;$A23))</f>
        <v>3176</v>
      </c>
      <c r="BD23" s="7">
        <f>-IF(RTD("tos.rtd",,BD$2,"."&amp;$A$2&amp;$AU$1&amp;"P"&amp;$A23)="N/A",0,RTD("tos.rtd",,BD$2,"."&amp;$A$2&amp;$AU$1&amp;"P"&amp;$A23))</f>
        <v>-4365</v>
      </c>
      <c r="BE23" s="6">
        <f>IF(RTD("tos.rtd",,BE$2,"."&amp;$A$2&amp;$AW$1&amp;"C"&amp;$A23)="N/A",0,RTD("tos.rtd",,BE$2,"."&amp;$A$2&amp;$AW$1&amp;"C"&amp;$A23))</f>
        <v>237</v>
      </c>
      <c r="BF23" s="83">
        <f>-IF(RTD("tos.rtd",,BF$2,"."&amp;$A$2&amp;$AW$1&amp;"P"&amp;$A23)="N/A",0,RTD("tos.rtd",,BF$2,"."&amp;$A$2&amp;$AW$1&amp;"P"&amp;$A23))</f>
        <v>-572</v>
      </c>
      <c r="BG23" s="32">
        <f ca="1">+Hoja2!Y24</f>
        <v>508</v>
      </c>
      <c r="BH23" s="7">
        <f t="shared" ca="1" si="36"/>
        <v>-259356</v>
      </c>
      <c r="BI23" s="8" t="str">
        <f t="shared" ref="BI23" ca="1" si="147">IF(AND(BH23&lt;0,BH22&gt;0), "Cruce -", IF(AND(BH23&gt;0,BH22&lt;0),"Cruce +", ""))</f>
        <v/>
      </c>
      <c r="BJ23" s="3" t="e">
        <f ca="1">IF($BP$1=1,DX23,IF(RTD("tos.rtd",,BJ$2,"."&amp;$A$2&amp;$AS$1&amp;"C"&amp;$A23)="N/A",0,RTD("tos.rtd",,BJ$2,"."&amp;$A$2&amp;$AS$1&amp;"C"&amp;$A23)))</f>
        <v>#NUM!</v>
      </c>
      <c r="BK23" s="3" t="e">
        <f ca="1">IF($BP$1=1,DY23,-IF(RTD("tos.rtd",,BK$2,"."&amp;$A$2&amp;$AS$1&amp;"P"&amp;$A23)="N/A",0,RTD("tos.rtd",,BK$2,"."&amp;$A$2&amp;$AS$1&amp;"P"&amp;$A23)))</f>
        <v>#NUM!</v>
      </c>
      <c r="BL23" s="3">
        <f ca="1">IF($BP$1=1,DZ23,IF(RTD("tos.rtd",,BL$2,"."&amp;$A$2&amp;$AU$1&amp;"C"&amp;$A23)="N/A",0,RTD("tos.rtd",,BL$2,"."&amp;$A$2&amp;$AU$1&amp;"C"&amp;$A23)))</f>
        <v>1.8372279288977868E-2</v>
      </c>
      <c r="BM23" s="3">
        <f ca="1">IF($BP$1=1,EA23,-IF(RTD("tos.rtd",,BM$2,"."&amp;$A$2&amp;$AU$1&amp;"P"&amp;$A23)="N/A",0,RTD("tos.rtd",,BM$2,"."&amp;$A$2&amp;$AU$1&amp;"P"&amp;$A23)))</f>
        <v>-1.3548561018214838E-2</v>
      </c>
      <c r="BN23" s="3">
        <f ca="1">IF($BP$1=1,EB23,IF(RTD("tos.rtd",,BN$2,"."&amp;$A$2&amp;$AW$1&amp;"C"&amp;$A23)="N/A",0,RTD("tos.rtd",,BN$2,"."&amp;$A$2&amp;$AW$1&amp;"C"&amp;$A23)))</f>
        <v>2.5850701582308733E-2</v>
      </c>
      <c r="BO23" s="3">
        <f ca="1">IF($BP$1=1,EC23,-IF(RTD("tos.rtd",,BO$2,"."&amp;$A$2&amp;$AW$1&amp;"P"&amp;$A23)="N/A",0,RTD("tos.rtd",,BO$2,"."&amp;$A$2&amp;$AW$1&amp;"P"&amp;$A23)))</f>
        <v>-1.8712558736554828E-2</v>
      </c>
      <c r="BQ23" s="3" t="e">
        <f t="shared" ref="BQ23:BQ29" ca="1" si="148">+$A$3*$A$3*AS23*BJ23-$A$3*$A$3*AT23*BK23</f>
        <v>#NUM!</v>
      </c>
      <c r="BR23" s="3" t="e">
        <f t="shared" ca="1" si="71"/>
        <v>#NUM!</v>
      </c>
      <c r="BS23" s="3">
        <f t="shared" ref="BS23:BS29" ca="1" si="149">+$A$3*$A$3*AU23*BL23-$A$3*$A$3*AV23*BM23</f>
        <v>16942113.607974939</v>
      </c>
      <c r="BT23" s="3" t="str">
        <f t="shared" ca="1" si="71"/>
        <v/>
      </c>
      <c r="BU23" s="3">
        <f t="shared" ref="BU23:BU29" ca="1" si="150">+$A$3*$A$3*AW23*BN23-$A$3*$A$3*AX23*BO23</f>
        <v>1892965.2217172068</v>
      </c>
      <c r="BV23" s="3" t="str">
        <f t="shared" ref="BV23" ca="1" si="151">IF(AND(BU23&lt;0,BU22&gt;0), "Cruce -", IF(AND(BU23&gt;0,BU22&lt;0),"Cruce +", ""))</f>
        <v/>
      </c>
      <c r="BX23" s="3" t="e">
        <f t="shared" ref="BX23:BX29" ca="1" si="152">+$A$3*$A$3*BA23*BJ23-$A$3*$A$3*BB23*BK23</f>
        <v>#NUM!</v>
      </c>
      <c r="BY23" s="3" t="e">
        <f t="shared" ca="1" si="73"/>
        <v>#NUM!</v>
      </c>
      <c r="BZ23" s="3">
        <f t="shared" ref="BZ23:BZ29" ca="1" si="153">+$A$3*$A$3*BC23*BL23-$A$3*$A$3*BD23*BM23</f>
        <v>-257678.82038289309</v>
      </c>
      <c r="CA23" s="3" t="str">
        <f t="shared" ca="1" si="74"/>
        <v>Cruce -</v>
      </c>
      <c r="CB23" s="3">
        <f t="shared" ref="CB23:CB29" ca="1" si="154">+$A$3*$A$3*BE23*BN23-$A$3*$A$3*BF23*BO23</f>
        <v>-1494579.723371713</v>
      </c>
      <c r="CC23" s="3" t="str">
        <f t="shared" ca="1" si="75"/>
        <v>Cruce -</v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</v>
      </c>
      <c r="CF23" s="3">
        <f>IF(RTD("tos.rtd",,CF$2,"."&amp;$A$2&amp;$AU$1&amp;"C"&amp;$A23)="N/A",0,RTD("tos.rtd",,CF$2,"."&amp;$A$2&amp;$AU$1&amp;"C"&amp;$A23))</f>
        <v>1</v>
      </c>
      <c r="CG23" s="3">
        <f>-IF(RTD("tos.rtd",,CG$2,"."&amp;$A$2&amp;$AU$1&amp;"P"&amp;$A23)="N/A",0,RTD("tos.rtd",,CG$2,"."&amp;$A$2&amp;$AU$1&amp;"P"&amp;$A23))</f>
        <v>0.35</v>
      </c>
      <c r="CH23" s="3">
        <f>IF(RTD("tos.rtd",,CH$2,"."&amp;$A$2&amp;$AW$1&amp;"C"&amp;$A23)="N/A",0,RTD("tos.rtd",,CH$2,"."&amp;$A$2&amp;$AW$1&amp;"C"&amp;$A23))</f>
        <v>0.66</v>
      </c>
      <c r="CI23" s="3">
        <f>-IF(RTD("tos.rtd",,CI$2,"."&amp;$A$2&amp;$AW$1&amp;"P"&amp;$A23)="N/A",0,RTD("tos.rtd",,CI$2,"."&amp;$A$2&amp;$AW$1&amp;"P"&amp;$A23))</f>
        <v>0.4</v>
      </c>
      <c r="CK23" s="3">
        <f t="shared" ref="CK23:CK29" si="155">+AS23*CD23*100+AT23*CE23*100</f>
        <v>303300</v>
      </c>
      <c r="CL23" s="3"/>
      <c r="CM23" s="3">
        <f t="shared" ref="CM23:CM29" si="156">+AU23*CF23*100+AV23*CG23*100</f>
        <v>374185</v>
      </c>
      <c r="CN23" s="3"/>
      <c r="CO23" s="3">
        <f t="shared" ref="CO23:CO29" si="157">+AW23*CH23*100+AX23*CI23*100</f>
        <v>22015.999999999993</v>
      </c>
      <c r="CP23" s="3">
        <f t="shared" ref="CP23:CP29" si="158">+CK23+CM23+CO23</f>
        <v>699501</v>
      </c>
      <c r="CQ23" s="3">
        <f t="shared" ref="CQ23:CQ29" si="159">+BA23+BB23</f>
        <v>-258340</v>
      </c>
      <c r="CR23" s="3"/>
      <c r="CS23" s="3">
        <f t="shared" ref="CS23:CS29" si="160">+BC23+BD23</f>
        <v>-1189</v>
      </c>
      <c r="CT23" s="3"/>
      <c r="CU23" s="3">
        <f t="shared" ref="CU23:CU29" si="161">+BE23+BF23</f>
        <v>-335</v>
      </c>
      <c r="CV23" s="3">
        <f t="shared" ref="CV23:CV29" si="162">+CQ23+CS23+CU23</f>
        <v>-259864</v>
      </c>
      <c r="CW23" s="3" t="e">
        <f t="shared" ref="CW23:CW29" ca="1" si="163">+BQ23+BS23+BU23</f>
        <v>#NUM!</v>
      </c>
      <c r="CX23" s="85" t="e">
        <f t="shared" ca="1" si="76"/>
        <v>#NUM!</v>
      </c>
      <c r="CY23" s="3" t="e">
        <f t="shared" ref="CY23:CY29" ca="1" si="164">+BX23+BZ23+CB23</f>
        <v>#NUM!</v>
      </c>
      <c r="CZ23" s="85" t="e">
        <f t="shared" ca="1" si="77"/>
        <v>#NUM!</v>
      </c>
      <c r="DA23" s="3">
        <f>IF(RTD("tos.rtd",,DA$2,"."&amp;$A$2&amp;$AS$1&amp;"C"&amp;$A23)="N/A",0,RTD("tos.rtd",,DA$2,"."&amp;$A$2&amp;$AS$1&amp;"C"&amp;$A23))</f>
        <v>1.28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1.49</v>
      </c>
      <c r="DD23" s="3">
        <f>IF(RTD("tos.rtd",,DD$2,"."&amp;$A$2&amp;$AS$1&amp;"P"&amp;$A23)="N/A",0,RTD("tos.rtd",,DD$2,"."&amp;$A$2&amp;$AS$1&amp;"P"&amp;$A23))</f>
        <v>0.01</v>
      </c>
      <c r="DE23" s="3">
        <f>IF(RTD("tos.rtd",,DE$2,"."&amp;$A$2&amp;$AS$1&amp;"C"&amp;$A23)="N/A",0,RTD("tos.rtd",,DE$2,"."&amp;$A$2&amp;$AS$1&amp;"C"&amp;$A23))</f>
        <v>1.36</v>
      </c>
      <c r="DF23" s="3">
        <f>IF(RTD("tos.rtd",,DF$2,"."&amp;$A$2&amp;$AS$1&amp;"P"&amp;$A23)="N/A",0,RTD("tos.rtd",,DF$2,"."&amp;$A$2&amp;$AS$1&amp;"P"&amp;$A23))</f>
        <v>0</v>
      </c>
      <c r="DG23" s="86">
        <f t="shared" si="48"/>
        <v>-8.4400000000000546</v>
      </c>
      <c r="DH23" s="3">
        <f t="shared" ref="DH23:DH29" si="165">((DA23-DE23)/(DC23-DE23))*(BA23-AP23)</f>
        <v>-108.30769230769249</v>
      </c>
      <c r="DI23" s="3">
        <f t="shared" ref="DI23:DI29" si="166">((DB23-DF23)/(DD23-DF23))*(BB23-AQ23)</f>
        <v>-3687</v>
      </c>
      <c r="DJ23" s="3">
        <f t="shared" ref="DJ23:DJ29" si="167">IF(DA23&gt;=(DE23+(DC23-DE23)*0.6),(BA23-AP23),IF(DA23&lt;=(DE23+(DC23-DE23)*0.4),-(BA23-AP23),0))</f>
        <v>-176</v>
      </c>
      <c r="DK23" s="3">
        <f t="shared" si="51"/>
        <v>-3687</v>
      </c>
      <c r="DL23" s="3">
        <f t="shared" si="52"/>
        <v>-3795.3076923076924</v>
      </c>
      <c r="DM23" s="3">
        <f t="shared" si="53"/>
        <v>-3863</v>
      </c>
      <c r="DN23" s="63" t="str">
        <f t="shared" si="54"/>
        <v>SELL</v>
      </c>
      <c r="DO23" s="63" t="str">
        <f t="shared" si="55"/>
        <v>BUY</v>
      </c>
      <c r="DP23" s="3">
        <f t="shared" si="56"/>
        <v>-175.50384615384641</v>
      </c>
      <c r="DQ23" s="3">
        <f t="shared" si="57"/>
        <v>-262.14999999999998</v>
      </c>
      <c r="DR23" s="3" t="e">
        <f t="shared" ca="1" si="58"/>
        <v>#NUM!</v>
      </c>
      <c r="DS23" s="3">
        <f t="shared" si="59"/>
        <v>-176</v>
      </c>
      <c r="DT23" s="3">
        <f t="shared" si="60"/>
        <v>176</v>
      </c>
      <c r="DU23" s="3">
        <f t="shared" si="61"/>
        <v>-3687</v>
      </c>
      <c r="DV23" s="3">
        <f t="shared" si="62"/>
        <v>-11934</v>
      </c>
      <c r="DW23" s="3">
        <f t="shared" si="23"/>
        <v>33869</v>
      </c>
      <c r="DX23" s="3" t="e">
        <f t="shared" ca="1" si="24"/>
        <v>#NUM!</v>
      </c>
      <c r="DY23" s="3" t="e">
        <f t="shared" ca="1" si="25"/>
        <v>#NUM!</v>
      </c>
      <c r="DZ23" s="3">
        <f t="shared" ca="1" si="26"/>
        <v>1.8372279288977868E-2</v>
      </c>
      <c r="EA23" s="3">
        <f t="shared" ca="1" si="27"/>
        <v>-1.3548561018214838E-2</v>
      </c>
      <c r="EB23" s="3">
        <f t="shared" ca="1" si="28"/>
        <v>2.5850701582308733E-2</v>
      </c>
      <c r="EC23" s="3">
        <f t="shared" ca="1" si="29"/>
        <v>-1.8712558736554828E-2</v>
      </c>
      <c r="ED23" s="63">
        <f t="shared" si="63"/>
        <v>21935</v>
      </c>
      <c r="EE23" s="59">
        <f t="shared" ref="EE23:EE29" si="168">IFERROR(VALUE(IF(OR(EL23="--",EL23="0.00%"),$EE$1,EL23)),$EE$1)</f>
        <v>0.25</v>
      </c>
      <c r="EF23" s="59">
        <f t="shared" ref="EF23:EF29" si="169">IFERROR(VALUE(IF(OR(EM23="--",EM23="0.00%"),$EE$1,EM23)),$EE$1)</f>
        <v>0.76200000000000001</v>
      </c>
      <c r="EG23" s="59">
        <f t="shared" ref="EG23:EG29" si="170">IFERROR(VALUE(IF(OR(EN23="--",EN23="0.00%"),$EE$1,EN23)),$EE$1)</f>
        <v>0.25</v>
      </c>
      <c r="EH23" s="59">
        <f t="shared" ref="EH23:EH29" si="171">IFERROR(VALUE(IF(OR(EO23="--",EO23="0.00%"),$EE$1,EO23)),$EE$1)</f>
        <v>0.35799999999999998</v>
      </c>
      <c r="EI23" s="59">
        <f t="shared" ref="EI23:EI29" si="172">IFERROR(VALUE(IF(OR(EP23="--",EP23="0.00%"),$EE$1,EP23)),$EE$1)</f>
        <v>0.1421</v>
      </c>
      <c r="EJ23" s="59">
        <f t="shared" ref="EJ23:EJ29" si="173">IFERROR(VALUE(IF(OR(EQ23="--",EQ23="0.00%"),$EE$1,EQ23)),$EE$1)</f>
        <v>0.2442</v>
      </c>
      <c r="EK23" s="63" t="e">
        <f t="shared" ca="1" si="65"/>
        <v>#NUM!</v>
      </c>
      <c r="EL23" s="3" t="str">
        <f>RTD("tos.rtd",,EL$2,"."&amp;$A$2&amp;$AS$1&amp;"C"&amp;$A23)</f>
        <v>--</v>
      </c>
      <c r="EM23" s="3" t="str">
        <f>RTD("tos.rtd",,EM$2,"."&amp;$A$2&amp;$AS$1&amp;"P"&amp;$A23)</f>
        <v>76.20%</v>
      </c>
      <c r="EN23" s="3" t="str">
        <f>RTD("tos.rtd",,EN$2,"."&amp;$A$2&amp;$AU$1&amp;"C"&amp;$A23)</f>
        <v>--</v>
      </c>
      <c r="EO23" s="3" t="str">
        <f>RTD("tos.rtd",,EO$2,"."&amp;$A$2&amp;$AU$1&amp;"P"&amp;$A23)</f>
        <v>35.80%</v>
      </c>
      <c r="EP23" s="3" t="str">
        <f>RTD("tos.rtd",,EP$2,"."&amp;$A$2&amp;$AW$1&amp;"C"&amp;$A23)</f>
        <v>14.21%</v>
      </c>
      <c r="EQ23" s="3" t="str">
        <f>RTD("tos.rtd",,EQ$2,"."&amp;$A$2&amp;$AW$1&amp;"P"&amp;$A23)</f>
        <v>24.42%</v>
      </c>
      <c r="ES23" s="63" t="str">
        <f t="shared" si="66"/>
        <v>563,21935.00</v>
      </c>
      <c r="ET23" s="63" t="str">
        <f t="shared" ca="1" si="67"/>
        <v>563,00.00</v>
      </c>
      <c r="EU23" s="67">
        <v>565.35</v>
      </c>
      <c r="EV23" s="67" t="s">
        <v>203</v>
      </c>
      <c r="EW23" s="67">
        <v>488.77</v>
      </c>
      <c r="EX23" s="67" t="s">
        <v>204</v>
      </c>
      <c r="EY23" s="67">
        <v>5663.94</v>
      </c>
      <c r="EZ23" s="67" t="s">
        <v>205</v>
      </c>
      <c r="FA23" s="67">
        <v>20063.564999999999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8"/>
        <v>562</v>
      </c>
      <c r="B24" s="3">
        <f t="shared" si="141"/>
        <v>11061</v>
      </c>
      <c r="C24" s="3">
        <f t="shared" si="142"/>
        <v>8454</v>
      </c>
      <c r="D24" s="3">
        <f t="shared" si="143"/>
        <v>3057</v>
      </c>
      <c r="E24" s="3">
        <f t="shared" si="144"/>
        <v>22572</v>
      </c>
      <c r="F24" s="4">
        <f t="shared" si="145"/>
        <v>5655.0118997620048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-1009</v>
      </c>
      <c r="AN24" s="1">
        <v>-19043</v>
      </c>
      <c r="AO24" s="1">
        <v>562</v>
      </c>
      <c r="AP24" s="1">
        <v>18517</v>
      </c>
      <c r="AQ24" s="1">
        <v>-150901</v>
      </c>
      <c r="AR24" s="1"/>
      <c r="AS24" s="6">
        <f>IF(RTD("tos.rtd",,AS$2,"."&amp;$A$2&amp;$AS$1&amp;"C"&amp;$A24)="N/A",0,RTD("tos.rtd",,AS$2,"."&amp;$A$2&amp;$AS$1&amp;"C"&amp;$A24))</f>
        <v>3358</v>
      </c>
      <c r="AT24" s="7">
        <f>-IF(RTD("tos.rtd",,AT$2,"."&amp;$A$2&amp;$AS$1&amp;"P"&amp;$A24)="N/A",0,RTD("tos.rtd",,AT$2,"."&amp;$A$2&amp;$AS$1&amp;"P"&amp;$A24))</f>
        <v>-7703</v>
      </c>
      <c r="AU24" s="6">
        <f>IF(RTD("tos.rtd",,AU$2,"."&amp;$A$2&amp;$AU$1&amp;"C"&amp;$A24)="N/A",0,RTD("tos.rtd",,AU$2,"."&amp;$A$2&amp;$AU$1&amp;"C"&amp;$A24))</f>
        <v>5448</v>
      </c>
      <c r="AV24" s="7">
        <f>-IF(RTD("tos.rtd",,AV$2,"."&amp;$A$2&amp;$AU$1&amp;"P"&amp;$A24)="N/A",0,RTD("tos.rtd",,AV$2,"."&amp;$A$2&amp;$AU$1&amp;"P"&amp;$A24))</f>
        <v>-3006</v>
      </c>
      <c r="AW24" s="6">
        <f>IF(RTD("tos.rtd",,AW$2,"."&amp;$A$2&amp;$AW$1&amp;"C"&amp;$A24)="N/A",0,RTD("tos.rtd",,AW$2,"."&amp;$A$2&amp;$AW$1&amp;"C"&amp;$A24))</f>
        <v>1351</v>
      </c>
      <c r="AX24" s="7">
        <f>-IF(RTD("tos.rtd",,AX$2,"."&amp;$A$2&amp;$AW$1&amp;"P"&amp;$A24)="N/A",0,RTD("tos.rtd",,AX$2,"."&amp;$A$2&amp;$AW$1&amp;"P"&amp;$A24))</f>
        <v>-1706</v>
      </c>
      <c r="AY24" s="1">
        <f t="shared" si="146"/>
        <v>-2258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18571</v>
      </c>
      <c r="BB24" s="7">
        <f>-IF(RTD("tos.rtd",,BB$2,"."&amp;$A$2&amp;$AS$1&amp;"P"&amp;$A24)="N/A",0,RTD("tos.rtd",,BB$2,"."&amp;$A$2&amp;$AS$1&amp;"P"&amp;$A24))</f>
        <v>-151651</v>
      </c>
      <c r="BC24" s="6">
        <f>IF(RTD("tos.rtd",,BC$2,"."&amp;$A$2&amp;$AU$1&amp;"C"&amp;$A24)="N/A",0,RTD("tos.rtd",,BC$2,"."&amp;$A$2&amp;$AU$1&amp;"C"&amp;$A24))</f>
        <v>1085</v>
      </c>
      <c r="BD24" s="7">
        <f>-IF(RTD("tos.rtd",,BD$2,"."&amp;$A$2&amp;$AU$1&amp;"P"&amp;$A24)="N/A",0,RTD("tos.rtd",,BD$2,"."&amp;$A$2&amp;$AU$1&amp;"P"&amp;$A24))</f>
        <v>-3759</v>
      </c>
      <c r="BE24" s="6">
        <f>IF(RTD("tos.rtd",,BE$2,"."&amp;$A$2&amp;$AW$1&amp;"C"&amp;$A24)="N/A",0,RTD("tos.rtd",,BE$2,"."&amp;$A$2&amp;$AW$1&amp;"C"&amp;$A24))</f>
        <v>154</v>
      </c>
      <c r="BF24" s="83">
        <f>-IF(RTD("tos.rtd",,BF$2,"."&amp;$A$2&amp;$AW$1&amp;"P"&amp;$A24)="N/A",0,RTD("tos.rtd",,BF$2,"."&amp;$A$2&amp;$AW$1&amp;"P"&amp;$A24))</f>
        <v>-341</v>
      </c>
      <c r="BG24" s="32">
        <f ca="1">+Hoja2!Y25</f>
        <v>-397</v>
      </c>
      <c r="BH24" s="7">
        <f t="shared" ca="1" si="36"/>
        <v>-136338</v>
      </c>
      <c r="BI24" s="8" t="str">
        <f t="shared" ref="BI24" ca="1" si="174">IF(AND(BH24&lt;0,BH23&gt;0), "Cruce -", IF(AND(BH24&gt;0,BH23&lt;0),"Cruce +", ""))</f>
        <v/>
      </c>
      <c r="BJ24" s="3" t="e">
        <f ca="1">IF($BP$1=1,DX24,IF(RTD("tos.rtd",,BJ$2,"."&amp;$A$2&amp;$AS$1&amp;"C"&amp;$A24)="N/A",0,RTD("tos.rtd",,BJ$2,"."&amp;$A$2&amp;$AS$1&amp;"C"&amp;$A24)))</f>
        <v>#NUM!</v>
      </c>
      <c r="BK24" s="3" t="e">
        <f ca="1">IF($BP$1=1,DY24,-IF(RTD("tos.rtd",,BK$2,"."&amp;$A$2&amp;$AS$1&amp;"P"&amp;$A24)="N/A",0,RTD("tos.rtd",,BK$2,"."&amp;$A$2&amp;$AS$1&amp;"P"&amp;$A24)))</f>
        <v>#NUM!</v>
      </c>
      <c r="BL24" s="3">
        <f ca="1">IF($BP$1=1,DZ24,IF(RTD("tos.rtd",,BL$2,"."&amp;$A$2&amp;$AU$1&amp;"C"&amp;$A24)="N/A",0,RTD("tos.rtd",,BL$2,"."&amp;$A$2&amp;$AU$1&amp;"C"&amp;$A24)))</f>
        <v>1.7891779572245501E-2</v>
      </c>
      <c r="BM24" s="3">
        <f ca="1">IF($BP$1=1,EA24,-IF(RTD("tos.rtd",,BM$2,"."&amp;$A$2&amp;$AU$1&amp;"P"&amp;$A24)="N/A",0,RTD("tos.rtd",,BM$2,"."&amp;$A$2&amp;$AU$1&amp;"P"&amp;$A24)))</f>
        <v>-1.3450314453819627E-2</v>
      </c>
      <c r="BN24" s="3">
        <f ca="1">IF($BP$1=1,EB24,IF(RTD("tos.rtd",,BN$2,"."&amp;$A$2&amp;$AW$1&amp;"C"&amp;$A24)="N/A",0,RTD("tos.rtd",,BN$2,"."&amp;$A$2&amp;$AW$1&amp;"C"&amp;$A24)))</f>
        <v>2.3862278146425907E-2</v>
      </c>
      <c r="BO24" s="3">
        <f ca="1">IF($BP$1=1,EC24,-IF(RTD("tos.rtd",,BO$2,"."&amp;$A$2&amp;$AW$1&amp;"P"&amp;$A24)="N/A",0,RTD("tos.rtd",,BO$2,"."&amp;$A$2&amp;$AW$1&amp;"P"&amp;$A24)))</f>
        <v>-1.81523289885538E-2</v>
      </c>
      <c r="BQ24" s="3" t="e">
        <f t="shared" ca="1" si="148"/>
        <v>#NUM!</v>
      </c>
      <c r="BR24" s="3" t="e">
        <f t="shared" ca="1" si="71"/>
        <v>#NUM!</v>
      </c>
      <c r="BS24" s="3">
        <f t="shared" ca="1" si="149"/>
        <v>18626955.622864738</v>
      </c>
      <c r="BT24" s="3" t="str">
        <f t="shared" ca="1" si="71"/>
        <v/>
      </c>
      <c r="BU24" s="3">
        <f t="shared" ca="1" si="150"/>
        <v>414731.53451020084</v>
      </c>
      <c r="BV24" s="3" t="str">
        <f t="shared" ref="BV24" ca="1" si="175">IF(AND(BU24&lt;0,BU23&gt;0), "Cruce -", IF(AND(BU24&gt;0,BU23&lt;0),"Cruce +", ""))</f>
        <v/>
      </c>
      <c r="BX24" s="3" t="e">
        <f t="shared" ca="1" si="152"/>
        <v>#NUM!</v>
      </c>
      <c r="BY24" s="3" t="e">
        <f t="shared" ca="1" si="73"/>
        <v>#NUM!</v>
      </c>
      <c r="BZ24" s="3">
        <f t="shared" ca="1" si="153"/>
        <v>-10170905.17372353</v>
      </c>
      <c r="CA24" s="3" t="str">
        <f t="shared" ca="1" si="74"/>
        <v/>
      </c>
      <c r="CB24" s="3">
        <f t="shared" ca="1" si="154"/>
        <v>-821307.41475504963</v>
      </c>
      <c r="CC24" s="3" t="str">
        <f t="shared" ca="1" si="75"/>
        <v/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</v>
      </c>
      <c r="CF24" s="3">
        <f>IF(RTD("tos.rtd",,CF$2,"."&amp;$A$2&amp;$AU$1&amp;"C"&amp;$A24)="N/A",0,RTD("tos.rtd",,CF$2,"."&amp;$A$2&amp;$AU$1&amp;"C"&amp;$A24))</f>
        <v>1</v>
      </c>
      <c r="CG24" s="3">
        <f>-IF(RTD("tos.rtd",,CG$2,"."&amp;$A$2&amp;$AU$1&amp;"P"&amp;$A24)="N/A",0,RTD("tos.rtd",,CG$2,"."&amp;$A$2&amp;$AU$1&amp;"P"&amp;$A24))</f>
        <v>0.33</v>
      </c>
      <c r="CH24" s="3">
        <f>IF(RTD("tos.rtd",,CH$2,"."&amp;$A$2&amp;$AW$1&amp;"C"&amp;$A24)="N/A",0,RTD("tos.rtd",,CH$2,"."&amp;$A$2&amp;$AW$1&amp;"C"&amp;$A24))</f>
        <v>0.67</v>
      </c>
      <c r="CI24" s="3">
        <f>-IF(RTD("tos.rtd",,CI$2,"."&amp;$A$2&amp;$AW$1&amp;"P"&amp;$A24)="N/A",0,RTD("tos.rtd",,CI$2,"."&amp;$A$2&amp;$AW$1&amp;"P"&amp;$A24))</f>
        <v>0.39</v>
      </c>
      <c r="CK24" s="3">
        <f t="shared" si="155"/>
        <v>335800</v>
      </c>
      <c r="CL24" s="3"/>
      <c r="CM24" s="3">
        <f t="shared" si="156"/>
        <v>445602</v>
      </c>
      <c r="CN24" s="3"/>
      <c r="CO24" s="3">
        <f t="shared" si="157"/>
        <v>23983</v>
      </c>
      <c r="CP24" s="3">
        <f t="shared" si="158"/>
        <v>805385</v>
      </c>
      <c r="CQ24" s="3">
        <f t="shared" si="159"/>
        <v>-133080</v>
      </c>
      <c r="CR24" s="3"/>
      <c r="CS24" s="3">
        <f t="shared" si="160"/>
        <v>-2674</v>
      </c>
      <c r="CT24" s="3"/>
      <c r="CU24" s="3">
        <f t="shared" si="161"/>
        <v>-187</v>
      </c>
      <c r="CV24" s="3">
        <f t="shared" si="162"/>
        <v>-135941</v>
      </c>
      <c r="CW24" s="3" t="e">
        <f t="shared" ca="1" si="163"/>
        <v>#NUM!</v>
      </c>
      <c r="CX24" s="85" t="e">
        <f t="shared" ca="1" si="76"/>
        <v>#NUM!</v>
      </c>
      <c r="CY24" s="3" t="e">
        <f t="shared" ca="1" si="164"/>
        <v>#NUM!</v>
      </c>
      <c r="CZ24" s="85" t="e">
        <f t="shared" ca="1" si="77"/>
        <v>#NUM!</v>
      </c>
      <c r="DA24" s="3">
        <f>IF(RTD("tos.rtd",,DA$2,"."&amp;$A$2&amp;$AS$1&amp;"C"&amp;$A24)="N/A",0,RTD("tos.rtd",,DA$2,"."&amp;$A$2&amp;$AS$1&amp;"C"&amp;$A24))</f>
        <v>2.38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3</v>
      </c>
      <c r="DD24" s="3">
        <f>IF(RTD("tos.rtd",,DD$2,"."&amp;$A$2&amp;$AS$1&amp;"P"&amp;$A24)="N/A",0,RTD("tos.rtd",,DD$2,"."&amp;$A$2&amp;$AS$1&amp;"P"&amp;$A24))</f>
        <v>0.01</v>
      </c>
      <c r="DE24" s="3">
        <f>IF(RTD("tos.rtd",,DE$2,"."&amp;$A$2&amp;$AS$1&amp;"C"&amp;$A24)="N/A",0,RTD("tos.rtd",,DE$2,"."&amp;$A$2&amp;$AS$1&amp;"C"&amp;$A24))</f>
        <v>1.66</v>
      </c>
      <c r="DF24" s="3">
        <f>IF(RTD("tos.rtd",,DF$2,"."&amp;$A$2&amp;$AS$1&amp;"P"&amp;$A24)="N/A",0,RTD("tos.rtd",,DF$2,"."&amp;$A$2&amp;$AS$1&amp;"P"&amp;$A24))</f>
        <v>0</v>
      </c>
      <c r="DG24" s="86">
        <f t="shared" si="48"/>
        <v>-9.4400000000000546</v>
      </c>
      <c r="DH24" s="3">
        <f t="shared" si="165"/>
        <v>29.014925373134329</v>
      </c>
      <c r="DI24" s="3">
        <f t="shared" si="166"/>
        <v>-750</v>
      </c>
      <c r="DJ24" s="3">
        <f t="shared" si="167"/>
        <v>0</v>
      </c>
      <c r="DK24" s="3">
        <f t="shared" si="51"/>
        <v>-750</v>
      </c>
      <c r="DL24" s="3">
        <f t="shared" si="52"/>
        <v>-720.98507462686564</v>
      </c>
      <c r="DM24" s="3">
        <f t="shared" si="53"/>
        <v>-750</v>
      </c>
      <c r="DN24" s="63" t="str">
        <f t="shared" si="54"/>
        <v>UNKNOWN</v>
      </c>
      <c r="DO24" s="63" t="str">
        <f t="shared" si="55"/>
        <v>BUY</v>
      </c>
      <c r="DP24" s="3">
        <f t="shared" si="56"/>
        <v>61.5555223880597</v>
      </c>
      <c r="DQ24" s="3">
        <f t="shared" si="57"/>
        <v>-7.5</v>
      </c>
      <c r="DR24" s="3" t="e">
        <f t="shared" ca="1" si="58"/>
        <v>#NUM!</v>
      </c>
      <c r="DS24" s="3">
        <f t="shared" si="59"/>
        <v>0</v>
      </c>
      <c r="DT24" s="3">
        <f t="shared" si="60"/>
        <v>54</v>
      </c>
      <c r="DU24" s="3">
        <f t="shared" si="61"/>
        <v>-750</v>
      </c>
      <c r="DV24" s="3">
        <f t="shared" si="62"/>
        <v>-1009</v>
      </c>
      <c r="DW24" s="3">
        <f t="shared" si="23"/>
        <v>-19793</v>
      </c>
      <c r="DX24" s="3" t="e">
        <f t="shared" ca="1" si="24"/>
        <v>#NUM!</v>
      </c>
      <c r="DY24" s="3" t="e">
        <f t="shared" ca="1" si="25"/>
        <v>#NUM!</v>
      </c>
      <c r="DZ24" s="3">
        <f t="shared" ca="1" si="26"/>
        <v>1.7891779572245501E-2</v>
      </c>
      <c r="EA24" s="3">
        <f t="shared" ca="1" si="27"/>
        <v>-1.3450314453819627E-2</v>
      </c>
      <c r="EB24" s="3">
        <f t="shared" ca="1" si="28"/>
        <v>2.3862278146425907E-2</v>
      </c>
      <c r="EC24" s="3">
        <f t="shared" ca="1" si="29"/>
        <v>-1.81523289885538E-2</v>
      </c>
      <c r="ED24" s="63">
        <f t="shared" si="63"/>
        <v>-20802</v>
      </c>
      <c r="EE24" s="59">
        <f t="shared" si="168"/>
        <v>0.25</v>
      </c>
      <c r="EF24" s="59">
        <f t="shared" si="169"/>
        <v>0.84279999999999999</v>
      </c>
      <c r="EG24" s="59">
        <f t="shared" si="170"/>
        <v>0.25</v>
      </c>
      <c r="EH24" s="59">
        <f t="shared" si="171"/>
        <v>0.35549999999999998</v>
      </c>
      <c r="EI24" s="59">
        <f t="shared" si="172"/>
        <v>0.14199999999999999</v>
      </c>
      <c r="EJ24" s="59">
        <f t="shared" si="173"/>
        <v>0.24510000000000001</v>
      </c>
      <c r="EK24" s="63" t="e">
        <f t="shared" ca="1" si="65"/>
        <v>#NUM!</v>
      </c>
      <c r="EL24" s="3" t="str">
        <f>RTD("tos.rtd",,EL$2,"."&amp;$A$2&amp;$AS$1&amp;"C"&amp;$A24)</f>
        <v>--</v>
      </c>
      <c r="EM24" s="3" t="str">
        <f>RTD("tos.rtd",,EM$2,"."&amp;$A$2&amp;$AS$1&amp;"P"&amp;$A24)</f>
        <v>84.28%</v>
      </c>
      <c r="EN24" s="3" t="str">
        <f>RTD("tos.rtd",,EN$2,"."&amp;$A$2&amp;$AU$1&amp;"C"&amp;$A24)</f>
        <v>--</v>
      </c>
      <c r="EO24" s="3" t="str">
        <f>RTD("tos.rtd",,EO$2,"."&amp;$A$2&amp;$AU$1&amp;"P"&amp;$A24)</f>
        <v>35.55%</v>
      </c>
      <c r="EP24" s="3" t="str">
        <f>RTD("tos.rtd",,EP$2,"."&amp;$A$2&amp;$AW$1&amp;"C"&amp;$A24)</f>
        <v>14.20%</v>
      </c>
      <c r="EQ24" s="3" t="str">
        <f>RTD("tos.rtd",,EQ$2,"."&amp;$A$2&amp;$AW$1&amp;"P"&amp;$A24)</f>
        <v>24.51%</v>
      </c>
      <c r="ES24" s="63" t="str">
        <f t="shared" si="66"/>
        <v>562,-20802.00</v>
      </c>
      <c r="ET24" s="63" t="str">
        <f t="shared" ca="1" si="67"/>
        <v>562,00.00</v>
      </c>
      <c r="EU24" s="67">
        <v>565.32000000000005</v>
      </c>
      <c r="EV24" s="67" t="s">
        <v>211</v>
      </c>
      <c r="EW24" s="67">
        <v>488.81</v>
      </c>
      <c r="EX24" s="67" t="s">
        <v>212</v>
      </c>
      <c r="EY24" s="67">
        <v>5663.94</v>
      </c>
      <c r="EZ24" s="67" t="s">
        <v>213</v>
      </c>
      <c r="FA24" s="67">
        <v>20063.564999999999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8"/>
        <v>561</v>
      </c>
      <c r="B25" s="3">
        <f t="shared" si="141"/>
        <v>7629</v>
      </c>
      <c r="C25" s="3">
        <f t="shared" si="142"/>
        <v>4600</v>
      </c>
      <c r="D25" s="3">
        <f t="shared" si="143"/>
        <v>2766</v>
      </c>
      <c r="E25" s="3">
        <f t="shared" si="144"/>
        <v>14995</v>
      </c>
      <c r="F25" s="4">
        <f t="shared" si="145"/>
        <v>5644.9496010079793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510</v>
      </c>
      <c r="AN25" s="1">
        <v>-2513</v>
      </c>
      <c r="AO25" s="1">
        <v>561</v>
      </c>
      <c r="AP25" s="1">
        <v>7918</v>
      </c>
      <c r="AQ25" s="1">
        <v>-126829</v>
      </c>
      <c r="AR25" s="1"/>
      <c r="AS25" s="6">
        <f>IF(RTD("tos.rtd",,AS$2,"."&amp;$A$2&amp;$AS$1&amp;"C"&amp;$A25)="N/A",0,RTD("tos.rtd",,AS$2,"."&amp;$A$2&amp;$AS$1&amp;"C"&amp;$A25))</f>
        <v>2797</v>
      </c>
      <c r="AT25" s="7">
        <f>-IF(RTD("tos.rtd",,AT$2,"."&amp;$A$2&amp;$AS$1&amp;"P"&amp;$A25)="N/A",0,RTD("tos.rtd",,AT$2,"."&amp;$A$2&amp;$AS$1&amp;"P"&amp;$A25))</f>
        <v>-4832</v>
      </c>
      <c r="AU25" s="6">
        <f>IF(RTD("tos.rtd",,AU$2,"."&amp;$A$2&amp;$AU$1&amp;"C"&amp;$A25)="N/A",0,RTD("tos.rtd",,AU$2,"."&amp;$A$2&amp;$AU$1&amp;"C"&amp;$A25))</f>
        <v>2999</v>
      </c>
      <c r="AV25" s="7">
        <f>-IF(RTD("tos.rtd",,AV$2,"."&amp;$A$2&amp;$AU$1&amp;"P"&amp;$A25)="N/A",0,RTD("tos.rtd",,AV$2,"."&amp;$A$2&amp;$AU$1&amp;"P"&amp;$A25))</f>
        <v>-1601</v>
      </c>
      <c r="AW25" s="6">
        <f>IF(RTD("tos.rtd",,AW$2,"."&amp;$A$2&amp;$AW$1&amp;"C"&amp;$A25)="N/A",0,RTD("tos.rtd",,AW$2,"."&amp;$A$2&amp;$AW$1&amp;"C"&amp;$A25))</f>
        <v>910</v>
      </c>
      <c r="AX25" s="7">
        <f>-IF(RTD("tos.rtd",,AX$2,"."&amp;$A$2&amp;$AW$1&amp;"P"&amp;$A25)="N/A",0,RTD("tos.rtd",,AX$2,"."&amp;$A$2&amp;$AW$1&amp;"P"&amp;$A25))</f>
        <v>-1856</v>
      </c>
      <c r="AY25" s="1">
        <f t="shared" si="146"/>
        <v>-1583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7937</v>
      </c>
      <c r="BB25" s="7">
        <f>-IF(RTD("tos.rtd",,BB$2,"."&amp;$A$2&amp;$AS$1&amp;"P"&amp;$A25)="N/A",0,RTD("tos.rtd",,BB$2,"."&amp;$A$2&amp;$AS$1&amp;"P"&amp;$A25))</f>
        <v>-127811</v>
      </c>
      <c r="BC25" s="6">
        <f>IF(RTD("tos.rtd",,BC$2,"."&amp;$A$2&amp;$AU$1&amp;"C"&amp;$A25)="N/A",0,RTD("tos.rtd",,BC$2,"."&amp;$A$2&amp;$AU$1&amp;"C"&amp;$A25))</f>
        <v>396</v>
      </c>
      <c r="BD25" s="7">
        <f>-IF(RTD("tos.rtd",,BD$2,"."&amp;$A$2&amp;$AU$1&amp;"P"&amp;$A25)="N/A",0,RTD("tos.rtd",,BD$2,"."&amp;$A$2&amp;$AU$1&amp;"P"&amp;$A25))</f>
        <v>-1807</v>
      </c>
      <c r="BE25" s="6">
        <f>IF(RTD("tos.rtd",,BE$2,"."&amp;$A$2&amp;$AW$1&amp;"C"&amp;$A25)="N/A",0,RTD("tos.rtd",,BE$2,"."&amp;$A$2&amp;$AW$1&amp;"C"&amp;$A25))</f>
        <v>111</v>
      </c>
      <c r="BF25" s="83">
        <f>-IF(RTD("tos.rtd",,BF$2,"."&amp;$A$2&amp;$AW$1&amp;"P"&amp;$A25)="N/A",0,RTD("tos.rtd",,BF$2,"."&amp;$A$2&amp;$AW$1&amp;"P"&amp;$A25))</f>
        <v>-445</v>
      </c>
      <c r="BG25" s="32">
        <f ca="1">+Hoja2!Y26</f>
        <v>-1930</v>
      </c>
      <c r="BH25" s="7">
        <f t="shared" ca="1" si="36"/>
        <v>-123549</v>
      </c>
      <c r="BI25" s="8" t="str">
        <f t="shared" ref="BI25" ca="1" si="176">IF(AND(BH25&lt;0,BH24&gt;0), "Cruce -", IF(AND(BH25&gt;0,BH24&lt;0),"Cruce +", ""))</f>
        <v/>
      </c>
      <c r="BJ25" s="3" t="e">
        <f ca="1">IF($BP$1=1,DX25,IF(RTD("tos.rtd",,BJ$2,"."&amp;$A$2&amp;$AS$1&amp;"C"&amp;$A25)="N/A",0,RTD("tos.rtd",,BJ$2,"."&amp;$A$2&amp;$AS$1&amp;"C"&amp;$A25)))</f>
        <v>#NUM!</v>
      </c>
      <c r="BK25" s="3" t="e">
        <f ca="1">IF($BP$1=1,DY25,-IF(RTD("tos.rtd",,BK$2,"."&amp;$A$2&amp;$AS$1&amp;"P"&amp;$A25)="N/A",0,RTD("tos.rtd",,BK$2,"."&amp;$A$2&amp;$AS$1&amp;"P"&amp;$A25)))</f>
        <v>#NUM!</v>
      </c>
      <c r="BL25" s="3">
        <f ca="1">IF($BP$1=1,DZ25,IF(RTD("tos.rtd",,BL$2,"."&amp;$A$2&amp;$AU$1&amp;"C"&amp;$A25)="N/A",0,RTD("tos.rtd",,BL$2,"."&amp;$A$2&amp;$AU$1&amp;"C"&amp;$A25)))</f>
        <v>1.7374998441864839E-2</v>
      </c>
      <c r="BM25" s="3">
        <f ca="1">IF($BP$1=1,EA25,-IF(RTD("tos.rtd",,BM$2,"."&amp;$A$2&amp;$AU$1&amp;"P"&amp;$A25)="N/A",0,RTD("tos.rtd",,BM$2,"."&amp;$A$2&amp;$AU$1&amp;"P"&amp;$A25)))</f>
        <v>-1.3316962569080349E-2</v>
      </c>
      <c r="BN25" s="3">
        <f ca="1">IF($BP$1=1,EB25,IF(RTD("tos.rtd",,BN$2,"."&amp;$A$2&amp;$AW$1&amp;"C"&amp;$A25)="N/A",0,RTD("tos.rtd",,BN$2,"."&amp;$A$2&amp;$AW$1&amp;"C"&amp;$A25)))</f>
        <v>2.1830890539200141E-2</v>
      </c>
      <c r="BO25" s="3">
        <f ca="1">IF($BP$1=1,EC25,-IF(RTD("tos.rtd",,BO$2,"."&amp;$A$2&amp;$AW$1&amp;"P"&amp;$A25)="N/A",0,RTD("tos.rtd",,BO$2,"."&amp;$A$2&amp;$AW$1&amp;"P"&amp;$A25)))</f>
        <v>-1.7574350550300686E-2</v>
      </c>
      <c r="BQ25" s="3" t="e">
        <f t="shared" ca="1" si="148"/>
        <v>#NUM!</v>
      </c>
      <c r="BR25" s="3" t="e">
        <f t="shared" ca="1" si="71"/>
        <v>#NUM!</v>
      </c>
      <c r="BS25" s="3">
        <f t="shared" ca="1" si="149"/>
        <v>10053353.388702055</v>
      </c>
      <c r="BT25" s="3" t="str">
        <f t="shared" ca="1" si="71"/>
        <v/>
      </c>
      <c r="BU25" s="3">
        <f t="shared" ca="1" si="150"/>
        <v>-4164047.1220100997</v>
      </c>
      <c r="BV25" s="3" t="str">
        <f t="shared" ref="BV25" ca="1" si="177">IF(AND(BU25&lt;0,BU24&gt;0), "Cruce -", IF(AND(BU25&gt;0,BU24&lt;0),"Cruce +", ""))</f>
        <v>Cruce -</v>
      </c>
      <c r="BX25" s="3" t="e">
        <f t="shared" ca="1" si="152"/>
        <v>#NUM!</v>
      </c>
      <c r="BY25" s="3" t="e">
        <f t="shared" ca="1" si="73"/>
        <v>#NUM!</v>
      </c>
      <c r="BZ25" s="3">
        <f t="shared" ca="1" si="153"/>
        <v>-5611082.2257313281</v>
      </c>
      <c r="CA25" s="3" t="str">
        <f t="shared" ca="1" si="74"/>
        <v/>
      </c>
      <c r="CB25" s="3">
        <f t="shared" ca="1" si="154"/>
        <v>-1762472.82987015</v>
      </c>
      <c r="CC25" s="3" t="str">
        <f t="shared" ca="1" si="75"/>
        <v/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</v>
      </c>
      <c r="CF25" s="3">
        <f>IF(RTD("tos.rtd",,CF$2,"."&amp;$A$2&amp;$AU$1&amp;"C"&amp;$A25)="N/A",0,RTD("tos.rtd",,CF$2,"."&amp;$A$2&amp;$AU$1&amp;"C"&amp;$A25))</f>
        <v>1</v>
      </c>
      <c r="CG25" s="3">
        <f>-IF(RTD("tos.rtd",,CG$2,"."&amp;$A$2&amp;$AU$1&amp;"P"&amp;$A25)="N/A",0,RTD("tos.rtd",,CG$2,"."&amp;$A$2&amp;$AU$1&amp;"P"&amp;$A25))</f>
        <v>0.31</v>
      </c>
      <c r="CH25" s="3">
        <f>IF(RTD("tos.rtd",,CH$2,"."&amp;$A$2&amp;$AW$1&amp;"C"&amp;$A25)="N/A",0,RTD("tos.rtd",,CH$2,"."&amp;$A$2&amp;$AW$1&amp;"C"&amp;$A25))</f>
        <v>0.69</v>
      </c>
      <c r="CI25" s="3">
        <f>-IF(RTD("tos.rtd",,CI$2,"."&amp;$A$2&amp;$AW$1&amp;"P"&amp;$A25)="N/A",0,RTD("tos.rtd",,CI$2,"."&amp;$A$2&amp;$AW$1&amp;"P"&amp;$A25))</f>
        <v>0.38</v>
      </c>
      <c r="CK25" s="3">
        <f t="shared" si="155"/>
        <v>279700</v>
      </c>
      <c r="CL25" s="3"/>
      <c r="CM25" s="3">
        <f t="shared" si="156"/>
        <v>250269</v>
      </c>
      <c r="CN25" s="3"/>
      <c r="CO25" s="3">
        <f t="shared" si="157"/>
        <v>-7738</v>
      </c>
      <c r="CP25" s="3">
        <f t="shared" si="158"/>
        <v>522231</v>
      </c>
      <c r="CQ25" s="3">
        <f t="shared" si="159"/>
        <v>-119874</v>
      </c>
      <c r="CR25" s="3"/>
      <c r="CS25" s="3">
        <f t="shared" si="160"/>
        <v>-1411</v>
      </c>
      <c r="CT25" s="3"/>
      <c r="CU25" s="3">
        <f t="shared" si="161"/>
        <v>-334</v>
      </c>
      <c r="CV25" s="3">
        <f t="shared" si="162"/>
        <v>-121619</v>
      </c>
      <c r="CW25" s="3" t="e">
        <f t="shared" ca="1" si="163"/>
        <v>#NUM!</v>
      </c>
      <c r="CX25" s="85" t="e">
        <f t="shared" ca="1" si="76"/>
        <v>#NUM!</v>
      </c>
      <c r="CY25" s="3" t="e">
        <f t="shared" ca="1" si="164"/>
        <v>#NUM!</v>
      </c>
      <c r="CZ25" s="85" t="e">
        <f t="shared" ca="1" si="77"/>
        <v>#NUM!</v>
      </c>
      <c r="DA25" s="3">
        <f>IF(RTD("tos.rtd",,DA$2,"."&amp;$A$2&amp;$AS$1&amp;"C"&amp;$A25)="N/A",0,RTD("tos.rtd",,DA$2,"."&amp;$A$2&amp;$AS$1&amp;"C"&amp;$A25))</f>
        <v>3.1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4.28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2.41</v>
      </c>
      <c r="DF25" s="3">
        <f>IF(RTD("tos.rtd",,DF$2,"."&amp;$A$2&amp;$AS$1&amp;"P"&amp;$A25)="N/A",0,RTD("tos.rtd",,DF$2,"."&amp;$A$2&amp;$AS$1&amp;"P"&amp;$A25))</f>
        <v>0</v>
      </c>
      <c r="DG25" s="86">
        <f t="shared" si="48"/>
        <v>-10.440000000000055</v>
      </c>
      <c r="DH25" s="3">
        <f t="shared" si="165"/>
        <v>7.0106951871657746</v>
      </c>
      <c r="DI25" s="3">
        <f t="shared" si="166"/>
        <v>-982</v>
      </c>
      <c r="DJ25" s="3">
        <f t="shared" si="167"/>
        <v>-19</v>
      </c>
      <c r="DK25" s="3">
        <f t="shared" si="51"/>
        <v>-982</v>
      </c>
      <c r="DL25" s="3">
        <f t="shared" si="52"/>
        <v>-974.98930481283423</v>
      </c>
      <c r="DM25" s="3">
        <f t="shared" si="53"/>
        <v>-1001</v>
      </c>
      <c r="DN25" s="63" t="str">
        <f t="shared" si="54"/>
        <v>SELL</v>
      </c>
      <c r="DO25" s="63" t="str">
        <f t="shared" si="55"/>
        <v>BUY</v>
      </c>
      <c r="DP25" s="3">
        <f t="shared" si="56"/>
        <v>11.913155080213901</v>
      </c>
      <c r="DQ25" s="3">
        <f t="shared" si="57"/>
        <v>-68.72</v>
      </c>
      <c r="DR25" s="3" t="e">
        <f t="shared" ca="1" si="58"/>
        <v>#NUM!</v>
      </c>
      <c r="DS25" s="3">
        <f t="shared" si="59"/>
        <v>-19</v>
      </c>
      <c r="DT25" s="3">
        <f t="shared" si="60"/>
        <v>19</v>
      </c>
      <c r="DU25" s="3">
        <f t="shared" si="61"/>
        <v>-982</v>
      </c>
      <c r="DV25" s="3">
        <f t="shared" si="62"/>
        <v>491</v>
      </c>
      <c r="DW25" s="3">
        <f t="shared" si="23"/>
        <v>-3495</v>
      </c>
      <c r="DX25" s="3" t="e">
        <f t="shared" ca="1" si="24"/>
        <v>#NUM!</v>
      </c>
      <c r="DY25" s="3" t="e">
        <f t="shared" ca="1" si="25"/>
        <v>#NUM!</v>
      </c>
      <c r="DZ25" s="3">
        <f t="shared" ca="1" si="26"/>
        <v>1.7374998441864839E-2</v>
      </c>
      <c r="EA25" s="3">
        <f t="shared" ca="1" si="27"/>
        <v>-1.3316962569080349E-2</v>
      </c>
      <c r="EB25" s="3">
        <f t="shared" ca="1" si="28"/>
        <v>2.1830890539200141E-2</v>
      </c>
      <c r="EC25" s="3">
        <f t="shared" ca="1" si="29"/>
        <v>-1.7574350550300686E-2</v>
      </c>
      <c r="ED25" s="63">
        <f t="shared" si="63"/>
        <v>-3004</v>
      </c>
      <c r="EE25" s="59">
        <f t="shared" si="168"/>
        <v>0.25</v>
      </c>
      <c r="EF25" s="59">
        <f t="shared" si="169"/>
        <v>0.92300000000000004</v>
      </c>
      <c r="EG25" s="59">
        <f t="shared" si="170"/>
        <v>0.25</v>
      </c>
      <c r="EH25" s="59">
        <f t="shared" si="171"/>
        <v>0.35339999999999999</v>
      </c>
      <c r="EI25" s="59">
        <f t="shared" si="172"/>
        <v>0.14180000000000001</v>
      </c>
      <c r="EJ25" s="59">
        <f t="shared" si="173"/>
        <v>0.24579999999999999</v>
      </c>
      <c r="EK25" s="63" t="e">
        <f t="shared" ca="1" si="65"/>
        <v>#NUM!</v>
      </c>
      <c r="EL25" s="3" t="str">
        <f>RTD("tos.rtd",,EL$2,"."&amp;$A$2&amp;$AS$1&amp;"C"&amp;$A25)</f>
        <v>--</v>
      </c>
      <c r="EM25" s="3" t="str">
        <f>RTD("tos.rtd",,EM$2,"."&amp;$A$2&amp;$AS$1&amp;"P"&amp;$A25)</f>
        <v>92.30%</v>
      </c>
      <c r="EN25" s="3" t="str">
        <f>RTD("tos.rtd",,EN$2,"."&amp;$A$2&amp;$AU$1&amp;"C"&amp;$A25)</f>
        <v>--</v>
      </c>
      <c r="EO25" s="3" t="str">
        <f>RTD("tos.rtd",,EO$2,"."&amp;$A$2&amp;$AU$1&amp;"P"&amp;$A25)</f>
        <v>35.34%</v>
      </c>
      <c r="EP25" s="3" t="str">
        <f>RTD("tos.rtd",,EP$2,"."&amp;$A$2&amp;$AW$1&amp;"C"&amp;$A25)</f>
        <v>14.18%</v>
      </c>
      <c r="EQ25" s="3" t="str">
        <f>RTD("tos.rtd",,EQ$2,"."&amp;$A$2&amp;$AW$1&amp;"P"&amp;$A25)</f>
        <v>24.58%</v>
      </c>
      <c r="ES25" s="63" t="str">
        <f t="shared" si="66"/>
        <v>561,-3004.00</v>
      </c>
      <c r="ET25" s="63" t="str">
        <f t="shared" ca="1" si="67"/>
        <v>561,00.00</v>
      </c>
      <c r="EU25" s="67">
        <v>565.37</v>
      </c>
      <c r="EV25" s="67" t="s">
        <v>219</v>
      </c>
      <c r="EW25" s="67">
        <v>488.78</v>
      </c>
      <c r="EX25" s="67" t="s">
        <v>220</v>
      </c>
      <c r="EY25" s="67">
        <v>5663.94</v>
      </c>
      <c r="EZ25" s="67" t="s">
        <v>221</v>
      </c>
      <c r="FA25" s="67">
        <v>20063.564999999999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8"/>
        <v>560</v>
      </c>
      <c r="B26" s="3">
        <f t="shared" si="141"/>
        <v>24376</v>
      </c>
      <c r="C26" s="3">
        <f t="shared" si="142"/>
        <v>44848</v>
      </c>
      <c r="D26" s="3">
        <f t="shared" si="143"/>
        <v>114872</v>
      </c>
      <c r="E26" s="3">
        <f t="shared" si="144"/>
        <v>184096</v>
      </c>
      <c r="F26" s="4">
        <f t="shared" si="145"/>
        <v>5634.8873022539547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1318</v>
      </c>
      <c r="AN26" s="1">
        <v>15446</v>
      </c>
      <c r="AO26" s="1">
        <v>560</v>
      </c>
      <c r="AP26" s="1">
        <v>11326</v>
      </c>
      <c r="AQ26" s="1">
        <v>-234914</v>
      </c>
      <c r="AR26" s="1"/>
      <c r="AS26" s="6">
        <f>IF(RTD("tos.rtd",,AS$2,"."&amp;$A$2&amp;$AS$1&amp;"C"&amp;$A26)="N/A",0,RTD("tos.rtd",,AS$2,"."&amp;$A$2&amp;$AS$1&amp;"C"&amp;$A26))</f>
        <v>8543</v>
      </c>
      <c r="AT26" s="7">
        <f>-IF(RTD("tos.rtd",,AT$2,"."&amp;$A$2&amp;$AS$1&amp;"P"&amp;$A26)="N/A",0,RTD("tos.rtd",,AT$2,"."&amp;$A$2&amp;$AS$1&amp;"P"&amp;$A26))</f>
        <v>-15833</v>
      </c>
      <c r="AU26" s="6">
        <f>IF(RTD("tos.rtd",,AU$2,"."&amp;$A$2&amp;$AU$1&amp;"C"&amp;$A26)="N/A",0,RTD("tos.rtd",,AU$2,"."&amp;$A$2&amp;$AU$1&amp;"C"&amp;$A26))</f>
        <v>11371</v>
      </c>
      <c r="AV26" s="7">
        <f>-IF(RTD("tos.rtd",,AV$2,"."&amp;$A$2&amp;$AU$1&amp;"P"&amp;$A26)="N/A",0,RTD("tos.rtd",,AV$2,"."&amp;$A$2&amp;$AU$1&amp;"P"&amp;$A26))</f>
        <v>-33477</v>
      </c>
      <c r="AW26" s="6">
        <f>IF(RTD("tos.rtd",,AW$2,"."&amp;$A$2&amp;$AW$1&amp;"C"&amp;$A26)="N/A",0,RTD("tos.rtd",,AW$2,"."&amp;$A$2&amp;$AW$1&amp;"C"&amp;$A26))</f>
        <v>70627</v>
      </c>
      <c r="AX26" s="7">
        <f>-IF(RTD("tos.rtd",,AX$2,"."&amp;$A$2&amp;$AW$1&amp;"P"&amp;$A26)="N/A",0,RTD("tos.rtd",,AX$2,"."&amp;$A$2&amp;$AW$1&amp;"P"&amp;$A26))</f>
        <v>-44245</v>
      </c>
      <c r="AY26" s="1">
        <f t="shared" si="146"/>
        <v>-3014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11376</v>
      </c>
      <c r="BB26" s="7">
        <f>-IF(RTD("tos.rtd",,BB$2,"."&amp;$A$2&amp;$AS$1&amp;"P"&amp;$A26)="N/A",0,RTD("tos.rtd",,BB$2,"."&amp;$A$2&amp;$AS$1&amp;"P"&amp;$A26))</f>
        <v>-240660</v>
      </c>
      <c r="BC26" s="6">
        <f>IF(RTD("tos.rtd",,BC$2,"."&amp;$A$2&amp;$AU$1&amp;"C"&amp;$A26)="N/A",0,RTD("tos.rtd",,BC$2,"."&amp;$A$2&amp;$AU$1&amp;"C"&amp;$A26))</f>
        <v>3596</v>
      </c>
      <c r="BD26" s="7">
        <f>-IF(RTD("tos.rtd",,BD$2,"."&amp;$A$2&amp;$AU$1&amp;"P"&amp;$A26)="N/A",0,RTD("tos.rtd",,BD$2,"."&amp;$A$2&amp;$AU$1&amp;"P"&amp;$A26))</f>
        <v>-20932</v>
      </c>
      <c r="BE26" s="6">
        <f>IF(RTD("tos.rtd",,BE$2,"."&amp;$A$2&amp;$AW$1&amp;"C"&amp;$A26)="N/A",0,RTD("tos.rtd",,BE$2,"."&amp;$A$2&amp;$AW$1&amp;"C"&amp;$A26))</f>
        <v>1339</v>
      </c>
      <c r="BF26" s="83">
        <f>-IF(RTD("tos.rtd",,BF$2,"."&amp;$A$2&amp;$AW$1&amp;"P"&amp;$A26)="N/A",0,RTD("tos.rtd",,BF$2,"."&amp;$A$2&amp;$AW$1&amp;"P"&amp;$A26))</f>
        <v>-7997</v>
      </c>
      <c r="BG26" s="32">
        <f ca="1">+Hoja2!Y27</f>
        <v>-5846</v>
      </c>
      <c r="BH26" s="7">
        <f t="shared" ca="1" si="36"/>
        <v>-259124</v>
      </c>
      <c r="BI26" s="8" t="str">
        <f t="shared" ref="BI26" ca="1" si="178">IF(AND(BH26&lt;0,BH25&gt;0), "Cruce -", IF(AND(BH26&gt;0,BH25&lt;0),"Cruce +", ""))</f>
        <v/>
      </c>
      <c r="BJ26" s="3" t="e">
        <f ca="1">IF($BP$1=1,DX26,IF(RTD("tos.rtd",,BJ$2,"."&amp;$A$2&amp;$AS$1&amp;"C"&amp;$A26)="N/A",0,RTD("tos.rtd",,BJ$2,"."&amp;$A$2&amp;$AS$1&amp;"C"&amp;$A26)))</f>
        <v>#NUM!</v>
      </c>
      <c r="BK26" s="3" t="e">
        <f ca="1">IF($BP$1=1,DY26,-IF(RTD("tos.rtd",,BK$2,"."&amp;$A$2&amp;$AS$1&amp;"P"&amp;$A26)="N/A",0,RTD("tos.rtd",,BK$2,"."&amp;$A$2&amp;$AS$1&amp;"P"&amp;$A26)))</f>
        <v>#NUM!</v>
      </c>
      <c r="BL26" s="3">
        <f ca="1">IF($BP$1=1,DZ26,IF(RTD("tos.rtd",,BL$2,"."&amp;$A$2&amp;$AU$1&amp;"C"&amp;$A26)="N/A",0,RTD("tos.rtd",,BL$2,"."&amp;$A$2&amp;$AU$1&amp;"C"&amp;$A26)))</f>
        <v>1.6825588119781333E-2</v>
      </c>
      <c r="BM26" s="3">
        <f ca="1">IF($BP$1=1,EA26,-IF(RTD("tos.rtd",,BM$2,"."&amp;$A$2&amp;$AU$1&amp;"P"&amp;$A26)="N/A",0,RTD("tos.rtd",,BM$2,"."&amp;$A$2&amp;$AU$1&amp;"P"&amp;$A26)))</f>
        <v>-1.3155841546301171E-2</v>
      </c>
      <c r="BN26" s="3">
        <f ca="1">IF($BP$1=1,EB26,IF(RTD("tos.rtd",,BN$2,"."&amp;$A$2&amp;$AW$1&amp;"C"&amp;$A26)="N/A",0,RTD("tos.rtd",,BN$2,"."&amp;$A$2&amp;$AW$1&amp;"C"&amp;$A26)))</f>
        <v>1.9784855660086424E-2</v>
      </c>
      <c r="BO26" s="3">
        <f ca="1">IF($BP$1=1,EC26,-IF(RTD("tos.rtd",,BO$2,"."&amp;$A$2&amp;$AW$1&amp;"P"&amp;$A26)="N/A",0,RTD("tos.rtd",,BO$2,"."&amp;$A$2&amp;$AW$1&amp;"P"&amp;$A26)))</f>
        <v>-1.696696665269087E-2</v>
      </c>
      <c r="BQ26" s="3" t="e">
        <f t="shared" ca="1" si="148"/>
        <v>#NUM!</v>
      </c>
      <c r="BR26" s="3" t="e">
        <f t="shared" ca="1" si="71"/>
        <v>#NUM!</v>
      </c>
      <c r="BS26" s="3">
        <f t="shared" ca="1" si="149"/>
        <v>-81340182.468220681</v>
      </c>
      <c r="BT26" s="3" t="str">
        <f t="shared" ca="1" si="71"/>
        <v>Cruce -</v>
      </c>
      <c r="BU26" s="3">
        <f t="shared" ca="1" si="150"/>
        <v>211156710.88252056</v>
      </c>
      <c r="BV26" s="3" t="str">
        <f t="shared" ref="BV26" ca="1" si="179">IF(AND(BU26&lt;0,BU25&gt;0), "Cruce -", IF(AND(BU26&gt;0,BU25&lt;0),"Cruce +", ""))</f>
        <v>Cruce +</v>
      </c>
      <c r="BX26" s="3" t="e">
        <f t="shared" ca="1" si="152"/>
        <v>#NUM!</v>
      </c>
      <c r="BY26" s="3" t="e">
        <f t="shared" ca="1" si="73"/>
        <v>#NUM!</v>
      </c>
      <c r="BZ26" s="3">
        <f t="shared" ca="1" si="153"/>
        <v>-70165503.799120486</v>
      </c>
      <c r="CA26" s="3" t="str">
        <f t="shared" ca="1" si="74"/>
        <v/>
      </c>
      <c r="CB26" s="3">
        <f t="shared" ca="1" si="154"/>
        <v>-35656254.15602091</v>
      </c>
      <c r="CC26" s="3" t="str">
        <f t="shared" ca="1" si="75"/>
        <v/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</v>
      </c>
      <c r="CF26" s="3">
        <f>IF(RTD("tos.rtd",,CF$2,"."&amp;$A$2&amp;$AU$1&amp;"C"&amp;$A26)="N/A",0,RTD("tos.rtd",,CF$2,"."&amp;$A$2&amp;$AU$1&amp;"C"&amp;$A26))</f>
        <v>1</v>
      </c>
      <c r="CG26" s="3">
        <f>-IF(RTD("tos.rtd",,CG$2,"."&amp;$A$2&amp;$AU$1&amp;"P"&amp;$A26)="N/A",0,RTD("tos.rtd",,CG$2,"."&amp;$A$2&amp;$AU$1&amp;"P"&amp;$A26))</f>
        <v>0.3</v>
      </c>
      <c r="CH26" s="3">
        <f>IF(RTD("tos.rtd",,CH$2,"."&amp;$A$2&amp;$AW$1&amp;"C"&amp;$A26)="N/A",0,RTD("tos.rtd",,CH$2,"."&amp;$A$2&amp;$AW$1&amp;"C"&amp;$A26))</f>
        <v>0.7</v>
      </c>
      <c r="CI26" s="3">
        <f>-IF(RTD("tos.rtd",,CI$2,"."&amp;$A$2&amp;$AW$1&amp;"P"&amp;$A26)="N/A",0,RTD("tos.rtd",,CI$2,"."&amp;$A$2&amp;$AW$1&amp;"P"&amp;$A26))</f>
        <v>0.37</v>
      </c>
      <c r="CK26" s="3">
        <f t="shared" si="155"/>
        <v>854300</v>
      </c>
      <c r="CL26" s="3"/>
      <c r="CM26" s="3">
        <f t="shared" si="156"/>
        <v>132790</v>
      </c>
      <c r="CN26" s="3"/>
      <c r="CO26" s="3">
        <f t="shared" si="157"/>
        <v>3306824.9999999991</v>
      </c>
      <c r="CP26" s="3">
        <f t="shared" si="158"/>
        <v>4293914.9999999991</v>
      </c>
      <c r="CQ26" s="3">
        <f t="shared" si="159"/>
        <v>-229284</v>
      </c>
      <c r="CR26" s="3"/>
      <c r="CS26" s="3">
        <f t="shared" si="160"/>
        <v>-17336</v>
      </c>
      <c r="CT26" s="3"/>
      <c r="CU26" s="3">
        <f t="shared" si="161"/>
        <v>-6658</v>
      </c>
      <c r="CV26" s="3">
        <f t="shared" si="162"/>
        <v>-253278</v>
      </c>
      <c r="CW26" s="3" t="e">
        <f t="shared" ca="1" si="163"/>
        <v>#NUM!</v>
      </c>
      <c r="CX26" s="85" t="e">
        <f t="shared" ca="1" si="76"/>
        <v>#NUM!</v>
      </c>
      <c r="CY26" s="3" t="e">
        <f t="shared" ca="1" si="164"/>
        <v>#NUM!</v>
      </c>
      <c r="CZ26" s="85" t="e">
        <f t="shared" ca="1" si="77"/>
        <v>#NUM!</v>
      </c>
      <c r="DA26" s="3">
        <f>IF(RTD("tos.rtd",,DA$2,"."&amp;$A$2&amp;$AS$1&amp;"C"&amp;$A26)="N/A",0,RTD("tos.rtd",,DA$2,"."&amp;$A$2&amp;$AS$1&amp;"C"&amp;$A26))</f>
        <v>3.9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5.51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3.41</v>
      </c>
      <c r="DF26" s="3">
        <f>IF(RTD("tos.rtd",,DF$2,"."&amp;$A$2&amp;$AS$1&amp;"P"&amp;$A26)="N/A",0,RTD("tos.rtd",,DF$2,"."&amp;$A$2&amp;$AS$1&amp;"P"&amp;$A26))</f>
        <v>0</v>
      </c>
      <c r="DG26" s="86">
        <f t="shared" si="48"/>
        <v>-11.440000000000055</v>
      </c>
      <c r="DH26" s="3">
        <f t="shared" si="165"/>
        <v>11.666666666666663</v>
      </c>
      <c r="DI26" s="3">
        <f t="shared" si="166"/>
        <v>-5746</v>
      </c>
      <c r="DJ26" s="3">
        <f t="shared" si="167"/>
        <v>-50</v>
      </c>
      <c r="DK26" s="3">
        <f t="shared" si="51"/>
        <v>-5746</v>
      </c>
      <c r="DL26" s="3">
        <f t="shared" si="52"/>
        <v>-5734.333333333333</v>
      </c>
      <c r="DM26" s="3">
        <f t="shared" si="53"/>
        <v>-5796</v>
      </c>
      <c r="DN26" s="63" t="str">
        <f t="shared" si="54"/>
        <v>SELL</v>
      </c>
      <c r="DO26" s="63" t="str">
        <f t="shared" si="55"/>
        <v>BUY</v>
      </c>
      <c r="DP26" s="3">
        <f t="shared" si="56"/>
        <v>-11.960000000000015</v>
      </c>
      <c r="DQ26" s="3">
        <f t="shared" si="57"/>
        <v>-252.46</v>
      </c>
      <c r="DR26" s="3" t="e">
        <f t="shared" ca="1" si="58"/>
        <v>#NUM!</v>
      </c>
      <c r="DS26" s="3">
        <f t="shared" si="59"/>
        <v>-50</v>
      </c>
      <c r="DT26" s="3">
        <f t="shared" si="60"/>
        <v>50</v>
      </c>
      <c r="DU26" s="3">
        <f t="shared" si="61"/>
        <v>-5746</v>
      </c>
      <c r="DV26" s="3">
        <f t="shared" si="62"/>
        <v>1268</v>
      </c>
      <c r="DW26" s="3">
        <f t="shared" si="23"/>
        <v>9700</v>
      </c>
      <c r="DX26" s="3" t="e">
        <f t="shared" ca="1" si="24"/>
        <v>#NUM!</v>
      </c>
      <c r="DY26" s="3" t="e">
        <f t="shared" ca="1" si="25"/>
        <v>#NUM!</v>
      </c>
      <c r="DZ26" s="3">
        <f t="shared" ca="1" si="26"/>
        <v>1.6825588119781333E-2</v>
      </c>
      <c r="EA26" s="3">
        <f t="shared" ca="1" si="27"/>
        <v>-1.3155841546301171E-2</v>
      </c>
      <c r="EB26" s="3">
        <f t="shared" ca="1" si="28"/>
        <v>1.9784855660086424E-2</v>
      </c>
      <c r="EC26" s="3">
        <f t="shared" ca="1" si="29"/>
        <v>-1.696696665269087E-2</v>
      </c>
      <c r="ED26" s="63">
        <f t="shared" si="63"/>
        <v>10968</v>
      </c>
      <c r="EE26" s="59">
        <f t="shared" si="168"/>
        <v>0.25</v>
      </c>
      <c r="EF26" s="59">
        <f t="shared" si="169"/>
        <v>1.0026999999999999</v>
      </c>
      <c r="EG26" s="59">
        <f t="shared" si="170"/>
        <v>0.25</v>
      </c>
      <c r="EH26" s="59">
        <f t="shared" si="171"/>
        <v>0.35149999999999998</v>
      </c>
      <c r="EI26" s="59">
        <f t="shared" si="172"/>
        <v>0.14149999999999999</v>
      </c>
      <c r="EJ26" s="59">
        <f t="shared" si="173"/>
        <v>0.24660000000000001</v>
      </c>
      <c r="EK26" s="63" t="e">
        <f t="shared" ca="1" si="65"/>
        <v>#NUM!</v>
      </c>
      <c r="EL26" s="3" t="str">
        <f>RTD("tos.rtd",,EL$2,"."&amp;$A$2&amp;$AS$1&amp;"C"&amp;$A26)</f>
        <v>--</v>
      </c>
      <c r="EM26" s="3" t="str">
        <f>RTD("tos.rtd",,EM$2,"."&amp;$A$2&amp;$AS$1&amp;"P"&amp;$A26)</f>
        <v>100.27%</v>
      </c>
      <c r="EN26" s="3" t="str">
        <f>RTD("tos.rtd",,EN$2,"."&amp;$A$2&amp;$AU$1&amp;"C"&amp;$A26)</f>
        <v>--</v>
      </c>
      <c r="EO26" s="3" t="str">
        <f>RTD("tos.rtd",,EO$2,"."&amp;$A$2&amp;$AU$1&amp;"P"&amp;$A26)</f>
        <v>35.15%</v>
      </c>
      <c r="EP26" s="3" t="str">
        <f>RTD("tos.rtd",,EP$2,"."&amp;$A$2&amp;$AW$1&amp;"C"&amp;$A26)</f>
        <v>14.15%</v>
      </c>
      <c r="EQ26" s="3" t="str">
        <f>RTD("tos.rtd",,EQ$2,"."&amp;$A$2&amp;$AW$1&amp;"P"&amp;$A26)</f>
        <v>24.66%</v>
      </c>
      <c r="ES26" s="63" t="str">
        <f t="shared" si="66"/>
        <v>560,10968.00</v>
      </c>
      <c r="ET26" s="63" t="str">
        <f t="shared" ca="1" si="67"/>
        <v>560,00.00</v>
      </c>
      <c r="EU26" s="67">
        <v>565.37</v>
      </c>
      <c r="EV26" s="67" t="s">
        <v>227</v>
      </c>
      <c r="EW26" s="67">
        <v>488.76</v>
      </c>
      <c r="EX26" s="67" t="s">
        <v>228</v>
      </c>
      <c r="EY26" s="67">
        <v>5663.94</v>
      </c>
      <c r="EZ26" s="67" t="s">
        <v>229</v>
      </c>
      <c r="FA26" s="67">
        <v>20063.564999999999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8"/>
        <v>559</v>
      </c>
      <c r="B27" s="3">
        <f t="shared" si="141"/>
        <v>8994</v>
      </c>
      <c r="C27" s="3">
        <f t="shared" si="142"/>
        <v>5444</v>
      </c>
      <c r="D27" s="3">
        <f t="shared" si="143"/>
        <v>1401</v>
      </c>
      <c r="E27" s="3">
        <f t="shared" si="144"/>
        <v>15839</v>
      </c>
      <c r="F27" s="4">
        <f t="shared" si="145"/>
        <v>5624.8250034999301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131</v>
      </c>
      <c r="AN27" s="1">
        <v>3389</v>
      </c>
      <c r="AO27" s="1">
        <v>559</v>
      </c>
      <c r="AP27" s="1">
        <v>3469</v>
      </c>
      <c r="AQ27" s="1">
        <v>-68571</v>
      </c>
      <c r="AR27" s="1"/>
      <c r="AS27" s="6">
        <f>IF(RTD("tos.rtd",,AS$2,"."&amp;$A$2&amp;$AS$1&amp;"C"&amp;$A27)="N/A",0,RTD("tos.rtd",,AS$2,"."&amp;$A$2&amp;$AS$1&amp;"C"&amp;$A27))</f>
        <v>4022</v>
      </c>
      <c r="AT27" s="7">
        <f>-IF(RTD("tos.rtd",,AT$2,"."&amp;$A$2&amp;$AS$1&amp;"P"&amp;$A27)="N/A",0,RTD("tos.rtd",,AT$2,"."&amp;$A$2&amp;$AS$1&amp;"P"&amp;$A27))</f>
        <v>-4972</v>
      </c>
      <c r="AU27" s="6">
        <f>IF(RTD("tos.rtd",,AU$2,"."&amp;$A$2&amp;$AU$1&amp;"C"&amp;$A27)="N/A",0,RTD("tos.rtd",,AU$2,"."&amp;$A$2&amp;$AU$1&amp;"C"&amp;$A27))</f>
        <v>3305</v>
      </c>
      <c r="AV27" s="7">
        <f>-IF(RTD("tos.rtd",,AV$2,"."&amp;$A$2&amp;$AU$1&amp;"P"&amp;$A27)="N/A",0,RTD("tos.rtd",,AV$2,"."&amp;$A$2&amp;$AU$1&amp;"P"&amp;$A27))</f>
        <v>-2139</v>
      </c>
      <c r="AW27" s="6">
        <f>IF(RTD("tos.rtd",,AW$2,"."&amp;$A$2&amp;$AW$1&amp;"C"&amp;$A27)="N/A",0,RTD("tos.rtd",,AW$2,"."&amp;$A$2&amp;$AW$1&amp;"C"&amp;$A27))</f>
        <v>172</v>
      </c>
      <c r="AX27" s="7">
        <f>-IF(RTD("tos.rtd",,AX$2,"."&amp;$A$2&amp;$AW$1&amp;"P"&amp;$A27)="N/A",0,RTD("tos.rtd",,AX$2,"."&amp;$A$2&amp;$AW$1&amp;"P"&amp;$A27))</f>
        <v>-1229</v>
      </c>
      <c r="AY27" s="1">
        <f t="shared" si="146"/>
        <v>-841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3494</v>
      </c>
      <c r="BB27" s="7">
        <f>-IF(RTD("tos.rtd",,BB$2,"."&amp;$A$2&amp;$AS$1&amp;"P"&amp;$A27)="N/A",0,RTD("tos.rtd",,BB$2,"."&amp;$A$2&amp;$AS$1&amp;"P"&amp;$A27))</f>
        <v>-74152</v>
      </c>
      <c r="BC27" s="6">
        <f>IF(RTD("tos.rtd",,BC$2,"."&amp;$A$2&amp;$AU$1&amp;"C"&amp;$A27)="N/A",0,RTD("tos.rtd",,BC$2,"."&amp;$A$2&amp;$AU$1&amp;"C"&amp;$A27))</f>
        <v>294</v>
      </c>
      <c r="BD27" s="7">
        <f>-IF(RTD("tos.rtd",,BD$2,"."&amp;$A$2&amp;$AU$1&amp;"P"&amp;$A27)="N/A",0,RTD("tos.rtd",,BD$2,"."&amp;$A$2&amp;$AU$1&amp;"P"&amp;$A27))</f>
        <v>-2605</v>
      </c>
      <c r="BE27" s="6">
        <f>IF(RTD("tos.rtd",,BE$2,"."&amp;$A$2&amp;$AW$1&amp;"C"&amp;$A27)="N/A",0,RTD("tos.rtd",,BE$2,"."&amp;$A$2&amp;$AW$1&amp;"C"&amp;$A27))</f>
        <v>65</v>
      </c>
      <c r="BF27" s="83">
        <f>-IF(RTD("tos.rtd",,BF$2,"."&amp;$A$2&amp;$AW$1&amp;"P"&amp;$A27)="N/A",0,RTD("tos.rtd",,BF$2,"."&amp;$A$2&amp;$AW$1&amp;"P"&amp;$A27))</f>
        <v>-187</v>
      </c>
      <c r="BG27" s="32">
        <f ca="1">+Hoja2!Y28</f>
        <v>-1120</v>
      </c>
      <c r="BH27" s="7">
        <f t="shared" ca="1" si="36"/>
        <v>-74211</v>
      </c>
      <c r="BI27" s="8" t="str">
        <f t="shared" ref="BI27" ca="1" si="180">IF(AND(BH27&lt;0,BH26&gt;0), "Cruce -", IF(AND(BH27&gt;0,BH26&lt;0),"Cruce +", ""))</f>
        <v/>
      </c>
      <c r="BJ27" s="3" t="e">
        <f ca="1">IF($BP$1=1,DX27,IF(RTD("tos.rtd",,BJ$2,"."&amp;$A$2&amp;$AS$1&amp;"C"&amp;$A27)="N/A",0,RTD("tos.rtd",,BJ$2,"."&amp;$A$2&amp;$AS$1&amp;"C"&amp;$A27)))</f>
        <v>#NUM!</v>
      </c>
      <c r="BK27" s="3" t="e">
        <f ca="1">IF($BP$1=1,DY27,-IF(RTD("tos.rtd",,BK$2,"."&amp;$A$2&amp;$AS$1&amp;"P"&amp;$A27)="N/A",0,RTD("tos.rtd",,BK$2,"."&amp;$A$2&amp;$AS$1&amp;"P"&amp;$A27)))</f>
        <v>#NUM!</v>
      </c>
      <c r="BL27" s="3">
        <f ca="1">IF($BP$1=1,DZ27,IF(RTD("tos.rtd",,BL$2,"."&amp;$A$2&amp;$AU$1&amp;"C"&amp;$A27)="N/A",0,RTD("tos.rtd",,BL$2,"."&amp;$A$2&amp;$AU$1&amp;"C"&amp;$A27)))</f>
        <v>1.6247383912825129E-2</v>
      </c>
      <c r="BM27" s="3">
        <f ca="1">IF($BP$1=1,EA27,-IF(RTD("tos.rtd",,BM$2,"."&amp;$A$2&amp;$AU$1&amp;"P"&amp;$A27)="N/A",0,RTD("tos.rtd",,BM$2,"."&amp;$A$2&amp;$AU$1&amp;"P"&amp;$A27)))</f>
        <v>-1.2973539606395332E-2</v>
      </c>
      <c r="BN27" s="3">
        <f ca="1">IF($BP$1=1,EB27,IF(RTD("tos.rtd",,BN$2,"."&amp;$A$2&amp;$AW$1&amp;"C"&amp;$A27)="N/A",0,RTD("tos.rtd",,BN$2,"."&amp;$A$2&amp;$AW$1&amp;"C"&amp;$A27)))</f>
        <v>1.7756958787742621E-2</v>
      </c>
      <c r="BO27" s="3">
        <f ca="1">IF($BP$1=1,EC27,-IF(RTD("tos.rtd",,BO$2,"."&amp;$A$2&amp;$AW$1&amp;"P"&amp;$A27)="N/A",0,RTD("tos.rtd",,BO$2,"."&amp;$A$2&amp;$AW$1&amp;"P"&amp;$A27)))</f>
        <v>-1.633995737753019E-2</v>
      </c>
      <c r="BQ27" s="3" t="e">
        <f t="shared" ca="1" si="148"/>
        <v>#NUM!</v>
      </c>
      <c r="BR27" s="3" t="e">
        <f t="shared" ca="1" si="71"/>
        <v>#NUM!</v>
      </c>
      <c r="BS27" s="3">
        <f t="shared" ca="1" si="149"/>
        <v>8472894.8611562047</v>
      </c>
      <c r="BT27" s="3" t="str">
        <f t="shared" ca="1" si="71"/>
        <v>Cruce +</v>
      </c>
      <c r="BU27" s="3">
        <f t="shared" ca="1" si="150"/>
        <v>-5560258.5524023315</v>
      </c>
      <c r="BV27" s="3" t="str">
        <f t="shared" ref="BV27" ca="1" si="181">IF(AND(BU27&lt;0,BU26&gt;0), "Cruce -", IF(AND(BU27&gt;0,BU26&lt;0),"Cruce +", ""))</f>
        <v>Cruce -</v>
      </c>
      <c r="BX27" s="3" t="e">
        <f t="shared" ca="1" si="152"/>
        <v>#NUM!</v>
      </c>
      <c r="BY27" s="3" t="e">
        <f t="shared" ca="1" si="73"/>
        <v>#NUM!</v>
      </c>
      <c r="BZ27" s="3">
        <f t="shared" ca="1" si="153"/>
        <v>-9476081.8251393177</v>
      </c>
      <c r="CA27" s="3" t="str">
        <f t="shared" ca="1" si="74"/>
        <v/>
      </c>
      <c r="CB27" s="3">
        <f t="shared" ca="1" si="154"/>
        <v>-620880.24945102341</v>
      </c>
      <c r="CC27" s="3" t="str">
        <f t="shared" ca="1" si="75"/>
        <v/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</v>
      </c>
      <c r="CF27" s="3">
        <f>IF(RTD("tos.rtd",,CF$2,"."&amp;$A$2&amp;$AU$1&amp;"C"&amp;$A27)="N/A",0,RTD("tos.rtd",,CF$2,"."&amp;$A$2&amp;$AU$1&amp;"C"&amp;$A27))</f>
        <v>1</v>
      </c>
      <c r="CG27" s="3">
        <f>-IF(RTD("tos.rtd",,CG$2,"."&amp;$A$2&amp;$AU$1&amp;"P"&amp;$A27)="N/A",0,RTD("tos.rtd",,CG$2,"."&amp;$A$2&amp;$AU$1&amp;"P"&amp;$A27))</f>
        <v>0.28000000000000003</v>
      </c>
      <c r="CH27" s="3">
        <f>IF(RTD("tos.rtd",,CH$2,"."&amp;$A$2&amp;$AW$1&amp;"C"&amp;$A27)="N/A",0,RTD("tos.rtd",,CH$2,"."&amp;$A$2&amp;$AW$1&amp;"C"&amp;$A27))</f>
        <v>0.72</v>
      </c>
      <c r="CI27" s="3">
        <f>-IF(RTD("tos.rtd",,CI$2,"."&amp;$A$2&amp;$AW$1&amp;"P"&amp;$A27)="N/A",0,RTD("tos.rtd",,CI$2,"."&amp;$A$2&amp;$AW$1&amp;"P"&amp;$A27))</f>
        <v>0.36</v>
      </c>
      <c r="CK27" s="3">
        <f t="shared" si="155"/>
        <v>402200</v>
      </c>
      <c r="CL27" s="3"/>
      <c r="CM27" s="3">
        <f t="shared" si="156"/>
        <v>270608</v>
      </c>
      <c r="CN27" s="3"/>
      <c r="CO27" s="3">
        <f t="shared" si="157"/>
        <v>-31860</v>
      </c>
      <c r="CP27" s="3">
        <f t="shared" si="158"/>
        <v>640948</v>
      </c>
      <c r="CQ27" s="3">
        <f t="shared" si="159"/>
        <v>-70658</v>
      </c>
      <c r="CR27" s="3"/>
      <c r="CS27" s="3">
        <f t="shared" si="160"/>
        <v>-2311</v>
      </c>
      <c r="CT27" s="3"/>
      <c r="CU27" s="3">
        <f t="shared" si="161"/>
        <v>-122</v>
      </c>
      <c r="CV27" s="3">
        <f t="shared" si="162"/>
        <v>-73091</v>
      </c>
      <c r="CW27" s="3" t="e">
        <f t="shared" ca="1" si="163"/>
        <v>#NUM!</v>
      </c>
      <c r="CX27" s="85" t="e">
        <f t="shared" ca="1" si="76"/>
        <v>#NUM!</v>
      </c>
      <c r="CY27" s="3" t="e">
        <f t="shared" ca="1" si="164"/>
        <v>#NUM!</v>
      </c>
      <c r="CZ27" s="85" t="e">
        <f t="shared" ca="1" si="77"/>
        <v>#NUM!</v>
      </c>
      <c r="DA27" s="3">
        <f>IF(RTD("tos.rtd",,DA$2,"."&amp;$A$2&amp;$AS$1&amp;"C"&amp;$A27)="N/A",0,RTD("tos.rtd",,DA$2,"."&amp;$A$2&amp;$AS$1&amp;"C"&amp;$A27))</f>
        <v>5.32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6.29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4.51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-12.440000000000055</v>
      </c>
      <c r="DH27" s="3">
        <f t="shared" si="165"/>
        <v>11.376404494382028</v>
      </c>
      <c r="DI27" s="3">
        <f t="shared" si="166"/>
        <v>-5581</v>
      </c>
      <c r="DJ27" s="3">
        <f t="shared" si="167"/>
        <v>0</v>
      </c>
      <c r="DK27" s="3">
        <f t="shared" si="51"/>
        <v>-5581</v>
      </c>
      <c r="DL27" s="3">
        <f t="shared" si="52"/>
        <v>-5569.6235955056181</v>
      </c>
      <c r="DM27" s="3">
        <f t="shared" si="53"/>
        <v>-5581</v>
      </c>
      <c r="DN27" s="63" t="str">
        <f t="shared" si="54"/>
        <v>UNKNOWN</v>
      </c>
      <c r="DO27" s="63" t="str">
        <f t="shared" si="55"/>
        <v>BUY</v>
      </c>
      <c r="DP27" s="3">
        <f t="shared" si="56"/>
        <v>4.7124719101123915</v>
      </c>
      <c r="DQ27" s="3">
        <f t="shared" si="57"/>
        <v>-55.81</v>
      </c>
      <c r="DR27" s="3" t="e">
        <f t="shared" ca="1" si="58"/>
        <v>#NUM!</v>
      </c>
      <c r="DS27" s="3">
        <f t="shared" si="59"/>
        <v>0</v>
      </c>
      <c r="DT27" s="3">
        <f t="shared" si="60"/>
        <v>25</v>
      </c>
      <c r="DU27" s="3">
        <f t="shared" si="61"/>
        <v>-5581</v>
      </c>
      <c r="DV27" s="3">
        <f t="shared" si="62"/>
        <v>131</v>
      </c>
      <c r="DW27" s="3">
        <f t="shared" si="23"/>
        <v>-2192</v>
      </c>
      <c r="DX27" s="3" t="e">
        <f t="shared" ca="1" si="24"/>
        <v>#NUM!</v>
      </c>
      <c r="DY27" s="3" t="e">
        <f t="shared" ca="1" si="25"/>
        <v>#NUM!</v>
      </c>
      <c r="DZ27" s="3">
        <f t="shared" ca="1" si="26"/>
        <v>1.6247383912825129E-2</v>
      </c>
      <c r="EA27" s="3">
        <f t="shared" ca="1" si="27"/>
        <v>-1.2973539606395332E-2</v>
      </c>
      <c r="EB27" s="3">
        <f t="shared" ca="1" si="28"/>
        <v>1.7756958787742621E-2</v>
      </c>
      <c r="EC27" s="3">
        <f t="shared" ca="1" si="29"/>
        <v>-1.633995737753019E-2</v>
      </c>
      <c r="ED27" s="63">
        <f t="shared" si="63"/>
        <v>-2061</v>
      </c>
      <c r="EE27" s="59">
        <f t="shared" si="168"/>
        <v>0.25</v>
      </c>
      <c r="EF27" s="59">
        <f t="shared" si="169"/>
        <v>1.0820000000000001</v>
      </c>
      <c r="EG27" s="59">
        <f t="shared" si="170"/>
        <v>0.25</v>
      </c>
      <c r="EH27" s="59">
        <f t="shared" si="171"/>
        <v>0.34960000000000002</v>
      </c>
      <c r="EI27" s="59">
        <f t="shared" si="172"/>
        <v>0.14119999999999999</v>
      </c>
      <c r="EJ27" s="59">
        <f t="shared" si="173"/>
        <v>0.24740000000000001</v>
      </c>
      <c r="EK27" s="63" t="e">
        <f t="shared" ca="1" si="65"/>
        <v>#NUM!</v>
      </c>
      <c r="EL27" s="3" t="str">
        <f>RTD("tos.rtd",,EL$2,"."&amp;$A$2&amp;$AS$1&amp;"C"&amp;$A27)</f>
        <v>--</v>
      </c>
      <c r="EM27" s="3" t="str">
        <f>RTD("tos.rtd",,EM$2,"."&amp;$A$2&amp;$AS$1&amp;"P"&amp;$A27)</f>
        <v>108.20%</v>
      </c>
      <c r="EN27" s="3" t="str">
        <f>RTD("tos.rtd",,EN$2,"."&amp;$A$2&amp;$AU$1&amp;"C"&amp;$A27)</f>
        <v>--</v>
      </c>
      <c r="EO27" s="3" t="str">
        <f>RTD("tos.rtd",,EO$2,"."&amp;$A$2&amp;$AU$1&amp;"P"&amp;$A27)</f>
        <v>34.96%</v>
      </c>
      <c r="EP27" s="3" t="str">
        <f>RTD("tos.rtd",,EP$2,"."&amp;$A$2&amp;$AW$1&amp;"C"&amp;$A27)</f>
        <v>14.12%</v>
      </c>
      <c r="EQ27" s="3" t="str">
        <f>RTD("tos.rtd",,EQ$2,"."&amp;$A$2&amp;$AW$1&amp;"P"&amp;$A27)</f>
        <v>24.74%</v>
      </c>
      <c r="ES27" s="63" t="str">
        <f t="shared" si="66"/>
        <v>559,-2061.00</v>
      </c>
      <c r="ET27" s="63" t="str">
        <f t="shared" ca="1" si="67"/>
        <v>559,00.00</v>
      </c>
      <c r="EU27" s="67">
        <v>565.27</v>
      </c>
      <c r="EV27" s="67" t="s">
        <v>235</v>
      </c>
      <c r="EW27" s="67">
        <v>488.71</v>
      </c>
      <c r="EX27" s="67" t="s">
        <v>236</v>
      </c>
      <c r="EY27" s="67">
        <v>5663.94</v>
      </c>
      <c r="EZ27" s="67" t="s">
        <v>237</v>
      </c>
      <c r="FA27" s="67">
        <v>20063.564999999999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8"/>
        <v>558</v>
      </c>
      <c r="B28" s="3">
        <f t="shared" si="141"/>
        <v>9593</v>
      </c>
      <c r="C28" s="3">
        <f t="shared" si="142"/>
        <v>15635</v>
      </c>
      <c r="D28" s="3">
        <f t="shared" si="143"/>
        <v>2038</v>
      </c>
      <c r="E28" s="3">
        <f t="shared" si="144"/>
        <v>27266</v>
      </c>
      <c r="F28" s="4">
        <f t="shared" si="145"/>
        <v>5614.7627047459046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-157</v>
      </c>
      <c r="AN28" s="1">
        <v>4676</v>
      </c>
      <c r="AO28" s="1">
        <v>558</v>
      </c>
      <c r="AP28" s="1">
        <v>1074</v>
      </c>
      <c r="AQ28" s="1">
        <v>-46644</v>
      </c>
      <c r="AR28" s="1"/>
      <c r="AS28" s="6">
        <f>IF(RTD("tos.rtd",,AS$2,"."&amp;$A$2&amp;$AS$1&amp;"C"&amp;$A28)="N/A",0,RTD("tos.rtd",,AS$2,"."&amp;$A$2&amp;$AS$1&amp;"C"&amp;$A28))</f>
        <v>1849</v>
      </c>
      <c r="AT28" s="7">
        <f>-IF(RTD("tos.rtd",,AT$2,"."&amp;$A$2&amp;$AS$1&amp;"P"&amp;$A28)="N/A",0,RTD("tos.rtd",,AT$2,"."&amp;$A$2&amp;$AS$1&amp;"P"&amp;$A28))</f>
        <v>-7744</v>
      </c>
      <c r="AU28" s="6">
        <f>IF(RTD("tos.rtd",,AU$2,"."&amp;$A$2&amp;$AU$1&amp;"C"&amp;$A28)="N/A",0,RTD("tos.rtd",,AU$2,"."&amp;$A$2&amp;$AU$1&amp;"C"&amp;$A28))</f>
        <v>11331</v>
      </c>
      <c r="AV28" s="7">
        <f>-IF(RTD("tos.rtd",,AV$2,"."&amp;$A$2&amp;$AU$1&amp;"P"&amp;$A28)="N/A",0,RTD("tos.rtd",,AV$2,"."&amp;$A$2&amp;$AU$1&amp;"P"&amp;$A28))</f>
        <v>-4304</v>
      </c>
      <c r="AW28" s="6">
        <f>IF(RTD("tos.rtd",,AW$2,"."&amp;$A$2&amp;$AW$1&amp;"C"&amp;$A28)="N/A",0,RTD("tos.rtd",,AW$2,"."&amp;$A$2&amp;$AW$1&amp;"C"&amp;$A28))</f>
        <v>177</v>
      </c>
      <c r="AX28" s="7">
        <f>-IF(RTD("tos.rtd",,AX$2,"."&amp;$A$2&amp;$AW$1&amp;"P"&amp;$A28)="N/A",0,RTD("tos.rtd",,AX$2,"."&amp;$A$2&amp;$AW$1&amp;"P"&amp;$A28))</f>
        <v>-1861</v>
      </c>
      <c r="AY28" s="1">
        <f t="shared" si="146"/>
        <v>-552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1075</v>
      </c>
      <c r="BB28" s="7">
        <f>-IF(RTD("tos.rtd",,BB$2,"."&amp;$A$2&amp;$AS$1&amp;"P"&amp;$A28)="N/A",0,RTD("tos.rtd",,BB$2,"."&amp;$A$2&amp;$AS$1&amp;"P"&amp;$A28))</f>
        <v>-46685</v>
      </c>
      <c r="BC28" s="6">
        <f>IF(RTD("tos.rtd",,BC$2,"."&amp;$A$2&amp;$AU$1&amp;"C"&amp;$A28)="N/A",0,RTD("tos.rtd",,BC$2,"."&amp;$A$2&amp;$AU$1&amp;"C"&amp;$A28))</f>
        <v>295</v>
      </c>
      <c r="BD28" s="7">
        <f>-IF(RTD("tos.rtd",,BD$2,"."&amp;$A$2&amp;$AU$1&amp;"P"&amp;$A28)="N/A",0,RTD("tos.rtd",,BD$2,"."&amp;$A$2&amp;$AU$1&amp;"P"&amp;$A28))</f>
        <v>-2033</v>
      </c>
      <c r="BE28" s="6">
        <f>IF(RTD("tos.rtd",,BE$2,"."&amp;$A$2&amp;$AW$1&amp;"C"&amp;$A28)="N/A",0,RTD("tos.rtd",,BE$2,"."&amp;$A$2&amp;$AW$1&amp;"C"&amp;$A28))</f>
        <v>48</v>
      </c>
      <c r="BF28" s="83">
        <f>-IF(RTD("tos.rtd",,BF$2,"."&amp;$A$2&amp;$AW$1&amp;"P"&amp;$A28)="N/A",0,RTD("tos.rtd",,BF$2,"."&amp;$A$2&amp;$AW$1&amp;"P"&amp;$A28))</f>
        <v>-239</v>
      </c>
      <c r="BG28" s="32">
        <f ca="1">+Hoja2!Y29</f>
        <v>-932</v>
      </c>
      <c r="BH28" s="7">
        <f t="shared" ca="1" si="36"/>
        <v>-48471</v>
      </c>
      <c r="BI28" s="8" t="str">
        <f t="shared" ref="BI28" ca="1" si="182">IF(AND(BH28&lt;0,BH27&gt;0), "Cruce -", IF(AND(BH28&gt;0,BH27&lt;0),"Cruce +", ""))</f>
        <v/>
      </c>
      <c r="BJ28" s="3" t="e">
        <f ca="1">IF($BP$1=1,DX28,IF(RTD("tos.rtd",,BJ$2,"."&amp;$A$2&amp;$AS$1&amp;"C"&amp;$A28)="N/A",0,RTD("tos.rtd",,BJ$2,"."&amp;$A$2&amp;$AS$1&amp;"C"&amp;$A28)))</f>
        <v>#NUM!</v>
      </c>
      <c r="BK28" s="3" t="e">
        <f ca="1">IF($BP$1=1,DY28,-IF(RTD("tos.rtd",,BK$2,"."&amp;$A$2&amp;$AS$1&amp;"P"&amp;$A28)="N/A",0,RTD("tos.rtd",,BK$2,"."&amp;$A$2&amp;$AS$1&amp;"P"&amp;$A28)))</f>
        <v>#NUM!</v>
      </c>
      <c r="BL28" s="3">
        <f ca="1">IF($BP$1=1,DZ28,IF(RTD("tos.rtd",,BL$2,"."&amp;$A$2&amp;$AU$1&amp;"C"&amp;$A28)="N/A",0,RTD("tos.rtd",,BL$2,"."&amp;$A$2&amp;$AU$1&amp;"C"&amp;$A28)))</f>
        <v>1.5644358708248561E-2</v>
      </c>
      <c r="BM28" s="3">
        <f ca="1">IF($BP$1=1,EA28,-IF(RTD("tos.rtd",,BM$2,"."&amp;$A$2&amp;$AU$1&amp;"P"&amp;$A28)="N/A",0,RTD("tos.rtd",,BM$2,"."&amp;$A$2&amp;$AU$1&amp;"P"&amp;$A28)))</f>
        <v>-1.2759478541237048E-2</v>
      </c>
      <c r="BN28" s="3">
        <f ca="1">IF($BP$1=1,EB28,IF(RTD("tos.rtd",,BN$2,"."&amp;$A$2&amp;$AW$1&amp;"C"&amp;$A28)="N/A",0,RTD("tos.rtd",,BN$2,"."&amp;$A$2&amp;$AW$1&amp;"C"&amp;$A28)))</f>
        <v>1.5772570506862652E-2</v>
      </c>
      <c r="BO28" s="3">
        <f ca="1">IF($BP$1=1,EC28,-IF(RTD("tos.rtd",,BO$2,"."&amp;$A$2&amp;$AW$1&amp;"P"&amp;$A28)="N/A",0,RTD("tos.rtd",,BO$2,"."&amp;$A$2&amp;$AW$1&amp;"P"&amp;$A28)))</f>
        <v>-1.569764326545697E-2</v>
      </c>
      <c r="BQ28" s="3" t="e">
        <f t="shared" ca="1" si="148"/>
        <v>#NUM!</v>
      </c>
      <c r="BR28" s="3" t="e">
        <f t="shared" ca="1" si="71"/>
        <v>#NUM!</v>
      </c>
      <c r="BS28" s="3">
        <f t="shared" ca="1" si="149"/>
        <v>39952433.276060484</v>
      </c>
      <c r="BT28" s="3" t="str">
        <f t="shared" ca="1" si="71"/>
        <v/>
      </c>
      <c r="BU28" s="3">
        <f t="shared" ca="1" si="150"/>
        <v>-8627796.2483705655</v>
      </c>
      <c r="BV28" s="3" t="str">
        <f t="shared" ref="BV28" ca="1" si="183">IF(AND(BU28&lt;0,BU27&gt;0), "Cruce -", IF(AND(BU28&gt;0,BU27&lt;0),"Cruce +", ""))</f>
        <v/>
      </c>
      <c r="BX28" s="3" t="e">
        <f t="shared" ca="1" si="152"/>
        <v>#NUM!</v>
      </c>
      <c r="BY28" s="3" t="e">
        <f t="shared" ca="1" si="73"/>
        <v>#NUM!</v>
      </c>
      <c r="BZ28" s="3">
        <f t="shared" ca="1" si="153"/>
        <v>-6963522.3057285836</v>
      </c>
      <c r="CA28" s="3" t="str">
        <f t="shared" ca="1" si="74"/>
        <v/>
      </c>
      <c r="CB28" s="3">
        <f t="shared" ca="1" si="154"/>
        <v>-977885.10806429887</v>
      </c>
      <c r="CC28" s="3" t="str">
        <f t="shared" ca="1" si="75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1</v>
      </c>
      <c r="CG28" s="3">
        <f>-IF(RTD("tos.rtd",,CG$2,"."&amp;$A$2&amp;$AU$1&amp;"P"&amp;$A28)="N/A",0,RTD("tos.rtd",,CG$2,"."&amp;$A$2&amp;$AU$1&amp;"P"&amp;$A28))</f>
        <v>0.27</v>
      </c>
      <c r="CH28" s="3">
        <f>IF(RTD("tos.rtd",,CH$2,"."&amp;$A$2&amp;$AW$1&amp;"C"&amp;$A28)="N/A",0,RTD("tos.rtd",,CH$2,"."&amp;$A$2&amp;$AW$1&amp;"C"&amp;$A28))</f>
        <v>0.73</v>
      </c>
      <c r="CI28" s="3">
        <f>-IF(RTD("tos.rtd",,CI$2,"."&amp;$A$2&amp;$AW$1&amp;"P"&amp;$A28)="N/A",0,RTD("tos.rtd",,CI$2,"."&amp;$A$2&amp;$AW$1&amp;"P"&amp;$A28))</f>
        <v>0.35</v>
      </c>
      <c r="CK28" s="3">
        <f t="shared" si="155"/>
        <v>184900</v>
      </c>
      <c r="CL28" s="3"/>
      <c r="CM28" s="3">
        <f t="shared" si="156"/>
        <v>1016892</v>
      </c>
      <c r="CN28" s="3"/>
      <c r="CO28" s="3">
        <f t="shared" si="157"/>
        <v>-52213.999999999993</v>
      </c>
      <c r="CP28" s="3">
        <f t="shared" si="158"/>
        <v>1149578</v>
      </c>
      <c r="CQ28" s="3">
        <f t="shared" si="159"/>
        <v>-45610</v>
      </c>
      <c r="CR28" s="3"/>
      <c r="CS28" s="3">
        <f t="shared" si="160"/>
        <v>-1738</v>
      </c>
      <c r="CT28" s="3"/>
      <c r="CU28" s="3">
        <f t="shared" si="161"/>
        <v>-191</v>
      </c>
      <c r="CV28" s="3">
        <f t="shared" si="162"/>
        <v>-47539</v>
      </c>
      <c r="CW28" s="3" t="e">
        <f t="shared" ca="1" si="163"/>
        <v>#NUM!</v>
      </c>
      <c r="CX28" s="85" t="e">
        <f t="shared" ca="1" si="76"/>
        <v>#NUM!</v>
      </c>
      <c r="CY28" s="3" t="e">
        <f t="shared" ca="1" si="164"/>
        <v>#NUM!</v>
      </c>
      <c r="CZ28" s="85" t="e">
        <f t="shared" ca="1" si="77"/>
        <v>#NUM!</v>
      </c>
      <c r="DA28" s="3">
        <f>IF(RTD("tos.rtd",,DA$2,"."&amp;$A$2&amp;$AS$1&amp;"C"&amp;$A28)="N/A",0,RTD("tos.rtd",,DA$2,"."&amp;$A$2&amp;$AS$1&amp;"C"&amp;$A28))</f>
        <v>6.49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7.27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5.62</v>
      </c>
      <c r="DF28" s="3">
        <f>IF(RTD("tos.rtd",,DF$2,"."&amp;$A$2&amp;$AS$1&amp;"P"&amp;$A28)="N/A",0,RTD("tos.rtd",,DF$2,"."&amp;$A$2&amp;$AS$1&amp;"P"&amp;$A28))</f>
        <v>0</v>
      </c>
      <c r="DG28" s="86">
        <f t="shared" si="48"/>
        <v>-13.440000000000055</v>
      </c>
      <c r="DH28" s="3">
        <f t="shared" si="165"/>
        <v>0.52727272727272756</v>
      </c>
      <c r="DI28" s="3">
        <f t="shared" si="166"/>
        <v>-41</v>
      </c>
      <c r="DJ28" s="3">
        <f t="shared" si="167"/>
        <v>0</v>
      </c>
      <c r="DK28" s="3">
        <f t="shared" si="51"/>
        <v>-41</v>
      </c>
      <c r="DL28" s="3">
        <f t="shared" si="52"/>
        <v>-40.472727272727269</v>
      </c>
      <c r="DM28" s="3">
        <f t="shared" si="53"/>
        <v>-41</v>
      </c>
      <c r="DN28" s="63" t="str">
        <f t="shared" si="54"/>
        <v>UNKNOWN</v>
      </c>
      <c r="DO28" s="63" t="str">
        <f t="shared" si="55"/>
        <v>BUY</v>
      </c>
      <c r="DP28" s="3">
        <f t="shared" si="56"/>
        <v>3.0120000000000018</v>
      </c>
      <c r="DQ28" s="3">
        <f t="shared" si="57"/>
        <v>-0.41000000000000003</v>
      </c>
      <c r="DR28" s="3" t="e">
        <f t="shared" ca="1" si="58"/>
        <v>#NUM!</v>
      </c>
      <c r="DS28" s="3">
        <f t="shared" si="59"/>
        <v>0</v>
      </c>
      <c r="DT28" s="3">
        <f t="shared" si="60"/>
        <v>1</v>
      </c>
      <c r="DU28" s="3">
        <f t="shared" si="61"/>
        <v>-41</v>
      </c>
      <c r="DV28" s="3">
        <f t="shared" si="62"/>
        <v>-157</v>
      </c>
      <c r="DW28" s="3">
        <f t="shared" si="23"/>
        <v>4635</v>
      </c>
      <c r="DX28" s="3" t="e">
        <f t="shared" ca="1" si="24"/>
        <v>#NUM!</v>
      </c>
      <c r="DY28" s="3" t="e">
        <f t="shared" ca="1" si="25"/>
        <v>#NUM!</v>
      </c>
      <c r="DZ28" s="3">
        <f t="shared" ca="1" si="26"/>
        <v>1.5644358708248561E-2</v>
      </c>
      <c r="EA28" s="3">
        <f t="shared" ca="1" si="27"/>
        <v>-1.2759478541237048E-2</v>
      </c>
      <c r="EB28" s="3">
        <f t="shared" ca="1" si="28"/>
        <v>1.5772570506862652E-2</v>
      </c>
      <c r="EC28" s="3">
        <f t="shared" ca="1" si="29"/>
        <v>-1.569764326545697E-2</v>
      </c>
      <c r="ED28" s="63">
        <f t="shared" si="63"/>
        <v>4478</v>
      </c>
      <c r="EE28" s="59">
        <f t="shared" si="168"/>
        <v>0.25</v>
      </c>
      <c r="EF28" s="59">
        <f t="shared" si="169"/>
        <v>1.1608000000000001</v>
      </c>
      <c r="EG28" s="59">
        <f t="shared" si="170"/>
        <v>0.25</v>
      </c>
      <c r="EH28" s="59">
        <f t="shared" si="171"/>
        <v>0.34810000000000002</v>
      </c>
      <c r="EI28" s="59">
        <f t="shared" si="172"/>
        <v>0.14080000000000001</v>
      </c>
      <c r="EJ28" s="59">
        <f t="shared" si="173"/>
        <v>0.2482</v>
      </c>
      <c r="EK28" s="63" t="e">
        <f t="shared" ca="1" si="65"/>
        <v>#NUM!</v>
      </c>
      <c r="EL28" s="3" t="str">
        <f>RTD("tos.rtd",,EL$2,"."&amp;$A$2&amp;$AS$1&amp;"C"&amp;$A28)</f>
        <v>--</v>
      </c>
      <c r="EM28" s="3" t="str">
        <f>RTD("tos.rtd",,EM$2,"."&amp;$A$2&amp;$AS$1&amp;"P"&amp;$A28)</f>
        <v>116.08%</v>
      </c>
      <c r="EN28" s="3" t="str">
        <f>RTD("tos.rtd",,EN$2,"."&amp;$A$2&amp;$AU$1&amp;"C"&amp;$A28)</f>
        <v>--</v>
      </c>
      <c r="EO28" s="3" t="str">
        <f>RTD("tos.rtd",,EO$2,"."&amp;$A$2&amp;$AU$1&amp;"P"&amp;$A28)</f>
        <v>34.81%</v>
      </c>
      <c r="EP28" s="3" t="str">
        <f>RTD("tos.rtd",,EP$2,"."&amp;$A$2&amp;$AW$1&amp;"C"&amp;$A28)</f>
        <v>14.08%</v>
      </c>
      <c r="EQ28" s="3" t="str">
        <f>RTD("tos.rtd",,EQ$2,"."&amp;$A$2&amp;$AW$1&amp;"P"&amp;$A28)</f>
        <v>24.82%</v>
      </c>
      <c r="ES28" s="63" t="str">
        <f t="shared" si="66"/>
        <v>558,4478.00</v>
      </c>
      <c r="ET28" s="63" t="str">
        <f t="shared" ca="1" si="67"/>
        <v>558,00.00</v>
      </c>
      <c r="EU28" s="67">
        <v>565.30999999999995</v>
      </c>
      <c r="EV28" s="67" t="s">
        <v>243</v>
      </c>
      <c r="EW28" s="67">
        <v>488.78</v>
      </c>
      <c r="EX28" s="67" t="s">
        <v>244</v>
      </c>
      <c r="EY28" s="67">
        <v>5663.94</v>
      </c>
      <c r="EZ28" s="67" t="s">
        <v>245</v>
      </c>
      <c r="FA28" s="67">
        <v>20063.564999999999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8"/>
        <v>557</v>
      </c>
      <c r="B29" s="3">
        <f t="shared" si="141"/>
        <v>8575</v>
      </c>
      <c r="C29" s="3">
        <f t="shared" si="142"/>
        <v>11718</v>
      </c>
      <c r="D29" s="3">
        <f t="shared" si="143"/>
        <v>811</v>
      </c>
      <c r="E29" s="3">
        <f t="shared" si="144"/>
        <v>21104</v>
      </c>
      <c r="F29" s="4">
        <f t="shared" si="145"/>
        <v>5604.70040599188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-110</v>
      </c>
      <c r="AN29" s="1">
        <v>-2762</v>
      </c>
      <c r="AO29" s="1">
        <v>557</v>
      </c>
      <c r="AP29" s="1">
        <v>726</v>
      </c>
      <c r="AQ29" s="1">
        <v>-34788</v>
      </c>
      <c r="AR29" s="1"/>
      <c r="AS29" s="6">
        <f>IF(RTD("tos.rtd",,AS$2,"."&amp;$A$2&amp;$AS$1&amp;"C"&amp;$A29)="N/A",0,RTD("tos.rtd",,AS$2,"."&amp;$A$2&amp;$AS$1&amp;"C"&amp;$A29))</f>
        <v>1121</v>
      </c>
      <c r="AT29" s="7">
        <f>-IF(RTD("tos.rtd",,AT$2,"."&amp;$A$2&amp;$AS$1&amp;"P"&amp;$A29)="N/A",0,RTD("tos.rtd",,AT$2,"."&amp;$A$2&amp;$AS$1&amp;"P"&amp;$A29))</f>
        <v>-7454</v>
      </c>
      <c r="AU29" s="6">
        <f>IF(RTD("tos.rtd",,AU$2,"."&amp;$A$2&amp;$AU$1&amp;"C"&amp;$A29)="N/A",0,RTD("tos.rtd",,AU$2,"."&amp;$A$2&amp;$AU$1&amp;"C"&amp;$A29))</f>
        <v>2046</v>
      </c>
      <c r="AV29" s="7">
        <f>-IF(RTD("tos.rtd",,AV$2,"."&amp;$A$2&amp;$AU$1&amp;"P"&amp;$A29)="N/A",0,RTD("tos.rtd",,AV$2,"."&amp;$A$2&amp;$AU$1&amp;"P"&amp;$A29))</f>
        <v>-9672</v>
      </c>
      <c r="AW29" s="6">
        <f>IF(RTD("tos.rtd",,AW$2,"."&amp;$A$2&amp;$AW$1&amp;"C"&amp;$A29)="N/A",0,RTD("tos.rtd",,AW$2,"."&amp;$A$2&amp;$AW$1&amp;"C"&amp;$A29))</f>
        <v>215</v>
      </c>
      <c r="AX29" s="7">
        <f>-IF(RTD("tos.rtd",,AX$2,"."&amp;$A$2&amp;$AW$1&amp;"P"&amp;$A29)="N/A",0,RTD("tos.rtd",,AX$2,"."&amp;$A$2&amp;$AW$1&amp;"P"&amp;$A29))</f>
        <v>-596</v>
      </c>
      <c r="AY29" s="1">
        <f t="shared" si="146"/>
        <v>-14340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731</v>
      </c>
      <c r="BB29" s="7">
        <f>-IF(RTD("tos.rtd",,BB$2,"."&amp;$A$2&amp;$AS$1&amp;"P"&amp;$A29)="N/A",0,RTD("tos.rtd",,BB$2,"."&amp;$A$2&amp;$AS$1&amp;"P"&amp;$A29))</f>
        <v>-35181</v>
      </c>
      <c r="BC29" s="6">
        <f>IF(RTD("tos.rtd",,BC$2,"."&amp;$A$2&amp;$AU$1&amp;"C"&amp;$A29)="N/A",0,RTD("tos.rtd",,BC$2,"."&amp;$A$2&amp;$AU$1&amp;"C"&amp;$A29))</f>
        <v>163</v>
      </c>
      <c r="BD29" s="7">
        <f>-IF(RTD("tos.rtd",,BD$2,"."&amp;$A$2&amp;$AU$1&amp;"P"&amp;$A29)="N/A",0,RTD("tos.rtd",,BD$2,"."&amp;$A$2&amp;$AU$1&amp;"P"&amp;$A29))</f>
        <v>-1552</v>
      </c>
      <c r="BE29" s="6">
        <f>IF(RTD("tos.rtd",,BE$2,"."&amp;$A$2&amp;$AW$1&amp;"C"&amp;$A29)="N/A",0,RTD("tos.rtd",,BE$2,"."&amp;$A$2&amp;$AW$1&amp;"C"&amp;$A29))</f>
        <v>62</v>
      </c>
      <c r="BF29" s="83">
        <f>-IF(RTD("tos.rtd",,BF$2,"."&amp;$A$2&amp;$AW$1&amp;"P"&amp;$A29)="N/A",0,RTD("tos.rtd",,BF$2,"."&amp;$A$2&amp;$AW$1&amp;"P"&amp;$A29))</f>
        <v>-433</v>
      </c>
      <c r="BG29" s="32">
        <f ca="1">+Hoja2!Y30</f>
        <v>-744</v>
      </c>
      <c r="BH29" s="7">
        <f t="shared" ca="1" si="36"/>
        <v>-36954</v>
      </c>
      <c r="BI29" s="8" t="str">
        <f t="shared" ref="BI29" ca="1" si="184">IF(AND(BH29&lt;0,BH28&gt;0), "Cruce -", IF(AND(BH29&gt;0,BH28&lt;0),"Cruce +", ""))</f>
        <v/>
      </c>
      <c r="BJ29" s="3" t="e">
        <f ca="1">IF($BP$1=1,DX29,IF(RTD("tos.rtd",,BJ$2,"."&amp;$A$2&amp;$AS$1&amp;"C"&amp;$A29)="N/A",0,RTD("tos.rtd",,BJ$2,"."&amp;$A$2&amp;$AS$1&amp;"C"&amp;$A29)))</f>
        <v>#NUM!</v>
      </c>
      <c r="BK29" s="3" t="e">
        <f ca="1">IF($BP$1=1,DY29,-IF(RTD("tos.rtd",,BK$2,"."&amp;$A$2&amp;$AS$1&amp;"P"&amp;$A29)="N/A",0,RTD("tos.rtd",,BK$2,"."&amp;$A$2&amp;$AS$1&amp;"P"&amp;$A29)))</f>
        <v>#NUM!</v>
      </c>
      <c r="BL29" s="3">
        <f ca="1">IF($BP$1=1,DZ29,IF(RTD("tos.rtd",,BL$2,"."&amp;$A$2&amp;$AU$1&amp;"C"&amp;$A29)="N/A",0,RTD("tos.rtd",,BL$2,"."&amp;$A$2&amp;$AU$1&amp;"C"&amp;$A29)))</f>
        <v>1.5020576507764295E-2</v>
      </c>
      <c r="BM29" s="3">
        <f ca="1">IF($BP$1=1,EA29,-IF(RTD("tos.rtd",,BM$2,"."&amp;$A$2&amp;$AU$1&amp;"P"&amp;$A29)="N/A",0,RTD("tos.rtd",,BM$2,"."&amp;$A$2&amp;$AU$1&amp;"P"&amp;$A29)))</f>
        <v>-1.2523683282921146E-2</v>
      </c>
      <c r="BN29" s="3">
        <f ca="1">IF($BP$1=1,EB29,IF(RTD("tos.rtd",,BN$2,"."&amp;$A$2&amp;$AW$1&amp;"C"&amp;$A29)="N/A",0,RTD("tos.rtd",,BN$2,"."&amp;$A$2&amp;$AW$1&amp;"C"&amp;$A29)))</f>
        <v>1.3846159710048671E-2</v>
      </c>
      <c r="BO29" s="3">
        <f ca="1">IF($BP$1=1,EC29,-IF(RTD("tos.rtd",,BO$2,"."&amp;$A$2&amp;$AW$1&amp;"P"&amp;$A29)="N/A",0,RTD("tos.rtd",,BO$2,"."&amp;$A$2&amp;$AW$1&amp;"P"&amp;$A29)))</f>
        <v>-1.5044215638106965E-2</v>
      </c>
      <c r="BQ29" s="3" t="e">
        <f t="shared" ca="1" si="148"/>
        <v>#NUM!</v>
      </c>
      <c r="BR29" s="3" t="e">
        <f t="shared" ca="1" si="71"/>
        <v>#NUM!</v>
      </c>
      <c r="BS29" s="3">
        <f t="shared" ca="1" si="149"/>
        <v>-29518557.091361135</v>
      </c>
      <c r="BT29" s="3" t="str">
        <f t="shared" ca="1" si="71"/>
        <v>Cruce -</v>
      </c>
      <c r="BU29" s="3">
        <f t="shared" ca="1" si="150"/>
        <v>-1955809.881526323</v>
      </c>
      <c r="BV29" s="3" t="str">
        <f t="shared" ref="BV29" ca="1" si="185">IF(AND(BU29&lt;0,BU28&gt;0), "Cruce -", IF(AND(BU29&gt;0,BU28&lt;0),"Cruce +", ""))</f>
        <v/>
      </c>
      <c r="BX29" s="3" t="e">
        <f t="shared" ca="1" si="152"/>
        <v>#NUM!</v>
      </c>
      <c r="BY29" s="3" t="e">
        <f t="shared" ca="1" si="73"/>
        <v>#NUM!</v>
      </c>
      <c r="BZ29" s="3">
        <f t="shared" ca="1" si="153"/>
        <v>-5547455.3558278447</v>
      </c>
      <c r="CA29" s="3" t="str">
        <f t="shared" ca="1" si="74"/>
        <v/>
      </c>
      <c r="CB29" s="3">
        <f t="shared" ca="1" si="154"/>
        <v>-1846827.6567766021</v>
      </c>
      <c r="CC29" s="3" t="str">
        <f t="shared" ca="1" si="75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1</v>
      </c>
      <c r="CG29" s="3">
        <f>-IF(RTD("tos.rtd",,CG$2,"."&amp;$A$2&amp;$AU$1&amp;"P"&amp;$A29)="N/A",0,RTD("tos.rtd",,CG$2,"."&amp;$A$2&amp;$AU$1&amp;"P"&amp;$A29))</f>
        <v>0.25</v>
      </c>
      <c r="CH29" s="3">
        <f>IF(RTD("tos.rtd",,CH$2,"."&amp;$A$2&amp;$AW$1&amp;"C"&amp;$A29)="N/A",0,RTD("tos.rtd",,CH$2,"."&amp;$A$2&amp;$AW$1&amp;"C"&amp;$A29))</f>
        <v>0.74</v>
      </c>
      <c r="CI29" s="3">
        <f>-IF(RTD("tos.rtd",,CI$2,"."&amp;$A$2&amp;$AW$1&amp;"P"&amp;$A29)="N/A",0,RTD("tos.rtd",,CI$2,"."&amp;$A$2&amp;$AW$1&amp;"P"&amp;$A29))</f>
        <v>0.35</v>
      </c>
      <c r="CK29" s="3">
        <f t="shared" si="155"/>
        <v>112100</v>
      </c>
      <c r="CL29" s="3"/>
      <c r="CM29" s="3">
        <f t="shared" si="156"/>
        <v>-37200</v>
      </c>
      <c r="CN29" s="3"/>
      <c r="CO29" s="3">
        <f t="shared" si="157"/>
        <v>-4950</v>
      </c>
      <c r="CP29" s="3">
        <f t="shared" si="158"/>
        <v>69950</v>
      </c>
      <c r="CQ29" s="3">
        <f t="shared" si="159"/>
        <v>-34450</v>
      </c>
      <c r="CR29" s="3"/>
      <c r="CS29" s="3">
        <f t="shared" si="160"/>
        <v>-1389</v>
      </c>
      <c r="CT29" s="3"/>
      <c r="CU29" s="3">
        <f t="shared" si="161"/>
        <v>-371</v>
      </c>
      <c r="CV29" s="3">
        <f t="shared" si="162"/>
        <v>-36210</v>
      </c>
      <c r="CW29" s="3" t="e">
        <f t="shared" ca="1" si="163"/>
        <v>#NUM!</v>
      </c>
      <c r="CX29" s="85" t="e">
        <f t="shared" ca="1" si="76"/>
        <v>#NUM!</v>
      </c>
      <c r="CY29" s="3" t="e">
        <f t="shared" ca="1" si="164"/>
        <v>#NUM!</v>
      </c>
      <c r="CZ29" s="85" t="e">
        <f t="shared" ca="1" si="77"/>
        <v>#NUM!</v>
      </c>
      <c r="DA29" s="3">
        <f>IF(RTD("tos.rtd",,DA$2,"."&amp;$A$2&amp;$AS$1&amp;"C"&amp;$A29)="N/A",0,RTD("tos.rtd",,DA$2,"."&amp;$A$2&amp;$AS$1&amp;"C"&amp;$A29))</f>
        <v>7.03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8.41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6.39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-14.440000000000055</v>
      </c>
      <c r="DH29" s="3">
        <f t="shared" si="165"/>
        <v>1.5841584158415853</v>
      </c>
      <c r="DI29" s="3">
        <f t="shared" si="166"/>
        <v>-393</v>
      </c>
      <c r="DJ29" s="3">
        <f t="shared" si="167"/>
        <v>-5</v>
      </c>
      <c r="DK29" s="3">
        <f t="shared" si="51"/>
        <v>-393</v>
      </c>
      <c r="DL29" s="3">
        <f t="shared" si="52"/>
        <v>-391.41584158415844</v>
      </c>
      <c r="DM29" s="3">
        <f t="shared" si="53"/>
        <v>-398</v>
      </c>
      <c r="DN29" s="63" t="str">
        <f t="shared" si="54"/>
        <v>SELL</v>
      </c>
      <c r="DO29" s="63" t="str">
        <f t="shared" si="55"/>
        <v>BUY</v>
      </c>
      <c r="DP29" s="3">
        <f t="shared" si="56"/>
        <v>7.206633663366345</v>
      </c>
      <c r="DQ29" s="3">
        <f t="shared" si="57"/>
        <v>-39.08</v>
      </c>
      <c r="DR29" s="3" t="e">
        <f t="shared" ca="1" si="58"/>
        <v>#NUM!</v>
      </c>
      <c r="DS29" s="3">
        <f t="shared" si="59"/>
        <v>-5</v>
      </c>
      <c r="DT29" s="3">
        <f t="shared" si="60"/>
        <v>5</v>
      </c>
      <c r="DU29" s="3">
        <f t="shared" si="61"/>
        <v>-393</v>
      </c>
      <c r="DV29" s="3">
        <f t="shared" si="62"/>
        <v>-115</v>
      </c>
      <c r="DW29" s="3">
        <f t="shared" si="23"/>
        <v>-3155</v>
      </c>
      <c r="DX29" s="3" t="e">
        <f t="shared" ca="1" si="24"/>
        <v>#NUM!</v>
      </c>
      <c r="DY29" s="3" t="e">
        <f t="shared" ca="1" si="25"/>
        <v>#NUM!</v>
      </c>
      <c r="DZ29" s="3">
        <f t="shared" ca="1" si="26"/>
        <v>1.5020576507764295E-2</v>
      </c>
      <c r="EA29" s="3">
        <f t="shared" ca="1" si="27"/>
        <v>-1.2523683282921146E-2</v>
      </c>
      <c r="EB29" s="3">
        <f t="shared" ca="1" si="28"/>
        <v>1.3846159710048671E-2</v>
      </c>
      <c r="EC29" s="3">
        <f t="shared" ca="1" si="29"/>
        <v>-1.5044215638106965E-2</v>
      </c>
      <c r="ED29" s="63">
        <f t="shared" si="63"/>
        <v>-3270</v>
      </c>
      <c r="EE29" s="59">
        <f t="shared" si="168"/>
        <v>0.25</v>
      </c>
      <c r="EF29" s="59">
        <f t="shared" si="169"/>
        <v>1.2394000000000001</v>
      </c>
      <c r="EG29" s="59">
        <f t="shared" si="170"/>
        <v>0.25</v>
      </c>
      <c r="EH29" s="59">
        <f t="shared" si="171"/>
        <v>0.34670000000000001</v>
      </c>
      <c r="EI29" s="59">
        <f t="shared" si="172"/>
        <v>0.14019999999999999</v>
      </c>
      <c r="EJ29" s="59">
        <f t="shared" si="173"/>
        <v>0.249</v>
      </c>
      <c r="EK29" s="63" t="e">
        <f t="shared" ca="1" si="65"/>
        <v>#NUM!</v>
      </c>
      <c r="EL29" s="3" t="str">
        <f>RTD("tos.rtd",,EL$2,"."&amp;$A$2&amp;$AS$1&amp;"C"&amp;$A29)</f>
        <v>--</v>
      </c>
      <c r="EM29" s="3" t="str">
        <f>RTD("tos.rtd",,EM$2,"."&amp;$A$2&amp;$AS$1&amp;"P"&amp;$A29)</f>
        <v>123.94%</v>
      </c>
      <c r="EN29" s="3" t="str">
        <f>RTD("tos.rtd",,EN$2,"."&amp;$A$2&amp;$AU$1&amp;"C"&amp;$A29)</f>
        <v>--</v>
      </c>
      <c r="EO29" s="3" t="str">
        <f>RTD("tos.rtd",,EO$2,"."&amp;$A$2&amp;$AU$1&amp;"P"&amp;$A29)</f>
        <v>34.67%</v>
      </c>
      <c r="EP29" s="3" t="str">
        <f>RTD("tos.rtd",,EP$2,"."&amp;$A$2&amp;$AW$1&amp;"C"&amp;$A29)</f>
        <v>14.02%</v>
      </c>
      <c r="EQ29" s="3" t="str">
        <f>RTD("tos.rtd",,EQ$2,"."&amp;$A$2&amp;$AW$1&amp;"P"&amp;$A29)</f>
        <v>24.90%</v>
      </c>
      <c r="ES29" s="63" t="str">
        <f t="shared" si="66"/>
        <v>557,-3270.00</v>
      </c>
      <c r="ET29" s="63" t="str">
        <f t="shared" ca="1" si="67"/>
        <v>557,00.00</v>
      </c>
      <c r="EU29" s="67">
        <v>565.23</v>
      </c>
      <c r="EV29" s="67" t="s">
        <v>251</v>
      </c>
      <c r="EW29" s="67">
        <v>488.68</v>
      </c>
      <c r="EX29" s="67" t="s">
        <v>252</v>
      </c>
      <c r="EY29" s="67">
        <v>5663.94</v>
      </c>
      <c r="EZ29" s="67" t="s">
        <v>253</v>
      </c>
      <c r="FA29" s="67">
        <v>20063.564999999999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8"/>
        <v>556</v>
      </c>
      <c r="B30" s="3">
        <f t="shared" si="9"/>
        <v>7338</v>
      </c>
      <c r="C30" s="3">
        <f t="shared" si="10"/>
        <v>3474</v>
      </c>
      <c r="D30" s="3">
        <f t="shared" si="11"/>
        <v>712</v>
      </c>
      <c r="E30" s="3">
        <f t="shared" si="12"/>
        <v>11524</v>
      </c>
      <c r="F30" s="4">
        <f t="shared" si="13"/>
        <v>5594.6381072378554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97</v>
      </c>
      <c r="AN30" s="1">
        <v>-8209</v>
      </c>
      <c r="AO30" s="1">
        <v>556</v>
      </c>
      <c r="AP30" s="1">
        <v>591</v>
      </c>
      <c r="AQ30" s="1">
        <v>-34827</v>
      </c>
      <c r="AR30" s="1"/>
      <c r="AS30" s="6">
        <f>IF(RTD("tos.rtd",,AS$2,"."&amp;$A$2&amp;$AS$1&amp;"C"&amp;$A30)="N/A",0,RTD("tos.rtd",,AS$2,"."&amp;$A$2&amp;$AS$1&amp;"C"&amp;$A30))</f>
        <v>1662</v>
      </c>
      <c r="AT30" s="7">
        <f>-IF(RTD("tos.rtd",,AT$2,"."&amp;$A$2&amp;$AS$1&amp;"P"&amp;$A30)="N/A",0,RTD("tos.rtd",,AT$2,"."&amp;$A$2&amp;$AS$1&amp;"P"&amp;$A30))</f>
        <v>-5676</v>
      </c>
      <c r="AU30" s="6">
        <f>IF(RTD("tos.rtd",,AU$2,"."&amp;$A$2&amp;$AU$1&amp;"C"&amp;$A30)="N/A",0,RTD("tos.rtd",,AU$2,"."&amp;$A$2&amp;$AU$1&amp;"C"&amp;$A30))</f>
        <v>1594</v>
      </c>
      <c r="AV30" s="7">
        <f>-IF(RTD("tos.rtd",,AV$2,"."&amp;$A$2&amp;$AU$1&amp;"P"&amp;$A30)="N/A",0,RTD("tos.rtd",,AV$2,"."&amp;$A$2&amp;$AU$1&amp;"P"&amp;$A30))</f>
        <v>-1880</v>
      </c>
      <c r="AW30" s="6">
        <f>IF(RTD("tos.rtd",,AW$2,"."&amp;$A$2&amp;$AW$1&amp;"C"&amp;$A30)="N/A",0,RTD("tos.rtd",,AW$2,"."&amp;$A$2&amp;$AW$1&amp;"C"&amp;$A30))</f>
        <v>172</v>
      </c>
      <c r="AX30" s="7">
        <f>-IF(RTD("tos.rtd",,AX$2,"."&amp;$A$2&amp;$AW$1&amp;"P"&amp;$A30)="N/A",0,RTD("tos.rtd",,AX$2,"."&amp;$A$2&amp;$AW$1&amp;"P"&amp;$A30))</f>
        <v>-540</v>
      </c>
      <c r="AY30" s="1">
        <f t="shared" si="69"/>
        <v>-4668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628</v>
      </c>
      <c r="BB30" s="7">
        <f>-IF(RTD("tos.rtd",,BB$2,"."&amp;$A$2&amp;$AS$1&amp;"P"&amp;$A30)="N/A",0,RTD("tos.rtd",,BB$2,"."&amp;$A$2&amp;$AS$1&amp;"P"&amp;$A30))</f>
        <v>-34853</v>
      </c>
      <c r="BC30" s="6">
        <f>IF(RTD("tos.rtd",,BC$2,"."&amp;$A$2&amp;$AU$1&amp;"C"&amp;$A30)="N/A",0,RTD("tos.rtd",,BC$2,"."&amp;$A$2&amp;$AU$1&amp;"C"&amp;$A30))</f>
        <v>110</v>
      </c>
      <c r="BD30" s="7">
        <f>-IF(RTD("tos.rtd",,BD$2,"."&amp;$A$2&amp;$AU$1&amp;"P"&amp;$A30)="N/A",0,RTD("tos.rtd",,BD$2,"."&amp;$A$2&amp;$AU$1&amp;"P"&amp;$A30))</f>
        <v>-1634</v>
      </c>
      <c r="BE30" s="6">
        <f>IF(RTD("tos.rtd",,BE$2,"."&amp;$A$2&amp;$AW$1&amp;"C"&amp;$A30)="N/A",0,RTD("tos.rtd",,BE$2,"."&amp;$A$2&amp;$AW$1&amp;"C"&amp;$A30))</f>
        <v>17</v>
      </c>
      <c r="BF30" s="83">
        <f>-IF(RTD("tos.rtd",,BF$2,"."&amp;$A$2&amp;$AW$1&amp;"P"&amp;$A30)="N/A",0,RTD("tos.rtd",,BF$2,"."&amp;$A$2&amp;$AW$1&amp;"P"&amp;$A30))</f>
        <v>-378</v>
      </c>
      <c r="BG30" s="32">
        <f ca="1">+Hoja2!Y31</f>
        <v>-2410</v>
      </c>
      <c r="BH30" s="7">
        <f t="shared" ca="1" si="36"/>
        <v>-38520</v>
      </c>
      <c r="BI30" s="8" t="str">
        <f t="shared" ref="BI30" ca="1" si="186">IF(AND(BH30&lt;0,BH29&gt;0), "Cruce -", IF(AND(BH30&gt;0,BH29&lt;0),"Cruce +", ""))</f>
        <v/>
      </c>
      <c r="BJ30" s="3" t="e">
        <f ca="1">IF($BP$1=1,DX30,IF(RTD("tos.rtd",,BJ$2,"."&amp;$A$2&amp;$AS$1&amp;"C"&amp;$A30)="N/A",0,RTD("tos.rtd",,BJ$2,"."&amp;$A$2&amp;$AS$1&amp;"C"&amp;$A30)))</f>
        <v>#NUM!</v>
      </c>
      <c r="BK30" s="3" t="e">
        <f ca="1">IF($BP$1=1,DY30,-IF(RTD("tos.rtd",,BK$2,"."&amp;$A$2&amp;$AS$1&amp;"P"&amp;$A30)="N/A",0,RTD("tos.rtd",,BK$2,"."&amp;$A$2&amp;$AS$1&amp;"P"&amp;$A30)))</f>
        <v>#NUM!</v>
      </c>
      <c r="BL30" s="3">
        <f ca="1">IF($BP$1=1,DZ30,IF(RTD("tos.rtd",,BL$2,"."&amp;$A$2&amp;$AU$1&amp;"C"&amp;$A30)="N/A",0,RTD("tos.rtd",,BL$2,"."&amp;$A$2&amp;$AU$1&amp;"C"&amp;$A30)))</f>
        <v>1.4380145777491988E-2</v>
      </c>
      <c r="BM30" s="3">
        <f ca="1">IF($BP$1=1,EA30,-IF(RTD("tos.rtd",,BM$2,"."&amp;$A$2&amp;$AU$1&amp;"P"&amp;$A30)="N/A",0,RTD("tos.rtd",,BM$2,"."&amp;$A$2&amp;$AU$1&amp;"P"&amp;$A30)))</f>
        <v>-1.2269582192471795E-2</v>
      </c>
      <c r="BN30" s="3">
        <f ca="1">IF($BP$1=1,EB30,IF(RTD("tos.rtd",,BN$2,"."&amp;$A$2&amp;$AW$1&amp;"C"&amp;$A30)="N/A",0,RTD("tos.rtd",,BN$2,"."&amp;$A$2&amp;$AW$1&amp;"C"&amp;$A30)))</f>
        <v>1.2016094028630285E-2</v>
      </c>
      <c r="BO30" s="3">
        <f ca="1">IF($BP$1=1,EC30,-IF(RTD("tos.rtd",,BO$2,"."&amp;$A$2&amp;$AW$1&amp;"P"&amp;$A30)="N/A",0,RTD("tos.rtd",,BO$2,"."&amp;$A$2&amp;$AW$1&amp;"P"&amp;$A30)))</f>
        <v>-1.4383701061321899E-2</v>
      </c>
      <c r="BQ30" s="3" t="e">
        <f t="shared" ca="1" si="37"/>
        <v>#NUM!</v>
      </c>
      <c r="BR30" s="3" t="e">
        <f t="shared" ca="1" si="71"/>
        <v>#NUM!</v>
      </c>
      <c r="BS30" s="3">
        <f t="shared" ca="1" si="38"/>
        <v>-47303.819451033138</v>
      </c>
      <c r="BT30" s="3" t="str">
        <f t="shared" ca="1" si="71"/>
        <v/>
      </c>
      <c r="BU30" s="3">
        <f t="shared" ca="1" si="39"/>
        <v>-1861439.4839789704</v>
      </c>
      <c r="BV30" s="3" t="str">
        <f t="shared" ref="BV30" ca="1" si="187">IF(AND(BU30&lt;0,BU29&gt;0), "Cruce -", IF(AND(BU30&gt;0,BU29&lt;0),"Cruce +", ""))</f>
        <v/>
      </c>
      <c r="BX30" s="3" t="e">
        <f t="shared" ca="1" si="40"/>
        <v>#NUM!</v>
      </c>
      <c r="BY30" s="3" t="e">
        <f t="shared" ca="1" si="73"/>
        <v>#NUM!</v>
      </c>
      <c r="BZ30" s="3">
        <f t="shared" ca="1" si="41"/>
        <v>-6030177.9401182523</v>
      </c>
      <c r="CA30" s="3" t="str">
        <f t="shared" ca="1" si="74"/>
        <v/>
      </c>
      <c r="CB30" s="3">
        <f t="shared" ca="1" si="42"/>
        <v>-1708726.4376823436</v>
      </c>
      <c r="CC30" s="3" t="str">
        <f t="shared" ca="1" si="75"/>
        <v/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1</v>
      </c>
      <c r="CG30" s="3">
        <f>-IF(RTD("tos.rtd",,CG$2,"."&amp;$A$2&amp;$AU$1&amp;"P"&amp;$A30)="N/A",0,RTD("tos.rtd",,CG$2,"."&amp;$A$2&amp;$AU$1&amp;"P"&amp;$A30))</f>
        <v>0.24</v>
      </c>
      <c r="CH30" s="3">
        <f>IF(RTD("tos.rtd",,CH$2,"."&amp;$A$2&amp;$AW$1&amp;"C"&amp;$A30)="N/A",0,RTD("tos.rtd",,CH$2,"."&amp;$A$2&amp;$AW$1&amp;"C"&amp;$A30))</f>
        <v>0.76</v>
      </c>
      <c r="CI30" s="3">
        <f>-IF(RTD("tos.rtd",,CI$2,"."&amp;$A$2&amp;$AW$1&amp;"P"&amp;$A30)="N/A",0,RTD("tos.rtd",,CI$2,"."&amp;$A$2&amp;$AW$1&amp;"P"&amp;$A30))</f>
        <v>0.34</v>
      </c>
      <c r="CK30" s="3">
        <f t="shared" si="17"/>
        <v>166200</v>
      </c>
      <c r="CL30" s="3"/>
      <c r="CM30" s="3">
        <f t="shared" si="18"/>
        <v>114280</v>
      </c>
      <c r="CN30" s="3"/>
      <c r="CO30" s="3">
        <f t="shared" si="19"/>
        <v>-5288.0000000000036</v>
      </c>
      <c r="CP30" s="3">
        <f t="shared" si="43"/>
        <v>275192</v>
      </c>
      <c r="CQ30" s="3">
        <f t="shared" si="44"/>
        <v>-34225</v>
      </c>
      <c r="CR30" s="3"/>
      <c r="CS30" s="3">
        <f t="shared" si="20"/>
        <v>-1524</v>
      </c>
      <c r="CT30" s="3"/>
      <c r="CU30" s="3">
        <f t="shared" si="21"/>
        <v>-361</v>
      </c>
      <c r="CV30" s="3">
        <f t="shared" si="45"/>
        <v>-36110</v>
      </c>
      <c r="CW30" s="3" t="e">
        <f t="shared" ca="1" si="46"/>
        <v>#NUM!</v>
      </c>
      <c r="CX30" s="85" t="e">
        <f t="shared" ca="1" si="76"/>
        <v>#NUM!</v>
      </c>
      <c r="CY30" s="3" t="e">
        <f t="shared" ca="1" si="47"/>
        <v>#NUM!</v>
      </c>
      <c r="CZ30" s="85" t="e">
        <f t="shared" ca="1" si="77"/>
        <v>#NUM!</v>
      </c>
      <c r="DA30" s="3">
        <f>IF(RTD("tos.rtd",,DA$2,"."&amp;$A$2&amp;$AS$1&amp;"C"&amp;$A30)="N/A",0,RTD("tos.rtd",,DA$2,"."&amp;$A$2&amp;$AS$1&amp;"C"&amp;$A30))</f>
        <v>8.4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9.41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7.61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-15.440000000000055</v>
      </c>
      <c r="DH30" s="3">
        <f t="shared" si="22"/>
        <v>16.238888888888891</v>
      </c>
      <c r="DI30" s="3">
        <f t="shared" si="49"/>
        <v>-26</v>
      </c>
      <c r="DJ30" s="3">
        <f t="shared" si="50"/>
        <v>0</v>
      </c>
      <c r="DK30" s="3">
        <f t="shared" si="51"/>
        <v>-26</v>
      </c>
      <c r="DL30" s="3">
        <f t="shared" si="52"/>
        <v>-9.7611111111111093</v>
      </c>
      <c r="DM30" s="3">
        <f t="shared" si="53"/>
        <v>-26</v>
      </c>
      <c r="DN30" s="63" t="str">
        <f t="shared" si="54"/>
        <v>UNKNOWN</v>
      </c>
      <c r="DO30" s="63" t="str">
        <f t="shared" si="55"/>
        <v>BUY</v>
      </c>
      <c r="DP30" s="3">
        <f t="shared" si="56"/>
        <v>136.1466666666667</v>
      </c>
      <c r="DQ30" s="3">
        <f t="shared" si="57"/>
        <v>-0.26</v>
      </c>
      <c r="DR30" s="3" t="e">
        <f t="shared" ca="1" si="58"/>
        <v>#NUM!</v>
      </c>
      <c r="DS30" s="3">
        <f t="shared" si="59"/>
        <v>0</v>
      </c>
      <c r="DT30" s="3">
        <f t="shared" si="60"/>
        <v>37</v>
      </c>
      <c r="DU30" s="3">
        <f t="shared" si="61"/>
        <v>-26</v>
      </c>
      <c r="DV30" s="3">
        <f t="shared" si="62"/>
        <v>97</v>
      </c>
      <c r="DW30" s="3">
        <f t="shared" si="23"/>
        <v>-8235</v>
      </c>
      <c r="DX30" s="3" t="e">
        <f t="shared" ca="1" si="24"/>
        <v>#NUM!</v>
      </c>
      <c r="DY30" s="3" t="e">
        <f t="shared" ca="1" si="25"/>
        <v>#NUM!</v>
      </c>
      <c r="DZ30" s="3">
        <f t="shared" ca="1" si="26"/>
        <v>1.4380145777491988E-2</v>
      </c>
      <c r="EA30" s="3">
        <f t="shared" ca="1" si="27"/>
        <v>-1.2269582192471795E-2</v>
      </c>
      <c r="EB30" s="3">
        <f t="shared" ca="1" si="28"/>
        <v>1.2016094028630285E-2</v>
      </c>
      <c r="EC30" s="3">
        <f t="shared" ca="1" si="29"/>
        <v>-1.4383701061321899E-2</v>
      </c>
      <c r="ED30" s="63">
        <f t="shared" si="63"/>
        <v>-8138</v>
      </c>
      <c r="EE30" s="59">
        <f t="shared" si="64"/>
        <v>0.25</v>
      </c>
      <c r="EF30" s="59">
        <f t="shared" si="30"/>
        <v>1.3176000000000001</v>
      </c>
      <c r="EG30" s="59">
        <f t="shared" si="31"/>
        <v>0.25</v>
      </c>
      <c r="EH30" s="59">
        <f t="shared" si="32"/>
        <v>0.3453</v>
      </c>
      <c r="EI30" s="59">
        <f t="shared" si="33"/>
        <v>0.1396</v>
      </c>
      <c r="EJ30" s="59">
        <f t="shared" si="34"/>
        <v>0.24979999999999999</v>
      </c>
      <c r="EK30" s="63" t="e">
        <f t="shared" ca="1" si="65"/>
        <v>#NUM!</v>
      </c>
      <c r="EL30" s="3" t="str">
        <f>RTD("tos.rtd",,EL$2,"."&amp;$A$2&amp;$AS$1&amp;"C"&amp;$A30)</f>
        <v>--</v>
      </c>
      <c r="EM30" s="3" t="str">
        <f>RTD("tos.rtd",,EM$2,"."&amp;$A$2&amp;$AS$1&amp;"P"&amp;$A30)</f>
        <v>131.76%</v>
      </c>
      <c r="EN30" s="3" t="str">
        <f>RTD("tos.rtd",,EN$2,"."&amp;$A$2&amp;$AU$1&amp;"C"&amp;$A30)</f>
        <v>--</v>
      </c>
      <c r="EO30" s="3" t="str">
        <f>RTD("tos.rtd",,EO$2,"."&amp;$A$2&amp;$AU$1&amp;"P"&amp;$A30)</f>
        <v>34.53%</v>
      </c>
      <c r="EP30" s="3" t="str">
        <f>RTD("tos.rtd",,EP$2,"."&amp;$A$2&amp;$AW$1&amp;"C"&amp;$A30)</f>
        <v>13.96%</v>
      </c>
      <c r="EQ30" s="3" t="str">
        <f>RTD("tos.rtd",,EQ$2,"."&amp;$A$2&amp;$AW$1&amp;"P"&amp;$A30)</f>
        <v>24.98%</v>
      </c>
      <c r="ES30" s="63" t="str">
        <f t="shared" si="66"/>
        <v>556,-8138.00</v>
      </c>
      <c r="ET30" s="63" t="str">
        <f t="shared" ca="1" si="67"/>
        <v>556,00.00</v>
      </c>
      <c r="EU30" s="67">
        <v>565.16999999999996</v>
      </c>
      <c r="EV30" s="67" t="s">
        <v>259</v>
      </c>
      <c r="EW30" s="67">
        <v>488.65</v>
      </c>
      <c r="EX30" s="67" t="s">
        <v>260</v>
      </c>
      <c r="EY30" s="67">
        <v>5663.94</v>
      </c>
      <c r="EZ30" s="67" t="s">
        <v>261</v>
      </c>
      <c r="FA30" s="67">
        <v>20063.564999999999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8"/>
        <v>555</v>
      </c>
      <c r="B31" s="3">
        <f t="shared" si="9"/>
        <v>28958</v>
      </c>
      <c r="C31" s="3">
        <f t="shared" si="10"/>
        <v>75836</v>
      </c>
      <c r="D31" s="3">
        <f t="shared" si="11"/>
        <v>51161</v>
      </c>
      <c r="E31" s="3">
        <f t="shared" si="12"/>
        <v>155955</v>
      </c>
      <c r="F31" s="4">
        <f t="shared" si="13"/>
        <v>5584.5758084838299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161</v>
      </c>
      <c r="AN31" s="1">
        <v>18406</v>
      </c>
      <c r="AO31" s="1">
        <v>555</v>
      </c>
      <c r="AP31" s="1">
        <v>1710</v>
      </c>
      <c r="AQ31" s="1">
        <v>-50930</v>
      </c>
      <c r="AR31" s="1"/>
      <c r="AS31" s="6">
        <f>IF(RTD("tos.rtd",,AS$2,"."&amp;$A$2&amp;$AS$1&amp;"C"&amp;$A31)="N/A",0,RTD("tos.rtd",,AS$2,"."&amp;$A$2&amp;$AS$1&amp;"C"&amp;$A31))</f>
        <v>9529</v>
      </c>
      <c r="AT31" s="7">
        <f>-IF(RTD("tos.rtd",,AT$2,"."&amp;$A$2&amp;$AS$1&amp;"P"&amp;$A31)="N/A",0,RTD("tos.rtd",,AT$2,"."&amp;$A$2&amp;$AS$1&amp;"P"&amp;$A31))</f>
        <v>-19429</v>
      </c>
      <c r="AU31" s="6">
        <f>IF(RTD("tos.rtd",,AU$2,"."&amp;$A$2&amp;$AU$1&amp;"C"&amp;$A31)="N/A",0,RTD("tos.rtd",,AU$2,"."&amp;$A$2&amp;$AU$1&amp;"C"&amp;$A31))</f>
        <v>9058</v>
      </c>
      <c r="AV31" s="7">
        <f>-IF(RTD("tos.rtd",,AV$2,"."&amp;$A$2&amp;$AU$1&amp;"P"&amp;$A31)="N/A",0,RTD("tos.rtd",,AV$2,"."&amp;$A$2&amp;$AU$1&amp;"P"&amp;$A31))</f>
        <v>-66778</v>
      </c>
      <c r="AW31" s="6">
        <f>IF(RTD("tos.rtd",,AW$2,"."&amp;$A$2&amp;$AW$1&amp;"C"&amp;$A31)="N/A",0,RTD("tos.rtd",,AW$2,"."&amp;$A$2&amp;$AW$1&amp;"C"&amp;$A31))</f>
        <v>24030</v>
      </c>
      <c r="AX31" s="7">
        <f>-IF(RTD("tos.rtd",,AX$2,"."&amp;$A$2&amp;$AW$1&amp;"P"&amp;$A31)="N/A",0,RTD("tos.rtd",,AX$2,"."&amp;$A$2&amp;$AW$1&amp;"P"&amp;$A31))</f>
        <v>-27131</v>
      </c>
      <c r="AY31" s="1">
        <f t="shared" si="69"/>
        <v>-70721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1732</v>
      </c>
      <c r="BB31" s="7">
        <f>-IF(RTD("tos.rtd",,BB$2,"."&amp;$A$2&amp;$AS$1&amp;"P"&amp;$A31)="N/A",0,RTD("tos.rtd",,BB$2,"."&amp;$A$2&amp;$AS$1&amp;"P"&amp;$A31))</f>
        <v>-50982</v>
      </c>
      <c r="BC31" s="6">
        <f>IF(RTD("tos.rtd",,BC$2,"."&amp;$A$2&amp;$AU$1&amp;"C"&amp;$A31)="N/A",0,RTD("tos.rtd",,BC$2,"."&amp;$A$2&amp;$AU$1&amp;"C"&amp;$A31))</f>
        <v>703</v>
      </c>
      <c r="BD31" s="7">
        <f>-IF(RTD("tos.rtd",,BD$2,"."&amp;$A$2&amp;$AU$1&amp;"P"&amp;$A31)="N/A",0,RTD("tos.rtd",,BD$2,"."&amp;$A$2&amp;$AU$1&amp;"P"&amp;$A31))</f>
        <v>-14321</v>
      </c>
      <c r="BE31" s="6">
        <f>IF(RTD("tos.rtd",,BE$2,"."&amp;$A$2&amp;$AW$1&amp;"C"&amp;$A31)="N/A",0,RTD("tos.rtd",,BE$2,"."&amp;$A$2&amp;$AW$1&amp;"C"&amp;$A31))</f>
        <v>345</v>
      </c>
      <c r="BF31" s="83">
        <f>-IF(RTD("tos.rtd",,BF$2,"."&amp;$A$2&amp;$AW$1&amp;"P"&amp;$A31)="N/A",0,RTD("tos.rtd",,BF$2,"."&amp;$A$2&amp;$AW$1&amp;"P"&amp;$A31))</f>
        <v>-1088</v>
      </c>
      <c r="BG31" s="32">
        <f ca="1">+Hoja2!Y32</f>
        <v>-10409</v>
      </c>
      <c r="BH31" s="7">
        <f t="shared" ca="1" si="36"/>
        <v>-74020</v>
      </c>
      <c r="BI31" s="8" t="str">
        <f t="shared" ref="BI31" ca="1" si="188">IF(AND(BH31&lt;0,BH30&gt;0), "Cruce -", IF(AND(BH31&gt;0,BH30&lt;0),"Cruce +", ""))</f>
        <v/>
      </c>
      <c r="BJ31" s="3" t="e">
        <f ca="1">IF($BP$1=1,DX31,IF(RTD("tos.rtd",,BJ$2,"."&amp;$A$2&amp;$AS$1&amp;"C"&amp;$A31)="N/A",0,RTD("tos.rtd",,BJ$2,"."&amp;$A$2&amp;$AS$1&amp;"C"&amp;$A31)))</f>
        <v>#NUM!</v>
      </c>
      <c r="BK31" s="3" t="e">
        <f ca="1">IF($BP$1=1,DY31,-IF(RTD("tos.rtd",,BK$2,"."&amp;$A$2&amp;$AS$1&amp;"P"&amp;$A31)="N/A",0,RTD("tos.rtd",,BK$2,"."&amp;$A$2&amp;$AS$1&amp;"P"&amp;$A31)))</f>
        <v>#NUM!</v>
      </c>
      <c r="BL31" s="3">
        <f ca="1">IF($BP$1=1,DZ31,IF(RTD("tos.rtd",,BL$2,"."&amp;$A$2&amp;$AU$1&amp;"C"&amp;$A31)="N/A",0,RTD("tos.rtd",,BL$2,"."&amp;$A$2&amp;$AU$1&amp;"C"&amp;$A31)))</f>
        <v>1.3727173381144316E-2</v>
      </c>
      <c r="BM31" s="3">
        <f ca="1">IF($BP$1=1,EA31,-IF(RTD("tos.rtd",,BM$2,"."&amp;$A$2&amp;$AU$1&amp;"P"&amp;$A31)="N/A",0,RTD("tos.rtd",,BM$2,"."&amp;$A$2&amp;$AU$1&amp;"P"&amp;$A31)))</f>
        <v>-1.1989662780729965E-2</v>
      </c>
      <c r="BN31" s="3">
        <f ca="1">IF($BP$1=1,EB31,IF(RTD("tos.rtd",,BN$2,"."&amp;$A$2&amp;$AW$1&amp;"C"&amp;$A31)="N/A",0,RTD("tos.rtd",,BN$2,"."&amp;$A$2&amp;$AW$1&amp;"C"&amp;$A31)))</f>
        <v>1.027115218919813E-2</v>
      </c>
      <c r="BO31" s="3">
        <f ca="1">IF($BP$1=1,EC31,-IF(RTD("tos.rtd",,BO$2,"."&amp;$A$2&amp;$AW$1&amp;"P"&amp;$A31)="N/A",0,RTD("tos.rtd",,BO$2,"."&amp;$A$2&amp;$AW$1&amp;"P"&amp;$A31)))</f>
        <v>-1.3719930560230797E-2</v>
      </c>
      <c r="BQ31" s="3" t="e">
        <f t="shared" ca="1" si="37"/>
        <v>#NUM!</v>
      </c>
      <c r="BR31" s="3" t="e">
        <f t="shared" ca="1" si="71"/>
        <v>#NUM!</v>
      </c>
      <c r="BS31" s="3">
        <f t="shared" ca="1" si="38"/>
        <v>-220843107.6422171</v>
      </c>
      <c r="BT31" s="3" t="str">
        <f t="shared" ca="1" si="71"/>
        <v/>
      </c>
      <c r="BU31" s="3">
        <f t="shared" ca="1" si="39"/>
        <v>-40954992.901000977</v>
      </c>
      <c r="BV31" s="3" t="str">
        <f t="shared" ref="BV31" ca="1" si="189">IF(AND(BU31&lt;0,BU30&gt;0), "Cruce -", IF(AND(BU31&gt;0,BU30&lt;0),"Cruce +", ""))</f>
        <v/>
      </c>
      <c r="BX31" s="3" t="e">
        <f t="shared" ca="1" si="40"/>
        <v>#NUM!</v>
      </c>
      <c r="BY31" s="3" t="e">
        <f t="shared" ca="1" si="73"/>
        <v>#NUM!</v>
      </c>
      <c r="BZ31" s="3">
        <f t="shared" ca="1" si="41"/>
        <v>-52917629.39135436</v>
      </c>
      <c r="CA31" s="3" t="str">
        <f t="shared" ca="1" si="74"/>
        <v/>
      </c>
      <c r="CB31" s="3">
        <f t="shared" ca="1" si="42"/>
        <v>-3717287.2810739656</v>
      </c>
      <c r="CC31" s="3" t="str">
        <f t="shared" ca="1" si="75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1</v>
      </c>
      <c r="CG31" s="3">
        <f>-IF(RTD("tos.rtd",,CG$2,"."&amp;$A$2&amp;$AU$1&amp;"P"&amp;$A31)="N/A",0,RTD("tos.rtd",,CG$2,"."&amp;$A$2&amp;$AU$1&amp;"P"&amp;$A31))</f>
        <v>0.22</v>
      </c>
      <c r="CH31" s="3">
        <f>IF(RTD("tos.rtd",,CH$2,"."&amp;$A$2&amp;$AW$1&amp;"C"&amp;$A31)="N/A",0,RTD("tos.rtd",,CH$2,"."&amp;$A$2&amp;$AW$1&amp;"C"&amp;$A31))</f>
        <v>0.77</v>
      </c>
      <c r="CI31" s="3">
        <f>-IF(RTD("tos.rtd",,CI$2,"."&amp;$A$2&amp;$AW$1&amp;"P"&amp;$A31)="N/A",0,RTD("tos.rtd",,CI$2,"."&amp;$A$2&amp;$AW$1&amp;"P"&amp;$A31))</f>
        <v>0.33</v>
      </c>
      <c r="CK31" s="3">
        <f t="shared" si="17"/>
        <v>952900</v>
      </c>
      <c r="CL31" s="3"/>
      <c r="CM31" s="3">
        <f t="shared" si="18"/>
        <v>-563316</v>
      </c>
      <c r="CN31" s="3"/>
      <c r="CO31" s="3">
        <f t="shared" si="19"/>
        <v>954987.00000000023</v>
      </c>
      <c r="CP31" s="3">
        <f t="shared" si="43"/>
        <v>1344571.0000000002</v>
      </c>
      <c r="CQ31" s="3">
        <f t="shared" si="44"/>
        <v>-49250</v>
      </c>
      <c r="CR31" s="3"/>
      <c r="CS31" s="3">
        <f t="shared" si="20"/>
        <v>-13618</v>
      </c>
      <c r="CT31" s="3"/>
      <c r="CU31" s="3">
        <f t="shared" si="21"/>
        <v>-743</v>
      </c>
      <c r="CV31" s="3">
        <f t="shared" si="45"/>
        <v>-63611</v>
      </c>
      <c r="CW31" s="3" t="e">
        <f t="shared" ca="1" si="46"/>
        <v>#NUM!</v>
      </c>
      <c r="CX31" s="85" t="e">
        <f t="shared" ca="1" si="76"/>
        <v>#NUM!</v>
      </c>
      <c r="CY31" s="3" t="e">
        <f t="shared" ca="1" si="47"/>
        <v>#NUM!</v>
      </c>
      <c r="CZ31" s="85" t="e">
        <f t="shared" ca="1" si="77"/>
        <v>#NUM!</v>
      </c>
      <c r="DA31" s="3">
        <f>IF(RTD("tos.rtd",,DA$2,"."&amp;$A$2&amp;$AS$1&amp;"C"&amp;$A31)="N/A",0,RTD("tos.rtd",,DA$2,"."&amp;$A$2&amp;$AS$1&amp;"C"&amp;$A31))</f>
        <v>9.1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10.41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8.48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-16.440000000000055</v>
      </c>
      <c r="DH31" s="3">
        <f t="shared" si="22"/>
        <v>7.0673575129533601</v>
      </c>
      <c r="DI31" s="3">
        <f t="shared" si="49"/>
        <v>-52</v>
      </c>
      <c r="DJ31" s="3">
        <f t="shared" si="50"/>
        <v>-22</v>
      </c>
      <c r="DK31" s="3">
        <f t="shared" si="51"/>
        <v>-52</v>
      </c>
      <c r="DL31" s="3">
        <f t="shared" si="52"/>
        <v>-44.932642487046643</v>
      </c>
      <c r="DM31" s="3">
        <f t="shared" si="53"/>
        <v>-74</v>
      </c>
      <c r="DN31" s="63" t="str">
        <f t="shared" si="54"/>
        <v>SELL</v>
      </c>
      <c r="DO31" s="63" t="str">
        <f t="shared" si="55"/>
        <v>BUY</v>
      </c>
      <c r="DP31" s="3">
        <f t="shared" si="56"/>
        <v>63.792953367875576</v>
      </c>
      <c r="DQ31" s="3">
        <f t="shared" si="57"/>
        <v>-200.72</v>
      </c>
      <c r="DR31" s="3" t="e">
        <f t="shared" ca="1" si="58"/>
        <v>#NUM!</v>
      </c>
      <c r="DS31" s="3">
        <f t="shared" si="59"/>
        <v>-22</v>
      </c>
      <c r="DT31" s="3">
        <f t="shared" si="60"/>
        <v>22</v>
      </c>
      <c r="DU31" s="3">
        <f t="shared" si="61"/>
        <v>-52</v>
      </c>
      <c r="DV31" s="3">
        <f t="shared" si="62"/>
        <v>139</v>
      </c>
      <c r="DW31" s="3">
        <f t="shared" si="23"/>
        <v>18354</v>
      </c>
      <c r="DX31" s="3" t="e">
        <f t="shared" ca="1" si="24"/>
        <v>#NUM!</v>
      </c>
      <c r="DY31" s="3" t="e">
        <f t="shared" ca="1" si="25"/>
        <v>#NUM!</v>
      </c>
      <c r="DZ31" s="3">
        <f t="shared" ca="1" si="26"/>
        <v>1.3727173381144316E-2</v>
      </c>
      <c r="EA31" s="3">
        <f t="shared" ca="1" si="27"/>
        <v>-1.1989662780729965E-2</v>
      </c>
      <c r="EB31" s="3">
        <f t="shared" ca="1" si="28"/>
        <v>1.027115218919813E-2</v>
      </c>
      <c r="EC31" s="3">
        <f t="shared" ca="1" si="29"/>
        <v>-1.3719930560230797E-2</v>
      </c>
      <c r="ED31" s="63">
        <f t="shared" si="63"/>
        <v>18493</v>
      </c>
      <c r="EE31" s="59">
        <f t="shared" si="64"/>
        <v>0.25</v>
      </c>
      <c r="EF31" s="59">
        <f t="shared" si="30"/>
        <v>1.3956</v>
      </c>
      <c r="EG31" s="59">
        <f t="shared" si="31"/>
        <v>0.25</v>
      </c>
      <c r="EH31" s="59">
        <f t="shared" si="32"/>
        <v>0.34429999999999999</v>
      </c>
      <c r="EI31" s="59">
        <f t="shared" si="33"/>
        <v>0.13869999999999999</v>
      </c>
      <c r="EJ31" s="59">
        <f t="shared" si="34"/>
        <v>0.25059999999999999</v>
      </c>
      <c r="EK31" s="63" t="e">
        <f t="shared" ca="1" si="65"/>
        <v>#NUM!</v>
      </c>
      <c r="EL31" s="3" t="str">
        <f>RTD("tos.rtd",,EL$2,"."&amp;$A$2&amp;$AS$1&amp;"C"&amp;$A31)</f>
        <v>--</v>
      </c>
      <c r="EM31" s="3" t="str">
        <f>RTD("tos.rtd",,EM$2,"."&amp;$A$2&amp;$AS$1&amp;"P"&amp;$A31)</f>
        <v>139.56%</v>
      </c>
      <c r="EN31" s="3" t="str">
        <f>RTD("tos.rtd",,EN$2,"."&amp;$A$2&amp;$AU$1&amp;"C"&amp;$A31)</f>
        <v>--</v>
      </c>
      <c r="EO31" s="3" t="str">
        <f>RTD("tos.rtd",,EO$2,"."&amp;$A$2&amp;$AU$1&amp;"P"&amp;$A31)</f>
        <v>34.43%</v>
      </c>
      <c r="EP31" s="3" t="str">
        <f>RTD("tos.rtd",,EP$2,"."&amp;$A$2&amp;$AW$1&amp;"C"&amp;$A31)</f>
        <v>13.87%</v>
      </c>
      <c r="EQ31" s="3" t="str">
        <f>RTD("tos.rtd",,EQ$2,"."&amp;$A$2&amp;$AW$1&amp;"P"&amp;$A31)</f>
        <v>25.06%</v>
      </c>
      <c r="ES31" s="63" t="str">
        <f t="shared" si="66"/>
        <v>555,18493.00</v>
      </c>
      <c r="ET31" s="63" t="str">
        <f t="shared" ca="1" si="67"/>
        <v>555,00.00</v>
      </c>
      <c r="EU31" s="67">
        <v>565.16999999999996</v>
      </c>
      <c r="EV31" s="67" t="s">
        <v>267</v>
      </c>
      <c r="EW31" s="67">
        <v>488.61</v>
      </c>
      <c r="EX31" s="67" t="s">
        <v>268</v>
      </c>
      <c r="EY31" s="67">
        <v>5663.94</v>
      </c>
      <c r="EZ31" s="67" t="s">
        <v>269</v>
      </c>
      <c r="FA31" s="67">
        <v>20063.564999999999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8"/>
        <v>554</v>
      </c>
      <c r="B32" s="3">
        <f t="shared" si="9"/>
        <v>8820</v>
      </c>
      <c r="C32" s="3">
        <f t="shared" si="10"/>
        <v>4652</v>
      </c>
      <c r="D32" s="3">
        <f t="shared" si="11"/>
        <v>729</v>
      </c>
      <c r="E32" s="3">
        <f t="shared" si="12"/>
        <v>14201</v>
      </c>
      <c r="F32" s="4">
        <f t="shared" si="13"/>
        <v>5574.5135097298053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-204</v>
      </c>
      <c r="AN32" s="1">
        <v>-7772</v>
      </c>
      <c r="AO32" s="1">
        <v>554</v>
      </c>
      <c r="AP32" s="1">
        <v>806</v>
      </c>
      <c r="AQ32" s="1">
        <v>-21466</v>
      </c>
      <c r="AR32" s="1"/>
      <c r="AS32" s="6">
        <f>IF(RTD("tos.rtd",,AS$2,"."&amp;$A$2&amp;$AS$1&amp;"C"&amp;$A32)="N/A",0,RTD("tos.rtd",,AS$2,"."&amp;$A$2&amp;$AS$1&amp;"C"&amp;$A32))</f>
        <v>762</v>
      </c>
      <c r="AT32" s="7">
        <f>-IF(RTD("tos.rtd",,AT$2,"."&amp;$A$2&amp;$AS$1&amp;"P"&amp;$A32)="N/A",0,RTD("tos.rtd",,AT$2,"."&amp;$A$2&amp;$AS$1&amp;"P"&amp;$A32))</f>
        <v>-8058</v>
      </c>
      <c r="AU32" s="6">
        <f>IF(RTD("tos.rtd",,AU$2,"."&amp;$A$2&amp;$AU$1&amp;"C"&amp;$A32)="N/A",0,RTD("tos.rtd",,AU$2,"."&amp;$A$2&amp;$AU$1&amp;"C"&amp;$A32))</f>
        <v>2061</v>
      </c>
      <c r="AV32" s="7">
        <f>-IF(RTD("tos.rtd",,AV$2,"."&amp;$A$2&amp;$AU$1&amp;"P"&amp;$A32)="N/A",0,RTD("tos.rtd",,AV$2,"."&amp;$A$2&amp;$AU$1&amp;"P"&amp;$A32))</f>
        <v>-2591</v>
      </c>
      <c r="AW32" s="6">
        <f>IF(RTD("tos.rtd",,AW$2,"."&amp;$A$2&amp;$AW$1&amp;"C"&amp;$A32)="N/A",0,RTD("tos.rtd",,AW$2,"."&amp;$A$2&amp;$AW$1&amp;"C"&amp;$A32))</f>
        <v>81</v>
      </c>
      <c r="AX32" s="7">
        <f>-IF(RTD("tos.rtd",,AX$2,"."&amp;$A$2&amp;$AW$1&amp;"P"&amp;$A32)="N/A",0,RTD("tos.rtd",,AX$2,"."&amp;$A$2&amp;$AW$1&amp;"P"&amp;$A32))</f>
        <v>-648</v>
      </c>
      <c r="AY32" s="1">
        <f t="shared" si="69"/>
        <v>-8393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853</v>
      </c>
      <c r="BB32" s="7">
        <f>-IF(RTD("tos.rtd",,BB$2,"."&amp;$A$2&amp;$AS$1&amp;"P"&amp;$A32)="N/A",0,RTD("tos.rtd",,BB$2,"."&amp;$A$2&amp;$AS$1&amp;"P"&amp;$A32))</f>
        <v>-21468</v>
      </c>
      <c r="BC32" s="6">
        <f>IF(RTD("tos.rtd",,BC$2,"."&amp;$A$2&amp;$AU$1&amp;"C"&amp;$A32)="N/A",0,RTD("tos.rtd",,BC$2,"."&amp;$A$2&amp;$AU$1&amp;"C"&amp;$A32))</f>
        <v>130</v>
      </c>
      <c r="BD32" s="7">
        <f>-IF(RTD("tos.rtd",,BD$2,"."&amp;$A$2&amp;$AU$1&amp;"P"&amp;$A32)="N/A",0,RTD("tos.rtd",,BD$2,"."&amp;$A$2&amp;$AU$1&amp;"P"&amp;$A32))</f>
        <v>-2238</v>
      </c>
      <c r="BE32" s="6">
        <f>IF(RTD("tos.rtd",,BE$2,"."&amp;$A$2&amp;$AW$1&amp;"C"&amp;$A32)="N/A",0,RTD("tos.rtd",,BE$2,"."&amp;$A$2&amp;$AW$1&amp;"C"&amp;$A32))</f>
        <v>11</v>
      </c>
      <c r="BF32" s="83">
        <f>-IF(RTD("tos.rtd",,BF$2,"."&amp;$A$2&amp;$AW$1&amp;"P"&amp;$A32)="N/A",0,RTD("tos.rtd",,BF$2,"."&amp;$A$2&amp;$AW$1&amp;"P"&amp;$A32))</f>
        <v>-639</v>
      </c>
      <c r="BG32" s="32">
        <f ca="1">+Hoja2!Y33</f>
        <v>-873</v>
      </c>
      <c r="BH32" s="7">
        <f t="shared" ca="1" si="36"/>
        <v>-24224</v>
      </c>
      <c r="BI32" s="8" t="str">
        <f t="shared" ref="BI32" ca="1" si="190">IF(AND(BH32&lt;0,BH31&gt;0), "Cruce -", IF(AND(BH32&gt;0,BH31&lt;0),"Cruce +", ""))</f>
        <v/>
      </c>
      <c r="BJ32" s="3" t="e">
        <f ca="1">IF($BP$1=1,DX32,IF(RTD("tos.rtd",,BJ$2,"."&amp;$A$2&amp;$AS$1&amp;"C"&amp;$A32)="N/A",0,RTD("tos.rtd",,BJ$2,"."&amp;$A$2&amp;$AS$1&amp;"C"&amp;$A32)))</f>
        <v>#NUM!</v>
      </c>
      <c r="BK32" s="3" t="e">
        <f ca="1">IF($BP$1=1,DY32,-IF(RTD("tos.rtd",,BK$2,"."&amp;$A$2&amp;$AS$1&amp;"P"&amp;$A32)="N/A",0,RTD("tos.rtd",,BK$2,"."&amp;$A$2&amp;$AS$1&amp;"P"&amp;$A32)))</f>
        <v>#NUM!</v>
      </c>
      <c r="BL32" s="3">
        <f ca="1">IF($BP$1=1,DZ32,IF(RTD("tos.rtd",,BL$2,"."&amp;$A$2&amp;$AU$1&amp;"C"&amp;$A32)="N/A",0,RTD("tos.rtd",,BL$2,"."&amp;$A$2&amp;$AU$1&amp;"C"&amp;$A32)))</f>
        <v>1.3065719837081598E-2</v>
      </c>
      <c r="BM32" s="3">
        <f ca="1">IF($BP$1=1,EA32,-IF(RTD("tos.rtd",,BM$2,"."&amp;$A$2&amp;$AU$1&amp;"P"&amp;$A32)="N/A",0,RTD("tos.rtd",,BM$2,"."&amp;$A$2&amp;$AU$1&amp;"P"&amp;$A32)))</f>
        <v>-1.1689277706759668E-2</v>
      </c>
      <c r="BN32" s="3">
        <f ca="1">IF($BP$1=1,EB32,IF(RTD("tos.rtd",,BN$2,"."&amp;$A$2&amp;$AW$1&amp;"C"&amp;$A32)="N/A",0,RTD("tos.rtd",,BN$2,"."&amp;$A$2&amp;$AW$1&amp;"C"&amp;$A32)))</f>
        <v>8.6719462545499695E-3</v>
      </c>
      <c r="BO32" s="3">
        <f ca="1">IF($BP$1=1,EC32,-IF(RTD("tos.rtd",,BO$2,"."&amp;$A$2&amp;$AW$1&amp;"P"&amp;$A32)="N/A",0,RTD("tos.rtd",,BO$2,"."&amp;$A$2&amp;$AW$1&amp;"P"&amp;$A32)))</f>
        <v>-1.305583120959402E-2</v>
      </c>
      <c r="BQ32" s="3" t="e">
        <f t="shared" ca="1" si="37"/>
        <v>#NUM!</v>
      </c>
      <c r="BR32" s="3" t="e">
        <f t="shared" ca="1" si="71"/>
        <v>#NUM!</v>
      </c>
      <c r="BS32" s="3">
        <f t="shared" ca="1" si="38"/>
        <v>-1096687.1164508313</v>
      </c>
      <c r="BT32" s="3" t="str">
        <f t="shared" ca="1" si="71"/>
        <v/>
      </c>
      <c r="BU32" s="3">
        <f t="shared" ca="1" si="39"/>
        <v>-2533244.5029683486</v>
      </c>
      <c r="BV32" s="3" t="str">
        <f t="shared" ref="BV32" ca="1" si="191">IF(AND(BU32&lt;0,BU31&gt;0), "Cruce -", IF(AND(BU32&gt;0,BU31&lt;0),"Cruce +", ""))</f>
        <v/>
      </c>
      <c r="BX32" s="3" t="e">
        <f t="shared" ca="1" si="40"/>
        <v>#NUM!</v>
      </c>
      <c r="BY32" s="3" t="e">
        <f t="shared" ca="1" si="73"/>
        <v>#NUM!</v>
      </c>
      <c r="BZ32" s="3">
        <f t="shared" ca="1" si="41"/>
        <v>-7987930.9130088203</v>
      </c>
      <c r="CA32" s="3" t="str">
        <f t="shared" ca="1" si="74"/>
        <v/>
      </c>
      <c r="CB32" s="3">
        <f t="shared" ca="1" si="42"/>
        <v>-2693098.6543081827</v>
      </c>
      <c r="CC32" s="3" t="str">
        <f t="shared" ca="1" si="75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1</v>
      </c>
      <c r="CG32" s="3">
        <f>-IF(RTD("tos.rtd",,CG$2,"."&amp;$A$2&amp;$AU$1&amp;"P"&amp;$A32)="N/A",0,RTD("tos.rtd",,CG$2,"."&amp;$A$2&amp;$AU$1&amp;"P"&amp;$A32))</f>
        <v>0.21</v>
      </c>
      <c r="CH32" s="3">
        <f>IF(RTD("tos.rtd",,CH$2,"."&amp;$A$2&amp;$AW$1&amp;"C"&amp;$A32)="N/A",0,RTD("tos.rtd",,CH$2,"."&amp;$A$2&amp;$AW$1&amp;"C"&amp;$A32))</f>
        <v>0.78</v>
      </c>
      <c r="CI32" s="3">
        <f>-IF(RTD("tos.rtd",,CI$2,"."&amp;$A$2&amp;$AW$1&amp;"P"&amp;$A32)="N/A",0,RTD("tos.rtd",,CI$2,"."&amp;$A$2&amp;$AW$1&amp;"P"&amp;$A32))</f>
        <v>0.32</v>
      </c>
      <c r="CK32" s="3">
        <f t="shared" si="17"/>
        <v>76200</v>
      </c>
      <c r="CL32" s="3"/>
      <c r="CM32" s="3">
        <f t="shared" si="18"/>
        <v>151689</v>
      </c>
      <c r="CN32" s="3"/>
      <c r="CO32" s="3">
        <f t="shared" si="19"/>
        <v>-14418</v>
      </c>
      <c r="CP32" s="3">
        <f t="shared" si="43"/>
        <v>213471</v>
      </c>
      <c r="CQ32" s="3">
        <f t="shared" si="44"/>
        <v>-20615</v>
      </c>
      <c r="CR32" s="3"/>
      <c r="CS32" s="3">
        <f t="shared" si="20"/>
        <v>-2108</v>
      </c>
      <c r="CT32" s="3"/>
      <c r="CU32" s="3">
        <f t="shared" si="21"/>
        <v>-628</v>
      </c>
      <c r="CV32" s="3">
        <f t="shared" si="45"/>
        <v>-23351</v>
      </c>
      <c r="CW32" s="3" t="e">
        <f t="shared" ca="1" si="46"/>
        <v>#NUM!</v>
      </c>
      <c r="CX32" s="85" t="e">
        <f t="shared" ca="1" si="76"/>
        <v>#NUM!</v>
      </c>
      <c r="CY32" s="3" t="e">
        <f t="shared" ca="1" si="47"/>
        <v>#NUM!</v>
      </c>
      <c r="CZ32" s="85" t="e">
        <f t="shared" ca="1" si="77"/>
        <v>#NUM!</v>
      </c>
      <c r="DA32" s="3">
        <f>IF(RTD("tos.rtd",,DA$2,"."&amp;$A$2&amp;$AS$1&amp;"C"&amp;$A32)="N/A",0,RTD("tos.rtd",,DA$2,"."&amp;$A$2&amp;$AS$1&amp;"C"&amp;$A32))</f>
        <v>10.44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11.41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9.51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-17.440000000000055</v>
      </c>
      <c r="DH32" s="3">
        <f t="shared" si="22"/>
        <v>23.005263157894724</v>
      </c>
      <c r="DI32" s="3">
        <f t="shared" si="49"/>
        <v>-2</v>
      </c>
      <c r="DJ32" s="3">
        <f t="shared" si="50"/>
        <v>0</v>
      </c>
      <c r="DK32" s="3">
        <f t="shared" si="51"/>
        <v>-2</v>
      </c>
      <c r="DL32" s="3">
        <f t="shared" si="52"/>
        <v>21.005263157894724</v>
      </c>
      <c r="DM32" s="3">
        <f t="shared" si="53"/>
        <v>-2</v>
      </c>
      <c r="DN32" s="63" t="str">
        <f t="shared" si="54"/>
        <v>UNKNOWN</v>
      </c>
      <c r="DO32" s="63" t="str">
        <f t="shared" si="55"/>
        <v>BUY</v>
      </c>
      <c r="DP32" s="3">
        <f t="shared" si="56"/>
        <v>240.15494736842089</v>
      </c>
      <c r="DQ32" s="3">
        <f t="shared" si="57"/>
        <v>-0.02</v>
      </c>
      <c r="DR32" s="3" t="e">
        <f t="shared" ca="1" si="58"/>
        <v>#NUM!</v>
      </c>
      <c r="DS32" s="3">
        <f t="shared" si="59"/>
        <v>0</v>
      </c>
      <c r="DT32" s="3">
        <f t="shared" si="60"/>
        <v>47</v>
      </c>
      <c r="DU32" s="3">
        <f t="shared" si="61"/>
        <v>-2</v>
      </c>
      <c r="DV32" s="3">
        <f t="shared" si="62"/>
        <v>-204</v>
      </c>
      <c r="DW32" s="3">
        <f t="shared" si="23"/>
        <v>-7774</v>
      </c>
      <c r="DX32" s="3" t="e">
        <f t="shared" ca="1" si="24"/>
        <v>#NUM!</v>
      </c>
      <c r="DY32" s="3" t="e">
        <f t="shared" ca="1" si="25"/>
        <v>#NUM!</v>
      </c>
      <c r="DZ32" s="3">
        <f t="shared" ca="1" si="26"/>
        <v>1.3065719837081598E-2</v>
      </c>
      <c r="EA32" s="3">
        <f t="shared" ca="1" si="27"/>
        <v>-1.1689277706759668E-2</v>
      </c>
      <c r="EB32" s="3">
        <f t="shared" ca="1" si="28"/>
        <v>8.6719462545499695E-3</v>
      </c>
      <c r="EC32" s="3">
        <f t="shared" ca="1" si="29"/>
        <v>-1.305583120959402E-2</v>
      </c>
      <c r="ED32" s="63">
        <f t="shared" si="63"/>
        <v>-7978</v>
      </c>
      <c r="EE32" s="59">
        <f t="shared" si="64"/>
        <v>0.25</v>
      </c>
      <c r="EF32" s="59">
        <f t="shared" si="30"/>
        <v>1.4733000000000001</v>
      </c>
      <c r="EG32" s="59">
        <f t="shared" si="31"/>
        <v>0.25</v>
      </c>
      <c r="EH32" s="59">
        <f t="shared" si="32"/>
        <v>0.34360000000000002</v>
      </c>
      <c r="EI32" s="59">
        <f t="shared" si="33"/>
        <v>0.13789999999999999</v>
      </c>
      <c r="EJ32" s="59">
        <f t="shared" si="34"/>
        <v>0.2515</v>
      </c>
      <c r="EK32" s="63" t="e">
        <f t="shared" ca="1" si="65"/>
        <v>#NUM!</v>
      </c>
      <c r="EL32" s="3" t="str">
        <f>RTD("tos.rtd",,EL$2,"."&amp;$A$2&amp;$AS$1&amp;"C"&amp;$A32)</f>
        <v>--</v>
      </c>
      <c r="EM32" s="3" t="str">
        <f>RTD("tos.rtd",,EM$2,"."&amp;$A$2&amp;$AS$1&amp;"P"&amp;$A32)</f>
        <v>147.33%</v>
      </c>
      <c r="EN32" s="3" t="str">
        <f>RTD("tos.rtd",,EN$2,"."&amp;$A$2&amp;$AU$1&amp;"C"&amp;$A32)</f>
        <v>--</v>
      </c>
      <c r="EO32" s="3" t="str">
        <f>RTD("tos.rtd",,EO$2,"."&amp;$A$2&amp;$AU$1&amp;"P"&amp;$A32)</f>
        <v>34.36%</v>
      </c>
      <c r="EP32" s="3" t="str">
        <f>RTD("tos.rtd",,EP$2,"."&amp;$A$2&amp;$AW$1&amp;"C"&amp;$A32)</f>
        <v>13.79%</v>
      </c>
      <c r="EQ32" s="3" t="str">
        <f>RTD("tos.rtd",,EQ$2,"."&amp;$A$2&amp;$AW$1&amp;"P"&amp;$A32)</f>
        <v>25.15%</v>
      </c>
      <c r="ES32" s="63" t="str">
        <f t="shared" si="66"/>
        <v>554,-7978.00</v>
      </c>
      <c r="ET32" s="63" t="str">
        <f t="shared" ca="1" si="67"/>
        <v>554,00.00</v>
      </c>
      <c r="EU32" s="67">
        <v>565.20000000000005</v>
      </c>
      <c r="EV32" s="67" t="s">
        <v>275</v>
      </c>
      <c r="EW32" s="67">
        <v>488.64</v>
      </c>
      <c r="EX32" s="67" t="s">
        <v>276</v>
      </c>
      <c r="EY32" s="67">
        <v>5663.94</v>
      </c>
      <c r="EZ32" s="67" t="s">
        <v>277</v>
      </c>
      <c r="FA32" s="67">
        <v>20063.564999999999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8"/>
        <v>553</v>
      </c>
      <c r="B33" s="3">
        <f t="shared" si="9"/>
        <v>5217</v>
      </c>
      <c r="C33" s="3">
        <f t="shared" si="10"/>
        <v>4254</v>
      </c>
      <c r="D33" s="3">
        <f t="shared" si="11"/>
        <v>1210</v>
      </c>
      <c r="E33" s="3">
        <f t="shared" si="12"/>
        <v>10681</v>
      </c>
      <c r="F33" s="4">
        <f t="shared" si="13"/>
        <v>5564.4512109757807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8</v>
      </c>
      <c r="AN33" s="1">
        <v>-4681</v>
      </c>
      <c r="AO33" s="1">
        <v>553</v>
      </c>
      <c r="AP33" s="1">
        <v>227</v>
      </c>
      <c r="AQ33" s="1">
        <v>-15405</v>
      </c>
      <c r="AR33" s="1"/>
      <c r="AS33" s="6">
        <f>IF(RTD("tos.rtd",,AS$2,"."&amp;$A$2&amp;$AS$1&amp;"C"&amp;$A33)="N/A",0,RTD("tos.rtd",,AS$2,"."&amp;$A$2&amp;$AS$1&amp;"C"&amp;$A33))</f>
        <v>844</v>
      </c>
      <c r="AT33" s="7">
        <f>-IF(RTD("tos.rtd",,AT$2,"."&amp;$A$2&amp;$AS$1&amp;"P"&amp;$A33)="N/A",0,RTD("tos.rtd",,AT$2,"."&amp;$A$2&amp;$AS$1&amp;"P"&amp;$A33))</f>
        <v>-4373</v>
      </c>
      <c r="AU33" s="6">
        <f>IF(RTD("tos.rtd",,AU$2,"."&amp;$A$2&amp;$AU$1&amp;"C"&amp;$A33)="N/A",0,RTD("tos.rtd",,AU$2,"."&amp;$A$2&amp;$AU$1&amp;"C"&amp;$A33))</f>
        <v>2517</v>
      </c>
      <c r="AV33" s="7">
        <f>-IF(RTD("tos.rtd",,AV$2,"."&amp;$A$2&amp;$AU$1&amp;"P"&amp;$A33)="N/A",0,RTD("tos.rtd",,AV$2,"."&amp;$A$2&amp;$AU$1&amp;"P"&amp;$A33))</f>
        <v>-1737</v>
      </c>
      <c r="AW33" s="6">
        <f>IF(RTD("tos.rtd",,AW$2,"."&amp;$A$2&amp;$AW$1&amp;"C"&amp;$A33)="N/A",0,RTD("tos.rtd",,AW$2,"."&amp;$A$2&amp;$AW$1&amp;"C"&amp;$A33))</f>
        <v>64</v>
      </c>
      <c r="AX33" s="7">
        <f>-IF(RTD("tos.rtd",,AX$2,"."&amp;$A$2&amp;$AW$1&amp;"P"&amp;$A33)="N/A",0,RTD("tos.rtd",,AX$2,"."&amp;$A$2&amp;$AW$1&amp;"P"&amp;$A33))</f>
        <v>-1146</v>
      </c>
      <c r="AY33" s="1">
        <f t="shared" si="69"/>
        <v>-3831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228</v>
      </c>
      <c r="BB33" s="7">
        <f>-IF(RTD("tos.rtd",,BB$2,"."&amp;$A$2&amp;$AS$1&amp;"P"&amp;$A33)="N/A",0,RTD("tos.rtd",,BB$2,"."&amp;$A$2&amp;$AS$1&amp;"P"&amp;$A33))</f>
        <v>-15411</v>
      </c>
      <c r="BC33" s="6">
        <f>IF(RTD("tos.rtd",,BC$2,"."&amp;$A$2&amp;$AU$1&amp;"C"&amp;$A33)="N/A",0,RTD("tos.rtd",,BC$2,"."&amp;$A$2&amp;$AU$1&amp;"C"&amp;$A33))</f>
        <v>235</v>
      </c>
      <c r="BD33" s="7">
        <f>-IF(RTD("tos.rtd",,BD$2,"."&amp;$A$2&amp;$AU$1&amp;"P"&amp;$A33)="N/A",0,RTD("tos.rtd",,BD$2,"."&amp;$A$2&amp;$AU$1&amp;"P"&amp;$A33))</f>
        <v>-1283</v>
      </c>
      <c r="BE33" s="6">
        <f>IF(RTD("tos.rtd",,BE$2,"."&amp;$A$2&amp;$AW$1&amp;"C"&amp;$A33)="N/A",0,RTD("tos.rtd",,BE$2,"."&amp;$A$2&amp;$AW$1&amp;"C"&amp;$A33))</f>
        <v>20</v>
      </c>
      <c r="BF33" s="83">
        <f>-IF(RTD("tos.rtd",,BF$2,"."&amp;$A$2&amp;$AW$1&amp;"P"&amp;$A33)="N/A",0,RTD("tos.rtd",,BF$2,"."&amp;$A$2&amp;$AW$1&amp;"P"&amp;$A33))</f>
        <v>-347</v>
      </c>
      <c r="BG33" s="32">
        <f ca="1">+Hoja2!Y34</f>
        <v>-692</v>
      </c>
      <c r="BH33" s="7">
        <f t="shared" ca="1" si="36"/>
        <v>-17250</v>
      </c>
      <c r="BI33" s="8" t="str">
        <f t="shared" ref="BI33" ca="1" si="192">IF(AND(BH33&lt;0,BH32&gt;0), "Cruce -", IF(AND(BH33&gt;0,BH32&lt;0),"Cruce +", ""))</f>
        <v/>
      </c>
      <c r="BJ33" s="3" t="e">
        <f ca="1">IF($BP$1=1,DX33,IF(RTD("tos.rtd",,BJ$2,"."&amp;$A$2&amp;$AS$1&amp;"C"&amp;$A33)="N/A",0,RTD("tos.rtd",,BJ$2,"."&amp;$A$2&amp;$AS$1&amp;"C"&amp;$A33)))</f>
        <v>#NUM!</v>
      </c>
      <c r="BK33" s="3" t="e">
        <f ca="1">IF($BP$1=1,DY33,-IF(RTD("tos.rtd",,BK$2,"."&amp;$A$2&amp;$AS$1&amp;"P"&amp;$A33)="N/A",0,RTD("tos.rtd",,BK$2,"."&amp;$A$2&amp;$AS$1&amp;"P"&amp;$A33)))</f>
        <v>#NUM!</v>
      </c>
      <c r="BL33" s="3">
        <f ca="1">IF($BP$1=1,DZ33,IF(RTD("tos.rtd",,BL$2,"."&amp;$A$2&amp;$AU$1&amp;"C"&amp;$A33)="N/A",0,RTD("tos.rtd",,BL$2,"."&amp;$A$2&amp;$AU$1&amp;"C"&amp;$A33)))</f>
        <v>1.2399756597450752E-2</v>
      </c>
      <c r="BM33" s="3">
        <f ca="1">IF($BP$1=1,EA33,-IF(RTD("tos.rtd",,BM$2,"."&amp;$A$2&amp;$AU$1&amp;"P"&amp;$A33)="N/A",0,RTD("tos.rtd",,BM$2,"."&amp;$A$2&amp;$AU$1&amp;"P"&amp;$A33)))</f>
        <v>-1.1381039636809346E-2</v>
      </c>
      <c r="BN33" s="3">
        <f ca="1">IF($BP$1=1,EB33,IF(RTD("tos.rtd",,BN$2,"."&amp;$A$2&amp;$AW$1&amp;"C"&amp;$A33)="N/A",0,RTD("tos.rtd",,BN$2,"."&amp;$A$2&amp;$AW$1&amp;"C"&amp;$A33)))</f>
        <v>7.1863040307501933E-3</v>
      </c>
      <c r="BO33" s="3">
        <f ca="1">IF($BP$1=1,EC33,-IF(RTD("tos.rtd",,BO$2,"."&amp;$A$2&amp;$AW$1&amp;"P"&amp;$A33)="N/A",0,RTD("tos.rtd",,BO$2,"."&amp;$A$2&amp;$AW$1&amp;"P"&amp;$A33)))</f>
        <v>-1.2396460424566238E-2</v>
      </c>
      <c r="BQ33" s="3" t="e">
        <f t="shared" ca="1" si="37"/>
        <v>#NUM!</v>
      </c>
      <c r="BR33" s="3" t="e">
        <f t="shared" ca="1" si="71"/>
        <v>#NUM!</v>
      </c>
      <c r="BS33" s="3">
        <f t="shared" ca="1" si="38"/>
        <v>3736091.1556187784</v>
      </c>
      <c r="BT33" s="3" t="str">
        <f t="shared" ca="1" si="71"/>
        <v>Cruce +</v>
      </c>
      <c r="BU33" s="3">
        <f t="shared" ca="1" si="39"/>
        <v>-4488806.5472297175</v>
      </c>
      <c r="BV33" s="3" t="str">
        <f t="shared" ref="BV33" ca="1" si="193">IF(AND(BU33&lt;0,BU32&gt;0), "Cruce -", IF(AND(BU33&gt;0,BU32&lt;0),"Cruce +", ""))</f>
        <v/>
      </c>
      <c r="BX33" s="3" t="e">
        <f t="shared" ca="1" si="40"/>
        <v>#NUM!</v>
      </c>
      <c r="BY33" s="3" t="e">
        <f t="shared" ca="1" si="73"/>
        <v>#NUM!</v>
      </c>
      <c r="BZ33" s="3">
        <f t="shared" ca="1" si="41"/>
        <v>-3816619.9430343783</v>
      </c>
      <c r="CA33" s="3" t="str">
        <f t="shared" ca="1" si="74"/>
        <v/>
      </c>
      <c r="CB33" s="3">
        <f t="shared" ca="1" si="42"/>
        <v>-1357718.2048000286</v>
      </c>
      <c r="CC33" s="3" t="str">
        <f t="shared" ca="1" si="75"/>
        <v/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1</v>
      </c>
      <c r="CG33" s="3">
        <f>-IF(RTD("tos.rtd",,CG$2,"."&amp;$A$2&amp;$AU$1&amp;"P"&amp;$A33)="N/A",0,RTD("tos.rtd",,CG$2,"."&amp;$A$2&amp;$AU$1&amp;"P"&amp;$A33))</f>
        <v>0.19</v>
      </c>
      <c r="CH33" s="3">
        <f>IF(RTD("tos.rtd",,CH$2,"."&amp;$A$2&amp;$AW$1&amp;"C"&amp;$A33)="N/A",0,RTD("tos.rtd",,CH$2,"."&amp;$A$2&amp;$AW$1&amp;"C"&amp;$A33))</f>
        <v>0.8</v>
      </c>
      <c r="CI33" s="3">
        <f>-IF(RTD("tos.rtd",,CI$2,"."&amp;$A$2&amp;$AW$1&amp;"P"&amp;$A33)="N/A",0,RTD("tos.rtd",,CI$2,"."&amp;$A$2&amp;$AW$1&amp;"P"&amp;$A33))</f>
        <v>0.32</v>
      </c>
      <c r="CK33" s="3">
        <f t="shared" si="17"/>
        <v>84400</v>
      </c>
      <c r="CL33" s="3"/>
      <c r="CM33" s="3">
        <f t="shared" si="18"/>
        <v>218697</v>
      </c>
      <c r="CN33" s="3"/>
      <c r="CO33" s="3">
        <f t="shared" si="19"/>
        <v>-31552</v>
      </c>
      <c r="CP33" s="3">
        <f t="shared" si="43"/>
        <v>271545</v>
      </c>
      <c r="CQ33" s="3">
        <f t="shared" si="44"/>
        <v>-15183</v>
      </c>
      <c r="CR33" s="3"/>
      <c r="CS33" s="3">
        <f t="shared" si="20"/>
        <v>-1048</v>
      </c>
      <c r="CT33" s="3"/>
      <c r="CU33" s="3">
        <f t="shared" si="21"/>
        <v>-327</v>
      </c>
      <c r="CV33" s="3">
        <f t="shared" si="45"/>
        <v>-16558</v>
      </c>
      <c r="CW33" s="3" t="e">
        <f t="shared" ca="1" si="46"/>
        <v>#NUM!</v>
      </c>
      <c r="CX33" s="85" t="e">
        <f t="shared" ca="1" si="76"/>
        <v>#NUM!</v>
      </c>
      <c r="CY33" s="3" t="e">
        <f t="shared" ca="1" si="47"/>
        <v>#NUM!</v>
      </c>
      <c r="CZ33" s="85" t="e">
        <f t="shared" ca="1" si="77"/>
        <v>#NUM!</v>
      </c>
      <c r="DA33" s="3">
        <f>IF(RTD("tos.rtd",,DA$2,"."&amp;$A$2&amp;$AS$1&amp;"C"&amp;$A33)="N/A",0,RTD("tos.rtd",,DA$2,"."&amp;$A$2&amp;$AS$1&amp;"C"&amp;$A33))</f>
        <v>11.4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12.27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10.51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-18.440000000000055</v>
      </c>
      <c r="DH33" s="3">
        <f t="shared" si="22"/>
        <v>0.50568181818181857</v>
      </c>
      <c r="DI33" s="3">
        <f t="shared" si="49"/>
        <v>-6</v>
      </c>
      <c r="DJ33" s="3">
        <f t="shared" si="50"/>
        <v>0</v>
      </c>
      <c r="DK33" s="3">
        <f t="shared" si="51"/>
        <v>-6</v>
      </c>
      <c r="DL33" s="3">
        <f t="shared" si="52"/>
        <v>-5.4943181818181817</v>
      </c>
      <c r="DM33" s="3">
        <f t="shared" si="53"/>
        <v>-6</v>
      </c>
      <c r="DN33" s="63" t="str">
        <f t="shared" si="54"/>
        <v>UNKNOWN</v>
      </c>
      <c r="DO33" s="63" t="str">
        <f t="shared" si="55"/>
        <v>BUY</v>
      </c>
      <c r="DP33" s="3">
        <f t="shared" si="56"/>
        <v>5.704772727272732</v>
      </c>
      <c r="DQ33" s="3">
        <f t="shared" si="57"/>
        <v>-0.06</v>
      </c>
      <c r="DR33" s="3" t="e">
        <f t="shared" ca="1" si="58"/>
        <v>#NUM!</v>
      </c>
      <c r="DS33" s="3">
        <f t="shared" si="59"/>
        <v>0</v>
      </c>
      <c r="DT33" s="3">
        <f t="shared" si="60"/>
        <v>1</v>
      </c>
      <c r="DU33" s="3">
        <f t="shared" si="61"/>
        <v>-6</v>
      </c>
      <c r="DV33" s="3">
        <f t="shared" si="62"/>
        <v>8</v>
      </c>
      <c r="DW33" s="3">
        <f t="shared" si="23"/>
        <v>-4687</v>
      </c>
      <c r="DX33" s="3" t="e">
        <f t="shared" ca="1" si="24"/>
        <v>#NUM!</v>
      </c>
      <c r="DY33" s="3" t="e">
        <f t="shared" ca="1" si="25"/>
        <v>#NUM!</v>
      </c>
      <c r="DZ33" s="3">
        <f t="shared" ca="1" si="26"/>
        <v>1.2399756597450752E-2</v>
      </c>
      <c r="EA33" s="3">
        <f t="shared" ca="1" si="27"/>
        <v>-1.1381039636809346E-2</v>
      </c>
      <c r="EB33" s="3">
        <f t="shared" ca="1" si="28"/>
        <v>7.1863040307501933E-3</v>
      </c>
      <c r="EC33" s="3">
        <f t="shared" ca="1" si="29"/>
        <v>-1.2396460424566238E-2</v>
      </c>
      <c r="ED33" s="63">
        <f t="shared" si="63"/>
        <v>-4679</v>
      </c>
      <c r="EE33" s="59">
        <f t="shared" si="64"/>
        <v>0.25</v>
      </c>
      <c r="EF33" s="59">
        <f t="shared" si="30"/>
        <v>1.5508</v>
      </c>
      <c r="EG33" s="59">
        <f t="shared" si="31"/>
        <v>0.25</v>
      </c>
      <c r="EH33" s="59">
        <f t="shared" si="32"/>
        <v>0.34260000000000002</v>
      </c>
      <c r="EI33" s="59">
        <f t="shared" si="33"/>
        <v>0.1368</v>
      </c>
      <c r="EJ33" s="59">
        <f t="shared" si="34"/>
        <v>0.25240000000000001</v>
      </c>
      <c r="EK33" s="63" t="e">
        <f t="shared" ca="1" si="65"/>
        <v>#NUM!</v>
      </c>
      <c r="EL33" s="3" t="str">
        <f>RTD("tos.rtd",,EL$2,"."&amp;$A$2&amp;$AS$1&amp;"C"&amp;$A33)</f>
        <v>--</v>
      </c>
      <c r="EM33" s="3" t="str">
        <f>RTD("tos.rtd",,EM$2,"."&amp;$A$2&amp;$AS$1&amp;"P"&amp;$A33)</f>
        <v>155.08%</v>
      </c>
      <c r="EN33" s="3" t="str">
        <f>RTD("tos.rtd",,EN$2,"."&amp;$A$2&amp;$AU$1&amp;"C"&amp;$A33)</f>
        <v>--</v>
      </c>
      <c r="EO33" s="3" t="str">
        <f>RTD("tos.rtd",,EO$2,"."&amp;$A$2&amp;$AU$1&amp;"P"&amp;$A33)</f>
        <v>34.26%</v>
      </c>
      <c r="EP33" s="3" t="str">
        <f>RTD("tos.rtd",,EP$2,"."&amp;$A$2&amp;$AW$1&amp;"C"&amp;$A33)</f>
        <v>13.68%</v>
      </c>
      <c r="EQ33" s="3" t="str">
        <f>RTD("tos.rtd",,EQ$2,"."&amp;$A$2&amp;$AW$1&amp;"P"&amp;$A33)</f>
        <v>25.24%</v>
      </c>
      <c r="ES33" s="63" t="str">
        <f t="shared" si="66"/>
        <v>553,-4679.00</v>
      </c>
      <c r="ET33" s="63" t="str">
        <f t="shared" ca="1" si="67"/>
        <v>553,00.00</v>
      </c>
      <c r="EU33" s="67">
        <v>565.20000000000005</v>
      </c>
      <c r="EV33" s="67" t="s">
        <v>283</v>
      </c>
      <c r="EW33" s="67">
        <v>488.65</v>
      </c>
      <c r="EX33" s="67" t="s">
        <v>284</v>
      </c>
      <c r="EY33" s="67">
        <v>5663.94</v>
      </c>
      <c r="EZ33" s="67" t="s">
        <v>285</v>
      </c>
      <c r="FA33" s="67">
        <v>20063.564999999999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8"/>
        <v>552</v>
      </c>
      <c r="B34" s="3">
        <f t="shared" si="9"/>
        <v>10913</v>
      </c>
      <c r="C34" s="3">
        <f t="shared" si="10"/>
        <v>5235</v>
      </c>
      <c r="D34" s="3">
        <f t="shared" si="11"/>
        <v>944</v>
      </c>
      <c r="E34" s="3">
        <f t="shared" si="12"/>
        <v>17092</v>
      </c>
      <c r="F34" s="4">
        <f t="shared" si="13"/>
        <v>5554.3889122217552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97</v>
      </c>
      <c r="AN34" s="1">
        <v>3731</v>
      </c>
      <c r="AO34" s="1">
        <v>552</v>
      </c>
      <c r="AP34" s="1">
        <v>232</v>
      </c>
      <c r="AQ34" s="1">
        <v>-14321</v>
      </c>
      <c r="AR34" s="1"/>
      <c r="AS34" s="6">
        <f>IF(RTD("tos.rtd",,AS$2,"."&amp;$A$2&amp;$AS$1&amp;"C"&amp;$A34)="N/A",0,RTD("tos.rtd",,AS$2,"."&amp;$A$2&amp;$AS$1&amp;"C"&amp;$A34))</f>
        <v>544</v>
      </c>
      <c r="AT34" s="7">
        <f>-IF(RTD("tos.rtd",,AT$2,"."&amp;$A$2&amp;$AS$1&amp;"P"&amp;$A34)="N/A",0,RTD("tos.rtd",,AT$2,"."&amp;$A$2&amp;$AS$1&amp;"P"&amp;$A34))</f>
        <v>-10369</v>
      </c>
      <c r="AU34" s="6">
        <f>IF(RTD("tos.rtd",,AU$2,"."&amp;$A$2&amp;$AU$1&amp;"C"&amp;$A34)="N/A",0,RTD("tos.rtd",,AU$2,"."&amp;$A$2&amp;$AU$1&amp;"C"&amp;$A34))</f>
        <v>1985</v>
      </c>
      <c r="AV34" s="7">
        <f>-IF(RTD("tos.rtd",,AV$2,"."&amp;$A$2&amp;$AU$1&amp;"P"&amp;$A34)="N/A",0,RTD("tos.rtd",,AV$2,"."&amp;$A$2&amp;$AU$1&amp;"P"&amp;$A34))</f>
        <v>-3250</v>
      </c>
      <c r="AW34" s="6">
        <f>IF(RTD("tos.rtd",,AW$2,"."&amp;$A$2&amp;$AW$1&amp;"C"&amp;$A34)="N/A",0,RTD("tos.rtd",,AW$2,"."&amp;$A$2&amp;$AW$1&amp;"C"&amp;$A34))</f>
        <v>123</v>
      </c>
      <c r="AX34" s="7">
        <f>-IF(RTD("tos.rtd",,AX$2,"."&amp;$A$2&amp;$AW$1&amp;"P"&amp;$A34)="N/A",0,RTD("tos.rtd",,AX$2,"."&amp;$A$2&amp;$AW$1&amp;"P"&amp;$A34))</f>
        <v>-821</v>
      </c>
      <c r="AY34" s="1">
        <f t="shared" si="69"/>
        <v>-11788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232</v>
      </c>
      <c r="BB34" s="7">
        <f>-IF(RTD("tos.rtd",,BB$2,"."&amp;$A$2&amp;$AS$1&amp;"P"&amp;$A34)="N/A",0,RTD("tos.rtd",,BB$2,"."&amp;$A$2&amp;$AS$1&amp;"P"&amp;$A34))</f>
        <v>-14323</v>
      </c>
      <c r="BC34" s="6">
        <f>IF(RTD("tos.rtd",,BC$2,"."&amp;$A$2&amp;$AU$1&amp;"C"&amp;$A34)="N/A",0,RTD("tos.rtd",,BC$2,"."&amp;$A$2&amp;$AU$1&amp;"C"&amp;$A34))</f>
        <v>122</v>
      </c>
      <c r="BD34" s="7">
        <f>-IF(RTD("tos.rtd",,BD$2,"."&amp;$A$2&amp;$AU$1&amp;"P"&amp;$A34)="N/A",0,RTD("tos.rtd",,BD$2,"."&amp;$A$2&amp;$AU$1&amp;"P"&amp;$A34))</f>
        <v>-3328</v>
      </c>
      <c r="BE34" s="6">
        <f>IF(RTD("tos.rtd",,BE$2,"."&amp;$A$2&amp;$AW$1&amp;"C"&amp;$A34)="N/A",0,RTD("tos.rtd",,BE$2,"."&amp;$A$2&amp;$AW$1&amp;"C"&amp;$A34))</f>
        <v>11</v>
      </c>
      <c r="BF34" s="83">
        <f>-IF(RTD("tos.rtd",,BF$2,"."&amp;$A$2&amp;$AW$1&amp;"P"&amp;$A34)="N/A",0,RTD("tos.rtd",,BF$2,"."&amp;$A$2&amp;$AW$1&amp;"P"&amp;$A34))</f>
        <v>-397</v>
      </c>
      <c r="BG34" s="32">
        <f ca="1">+Hoja2!Y35</f>
        <v>-278</v>
      </c>
      <c r="BH34" s="7">
        <f t="shared" ca="1" si="36"/>
        <v>-17961</v>
      </c>
      <c r="BI34" s="8" t="str">
        <f t="shared" ref="BI34" ca="1" si="194">IF(AND(BH34&lt;0,BH33&gt;0), "Cruce -", IF(AND(BH34&gt;0,BH33&lt;0),"Cruce +", ""))</f>
        <v/>
      </c>
      <c r="BJ34" s="3" t="e">
        <f ca="1">IF($BP$1=1,DX34,IF(RTD("tos.rtd",,BJ$2,"."&amp;$A$2&amp;$AS$1&amp;"C"&amp;$A34)="N/A",0,RTD("tos.rtd",,BJ$2,"."&amp;$A$2&amp;$AS$1&amp;"C"&amp;$A34)))</f>
        <v>#NUM!</v>
      </c>
      <c r="BK34" s="3" t="e">
        <f ca="1">IF($BP$1=1,DY34,-IF(RTD("tos.rtd",,BK$2,"."&amp;$A$2&amp;$AS$1&amp;"P"&amp;$A34)="N/A",0,RTD("tos.rtd",,BK$2,"."&amp;$A$2&amp;$AS$1&amp;"P"&amp;$A34)))</f>
        <v>#NUM!</v>
      </c>
      <c r="BL34" s="3">
        <f ca="1">IF($BP$1=1,DZ34,IF(RTD("tos.rtd",,BL$2,"."&amp;$A$2&amp;$AU$1&amp;"C"&amp;$A34)="N/A",0,RTD("tos.rtd",,BL$2,"."&amp;$A$2&amp;$AU$1&amp;"C"&amp;$A34)))</f>
        <v>1.1733125990815805E-2</v>
      </c>
      <c r="BM34" s="3">
        <f ca="1">IF($BP$1=1,EA34,-IF(RTD("tos.rtd",,BM$2,"."&amp;$A$2&amp;$AU$1&amp;"P"&amp;$A34)="N/A",0,RTD("tos.rtd",,BM$2,"."&amp;$A$2&amp;$AU$1&amp;"P"&amp;$A34)))</f>
        <v>-1.1055816214048355E-2</v>
      </c>
      <c r="BN34" s="3">
        <f ca="1">IF($BP$1=1,EB34,IF(RTD("tos.rtd",,BN$2,"."&amp;$A$2&amp;$AW$1&amp;"C"&amp;$A34)="N/A",0,RTD("tos.rtd",,BN$2,"."&amp;$A$2&amp;$AW$1&amp;"C"&amp;$A34)))</f>
        <v>5.8601344696702718E-3</v>
      </c>
      <c r="BO34" s="3">
        <f ca="1">IF($BP$1=1,EC34,-IF(RTD("tos.rtd",,BO$2,"."&amp;$A$2&amp;$AW$1&amp;"P"&amp;$A34)="N/A",0,RTD("tos.rtd",,BO$2,"."&amp;$A$2&amp;$AW$1&amp;"P"&amp;$A34)))</f>
        <v>-1.1744829861498544E-2</v>
      </c>
      <c r="BQ34" s="3" t="e">
        <f t="shared" ca="1" si="37"/>
        <v>#NUM!</v>
      </c>
      <c r="BR34" s="3" t="e">
        <f t="shared" ca="1" si="71"/>
        <v>#NUM!</v>
      </c>
      <c r="BS34" s="3">
        <f t="shared" ca="1" si="38"/>
        <v>-4127886.7770933555</v>
      </c>
      <c r="BT34" s="3" t="str">
        <f t="shared" ca="1" si="71"/>
        <v>Cruce -</v>
      </c>
      <c r="BU34" s="3">
        <f t="shared" ca="1" si="39"/>
        <v>-2913327.5586744845</v>
      </c>
      <c r="BV34" s="3" t="str">
        <f t="shared" ref="BV34" ca="1" si="195">IF(AND(BU34&lt;0,BU33&gt;0), "Cruce -", IF(AND(BU34&gt;0,BU33&lt;0),"Cruce +", ""))</f>
        <v/>
      </c>
      <c r="BX34" s="3" t="e">
        <f t="shared" ca="1" si="40"/>
        <v>#NUM!</v>
      </c>
      <c r="BY34" s="3" t="e">
        <f t="shared" ca="1" si="73"/>
        <v>#NUM!</v>
      </c>
      <c r="BZ34" s="3">
        <f t="shared" ca="1" si="41"/>
        <v>-11547340.243662989</v>
      </c>
      <c r="CA34" s="3" t="str">
        <f t="shared" ca="1" si="74"/>
        <v/>
      </c>
      <c r="CB34" s="3">
        <f t="shared" ca="1" si="42"/>
        <v>-1501524.8676332661</v>
      </c>
      <c r="CC34" s="3" t="str">
        <f t="shared" ca="1" si="75"/>
        <v/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1</v>
      </c>
      <c r="CG34" s="3">
        <f>-IF(RTD("tos.rtd",,CG$2,"."&amp;$A$2&amp;$AU$1&amp;"P"&amp;$A34)="N/A",0,RTD("tos.rtd",,CG$2,"."&amp;$A$2&amp;$AU$1&amp;"P"&amp;$A34))</f>
        <v>0.18</v>
      </c>
      <c r="CH34" s="3">
        <f>IF(RTD("tos.rtd",,CH$2,"."&amp;$A$2&amp;$AW$1&amp;"C"&amp;$A34)="N/A",0,RTD("tos.rtd",,CH$2,"."&amp;$A$2&amp;$AW$1&amp;"C"&amp;$A34))</f>
        <v>0.81</v>
      </c>
      <c r="CI34" s="3">
        <f>-IF(RTD("tos.rtd",,CI$2,"."&amp;$A$2&amp;$AW$1&amp;"P"&amp;$A34)="N/A",0,RTD("tos.rtd",,CI$2,"."&amp;$A$2&amp;$AW$1&amp;"P"&amp;$A34))</f>
        <v>0.31</v>
      </c>
      <c r="CK34" s="3">
        <f t="shared" si="17"/>
        <v>54400</v>
      </c>
      <c r="CL34" s="3"/>
      <c r="CM34" s="3">
        <f t="shared" si="18"/>
        <v>140000</v>
      </c>
      <c r="CN34" s="3"/>
      <c r="CO34" s="3">
        <f t="shared" si="19"/>
        <v>-15487.999999999998</v>
      </c>
      <c r="CP34" s="3">
        <f t="shared" si="43"/>
        <v>178912</v>
      </c>
      <c r="CQ34" s="3">
        <f t="shared" si="44"/>
        <v>-14091</v>
      </c>
      <c r="CR34" s="3"/>
      <c r="CS34" s="3">
        <f t="shared" si="20"/>
        <v>-3206</v>
      </c>
      <c r="CT34" s="3"/>
      <c r="CU34" s="3">
        <f t="shared" si="21"/>
        <v>-386</v>
      </c>
      <c r="CV34" s="3">
        <f t="shared" si="45"/>
        <v>-17683</v>
      </c>
      <c r="CW34" s="3" t="e">
        <f t="shared" ca="1" si="46"/>
        <v>#NUM!</v>
      </c>
      <c r="CX34" s="85" t="e">
        <f t="shared" ca="1" si="76"/>
        <v>#NUM!</v>
      </c>
      <c r="CY34" s="3" t="e">
        <f t="shared" ca="1" si="47"/>
        <v>#NUM!</v>
      </c>
      <c r="CZ34" s="85" t="e">
        <f t="shared" ca="1" si="77"/>
        <v>#NUM!</v>
      </c>
      <c r="DA34" s="3">
        <f>IF(RTD("tos.rtd",,DA$2,"."&amp;$A$2&amp;$AS$1&amp;"C"&amp;$A34)="N/A",0,RTD("tos.rtd",,DA$2,"."&amp;$A$2&amp;$AS$1&amp;"C"&amp;$A34))</f>
        <v>12.25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13.27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11.61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-19.440000000000055</v>
      </c>
      <c r="DH34" s="3">
        <f t="shared" si="22"/>
        <v>0</v>
      </c>
      <c r="DI34" s="3">
        <f t="shared" si="49"/>
        <v>-2</v>
      </c>
      <c r="DJ34" s="3">
        <f t="shared" si="50"/>
        <v>0</v>
      </c>
      <c r="DK34" s="3">
        <f t="shared" si="51"/>
        <v>-2</v>
      </c>
      <c r="DL34" s="3">
        <f t="shared" si="52"/>
        <v>-2</v>
      </c>
      <c r="DM34" s="3">
        <f t="shared" si="53"/>
        <v>-2</v>
      </c>
      <c r="DN34" s="63" t="str">
        <f t="shared" si="54"/>
        <v>UNKNOWN</v>
      </c>
      <c r="DO34" s="63" t="str">
        <f t="shared" si="55"/>
        <v>BUY</v>
      </c>
      <c r="DP34" s="3">
        <f t="shared" si="56"/>
        <v>-0.02</v>
      </c>
      <c r="DQ34" s="3">
        <f t="shared" si="57"/>
        <v>-0.02</v>
      </c>
      <c r="DR34" s="3" t="e">
        <f t="shared" ca="1" si="58"/>
        <v>#NUM!</v>
      </c>
      <c r="DS34" s="3">
        <f t="shared" si="59"/>
        <v>0</v>
      </c>
      <c r="DT34" s="3">
        <f t="shared" si="60"/>
        <v>0</v>
      </c>
      <c r="DU34" s="3">
        <f t="shared" si="61"/>
        <v>-2</v>
      </c>
      <c r="DV34" s="3">
        <f t="shared" si="62"/>
        <v>97</v>
      </c>
      <c r="DW34" s="3">
        <f t="shared" si="23"/>
        <v>3729</v>
      </c>
      <c r="DX34" s="3" t="e">
        <f t="shared" ca="1" si="24"/>
        <v>#NUM!</v>
      </c>
      <c r="DY34" s="3" t="e">
        <f t="shared" ca="1" si="25"/>
        <v>#NUM!</v>
      </c>
      <c r="DZ34" s="3">
        <f t="shared" ca="1" si="26"/>
        <v>1.1733125990815805E-2</v>
      </c>
      <c r="EA34" s="3">
        <f t="shared" ca="1" si="27"/>
        <v>-1.1055816214048355E-2</v>
      </c>
      <c r="EB34" s="3">
        <f t="shared" ca="1" si="28"/>
        <v>5.8601344696702718E-3</v>
      </c>
      <c r="EC34" s="3">
        <f t="shared" ca="1" si="29"/>
        <v>-1.1744829861498544E-2</v>
      </c>
      <c r="ED34" s="63">
        <f t="shared" si="63"/>
        <v>3826</v>
      </c>
      <c r="EE34" s="59">
        <f t="shared" si="64"/>
        <v>0.25</v>
      </c>
      <c r="EF34" s="59">
        <f t="shared" si="30"/>
        <v>1.6281000000000001</v>
      </c>
      <c r="EG34" s="59">
        <f t="shared" si="31"/>
        <v>0.25</v>
      </c>
      <c r="EH34" s="59">
        <f t="shared" si="32"/>
        <v>0.34189999999999998</v>
      </c>
      <c r="EI34" s="59">
        <f t="shared" si="33"/>
        <v>0.13569999999999999</v>
      </c>
      <c r="EJ34" s="59">
        <f t="shared" si="34"/>
        <v>0.25330000000000003</v>
      </c>
      <c r="EK34" s="63" t="e">
        <f t="shared" ca="1" si="65"/>
        <v>#NUM!</v>
      </c>
      <c r="EL34" s="3" t="str">
        <f>RTD("tos.rtd",,EL$2,"."&amp;$A$2&amp;$AS$1&amp;"C"&amp;$A34)</f>
        <v>--</v>
      </c>
      <c r="EM34" s="3" t="str">
        <f>RTD("tos.rtd",,EM$2,"."&amp;$A$2&amp;$AS$1&amp;"P"&amp;$A34)</f>
        <v>162.81%</v>
      </c>
      <c r="EN34" s="3" t="str">
        <f>RTD("tos.rtd",,EN$2,"."&amp;$A$2&amp;$AU$1&amp;"C"&amp;$A34)</f>
        <v>--</v>
      </c>
      <c r="EO34" s="3" t="str">
        <f>RTD("tos.rtd",,EO$2,"."&amp;$A$2&amp;$AU$1&amp;"P"&amp;$A34)</f>
        <v>34.19%</v>
      </c>
      <c r="EP34" s="3" t="str">
        <f>RTD("tos.rtd",,EP$2,"."&amp;$A$2&amp;$AW$1&amp;"C"&amp;$A34)</f>
        <v>13.57%</v>
      </c>
      <c r="EQ34" s="3" t="str">
        <f>RTD("tos.rtd",,EQ$2,"."&amp;$A$2&amp;$AW$1&amp;"P"&amp;$A34)</f>
        <v>25.33%</v>
      </c>
      <c r="ES34" s="63" t="str">
        <f t="shared" si="66"/>
        <v>552,3826.00</v>
      </c>
      <c r="ET34" s="63" t="str">
        <f t="shared" ca="1" si="67"/>
        <v>552,00.00</v>
      </c>
      <c r="EU34" s="67">
        <v>565.20000000000005</v>
      </c>
      <c r="EV34" s="67" t="s">
        <v>291</v>
      </c>
      <c r="EW34" s="67">
        <v>488.65</v>
      </c>
      <c r="EX34" s="67" t="s">
        <v>292</v>
      </c>
      <c r="EY34" s="67">
        <v>5663.94</v>
      </c>
      <c r="EZ34" s="67" t="s">
        <v>293</v>
      </c>
      <c r="FA34" s="67">
        <v>20063.564999999999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8"/>
        <v>551</v>
      </c>
      <c r="B35" s="3">
        <f t="shared" si="9"/>
        <v>6313</v>
      </c>
      <c r="C35" s="3">
        <f t="shared" si="10"/>
        <v>9942</v>
      </c>
      <c r="D35" s="3">
        <f t="shared" si="11"/>
        <v>1015</v>
      </c>
      <c r="E35" s="3">
        <f t="shared" si="12"/>
        <v>17270</v>
      </c>
      <c r="F35" s="4">
        <f t="shared" si="13"/>
        <v>5544.3266134677306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28</v>
      </c>
      <c r="AN35" s="1">
        <v>-2706</v>
      </c>
      <c r="AO35" s="1">
        <v>551</v>
      </c>
      <c r="AP35" s="1">
        <v>210</v>
      </c>
      <c r="AQ35" s="1">
        <v>-8178</v>
      </c>
      <c r="AR35" s="1"/>
      <c r="AS35" s="6">
        <f>IF(RTD("tos.rtd",,AS$2,"."&amp;$A$2&amp;$AS$1&amp;"C"&amp;$A35)="N/A",0,RTD("tos.rtd",,AS$2,"."&amp;$A$2&amp;$AS$1&amp;"C"&amp;$A35))</f>
        <v>1137</v>
      </c>
      <c r="AT35" s="7">
        <f>-IF(RTD("tos.rtd",,AT$2,"."&amp;$A$2&amp;$AS$1&amp;"P"&amp;$A35)="N/A",0,RTD("tos.rtd",,AT$2,"."&amp;$A$2&amp;$AS$1&amp;"P"&amp;$A35))</f>
        <v>-5176</v>
      </c>
      <c r="AU35" s="6">
        <f>IF(RTD("tos.rtd",,AU$2,"."&amp;$A$2&amp;$AU$1&amp;"C"&amp;$A35)="N/A",0,RTD("tos.rtd",,AU$2,"."&amp;$A$2&amp;$AU$1&amp;"C"&amp;$A35))</f>
        <v>7295</v>
      </c>
      <c r="AV35" s="7">
        <f>-IF(RTD("tos.rtd",,AV$2,"."&amp;$A$2&amp;$AU$1&amp;"P"&amp;$A35)="N/A",0,RTD("tos.rtd",,AV$2,"."&amp;$A$2&amp;$AU$1&amp;"P"&amp;$A35))</f>
        <v>-2647</v>
      </c>
      <c r="AW35" s="6">
        <f>IF(RTD("tos.rtd",,AW$2,"."&amp;$A$2&amp;$AW$1&amp;"C"&amp;$A35)="N/A",0,RTD("tos.rtd",,AW$2,"."&amp;$A$2&amp;$AW$1&amp;"C"&amp;$A35))</f>
        <v>86</v>
      </c>
      <c r="AX35" s="7">
        <f>-IF(RTD("tos.rtd",,AX$2,"."&amp;$A$2&amp;$AW$1&amp;"P"&amp;$A35)="N/A",0,RTD("tos.rtd",,AX$2,"."&amp;$A$2&amp;$AW$1&amp;"P"&amp;$A35))</f>
        <v>-929</v>
      </c>
      <c r="AY35" s="1">
        <f t="shared" si="69"/>
        <v>-234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210</v>
      </c>
      <c r="BB35" s="7">
        <f>-IF(RTD("tos.rtd",,BB$2,"."&amp;$A$2&amp;$AS$1&amp;"P"&amp;$A35)="N/A",0,RTD("tos.rtd",,BB$2,"."&amp;$A$2&amp;$AS$1&amp;"P"&amp;$A35))</f>
        <v>-8178</v>
      </c>
      <c r="BC35" s="6">
        <f>IF(RTD("tos.rtd",,BC$2,"."&amp;$A$2&amp;$AU$1&amp;"C"&amp;$A35)="N/A",0,RTD("tos.rtd",,BC$2,"."&amp;$A$2&amp;$AU$1&amp;"C"&amp;$A35))</f>
        <v>35</v>
      </c>
      <c r="BD35" s="7">
        <f>-IF(RTD("tos.rtd",,BD$2,"."&amp;$A$2&amp;$AU$1&amp;"P"&amp;$A35)="N/A",0,RTD("tos.rtd",,BD$2,"."&amp;$A$2&amp;$AU$1&amp;"P"&amp;$A35))</f>
        <v>-2487</v>
      </c>
      <c r="BE35" s="6">
        <f>IF(RTD("tos.rtd",,BE$2,"."&amp;$A$2&amp;$AW$1&amp;"C"&amp;$A35)="N/A",0,RTD("tos.rtd",,BE$2,"."&amp;$A$2&amp;$AW$1&amp;"C"&amp;$A35))</f>
        <v>0</v>
      </c>
      <c r="BF35" s="83">
        <f>-IF(RTD("tos.rtd",,BF$2,"."&amp;$A$2&amp;$AW$1&amp;"P"&amp;$A35)="N/A",0,RTD("tos.rtd",,BF$2,"."&amp;$A$2&amp;$AW$1&amp;"P"&amp;$A35))</f>
        <v>-181</v>
      </c>
      <c r="BG35" s="32">
        <f ca="1">+Hoja2!Y36</f>
        <v>-229</v>
      </c>
      <c r="BH35" s="7">
        <f t="shared" ca="1" si="36"/>
        <v>-10830</v>
      </c>
      <c r="BI35" s="8" t="str">
        <f t="shared" ref="BI35" ca="1" si="196">IF(AND(BH35&lt;0,BH34&gt;0), "Cruce -", IF(AND(BH35&gt;0,BH34&lt;0),"Cruce +", ""))</f>
        <v/>
      </c>
      <c r="BJ35" s="3" t="e">
        <f ca="1">IF($BP$1=1,DX35,IF(RTD("tos.rtd",,BJ$2,"."&amp;$A$2&amp;$AS$1&amp;"C"&amp;$A35)="N/A",0,RTD("tos.rtd",,BJ$2,"."&amp;$A$2&amp;$AS$1&amp;"C"&amp;$A35)))</f>
        <v>#NUM!</v>
      </c>
      <c r="BK35" s="3" t="e">
        <f ca="1">IF($BP$1=1,DY35,-IF(RTD("tos.rtd",,BK$2,"."&amp;$A$2&amp;$AS$1&amp;"P"&amp;$A35)="N/A",0,RTD("tos.rtd",,BK$2,"."&amp;$A$2&amp;$AS$1&amp;"P"&amp;$A35)))</f>
        <v>#NUM!</v>
      </c>
      <c r="BL35" s="3">
        <f ca="1">IF($BP$1=1,DZ35,IF(RTD("tos.rtd",,BL$2,"."&amp;$A$2&amp;$AU$1&amp;"C"&amp;$A35)="N/A",0,RTD("tos.rtd",,BL$2,"."&amp;$A$2&amp;$AU$1&amp;"C"&amp;$A35)))</f>
        <v>1.1069504400196875E-2</v>
      </c>
      <c r="BM35" s="3">
        <f ca="1">IF($BP$1=1,EA35,-IF(RTD("tos.rtd",,BM$2,"."&amp;$A$2&amp;$AU$1&amp;"P"&amp;$A35)="N/A",0,RTD("tos.rtd",,BM$2,"."&amp;$A$2&amp;$AU$1&amp;"P"&amp;$A35)))</f>
        <v>-1.0715781910601104E-2</v>
      </c>
      <c r="BN35" s="3">
        <f ca="1">IF($BP$1=1,EB35,IF(RTD("tos.rtd",,BN$2,"."&amp;$A$2&amp;$AW$1&amp;"C"&amp;$A35)="N/A",0,RTD("tos.rtd",,BN$2,"."&amp;$A$2&amp;$AW$1&amp;"C"&amp;$A35)))</f>
        <v>4.7318580457767897E-3</v>
      </c>
      <c r="BO35" s="3">
        <f ca="1">IF($BP$1=1,EC35,-IF(RTD("tos.rtd",,BO$2,"."&amp;$A$2&amp;$AW$1&amp;"P"&amp;$A35)="N/A",0,RTD("tos.rtd",,BO$2,"."&amp;$A$2&amp;$AW$1&amp;"P"&amp;$A35)))</f>
        <v>-1.1102946831959202E-2</v>
      </c>
      <c r="BQ35" s="3" t="e">
        <f t="shared" ca="1" si="37"/>
        <v>#NUM!</v>
      </c>
      <c r="BR35" s="3" t="e">
        <f t="shared" ca="1" si="71"/>
        <v>#NUM!</v>
      </c>
      <c r="BS35" s="3">
        <f t="shared" ca="1" si="38"/>
        <v>17106760.946098059</v>
      </c>
      <c r="BT35" s="3" t="str">
        <f t="shared" ca="1" si="71"/>
        <v>Cruce +</v>
      </c>
      <c r="BU35" s="3">
        <f t="shared" ca="1" si="39"/>
        <v>-3235296.0414135428</v>
      </c>
      <c r="BV35" s="3" t="str">
        <f t="shared" ref="BV35" ca="1" si="197">IF(AND(BU35&lt;0,BU34&gt;0), "Cruce -", IF(AND(BU35&gt;0,BU34&lt;0),"Cruce +", ""))</f>
        <v/>
      </c>
      <c r="BX35" s="3" t="e">
        <f t="shared" ca="1" si="40"/>
        <v>#NUM!</v>
      </c>
      <c r="BY35" s="3" t="e">
        <f t="shared" ca="1" si="73"/>
        <v>#NUM!</v>
      </c>
      <c r="BZ35" s="3">
        <f t="shared" ca="1" si="41"/>
        <v>-8575924.0740706772</v>
      </c>
      <c r="CA35" s="3" t="str">
        <f t="shared" ca="1" si="74"/>
        <v/>
      </c>
      <c r="CB35" s="3">
        <f t="shared" ca="1" si="42"/>
        <v>-656233.06537911261</v>
      </c>
      <c r="CC35" s="3" t="str">
        <f t="shared" ca="1" si="75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1</v>
      </c>
      <c r="CG35" s="3">
        <f>-IF(RTD("tos.rtd",,CG$2,"."&amp;$A$2&amp;$AU$1&amp;"P"&amp;$A35)="N/A",0,RTD("tos.rtd",,CG$2,"."&amp;$A$2&amp;$AU$1&amp;"P"&amp;$A35))</f>
        <v>0.17</v>
      </c>
      <c r="CH35" s="3">
        <f>IF(RTD("tos.rtd",,CH$2,"."&amp;$A$2&amp;$AW$1&amp;"C"&amp;$A35)="N/A",0,RTD("tos.rtd",,CH$2,"."&amp;$A$2&amp;$AW$1&amp;"C"&amp;$A35))</f>
        <v>0.82</v>
      </c>
      <c r="CI35" s="3">
        <f>-IF(RTD("tos.rtd",,CI$2,"."&amp;$A$2&amp;$AW$1&amp;"P"&amp;$A35)="N/A",0,RTD("tos.rtd",,CI$2,"."&amp;$A$2&amp;$AW$1&amp;"P"&amp;$A35))</f>
        <v>0.3</v>
      </c>
      <c r="CK35" s="3">
        <f t="shared" si="17"/>
        <v>113700</v>
      </c>
      <c r="CL35" s="3"/>
      <c r="CM35" s="3">
        <f t="shared" si="18"/>
        <v>684501</v>
      </c>
      <c r="CN35" s="3"/>
      <c r="CO35" s="3">
        <f t="shared" si="19"/>
        <v>-20818</v>
      </c>
      <c r="CP35" s="3">
        <f t="shared" si="43"/>
        <v>777383</v>
      </c>
      <c r="CQ35" s="3">
        <f t="shared" si="44"/>
        <v>-7968</v>
      </c>
      <c r="CR35" s="3"/>
      <c r="CS35" s="3">
        <f t="shared" si="20"/>
        <v>-2452</v>
      </c>
      <c r="CT35" s="3"/>
      <c r="CU35" s="3">
        <f t="shared" si="21"/>
        <v>-181</v>
      </c>
      <c r="CV35" s="3">
        <f t="shared" si="45"/>
        <v>-10601</v>
      </c>
      <c r="CW35" s="3" t="e">
        <f t="shared" ca="1" si="46"/>
        <v>#NUM!</v>
      </c>
      <c r="CX35" s="85" t="e">
        <f t="shared" ca="1" si="76"/>
        <v>#NUM!</v>
      </c>
      <c r="CY35" s="3" t="e">
        <f t="shared" ca="1" si="47"/>
        <v>#NUM!</v>
      </c>
      <c r="CZ35" s="85" t="e">
        <f t="shared" ca="1" si="77"/>
        <v>#NUM!</v>
      </c>
      <c r="DA35" s="3">
        <f>IF(RTD("tos.rtd",,DA$2,"."&amp;$A$2&amp;$AS$1&amp;"C"&amp;$A35)="N/A",0,RTD("tos.rtd",,DA$2,"."&amp;$A$2&amp;$AS$1&amp;"C"&amp;$A35))</f>
        <v>13.25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14.33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12.58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-20.440000000000055</v>
      </c>
      <c r="DH35" s="3">
        <f t="shared" si="22"/>
        <v>0</v>
      </c>
      <c r="DI35" s="3">
        <f t="shared" si="49"/>
        <v>0</v>
      </c>
      <c r="DJ35" s="3">
        <f t="shared" si="50"/>
        <v>0</v>
      </c>
      <c r="DK35" s="3">
        <f t="shared" si="51"/>
        <v>0</v>
      </c>
      <c r="DL35" s="3">
        <f t="shared" si="52"/>
        <v>0</v>
      </c>
      <c r="DM35" s="3">
        <f t="shared" si="53"/>
        <v>0</v>
      </c>
      <c r="DN35" s="63" t="str">
        <f t="shared" si="54"/>
        <v>UNKNOWN</v>
      </c>
      <c r="DO35" s="63" t="str">
        <f t="shared" si="55"/>
        <v>UNKNOWN</v>
      </c>
      <c r="DP35" s="3">
        <f t="shared" si="56"/>
        <v>0</v>
      </c>
      <c r="DQ35" s="3">
        <f t="shared" si="57"/>
        <v>0</v>
      </c>
      <c r="DR35" s="3" t="e">
        <f t="shared" ca="1" si="58"/>
        <v>#NUM!</v>
      </c>
      <c r="DS35" s="3">
        <f t="shared" si="59"/>
        <v>0</v>
      </c>
      <c r="DT35" s="3">
        <f t="shared" si="60"/>
        <v>0</v>
      </c>
      <c r="DU35" s="3">
        <f t="shared" si="61"/>
        <v>0</v>
      </c>
      <c r="DV35" s="3">
        <f t="shared" si="62"/>
        <v>28</v>
      </c>
      <c r="DW35" s="3">
        <f t="shared" si="23"/>
        <v>-2706</v>
      </c>
      <c r="DX35" s="3" t="e">
        <f t="shared" ca="1" si="24"/>
        <v>#NUM!</v>
      </c>
      <c r="DY35" s="3" t="e">
        <f t="shared" ca="1" si="25"/>
        <v>#NUM!</v>
      </c>
      <c r="DZ35" s="3">
        <f t="shared" ca="1" si="26"/>
        <v>1.1069504400196875E-2</v>
      </c>
      <c r="EA35" s="3">
        <f t="shared" ca="1" si="27"/>
        <v>-1.0715781910601104E-2</v>
      </c>
      <c r="EB35" s="3">
        <f t="shared" ca="1" si="28"/>
        <v>4.7318580457767897E-3</v>
      </c>
      <c r="EC35" s="3">
        <f t="shared" ca="1" si="29"/>
        <v>-1.1102946831959202E-2</v>
      </c>
      <c r="ED35" s="63">
        <f t="shared" si="63"/>
        <v>-2678</v>
      </c>
      <c r="EE35" s="59">
        <f t="shared" si="64"/>
        <v>0.25</v>
      </c>
      <c r="EF35" s="59">
        <f t="shared" si="30"/>
        <v>1.7053</v>
      </c>
      <c r="EG35" s="59">
        <f t="shared" si="31"/>
        <v>0.25</v>
      </c>
      <c r="EH35" s="59">
        <f t="shared" si="32"/>
        <v>0.34160000000000001</v>
      </c>
      <c r="EI35" s="59">
        <f t="shared" si="33"/>
        <v>0.13489999999999999</v>
      </c>
      <c r="EJ35" s="59">
        <f t="shared" si="34"/>
        <v>0.25409999999999999</v>
      </c>
      <c r="EK35" s="63" t="e">
        <f t="shared" ca="1" si="65"/>
        <v>#NUM!</v>
      </c>
      <c r="EL35" s="3" t="str">
        <f>RTD("tos.rtd",,EL$2,"."&amp;$A$2&amp;$AS$1&amp;"C"&amp;$A35)</f>
        <v>--</v>
      </c>
      <c r="EM35" s="3" t="str">
        <f>RTD("tos.rtd",,EM$2,"."&amp;$A$2&amp;$AS$1&amp;"P"&amp;$A35)</f>
        <v>170.53%</v>
      </c>
      <c r="EN35" s="3" t="str">
        <f>RTD("tos.rtd",,EN$2,"."&amp;$A$2&amp;$AU$1&amp;"C"&amp;$A35)</f>
        <v>--</v>
      </c>
      <c r="EO35" s="3" t="str">
        <f>RTD("tos.rtd",,EO$2,"."&amp;$A$2&amp;$AU$1&amp;"P"&amp;$A35)</f>
        <v>34.16%</v>
      </c>
      <c r="EP35" s="3" t="str">
        <f>RTD("tos.rtd",,EP$2,"."&amp;$A$2&amp;$AW$1&amp;"C"&amp;$A35)</f>
        <v>13.49%</v>
      </c>
      <c r="EQ35" s="3" t="str">
        <f>RTD("tos.rtd",,EQ$2,"."&amp;$A$2&amp;$AW$1&amp;"P"&amp;$A35)</f>
        <v>25.41%</v>
      </c>
      <c r="ES35" s="63" t="str">
        <f t="shared" si="66"/>
        <v>551,-2678.00</v>
      </c>
      <c r="ET35" s="63" t="str">
        <f t="shared" ca="1" si="67"/>
        <v>551,00.00</v>
      </c>
      <c r="EU35" s="67">
        <v>565.15</v>
      </c>
      <c r="EV35" s="67" t="s">
        <v>299</v>
      </c>
      <c r="EW35" s="67">
        <v>488.64</v>
      </c>
      <c r="EX35" s="67" t="s">
        <v>300</v>
      </c>
      <c r="EY35" s="67">
        <v>5663.94</v>
      </c>
      <c r="EZ35" s="67" t="s">
        <v>301</v>
      </c>
      <c r="FA35" s="67">
        <v>20063.564999999999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8"/>
        <v>550</v>
      </c>
      <c r="B36" s="3">
        <f t="shared" si="9"/>
        <v>39019</v>
      </c>
      <c r="C36" s="3">
        <f t="shared" si="10"/>
        <v>93045</v>
      </c>
      <c r="D36" s="3">
        <f t="shared" si="11"/>
        <v>84487</v>
      </c>
      <c r="E36" s="3">
        <f t="shared" si="12"/>
        <v>216551</v>
      </c>
      <c r="F36" s="4">
        <f t="shared" si="13"/>
        <v>5534.264314713706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-155</v>
      </c>
      <c r="AN36" s="1">
        <v>-3714</v>
      </c>
      <c r="AO36" s="1">
        <v>550</v>
      </c>
      <c r="AP36" s="1">
        <v>801</v>
      </c>
      <c r="AQ36" s="1">
        <v>-19766</v>
      </c>
      <c r="AR36" s="1"/>
      <c r="AS36" s="6">
        <f>IF(RTD("tos.rtd",,AS$2,"."&amp;$A$2&amp;$AS$1&amp;"C"&amp;$A36)="N/A",0,RTD("tos.rtd",,AS$2,"."&amp;$A$2&amp;$AS$1&amp;"C"&amp;$A36))</f>
        <v>8580</v>
      </c>
      <c r="AT36" s="7">
        <f>-IF(RTD("tos.rtd",,AT$2,"."&amp;$A$2&amp;$AS$1&amp;"P"&amp;$A36)="N/A",0,RTD("tos.rtd",,AT$2,"."&amp;$A$2&amp;$AS$1&amp;"P"&amp;$A36))</f>
        <v>-30439</v>
      </c>
      <c r="AU36" s="6">
        <f>IF(RTD("tos.rtd",,AU$2,"."&amp;$A$2&amp;$AU$1&amp;"C"&amp;$A36)="N/A",0,RTD("tos.rtd",,AU$2,"."&amp;$A$2&amp;$AU$1&amp;"C"&amp;$A36))</f>
        <v>25029</v>
      </c>
      <c r="AV36" s="7">
        <f>-IF(RTD("tos.rtd",,AV$2,"."&amp;$A$2&amp;$AU$1&amp;"P"&amp;$A36)="N/A",0,RTD("tos.rtd",,AV$2,"."&amp;$A$2&amp;$AU$1&amp;"P"&amp;$A36))</f>
        <v>-68016</v>
      </c>
      <c r="AW36" s="6">
        <f>IF(RTD("tos.rtd",,AW$2,"."&amp;$A$2&amp;$AW$1&amp;"C"&amp;$A36)="N/A",0,RTD("tos.rtd",,AW$2,"."&amp;$A$2&amp;$AW$1&amp;"C"&amp;$A36))</f>
        <v>26014</v>
      </c>
      <c r="AX36" s="7">
        <f>-IF(RTD("tos.rtd",,AX$2,"."&amp;$A$2&amp;$AW$1&amp;"P"&amp;$A36)="N/A",0,RTD("tos.rtd",,AX$2,"."&amp;$A$2&amp;$AW$1&amp;"P"&amp;$A36))</f>
        <v>-58473</v>
      </c>
      <c r="AY36" s="1">
        <f t="shared" si="69"/>
        <v>-97305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821</v>
      </c>
      <c r="BB36" s="7">
        <f>-IF(RTD("tos.rtd",,BB$2,"."&amp;$A$2&amp;$AS$1&amp;"P"&amp;$A36)="N/A",0,RTD("tos.rtd",,BB$2,"."&amp;$A$2&amp;$AS$1&amp;"P"&amp;$A36))</f>
        <v>-19768</v>
      </c>
      <c r="BC36" s="6">
        <f>IF(RTD("tos.rtd",,BC$2,"."&amp;$A$2&amp;$AU$1&amp;"C"&amp;$A36)="N/A",0,RTD("tos.rtd",,BC$2,"."&amp;$A$2&amp;$AU$1&amp;"C"&amp;$A36))</f>
        <v>754</v>
      </c>
      <c r="BD36" s="7">
        <f>-IF(RTD("tos.rtd",,BD$2,"."&amp;$A$2&amp;$AU$1&amp;"P"&amp;$A36)="N/A",0,RTD("tos.rtd",,BD$2,"."&amp;$A$2&amp;$AU$1&amp;"P"&amp;$A36))</f>
        <v>-58889</v>
      </c>
      <c r="BE36" s="6">
        <f>IF(RTD("tos.rtd",,BE$2,"."&amp;$A$2&amp;$AW$1&amp;"C"&amp;$A36)="N/A",0,RTD("tos.rtd",,BE$2,"."&amp;$A$2&amp;$AW$1&amp;"C"&amp;$A36))</f>
        <v>279</v>
      </c>
      <c r="BF36" s="83">
        <f>-IF(RTD("tos.rtd",,BF$2,"."&amp;$A$2&amp;$AW$1&amp;"P"&amp;$A36)="N/A",0,RTD("tos.rtd",,BF$2,"."&amp;$A$2&amp;$AW$1&amp;"P"&amp;$A36))</f>
        <v>-9108</v>
      </c>
      <c r="BG36" s="32">
        <f ca="1">+Hoja2!Y37</f>
        <v>-12416</v>
      </c>
      <c r="BH36" s="7">
        <f t="shared" ca="1" si="36"/>
        <v>-98327</v>
      </c>
      <c r="BI36" s="8" t="str">
        <f t="shared" ref="BI36" ca="1" si="198">IF(AND(BH36&lt;0,BH35&gt;0), "Cruce -", IF(AND(BH36&gt;0,BH35&lt;0),"Cruce +", ""))</f>
        <v/>
      </c>
      <c r="BJ36" s="3" t="e">
        <f ca="1">IF($BP$1=1,DX36,IF(RTD("tos.rtd",,BJ$2,"."&amp;$A$2&amp;$AS$1&amp;"C"&amp;$A36)="N/A",0,RTD("tos.rtd",,BJ$2,"."&amp;$A$2&amp;$AS$1&amp;"C"&amp;$A36)))</f>
        <v>#NUM!</v>
      </c>
      <c r="BK36" s="3" t="e">
        <f ca="1">IF($BP$1=1,DY36,-IF(RTD("tos.rtd",,BK$2,"."&amp;$A$2&amp;$AS$1&amp;"P"&amp;$A36)="N/A",0,RTD("tos.rtd",,BK$2,"."&amp;$A$2&amp;$AS$1&amp;"P"&amp;$A36)))</f>
        <v>#NUM!</v>
      </c>
      <c r="BL36" s="3">
        <f ca="1">IF($BP$1=1,DZ36,IF(RTD("tos.rtd",,BL$2,"."&amp;$A$2&amp;$AU$1&amp;"C"&amp;$A36)="N/A",0,RTD("tos.rtd",,BL$2,"."&amp;$A$2&amp;$AU$1&amp;"C"&amp;$A36)))</f>
        <v>1.0412369168269636E-2</v>
      </c>
      <c r="BM36" s="3">
        <f ca="1">IF($BP$1=1,EA36,-IF(RTD("tos.rtd",,BM$2,"."&amp;$A$2&amp;$AU$1&amp;"P"&amp;$A36)="N/A",0,RTD("tos.rtd",,BM$2,"."&amp;$A$2&amp;$AU$1&amp;"P"&amp;$A36)))</f>
        <v>-1.0366734156466105E-2</v>
      </c>
      <c r="BN36" s="3">
        <f ca="1">IF($BP$1=1,EB36,IF(RTD("tos.rtd",,BN$2,"."&amp;$A$2&amp;$AW$1&amp;"C"&amp;$A36)="N/A",0,RTD("tos.rtd",,BN$2,"."&amp;$A$2&amp;$AW$1&amp;"C"&amp;$A36)))</f>
        <v>3.439026287231002E-3</v>
      </c>
      <c r="BO36" s="3">
        <f ca="1">IF($BP$1=1,EC36,-IF(RTD("tos.rtd",,BO$2,"."&amp;$A$2&amp;$AW$1&amp;"P"&amp;$A36)="N/A",0,RTD("tos.rtd",,BO$2,"."&amp;$A$2&amp;$AW$1&amp;"P"&amp;$A36)))</f>
        <v>-1.0475431651299204E-2</v>
      </c>
      <c r="BQ36" s="3" t="e">
        <f t="shared" ca="1" si="37"/>
        <v>#NUM!</v>
      </c>
      <c r="BR36" s="3" t="e">
        <f t="shared" ca="1" si="71"/>
        <v>#NUM!</v>
      </c>
      <c r="BS36" s="3">
        <f t="shared" ca="1" si="38"/>
        <v>-145146247.29974657</v>
      </c>
      <c r="BT36" s="3" t="str">
        <f t="shared" ca="1" si="71"/>
        <v>Cruce -</v>
      </c>
      <c r="BU36" s="3">
        <f t="shared" ca="1" si="39"/>
        <v>-170804247.51119101</v>
      </c>
      <c r="BV36" s="3" t="str">
        <f t="shared" ref="BV36" ca="1" si="199">IF(AND(BU36&lt;0,BU35&gt;0), "Cruce -", IF(AND(BU36&gt;0,BU35&lt;0),"Cruce +", ""))</f>
        <v/>
      </c>
      <c r="BX36" s="3" t="e">
        <f t="shared" ca="1" si="40"/>
        <v>#NUM!</v>
      </c>
      <c r="BY36" s="3" t="e">
        <f t="shared" ca="1" si="73"/>
        <v>#NUM!</v>
      </c>
      <c r="BZ36" s="3">
        <f t="shared" ca="1" si="41"/>
        <v>-196786869.24263409</v>
      </c>
      <c r="CA36" s="3" t="str">
        <f t="shared" ca="1" si="74"/>
        <v/>
      </c>
      <c r="CB36" s="3">
        <f t="shared" ca="1" si="42"/>
        <v>-30842292.641110808</v>
      </c>
      <c r="CC36" s="3" t="str">
        <f t="shared" ca="1" si="75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1</v>
      </c>
      <c r="CG36" s="3">
        <f>-IF(RTD("tos.rtd",,CG$2,"."&amp;$A$2&amp;$AU$1&amp;"P"&amp;$A36)="N/A",0,RTD("tos.rtd",,CG$2,"."&amp;$A$2&amp;$AU$1&amp;"P"&amp;$A36))</f>
        <v>0.16</v>
      </c>
      <c r="CH36" s="3">
        <f>IF(RTD("tos.rtd",,CH$2,"."&amp;$A$2&amp;$AW$1&amp;"C"&amp;$A36)="N/A",0,RTD("tos.rtd",,CH$2,"."&amp;$A$2&amp;$AW$1&amp;"C"&amp;$A36))</f>
        <v>0.84</v>
      </c>
      <c r="CI36" s="3">
        <f>-IF(RTD("tos.rtd",,CI$2,"."&amp;$A$2&amp;$AW$1&amp;"P"&amp;$A36)="N/A",0,RTD("tos.rtd",,CI$2,"."&amp;$A$2&amp;$AW$1&amp;"P"&amp;$A36))</f>
        <v>0.3</v>
      </c>
      <c r="CK36" s="3">
        <f t="shared" si="17"/>
        <v>858000</v>
      </c>
      <c r="CL36" s="3"/>
      <c r="CM36" s="3">
        <f t="shared" si="18"/>
        <v>1414644</v>
      </c>
      <c r="CN36" s="3"/>
      <c r="CO36" s="3">
        <f t="shared" si="19"/>
        <v>430986.00000000023</v>
      </c>
      <c r="CP36" s="3">
        <f t="shared" si="43"/>
        <v>2703630</v>
      </c>
      <c r="CQ36" s="3">
        <f t="shared" si="44"/>
        <v>-18947</v>
      </c>
      <c r="CR36" s="3"/>
      <c r="CS36" s="3">
        <f t="shared" si="20"/>
        <v>-58135</v>
      </c>
      <c r="CT36" s="3"/>
      <c r="CU36" s="3">
        <f t="shared" si="21"/>
        <v>-8829</v>
      </c>
      <c r="CV36" s="3">
        <f t="shared" si="45"/>
        <v>-85911</v>
      </c>
      <c r="CW36" s="3" t="e">
        <f t="shared" ca="1" si="46"/>
        <v>#NUM!</v>
      </c>
      <c r="CX36" s="85" t="e">
        <f t="shared" ca="1" si="76"/>
        <v>#NUM!</v>
      </c>
      <c r="CY36" s="3" t="e">
        <f t="shared" ca="1" si="47"/>
        <v>#NUM!</v>
      </c>
      <c r="CZ36" s="85" t="e">
        <f t="shared" ca="1" si="77"/>
        <v>#NUM!</v>
      </c>
      <c r="DA36" s="3">
        <f>IF(RTD("tos.rtd",,DA$2,"."&amp;$A$2&amp;$AS$1&amp;"C"&amp;$A36)="N/A",0,RTD("tos.rtd",,DA$2,"."&amp;$A$2&amp;$AS$1&amp;"C"&amp;$A36))</f>
        <v>14.48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15.33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13.13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-21.440000000000055</v>
      </c>
      <c r="DH36" s="3">
        <f t="shared" si="22"/>
        <v>12.272727272727273</v>
      </c>
      <c r="DI36" s="3">
        <f t="shared" si="49"/>
        <v>-2</v>
      </c>
      <c r="DJ36" s="3">
        <f t="shared" si="50"/>
        <v>20</v>
      </c>
      <c r="DK36" s="3">
        <f t="shared" si="51"/>
        <v>-2</v>
      </c>
      <c r="DL36" s="3">
        <f t="shared" si="52"/>
        <v>10.272727272727273</v>
      </c>
      <c r="DM36" s="3">
        <f t="shared" si="53"/>
        <v>18</v>
      </c>
      <c r="DN36" s="63" t="str">
        <f t="shared" si="54"/>
        <v>BUY</v>
      </c>
      <c r="DO36" s="63" t="str">
        <f t="shared" si="55"/>
        <v>BUY</v>
      </c>
      <c r="DP36" s="3">
        <f t="shared" si="56"/>
        <v>177.68909090909091</v>
      </c>
      <c r="DQ36" s="3">
        <f t="shared" si="57"/>
        <v>289.58000000000004</v>
      </c>
      <c r="DR36" s="3" t="e">
        <f t="shared" ca="1" si="58"/>
        <v>#NUM!</v>
      </c>
      <c r="DS36" s="3">
        <f t="shared" si="59"/>
        <v>20</v>
      </c>
      <c r="DT36" s="3">
        <f t="shared" si="60"/>
        <v>20</v>
      </c>
      <c r="DU36" s="3">
        <f t="shared" si="61"/>
        <v>-2</v>
      </c>
      <c r="DV36" s="3">
        <f t="shared" si="62"/>
        <v>-135</v>
      </c>
      <c r="DW36" s="3">
        <f t="shared" si="23"/>
        <v>-3716</v>
      </c>
      <c r="DX36" s="3" t="e">
        <f t="shared" ca="1" si="24"/>
        <v>#NUM!</v>
      </c>
      <c r="DY36" s="3" t="e">
        <f t="shared" ca="1" si="25"/>
        <v>#NUM!</v>
      </c>
      <c r="DZ36" s="3">
        <f t="shared" ca="1" si="26"/>
        <v>1.0412369168269636E-2</v>
      </c>
      <c r="EA36" s="3">
        <f t="shared" ca="1" si="27"/>
        <v>-1.0366734156466105E-2</v>
      </c>
      <c r="EB36" s="3">
        <f t="shared" ca="1" si="28"/>
        <v>3.439026287231002E-3</v>
      </c>
      <c r="EC36" s="3">
        <f t="shared" ca="1" si="29"/>
        <v>-1.0475431651299204E-2</v>
      </c>
      <c r="ED36" s="63">
        <f t="shared" si="63"/>
        <v>-3851</v>
      </c>
      <c r="EE36" s="59">
        <f t="shared" si="64"/>
        <v>0.25</v>
      </c>
      <c r="EF36" s="59">
        <f t="shared" si="30"/>
        <v>1.7823</v>
      </c>
      <c r="EG36" s="59">
        <f t="shared" si="31"/>
        <v>0.25</v>
      </c>
      <c r="EH36" s="59">
        <f t="shared" si="32"/>
        <v>0.34150000000000003</v>
      </c>
      <c r="EI36" s="59">
        <f t="shared" si="33"/>
        <v>0.13089999999999999</v>
      </c>
      <c r="EJ36" s="59">
        <f t="shared" si="34"/>
        <v>0.25509999999999999</v>
      </c>
      <c r="EK36" s="63" t="e">
        <f t="shared" ca="1" si="65"/>
        <v>#NUM!</v>
      </c>
      <c r="EL36" s="3" t="str">
        <f>RTD("tos.rtd",,EL$2,"."&amp;$A$2&amp;$AS$1&amp;"C"&amp;$A36)</f>
        <v>--</v>
      </c>
      <c r="EM36" s="3" t="str">
        <f>RTD("tos.rtd",,EM$2,"."&amp;$A$2&amp;$AS$1&amp;"P"&amp;$A36)</f>
        <v>178.23%</v>
      </c>
      <c r="EN36" s="3" t="str">
        <f>RTD("tos.rtd",,EN$2,"."&amp;$A$2&amp;$AU$1&amp;"C"&amp;$A36)</f>
        <v>--</v>
      </c>
      <c r="EO36" s="3" t="str">
        <f>RTD("tos.rtd",,EO$2,"."&amp;$A$2&amp;$AU$1&amp;"P"&amp;$A36)</f>
        <v>34.15%</v>
      </c>
      <c r="EP36" s="3" t="str">
        <f>RTD("tos.rtd",,EP$2,"."&amp;$A$2&amp;$AW$1&amp;"C"&amp;$A36)</f>
        <v>13.09%</v>
      </c>
      <c r="EQ36" s="3" t="str">
        <f>RTD("tos.rtd",,EQ$2,"."&amp;$A$2&amp;$AW$1&amp;"P"&amp;$A36)</f>
        <v>25.51%</v>
      </c>
      <c r="ES36" s="63" t="str">
        <f t="shared" si="66"/>
        <v>550,-3851.00</v>
      </c>
      <c r="ET36" s="63" t="str">
        <f t="shared" ca="1" si="67"/>
        <v>550,00.00</v>
      </c>
      <c r="EU36" s="67">
        <v>565.13</v>
      </c>
      <c r="EV36" s="67" t="s">
        <v>307</v>
      </c>
      <c r="EW36" s="67">
        <v>488.61</v>
      </c>
      <c r="EX36" s="67" t="s">
        <v>308</v>
      </c>
      <c r="EY36" s="67">
        <v>5663.94</v>
      </c>
      <c r="EZ36" s="67" t="s">
        <v>309</v>
      </c>
      <c r="FA36" s="67">
        <v>20063.564999999999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8"/>
        <v>549</v>
      </c>
      <c r="B37" s="3">
        <f t="shared" si="9"/>
        <v>6288</v>
      </c>
      <c r="C37" s="3">
        <f t="shared" si="10"/>
        <v>9312</v>
      </c>
      <c r="D37" s="3">
        <f t="shared" si="11"/>
        <v>1571</v>
      </c>
      <c r="E37" s="3">
        <f t="shared" si="12"/>
        <v>17171</v>
      </c>
      <c r="F37" s="4">
        <f t="shared" si="13"/>
        <v>5524.2020159596805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-22</v>
      </c>
      <c r="AN37" s="1">
        <v>-5751</v>
      </c>
      <c r="AO37" s="1">
        <v>549</v>
      </c>
      <c r="AP37" s="1">
        <v>74</v>
      </c>
      <c r="AQ37" s="1">
        <v>-8423</v>
      </c>
      <c r="AR37" s="1"/>
      <c r="AS37" s="6">
        <f>IF(RTD("tos.rtd",,AS$2,"."&amp;$A$2&amp;$AS$1&amp;"C"&amp;$A37)="N/A",0,RTD("tos.rtd",,AS$2,"."&amp;$A$2&amp;$AS$1&amp;"C"&amp;$A37))</f>
        <v>763</v>
      </c>
      <c r="AT37" s="7">
        <f>-IF(RTD("tos.rtd",,AT$2,"."&amp;$A$2&amp;$AS$1&amp;"P"&amp;$A37)="N/A",0,RTD("tos.rtd",,AT$2,"."&amp;$A$2&amp;$AS$1&amp;"P"&amp;$A37))</f>
        <v>-5525</v>
      </c>
      <c r="AU37" s="6">
        <f>IF(RTD("tos.rtd",,AU$2,"."&amp;$A$2&amp;$AU$1&amp;"C"&amp;$A37)="N/A",0,RTD("tos.rtd",,AU$2,"."&amp;$A$2&amp;$AU$1&amp;"C"&amp;$A37))</f>
        <v>4403</v>
      </c>
      <c r="AV37" s="7">
        <f>-IF(RTD("tos.rtd",,AV$2,"."&amp;$A$2&amp;$AU$1&amp;"P"&amp;$A37)="N/A",0,RTD("tos.rtd",,AV$2,"."&amp;$A$2&amp;$AU$1&amp;"P"&amp;$A37))</f>
        <v>-4909</v>
      </c>
      <c r="AW37" s="6">
        <f>IF(RTD("tos.rtd",,AW$2,"."&amp;$A$2&amp;$AW$1&amp;"C"&amp;$A37)="N/A",0,RTD("tos.rtd",,AW$2,"."&amp;$A$2&amp;$AW$1&amp;"C"&amp;$A37))</f>
        <v>46</v>
      </c>
      <c r="AX37" s="7">
        <f>-IF(RTD("tos.rtd",,AX$2,"."&amp;$A$2&amp;$AW$1&amp;"P"&amp;$A37)="N/A",0,RTD("tos.rtd",,AX$2,"."&amp;$A$2&amp;$AW$1&amp;"P"&amp;$A37))</f>
        <v>-1525</v>
      </c>
      <c r="AY37" s="1">
        <f t="shared" si="69"/>
        <v>-6747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74</v>
      </c>
      <c r="BB37" s="7">
        <f>-IF(RTD("tos.rtd",,BB$2,"."&amp;$A$2&amp;$AS$1&amp;"P"&amp;$A37)="N/A",0,RTD("tos.rtd",,BB$2,"."&amp;$A$2&amp;$AS$1&amp;"P"&amp;$A37))</f>
        <v>-8425</v>
      </c>
      <c r="BC37" s="6">
        <f>IF(RTD("tos.rtd",,BC$2,"."&amp;$A$2&amp;$AU$1&amp;"C"&amp;$A37)="N/A",0,RTD("tos.rtd",,BC$2,"."&amp;$A$2&amp;$AU$1&amp;"C"&amp;$A37))</f>
        <v>57</v>
      </c>
      <c r="BD37" s="7">
        <f>-IF(RTD("tos.rtd",,BD$2,"."&amp;$A$2&amp;$AU$1&amp;"P"&amp;$A37)="N/A",0,RTD("tos.rtd",,BD$2,"."&amp;$A$2&amp;$AU$1&amp;"P"&amp;$A37))</f>
        <v>-2265</v>
      </c>
      <c r="BE37" s="6">
        <f>IF(RTD("tos.rtd",,BE$2,"."&amp;$A$2&amp;$AW$1&amp;"C"&amp;$A37)="N/A",0,RTD("tos.rtd",,BE$2,"."&amp;$A$2&amp;$AW$1&amp;"C"&amp;$A37))</f>
        <v>7</v>
      </c>
      <c r="BF37" s="83">
        <f>-IF(RTD("tos.rtd",,BF$2,"."&amp;$A$2&amp;$AW$1&amp;"P"&amp;$A37)="N/A",0,RTD("tos.rtd",,BF$2,"."&amp;$A$2&amp;$AW$1&amp;"P"&amp;$A37))</f>
        <v>-463</v>
      </c>
      <c r="BG37" s="32">
        <f ca="1">+Hoja2!Y38</f>
        <v>-524</v>
      </c>
      <c r="BH37" s="7">
        <f t="shared" ca="1" si="36"/>
        <v>-11539</v>
      </c>
      <c r="BI37" s="8" t="str">
        <f t="shared" ref="BI37" ca="1" si="200">IF(AND(BH37&lt;0,BH36&gt;0), "Cruce -", IF(AND(BH37&gt;0,BH36&lt;0),"Cruce +", ""))</f>
        <v/>
      </c>
      <c r="BJ37" s="3" t="e">
        <f ca="1">IF($BP$1=1,DX37,IF(RTD("tos.rtd",,BJ$2,"."&amp;$A$2&amp;$AS$1&amp;"C"&amp;$A37)="N/A",0,RTD("tos.rtd",,BJ$2,"."&amp;$A$2&amp;$AS$1&amp;"C"&amp;$A37)))</f>
        <v>#NUM!</v>
      </c>
      <c r="BK37" s="3" t="e">
        <f ca="1">IF($BP$1=1,DY37,-IF(RTD("tos.rtd",,BK$2,"."&amp;$A$2&amp;$AS$1&amp;"P"&amp;$A37)="N/A",0,RTD("tos.rtd",,BK$2,"."&amp;$A$2&amp;$AS$1&amp;"P"&amp;$A37)))</f>
        <v>#NUM!</v>
      </c>
      <c r="BL37" s="3">
        <f ca="1">IF($BP$1=1,DZ37,IF(RTD("tos.rtd",,BL$2,"."&amp;$A$2&amp;$AU$1&amp;"C"&amp;$A37)="N/A",0,RTD("tos.rtd",,BL$2,"."&amp;$A$2&amp;$AU$1&amp;"C"&amp;$A37)))</f>
        <v>9.7649696329049455E-3</v>
      </c>
      <c r="BM37" s="3">
        <f ca="1">IF($BP$1=1,EA37,-IF(RTD("tos.rtd",,BM$2,"."&amp;$A$2&amp;$AU$1&amp;"P"&amp;$A37)="N/A",0,RTD("tos.rtd",,BM$2,"."&amp;$A$2&amp;$AU$1&amp;"P"&amp;$A37)))</f>
        <v>-1.0019670198165034E-2</v>
      </c>
      <c r="BN37" s="3">
        <f ca="1">IF($BP$1=1,EB37,IF(RTD("tos.rtd",,BN$2,"."&amp;$A$2&amp;$AW$1&amp;"C"&amp;$A37)="N/A",0,RTD("tos.rtd",,BN$2,"."&amp;$A$2&amp;$AW$1&amp;"C"&amp;$A37)))</f>
        <v>2.8806735318146052E-3</v>
      </c>
      <c r="BO37" s="3">
        <f ca="1">IF($BP$1=1,EC37,-IF(RTD("tos.rtd",,BO$2,"."&amp;$A$2&amp;$AW$1&amp;"P"&amp;$A37)="N/A",0,RTD("tos.rtd",,BO$2,"."&amp;$A$2&amp;$AW$1&amp;"P"&amp;$A37)))</f>
        <v>-9.8593009430018152E-3</v>
      </c>
      <c r="BQ37" s="3" t="e">
        <f t="shared" ca="1" si="37"/>
        <v>#NUM!</v>
      </c>
      <c r="BR37" s="3" t="e">
        <f t="shared" ca="1" si="71"/>
        <v>#NUM!</v>
      </c>
      <c r="BS37" s="3">
        <f t="shared" ca="1" si="38"/>
        <v>-2021762.4057392981</v>
      </c>
      <c r="BT37" s="3" t="str">
        <f t="shared" ca="1" si="71"/>
        <v/>
      </c>
      <c r="BU37" s="3">
        <f t="shared" ca="1" si="39"/>
        <v>-4866455.2093040626</v>
      </c>
      <c r="BV37" s="3" t="str">
        <f t="shared" ref="BV37" ca="1" si="201">IF(AND(BU37&lt;0,BU36&gt;0), "Cruce -", IF(AND(BU37&gt;0,BU36&lt;0),"Cruce +", ""))</f>
        <v/>
      </c>
      <c r="BX37" s="3" t="e">
        <f t="shared" ca="1" si="40"/>
        <v>#NUM!</v>
      </c>
      <c r="BY37" s="3" t="e">
        <f t="shared" ca="1" si="73"/>
        <v>#NUM!</v>
      </c>
      <c r="BZ37" s="3">
        <f t="shared" ca="1" si="41"/>
        <v>-7229007.4307306428</v>
      </c>
      <c r="CA37" s="3" t="str">
        <f t="shared" ca="1" si="74"/>
        <v/>
      </c>
      <c r="CB37" s="3">
        <f t="shared" ca="1" si="42"/>
        <v>-1484040.2975901687</v>
      </c>
      <c r="CC37" s="3" t="str">
        <f t="shared" ca="1" si="75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1</v>
      </c>
      <c r="CG37" s="3">
        <f>-IF(RTD("tos.rtd",,CG$2,"."&amp;$A$2&amp;$AU$1&amp;"P"&amp;$A37)="N/A",0,RTD("tos.rtd",,CG$2,"."&amp;$A$2&amp;$AU$1&amp;"P"&amp;$A37))</f>
        <v>0.15</v>
      </c>
      <c r="CH37" s="3">
        <f>IF(RTD("tos.rtd",,CH$2,"."&amp;$A$2&amp;$AW$1&amp;"C"&amp;$A37)="N/A",0,RTD("tos.rtd",,CH$2,"."&amp;$A$2&amp;$AW$1&amp;"C"&amp;$A37))</f>
        <v>0.84</v>
      </c>
      <c r="CI37" s="3">
        <f>-IF(RTD("tos.rtd",,CI$2,"."&amp;$A$2&amp;$AW$1&amp;"P"&amp;$A37)="N/A",0,RTD("tos.rtd",,CI$2,"."&amp;$A$2&amp;$AW$1&amp;"P"&amp;$A37))</f>
        <v>0.28999999999999998</v>
      </c>
      <c r="CK37" s="3">
        <f t="shared" si="17"/>
        <v>76300</v>
      </c>
      <c r="CL37" s="3"/>
      <c r="CM37" s="3">
        <f t="shared" si="18"/>
        <v>366665</v>
      </c>
      <c r="CN37" s="3"/>
      <c r="CO37" s="3">
        <f t="shared" si="19"/>
        <v>-40360.999999999993</v>
      </c>
      <c r="CP37" s="3">
        <f t="shared" si="43"/>
        <v>402604</v>
      </c>
      <c r="CQ37" s="3">
        <f t="shared" si="44"/>
        <v>-8351</v>
      </c>
      <c r="CR37" s="3"/>
      <c r="CS37" s="3">
        <f t="shared" si="20"/>
        <v>-2208</v>
      </c>
      <c r="CT37" s="3"/>
      <c r="CU37" s="3">
        <f t="shared" si="21"/>
        <v>-456</v>
      </c>
      <c r="CV37" s="3">
        <f t="shared" si="45"/>
        <v>-11015</v>
      </c>
      <c r="CW37" s="3" t="e">
        <f t="shared" ca="1" si="46"/>
        <v>#NUM!</v>
      </c>
      <c r="CX37" s="85" t="e">
        <f t="shared" ca="1" si="76"/>
        <v>#NUM!</v>
      </c>
      <c r="CY37" s="3" t="e">
        <f t="shared" ca="1" si="47"/>
        <v>#NUM!</v>
      </c>
      <c r="CZ37" s="85" t="e">
        <f t="shared" ca="1" si="77"/>
        <v>#NUM!</v>
      </c>
      <c r="DA37" s="3">
        <f>IF(RTD("tos.rtd",,DA$2,"."&amp;$A$2&amp;$AS$1&amp;"C"&amp;$A37)="N/A",0,RTD("tos.rtd",,DA$2,"."&amp;$A$2&amp;$AS$1&amp;"C"&amp;$A37))</f>
        <v>15.05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16.27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14.23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-22.440000000000055</v>
      </c>
      <c r="DH37" s="3">
        <f t="shared" si="22"/>
        <v>0</v>
      </c>
      <c r="DI37" s="3">
        <f t="shared" si="49"/>
        <v>-2</v>
      </c>
      <c r="DJ37" s="3">
        <f t="shared" si="50"/>
        <v>0</v>
      </c>
      <c r="DK37" s="3">
        <f t="shared" si="51"/>
        <v>-2</v>
      </c>
      <c r="DL37" s="3">
        <f t="shared" si="52"/>
        <v>-2</v>
      </c>
      <c r="DM37" s="3">
        <f t="shared" si="53"/>
        <v>-2</v>
      </c>
      <c r="DN37" s="63" t="str">
        <f t="shared" si="54"/>
        <v>UNKNOWN</v>
      </c>
      <c r="DO37" s="63" t="str">
        <f t="shared" si="55"/>
        <v>BUY</v>
      </c>
      <c r="DP37" s="3">
        <f t="shared" si="56"/>
        <v>-0.02</v>
      </c>
      <c r="DQ37" s="3">
        <f t="shared" si="57"/>
        <v>-0.02</v>
      </c>
      <c r="DR37" s="3" t="e">
        <f t="shared" ca="1" si="58"/>
        <v>#NUM!</v>
      </c>
      <c r="DS37" s="3">
        <f t="shared" si="59"/>
        <v>0</v>
      </c>
      <c r="DT37" s="3">
        <f t="shared" si="60"/>
        <v>0</v>
      </c>
      <c r="DU37" s="3">
        <f t="shared" si="61"/>
        <v>-2</v>
      </c>
      <c r="DV37" s="3">
        <f t="shared" si="62"/>
        <v>-22</v>
      </c>
      <c r="DW37" s="3">
        <f t="shared" si="23"/>
        <v>-5753</v>
      </c>
      <c r="DX37" s="3" t="e">
        <f t="shared" ca="1" si="24"/>
        <v>#NUM!</v>
      </c>
      <c r="DY37" s="3" t="e">
        <f t="shared" ca="1" si="25"/>
        <v>#NUM!</v>
      </c>
      <c r="DZ37" s="3">
        <f t="shared" ca="1" si="26"/>
        <v>9.7649696329049455E-3</v>
      </c>
      <c r="EA37" s="3">
        <f t="shared" ca="1" si="27"/>
        <v>-1.0019670198165034E-2</v>
      </c>
      <c r="EB37" s="3">
        <f t="shared" ca="1" si="28"/>
        <v>2.8806735318146052E-3</v>
      </c>
      <c r="EC37" s="3">
        <f t="shared" ca="1" si="29"/>
        <v>-9.8593009430018152E-3</v>
      </c>
      <c r="ED37" s="63">
        <f t="shared" si="63"/>
        <v>-5775</v>
      </c>
      <c r="EE37" s="59">
        <f t="shared" si="64"/>
        <v>0.25</v>
      </c>
      <c r="EF37" s="59">
        <f t="shared" si="30"/>
        <v>1.8591</v>
      </c>
      <c r="EG37" s="59">
        <f t="shared" si="31"/>
        <v>0.25</v>
      </c>
      <c r="EH37" s="59">
        <f t="shared" si="32"/>
        <v>0.34029999999999999</v>
      </c>
      <c r="EI37" s="59">
        <f t="shared" si="33"/>
        <v>0.1326</v>
      </c>
      <c r="EJ37" s="59">
        <f t="shared" si="34"/>
        <v>0.25580000000000003</v>
      </c>
      <c r="EK37" s="63" t="e">
        <f t="shared" ca="1" si="65"/>
        <v>#NUM!</v>
      </c>
      <c r="EL37" s="3" t="str">
        <f>RTD("tos.rtd",,EL$2,"."&amp;$A$2&amp;$AS$1&amp;"C"&amp;$A37)</f>
        <v>--</v>
      </c>
      <c r="EM37" s="3" t="str">
        <f>RTD("tos.rtd",,EM$2,"."&amp;$A$2&amp;$AS$1&amp;"P"&amp;$A37)</f>
        <v>185.91%</v>
      </c>
      <c r="EN37" s="3" t="str">
        <f>RTD("tos.rtd",,EN$2,"."&amp;$A$2&amp;$AU$1&amp;"C"&amp;$A37)</f>
        <v>--</v>
      </c>
      <c r="EO37" s="3" t="str">
        <f>RTD("tos.rtd",,EO$2,"."&amp;$A$2&amp;$AU$1&amp;"P"&amp;$A37)</f>
        <v>34.03%</v>
      </c>
      <c r="EP37" s="3" t="str">
        <f>RTD("tos.rtd",,EP$2,"."&amp;$A$2&amp;$AW$1&amp;"C"&amp;$A37)</f>
        <v>13.26%</v>
      </c>
      <c r="EQ37" s="3" t="str">
        <f>RTD("tos.rtd",,EQ$2,"."&amp;$A$2&amp;$AW$1&amp;"P"&amp;$A37)</f>
        <v>25.58%</v>
      </c>
      <c r="ES37" s="63" t="str">
        <f t="shared" si="66"/>
        <v>549,-5775.00</v>
      </c>
      <c r="ET37" s="63" t="str">
        <f t="shared" ca="1" si="67"/>
        <v>549,00.00</v>
      </c>
      <c r="EU37" s="67">
        <v>565.05999999999995</v>
      </c>
      <c r="EV37" s="67" t="s">
        <v>315</v>
      </c>
      <c r="EW37" s="67">
        <v>488.44</v>
      </c>
      <c r="EX37" s="67" t="s">
        <v>316</v>
      </c>
      <c r="EY37" s="67">
        <v>5663.94</v>
      </c>
      <c r="EZ37" s="67" t="s">
        <v>317</v>
      </c>
      <c r="FA37" s="67">
        <v>20063.564999999999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8"/>
        <v>548</v>
      </c>
      <c r="B38" s="35">
        <f t="shared" si="9"/>
        <v>7462</v>
      </c>
      <c r="C38" s="35">
        <f t="shared" si="10"/>
        <v>11558</v>
      </c>
      <c r="D38" s="35">
        <f t="shared" si="11"/>
        <v>2047</v>
      </c>
      <c r="E38" s="35">
        <f t="shared" si="12"/>
        <v>21067</v>
      </c>
      <c r="F38" s="11">
        <f t="shared" si="13"/>
        <v>5514.1397172056559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-7</v>
      </c>
      <c r="AN38" s="1">
        <v>1964</v>
      </c>
      <c r="AO38" s="1">
        <v>548</v>
      </c>
      <c r="AP38" s="1">
        <v>96</v>
      </c>
      <c r="AQ38" s="1">
        <v>-3992</v>
      </c>
      <c r="AR38" s="1"/>
      <c r="AS38" s="15">
        <f>IF(RTD("tos.rtd",,AS$2,"."&amp;$A$2&amp;$AS$1&amp;"C"&amp;$A38)="N/A",0,RTD("tos.rtd",,AS$2,"."&amp;$A$2&amp;$AS$1&amp;"C"&amp;$A38))</f>
        <v>993</v>
      </c>
      <c r="AT38" s="36">
        <f>-IF(RTD("tos.rtd",,AT$2,"."&amp;$A$2&amp;$AS$1&amp;"P"&amp;$A38)="N/A",0,RTD("tos.rtd",,AT$2,"."&amp;$A$2&amp;$AS$1&amp;"P"&amp;$A38))</f>
        <v>-6469</v>
      </c>
      <c r="AU38" s="15">
        <f>IF(RTD("tos.rtd",,AU$2,"."&amp;$A$2&amp;$AU$1&amp;"C"&amp;$A38)="N/A",0,RTD("tos.rtd",,AU$2,"."&amp;$A$2&amp;$AU$1&amp;"C"&amp;$A38))</f>
        <v>5696</v>
      </c>
      <c r="AV38" s="36">
        <f>-IF(RTD("tos.rtd",,AV$2,"."&amp;$A$2&amp;$AU$1&amp;"P"&amp;$A38)="N/A",0,RTD("tos.rtd",,AV$2,"."&amp;$A$2&amp;$AU$1&amp;"P"&amp;$A38))</f>
        <v>-5862</v>
      </c>
      <c r="AW38" s="15">
        <f>IF(RTD("tos.rtd",,AW$2,"."&amp;$A$2&amp;$AW$1&amp;"C"&amp;$A38)="N/A",0,RTD("tos.rtd",,AW$2,"."&amp;$A$2&amp;$AW$1&amp;"C"&amp;$A38))</f>
        <v>127</v>
      </c>
      <c r="AX38" s="36">
        <f>-IF(RTD("tos.rtd",,AX$2,"."&amp;$A$2&amp;$AW$1&amp;"P"&amp;$A38)="N/A",0,RTD("tos.rtd",,AX$2,"."&amp;$A$2&amp;$AW$1&amp;"P"&amp;$A38))</f>
        <v>-1920</v>
      </c>
      <c r="AY38" s="1">
        <f t="shared" si="69"/>
        <v>-7435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96</v>
      </c>
      <c r="BB38" s="36">
        <f>-IF(RTD("tos.rtd",,BB$2,"."&amp;$A$2&amp;$AS$1&amp;"P"&amp;$A38)="N/A",0,RTD("tos.rtd",,BB$2,"."&amp;$A$2&amp;$AS$1&amp;"P"&amp;$A38))</f>
        <v>-3992</v>
      </c>
      <c r="BC38" s="15">
        <f>IF(RTD("tos.rtd",,BC$2,"."&amp;$A$2&amp;$AU$1&amp;"C"&amp;$A38)="N/A",0,RTD("tos.rtd",,BC$2,"."&amp;$A$2&amp;$AU$1&amp;"C"&amp;$A38))</f>
        <v>102</v>
      </c>
      <c r="BD38" s="36">
        <f>-IF(RTD("tos.rtd",,BD$2,"."&amp;$A$2&amp;$AU$1&amp;"P"&amp;$A38)="N/A",0,RTD("tos.rtd",,BD$2,"."&amp;$A$2&amp;$AU$1&amp;"P"&amp;$A38))</f>
        <v>-3395</v>
      </c>
      <c r="BE38" s="15">
        <f>IF(RTD("tos.rtd",,BE$2,"."&amp;$A$2&amp;$AW$1&amp;"C"&amp;$A38)="N/A",0,RTD("tos.rtd",,BE$2,"."&amp;$A$2&amp;$AW$1&amp;"C"&amp;$A38))</f>
        <v>5</v>
      </c>
      <c r="BF38" s="16">
        <f>-IF(RTD("tos.rtd",,BF$2,"."&amp;$A$2&amp;$AW$1&amp;"P"&amp;$A38)="N/A",0,RTD("tos.rtd",,BF$2,"."&amp;$A$2&amp;$AW$1&amp;"P"&amp;$A38))</f>
        <v>-80</v>
      </c>
      <c r="BG38" s="32">
        <f ca="1">+Hoja2!Y39</f>
        <v>-257</v>
      </c>
      <c r="BH38" s="36">
        <f t="shared" ca="1" si="36"/>
        <v>-7521</v>
      </c>
      <c r="BI38" s="8" t="str">
        <f t="shared" ref="BI38" ca="1" si="202">IF(AND(BH38&lt;0,BH37&gt;0), "Cruce -", IF(AND(BH38&gt;0,BH37&lt;0),"Cruce +", ""))</f>
        <v/>
      </c>
      <c r="BJ38" s="3" t="e">
        <f ca="1">IF($BP$1=1,DX38,IF(RTD("tos.rtd",,BJ$2,"."&amp;$A$2&amp;$AS$1&amp;"C"&amp;$A38)="N/A",0,RTD("tos.rtd",,BJ$2,"."&amp;$A$2&amp;$AS$1&amp;"C"&amp;$A38)))</f>
        <v>#NUM!</v>
      </c>
      <c r="BK38" s="3" t="e">
        <f ca="1">IF($BP$1=1,DY38,-IF(RTD("tos.rtd",,BK$2,"."&amp;$A$2&amp;$AS$1&amp;"P"&amp;$A38)="N/A",0,RTD("tos.rtd",,BK$2,"."&amp;$A$2&amp;$AS$1&amp;"P"&amp;$A38)))</f>
        <v>#NUM!</v>
      </c>
      <c r="BL38" s="3">
        <f ca="1">IF($BP$1=1,DZ38,IF(RTD("tos.rtd",,BL$2,"."&amp;$A$2&amp;$AU$1&amp;"C"&amp;$A38)="N/A",0,RTD("tos.rtd",,BL$2,"."&amp;$A$2&amp;$AU$1&amp;"C"&amp;$A38)))</f>
        <v>9.1303026016974695E-3</v>
      </c>
      <c r="BM38" s="3">
        <f ca="1">IF($BP$1=1,EA38,-IF(RTD("tos.rtd",,BM$2,"."&amp;$A$2&amp;$AU$1&amp;"P"&amp;$A38)="N/A",0,RTD("tos.rtd",,BM$2,"."&amp;$A$2&amp;$AU$1&amp;"P"&amp;$A38)))</f>
        <v>-9.6591303507602821E-3</v>
      </c>
      <c r="BN38" s="3">
        <f ca="1">IF($BP$1=1,EB38,IF(RTD("tos.rtd",,BN$2,"."&amp;$A$2&amp;$AW$1&amp;"C"&amp;$A38)="N/A",0,RTD("tos.rtd",,BN$2,"."&amp;$A$2&amp;$AW$1&amp;"C"&amp;$A38)))</f>
        <v>2.0389672751441458E-3</v>
      </c>
      <c r="BO38" s="3">
        <f ca="1">IF($BP$1=1,EC38,-IF(RTD("tos.rtd",,BO$2,"."&amp;$A$2&amp;$AW$1&amp;"P"&amp;$A38)="N/A",0,RTD("tos.rtd",,BO$2,"."&amp;$A$2&amp;$AW$1&amp;"P"&amp;$A38)))</f>
        <v>-9.2642718201209132E-3</v>
      </c>
      <c r="BQ38" s="3" t="e">
        <f t="shared" ca="1" si="37"/>
        <v>#NUM!</v>
      </c>
      <c r="BR38" s="3" t="e">
        <f t="shared" ca="1" si="71"/>
        <v>#NUM!</v>
      </c>
      <c r="BS38" s="3">
        <f t="shared" ca="1" si="38"/>
        <v>-1507201.0199099146</v>
      </c>
      <c r="BT38" s="3" t="str">
        <f t="shared" ca="1" si="71"/>
        <v/>
      </c>
      <c r="BU38" s="3">
        <f t="shared" ca="1" si="39"/>
        <v>-5723805.4516970636</v>
      </c>
      <c r="BV38" s="3" t="str">
        <f t="shared" ref="BV38" ca="1" si="203">IF(AND(BU38&lt;0,BU37&gt;0), "Cruce -", IF(AND(BU38&gt;0,BU37&lt;0),"Cruce +", ""))</f>
        <v/>
      </c>
      <c r="BX38" s="3" t="e">
        <f t="shared" ca="1" si="40"/>
        <v>#NUM!</v>
      </c>
      <c r="BY38" s="3" t="e">
        <f t="shared" ca="1" si="73"/>
        <v>#NUM!</v>
      </c>
      <c r="BZ38" s="3">
        <f t="shared" ca="1" si="41"/>
        <v>-10404157.109051306</v>
      </c>
      <c r="CA38" s="3" t="str">
        <f t="shared" ca="1" si="74"/>
        <v/>
      </c>
      <c r="CB38" s="3">
        <f t="shared" ca="1" si="42"/>
        <v>-238686.08894782056</v>
      </c>
      <c r="CC38" s="3" t="str">
        <f t="shared" ca="1" si="75"/>
        <v/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1</v>
      </c>
      <c r="CG38" s="3">
        <f>-IF(RTD("tos.rtd",,CG$2,"."&amp;$A$2&amp;$AU$1&amp;"P"&amp;$A38)="N/A",0,RTD("tos.rtd",,CG$2,"."&amp;$A$2&amp;$AU$1&amp;"P"&amp;$A38))</f>
        <v>0.14000000000000001</v>
      </c>
      <c r="CH38" s="3">
        <f>IF(RTD("tos.rtd",,CH$2,"."&amp;$A$2&amp;$AW$1&amp;"C"&amp;$A38)="N/A",0,RTD("tos.rtd",,CH$2,"."&amp;$A$2&amp;$AW$1&amp;"C"&amp;$A38))</f>
        <v>0.86</v>
      </c>
      <c r="CI38" s="3">
        <f>-IF(RTD("tos.rtd",,CI$2,"."&amp;$A$2&amp;$AW$1&amp;"P"&amp;$A38)="N/A",0,RTD("tos.rtd",,CI$2,"."&amp;$A$2&amp;$AW$1&amp;"P"&amp;$A38))</f>
        <v>0.28000000000000003</v>
      </c>
      <c r="CK38" s="3">
        <f t="shared" si="17"/>
        <v>99300</v>
      </c>
      <c r="CL38" s="3"/>
      <c r="CM38" s="3">
        <f t="shared" si="18"/>
        <v>487532</v>
      </c>
      <c r="CN38" s="3"/>
      <c r="CO38" s="3">
        <f t="shared" si="19"/>
        <v>-42838</v>
      </c>
      <c r="CP38" s="3">
        <f t="shared" si="43"/>
        <v>543994</v>
      </c>
      <c r="CQ38" s="3">
        <f t="shared" si="44"/>
        <v>-3896</v>
      </c>
      <c r="CR38" s="3"/>
      <c r="CS38" s="3">
        <f t="shared" si="20"/>
        <v>-3293</v>
      </c>
      <c r="CT38" s="3"/>
      <c r="CU38" s="3">
        <f t="shared" si="21"/>
        <v>-75</v>
      </c>
      <c r="CV38" s="3">
        <f t="shared" si="45"/>
        <v>-7264</v>
      </c>
      <c r="CW38" s="3" t="e">
        <f t="shared" ca="1" si="46"/>
        <v>#NUM!</v>
      </c>
      <c r="CX38" s="85" t="e">
        <f t="shared" ca="1" si="76"/>
        <v>#NUM!</v>
      </c>
      <c r="CY38" s="3" t="e">
        <f t="shared" ca="1" si="47"/>
        <v>#NUM!</v>
      </c>
      <c r="CZ38" s="85" t="e">
        <f t="shared" ca="1" si="77"/>
        <v>#NUM!</v>
      </c>
      <c r="DA38" s="3">
        <f>IF(RTD("tos.rtd",,DA$2,"."&amp;$A$2&amp;$AS$1&amp;"C"&amp;$A38)="N/A",0,RTD("tos.rtd",,DA$2,"."&amp;$A$2&amp;$AS$1&amp;"C"&amp;$A38))</f>
        <v>16.350000000000001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17.27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15.23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-23.440000000000055</v>
      </c>
      <c r="DH38" s="3">
        <f t="shared" si="22"/>
        <v>0</v>
      </c>
      <c r="DI38" s="3">
        <f t="shared" si="49"/>
        <v>0</v>
      </c>
      <c r="DJ38" s="3">
        <f t="shared" si="50"/>
        <v>0</v>
      </c>
      <c r="DK38" s="3">
        <f t="shared" si="51"/>
        <v>0</v>
      </c>
      <c r="DL38" s="3">
        <f t="shared" si="52"/>
        <v>0</v>
      </c>
      <c r="DM38" s="3">
        <f t="shared" si="53"/>
        <v>0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0</v>
      </c>
      <c r="DQ38" s="3">
        <f t="shared" si="57"/>
        <v>0</v>
      </c>
      <c r="DR38" s="3" t="e">
        <f t="shared" ca="1" si="58"/>
        <v>#NUM!</v>
      </c>
      <c r="DS38" s="3">
        <f t="shared" si="59"/>
        <v>0</v>
      </c>
      <c r="DT38" s="3">
        <f t="shared" si="60"/>
        <v>0</v>
      </c>
      <c r="DU38" s="3">
        <f t="shared" si="61"/>
        <v>0</v>
      </c>
      <c r="DV38" s="3">
        <f t="shared" si="62"/>
        <v>-7</v>
      </c>
      <c r="DW38" s="3">
        <f t="shared" si="23"/>
        <v>1964</v>
      </c>
      <c r="DX38" s="3" t="e">
        <f t="shared" ca="1" si="24"/>
        <v>#NUM!</v>
      </c>
      <c r="DY38" s="3" t="e">
        <f t="shared" ca="1" si="25"/>
        <v>#NUM!</v>
      </c>
      <c r="DZ38" s="3">
        <f t="shared" ca="1" si="26"/>
        <v>9.1303026016974695E-3</v>
      </c>
      <c r="EA38" s="3">
        <f t="shared" ca="1" si="27"/>
        <v>-9.6591303507602821E-3</v>
      </c>
      <c r="EB38" s="3">
        <f t="shared" ca="1" si="28"/>
        <v>2.0389672751441458E-3</v>
      </c>
      <c r="EC38" s="3">
        <f t="shared" ca="1" si="29"/>
        <v>-9.2642718201209132E-3</v>
      </c>
      <c r="ED38" s="63">
        <f t="shared" si="63"/>
        <v>1957</v>
      </c>
      <c r="EE38" s="59">
        <f t="shared" si="64"/>
        <v>0.25</v>
      </c>
      <c r="EF38" s="59">
        <f t="shared" si="30"/>
        <v>1.9359</v>
      </c>
      <c r="EG38" s="59">
        <f t="shared" si="31"/>
        <v>0.25</v>
      </c>
      <c r="EH38" s="59">
        <f t="shared" si="32"/>
        <v>0.3402</v>
      </c>
      <c r="EI38" s="59">
        <f t="shared" si="33"/>
        <v>0.12959999999999999</v>
      </c>
      <c r="EJ38" s="59">
        <f t="shared" si="34"/>
        <v>0.25679999999999997</v>
      </c>
      <c r="EK38" s="63" t="e">
        <f t="shared" ca="1" si="65"/>
        <v>#NUM!</v>
      </c>
      <c r="EL38" s="3" t="str">
        <f>RTD("tos.rtd",,EL$2,"."&amp;$A$2&amp;$AS$1&amp;"C"&amp;$A38)</f>
        <v>--</v>
      </c>
      <c r="EM38" s="3" t="str">
        <f>RTD("tos.rtd",,EM$2,"."&amp;$A$2&amp;$AS$1&amp;"P"&amp;$A38)</f>
        <v>193.59%</v>
      </c>
      <c r="EN38" s="3" t="str">
        <f>RTD("tos.rtd",,EN$2,"."&amp;$A$2&amp;$AU$1&amp;"C"&amp;$A38)</f>
        <v>--</v>
      </c>
      <c r="EO38" s="3" t="str">
        <f>RTD("tos.rtd",,EO$2,"."&amp;$A$2&amp;$AU$1&amp;"P"&amp;$A38)</f>
        <v>34.02%</v>
      </c>
      <c r="EP38" s="3" t="str">
        <f>RTD("tos.rtd",,EP$2,"."&amp;$A$2&amp;$AW$1&amp;"C"&amp;$A38)</f>
        <v>12.96%</v>
      </c>
      <c r="EQ38" s="3" t="str">
        <f>RTD("tos.rtd",,EQ$2,"."&amp;$A$2&amp;$AW$1&amp;"P"&amp;$A38)</f>
        <v>25.68%</v>
      </c>
      <c r="ES38" s="63" t="str">
        <f t="shared" si="66"/>
        <v>548,1957.00</v>
      </c>
      <c r="ET38" s="63" t="str">
        <f t="shared" ca="1" si="67"/>
        <v>548,00.00</v>
      </c>
      <c r="EU38" s="67">
        <v>565.05999999999995</v>
      </c>
      <c r="EV38" s="67" t="s">
        <v>323</v>
      </c>
      <c r="EW38" s="67">
        <v>488.42</v>
      </c>
      <c r="EX38" s="67" t="s">
        <v>324</v>
      </c>
      <c r="EY38" s="67">
        <v>5663.94</v>
      </c>
      <c r="EZ38" s="67" t="s">
        <v>325</v>
      </c>
      <c r="FA38" s="67">
        <v>20063.564999999999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-259356</v>
      </c>
      <c r="BI39" s="1">
        <f ca="1">IFERROR(IF(MIN(BH4:BH38)&lt;&gt;0,INDEX(A4:A38,MATCH(MIN(BH4:BH38),BH4:BH38,0)),""),"")</f>
        <v>563</v>
      </c>
      <c r="BJ39" s="23"/>
      <c r="BK39" s="23"/>
      <c r="BL39" s="23"/>
      <c r="BM39" s="23"/>
      <c r="BN39" s="23"/>
      <c r="BO39" s="23"/>
      <c r="BP39" s="64" t="e">
        <f ca="1">INDEX(BQ39:BU39,MATCH(MAX(BQ3:BU3),BQ3:BU3,0))</f>
        <v>#NUM!</v>
      </c>
      <c r="BQ39" s="23" t="e">
        <f ca="1">IF(AND(BQ3&gt;0,ABS(MAX(BQ4:BQ38))&gt;ABS(MIN(BQ4:BQ38))),IF(MAX(BQ4:BQ38)&lt;&gt;0,INDEX($A4:$A38,MATCH(MAX(BQ4:BQ38),BQ4:BQ38,0)),""),"")</f>
        <v>#NUM!</v>
      </c>
      <c r="BR39" s="23"/>
      <c r="BS39" s="23">
        <f ca="1">IF(AND(BS3&gt;0,ABS(MAX(BS4:BS38))&gt;ABS(MIN(BS4:BS38))),IF(MAX(BS4:BS38)&lt;&gt;0,INDEX($A4:$A38,MATCH(MAX(BS4:BS38),BS4:BS38,0)),""),"")</f>
        <v>575</v>
      </c>
      <c r="BT39" s="23"/>
      <c r="BU39" s="23">
        <f ca="1">IF(AND(BU3&gt;0,ABS(MAX(BU4:BU38))&gt;ABS(MIN(BU4:BU38))),IF(MAX(BU4:BU38)&lt;&gt;0,INDEX($A4:$A38,MATCH(MAX(BU4:BU38),BU4:BU38,0)),""),"")</f>
        <v>580</v>
      </c>
      <c r="BV39" s="23"/>
      <c r="BW39" s="64" t="e">
        <f ca="1">INDEX(BX39:CB39,MATCH(MAX(BX3:CB3),BX3:CB3,0))</f>
        <v>#NUM!</v>
      </c>
      <c r="BX39" s="23" t="e">
        <f ca="1">IF(AND(BX3&gt;0,ABS(MAX(BX4:BX38))&gt;ABS(MIN(BX4:BX38))),IF(MAX(BX4:BX38)&lt;&gt;0,INDEX($A4:$A38,MATCH(MAX(BX4:BX38),BX4:BX38,0)),""),"")</f>
        <v>#NUM!</v>
      </c>
      <c r="BY39" s="23" t="e">
        <f ca="1">INDEX($A$4:$A$38,1+MATCH("Cruce -",BY4:BY38,))</f>
        <v>#N/A</v>
      </c>
      <c r="BZ39" s="23">
        <f ca="1">IF(AND(BZ3&gt;0,ABS(MAX(BZ4:BZ38))&gt;ABS(MIN(BZ4:BZ38))),IF(MAX(BZ4:BZ38)&lt;&gt;0,INDEX($A4:$A38,MATCH(MAX(BZ4:BZ38),BZ4:BZ38,0)),""),"")</f>
        <v>570</v>
      </c>
      <c r="CA39" s="23"/>
      <c r="CB39" s="23" t="str">
        <f ca="1">IF(AND(CB3&gt;0,ABS(MAX(CB4:CB38))&gt;ABS(MIN(CB4:CB38))),IF(MAX(CB4:CB38)&lt;&gt;0,INDEX($A4:$A38,MATCH(MAX(CB4:CB38),CB4:CB38,0)),""),"")</f>
        <v/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575</v>
      </c>
      <c r="CK39" s="23">
        <f>IF(AND(CK3&gt;0,ABS(MAX(CK4:CK38))&gt;ABS(MIN(CK4:CK38))),IF(MAX(CK4:CK38)&lt;&gt;0,INDEX($A4:$A38,MATCH(MAX(CK4:CK38),CK4:CK38,0)),""),"")</f>
        <v>570</v>
      </c>
      <c r="CL39" s="23"/>
      <c r="CM39" s="23">
        <f>IF(AND(CM3&gt;0,ABS(MAX(CM4:CM38))&gt;ABS(MIN(CM4:CM38))),IF(MAX(CM4:CM38)&lt;&gt;0,INDEX($A4:$A38,MATCH(MAX(CM4:CM38),CM4:CM38,0)),""),"")</f>
        <v>575</v>
      </c>
      <c r="CN39" s="23"/>
      <c r="CO39" s="23">
        <f>IF(AND(CO3&gt;0,ABS(MAX(CO4:CO38))&gt;ABS(MIN(CO4:CO38))),IF(MAX(CO4:CO38)&lt;&gt;0,INDEX($A4:$A38,MATCH(MAX(CO4:CO38),CO4:CO38,0)),""),"")</f>
        <v>560</v>
      </c>
      <c r="CP39" s="23">
        <f>IF(ABS(MAX(CP4:CP38))&gt;ABS(MIN(CP4:CP38)),IF(MAX(CP4:CP38)&lt;&gt;0,INDEX($A4:$A38,MATCH(MAX(CP4:CP38),CP4:CP38,0)),""),"")</f>
        <v>560</v>
      </c>
      <c r="CQ39" s="23"/>
      <c r="CR39" s="23"/>
      <c r="CS39" s="23"/>
      <c r="CT39" s="23"/>
      <c r="CU39" s="23"/>
      <c r="CV39" s="23"/>
      <c r="CW39" s="23" t="e">
        <f ca="1">IF(AND(CW3&gt;0,ABS(MAX(CW4:CW38))&gt;ABS(MIN(CW4:CW38))),IF(MAX(CW4:CW38)&lt;&gt;0,INDEX($A4:$A38,MATCH(MAX(CW4:CW38),CW4:CW38,0)),""),"")</f>
        <v>#NUM!</v>
      </c>
      <c r="CY39" s="23" t="e">
        <f ca="1">IF(AND(CY3&gt;0,ABS(MAX(CY4:CY38))&gt;ABS(MIN(CY4:CY38))),IF(MAX(CY4:CY38)&lt;&gt;0,INDEX($A4:$A38,MATCH(MAX(CY4:CY38),CY4:CY38,0)),""),"")</f>
        <v>#NUM!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>
        <f t="shared" ref="DH39:DM39" si="204">IF(AND(DH3&gt;0,ABS(MAX(DH4:DH38))&gt;ABS(MIN(DH4:DH38))),IF(MAX(DH4:DH38)&lt;&gt;0,INDEX($A4:$A38,MATCH(MAX(DH4:DH38),DH4:DH38,0)),""),"")</f>
        <v>567</v>
      </c>
      <c r="DI39" s="23" t="str">
        <f t="shared" si="204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204"/>
        <v/>
      </c>
      <c r="DM39" s="23" t="str">
        <f t="shared" si="204"/>
        <v/>
      </c>
      <c r="DN39" s="64" t="str">
        <f>DJ39&amp;","&amp;DJ40&amp;","&amp;DK39&amp;","&amp;DK40</f>
        <v>,,,</v>
      </c>
      <c r="DP39" s="23" t="str">
        <f t="shared" ref="DP39:DS39" si="205">IF(AND(DP3&gt;0,ABS(MAX(DP4:DP38))&gt;ABS(MIN(DP4:DP38))),IF(MAX(DP4:DP38)&lt;&gt;0,INDEX($A4:$A38,MATCH(MAX(DP4:DP38),DP4:DP38,0)),""),"")</f>
        <v/>
      </c>
      <c r="DQ39" s="23">
        <f t="shared" si="205"/>
        <v>571</v>
      </c>
      <c r="DR39" s="23" t="e">
        <f t="shared" ca="1" si="205"/>
        <v>#NUM!</v>
      </c>
      <c r="DS39" s="23">
        <f t="shared" si="205"/>
        <v>567</v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570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565.05999999999995</v>
      </c>
      <c r="EV39" s="67" t="s">
        <v>331</v>
      </c>
      <c r="EW39" s="67">
        <v>488.48</v>
      </c>
      <c r="EX39" s="67" t="s">
        <v>332</v>
      </c>
      <c r="EY39" s="67">
        <v>5663.94</v>
      </c>
      <c r="EZ39" s="67" t="s">
        <v>333</v>
      </c>
      <c r="FA39" s="67">
        <v>20063.564999999999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e">
        <f ca="1">INDEX(BQ40:BU40,MATCH(MIN(BQ3:BU3),BQ3:BU3,0))</f>
        <v>#NUM!</v>
      </c>
      <c r="BQ40" s="1" t="e">
        <f ca="1">IF(AND(BQ3&lt;0,ABS(MIN(BQ4:BQ38))&gt;ABS(MAX(BQ4:BQ38))),IF(MIN(BQ4:BQ38)&lt;&gt;0,INDEX($A4:$A38,MATCH(MIN(BQ4:BQ38),BQ4:BQ38,0)),""),"")</f>
        <v>#NUM!</v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 t="e">
        <f ca="1">INDEX(BX40:CB40,MATCH(MIN(BX3:CB3),BX3:CB3,0))</f>
        <v>#NUM!</v>
      </c>
      <c r="BX40" s="1" t="e">
        <f ca="1">IF(AND(BX3&lt;0,ABS(MIN(BX4:BX38))&gt;ABS(MAX(BX4:BX38))),IF(MIN(BX4:BX38)&lt;&gt;0,INDEX($A4:$A38,MATCH(MIN(BX4:BX38),BX4:BX38,0)),""),"")</f>
        <v>#NUM!</v>
      </c>
      <c r="BY40" s="1" t="e">
        <f ca="1">INDEX($A$4:$A$38,1+MATCH("Cruce -",BY4:BY38,)-1)</f>
        <v>#N/A</v>
      </c>
      <c r="BZ40" s="1" t="str">
        <f ca="1">IF(AND(BZ3&lt;0,ABS(MIN(BZ4:BZ38))&gt;ABS(MAX(BZ4:BZ38))),IF(MIN(BZ4:BZ38)&lt;&gt;0,INDEX($A4:$A38,MATCH(MIN(BZ4:BZ38),BZ4:BZ38,0)),""),"")</f>
        <v/>
      </c>
      <c r="CB40" s="1">
        <f ca="1">IF(AND(CB3&lt;0,ABS(MIN(CB4:CB38))&gt;ABS(MAX(CB4:CB38))),IF(MIN(CB4:CB38)&lt;&gt;0,INDEX($A4:$A38,MATCH(MIN(CB4:CB38),CB4:CB38,0)),""),"")</f>
        <v>560</v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e">
        <f ca="1">IF(AND(CW3&lt;0,ABS(MIN(CW4:CW38))&gt;ABS(MAX(CW4:CW38))),IF(MIN(CW4:CW38)&lt;&gt;0,INDEX($A4:$A38,MATCH(MIN(CW4:CW38),CW4:CW38,0)),""),"")</f>
        <v>#NUM!</v>
      </c>
      <c r="CY40" s="1" t="e">
        <f ca="1">IF(AND(CY3&lt;0,ABS(MIN(CY4:CY38))&gt;ABS(MAX(CY4:CY38))),IF(MIN(CY4:CY38)&lt;&gt;0,INDEX($A4:$A38,MATCH(MIN(CY4:CY38),CY4:CY38,0)),""),"")</f>
        <v>#NUM!</v>
      </c>
      <c r="DG40" s="72" t="s">
        <v>23</v>
      </c>
      <c r="DH40" s="23" t="str">
        <f t="shared" ref="DH40:DM40" si="206">IF(AND(DH3&lt;0,ABS(MIN(DH4:DH38))&gt;ABS(MAX(DH4:DH38))),IF(MIN(DH4:DH38)&lt;&gt;0,INDEX($A4:$A38,MATCH(MIN(DH4:DH38),DH4:DH38,0)),""),"")</f>
        <v/>
      </c>
      <c r="DI40" s="23">
        <f t="shared" si="206"/>
        <v>560</v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 t="str">
        <f t="shared" si="206"/>
        <v/>
      </c>
      <c r="DM40" s="23" t="str">
        <f t="shared" si="206"/>
        <v/>
      </c>
      <c r="DN40" s="64" t="str">
        <f ca="1">BI1&amp;","&amp;BI39&amp;","&amp;ED39&amp;","&amp;ED40</f>
        <v>567,563,570,564</v>
      </c>
      <c r="DP40" s="23">
        <f t="shared" ref="DP40:DS40" si="207">IF(AND(DP3&lt;0,ABS(MIN(DP4:DP38))&gt;ABS(MAX(DP4:DP38))),IF(MIN(DP4:DP38)&lt;&gt;0,INDEX($A4:$A38,MATCH(MIN(DP4:DP38),DP4:DP38,0)),""),"")</f>
        <v>566</v>
      </c>
      <c r="DQ40" s="23" t="str">
        <f t="shared" si="207"/>
        <v/>
      </c>
      <c r="DR40" s="23" t="e">
        <f t="shared" ca="1" si="207"/>
        <v>#NUM!</v>
      </c>
      <c r="DS40" s="23" t="str">
        <f t="shared" si="207"/>
        <v/>
      </c>
      <c r="ED40" s="103">
        <f>IFERROR(IF(MIN(ED4:ED38)&lt;&gt;0,INDEX($A4:$A38,MATCH(MIN(ED4:ED38),ED4:ED38,0)),""),"")</f>
        <v>564</v>
      </c>
      <c r="EU40" s="67">
        <v>565.05999999999995</v>
      </c>
      <c r="EV40" s="67" t="s">
        <v>339</v>
      </c>
      <c r="EW40" s="67">
        <v>488.42</v>
      </c>
      <c r="EX40" s="67" t="s">
        <v>340</v>
      </c>
      <c r="EY40" s="67">
        <v>5663.94</v>
      </c>
      <c r="EZ40" s="67" t="s">
        <v>341</v>
      </c>
      <c r="FA40" s="67">
        <v>20063.564999999999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565.05999999999995</v>
      </c>
      <c r="EV41" s="67" t="s">
        <v>347</v>
      </c>
      <c r="EW41" s="67">
        <v>488.42</v>
      </c>
      <c r="EX41" s="67" t="s">
        <v>348</v>
      </c>
      <c r="EY41" s="67">
        <v>5663.94</v>
      </c>
      <c r="EZ41" s="67" t="s">
        <v>349</v>
      </c>
      <c r="FA41" s="67">
        <v>20063.564999999999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45786</v>
      </c>
      <c r="C42" s="44">
        <f>+B42+7</f>
        <v>45793</v>
      </c>
      <c r="D42" s="44">
        <v>45828</v>
      </c>
      <c r="E42" s="40"/>
      <c r="F42" s="40">
        <f>+[2]Sheet1!$AD$2</f>
        <v>469.81373794456613</v>
      </c>
      <c r="G42" s="41"/>
      <c r="AP42" s="1">
        <v>250509</v>
      </c>
      <c r="AQ42" s="1">
        <v>0</v>
      </c>
      <c r="AS42" s="22" t="str">
        <f>+B43</f>
        <v>250509</v>
      </c>
      <c r="AT42" s="22"/>
      <c r="AU42" s="22" t="str">
        <f>+C43</f>
        <v>250516</v>
      </c>
      <c r="AV42" s="22"/>
      <c r="AW42" s="22" t="str">
        <f>+D43</f>
        <v>250620</v>
      </c>
      <c r="AX42" s="22"/>
      <c r="BA42" s="22" t="str">
        <f>+AS42</f>
        <v>250509</v>
      </c>
      <c r="BB42" s="22">
        <f t="shared" ref="BB42" si="208">+AT42</f>
        <v>0</v>
      </c>
      <c r="BC42" s="22" t="str">
        <f t="shared" ref="BC42" si="209">+AU42</f>
        <v>250516</v>
      </c>
      <c r="BD42" s="22">
        <f t="shared" ref="BD42" si="210">+AV42</f>
        <v>0</v>
      </c>
      <c r="BE42" s="22" t="str">
        <f t="shared" ref="BE42" si="211">+AW42</f>
        <v>250620</v>
      </c>
      <c r="BF42" s="22">
        <f t="shared" ref="BF42" si="212">+AX42</f>
        <v>0</v>
      </c>
      <c r="BG42" s="96"/>
      <c r="BH42" s="1">
        <f ca="1">MAX(BH45:BH79)</f>
        <v>99369</v>
      </c>
      <c r="BI42" s="1">
        <f ca="1">IFERROR(IF(MAX(BH45:BH79)&lt;&gt;0,INDEX(A45:A79,MATCH(MAX(BH45:BH79),BH45:BH79,0)),""),"")</f>
        <v>491</v>
      </c>
      <c r="BJ42" s="22" t="str">
        <f>+AS42</f>
        <v>250509</v>
      </c>
      <c r="BK42" s="22">
        <f t="shared" ref="BK42" si="213">+AT42</f>
        <v>0</v>
      </c>
      <c r="BL42" s="22" t="str">
        <f t="shared" ref="BL42" si="214">+AU42</f>
        <v>250516</v>
      </c>
      <c r="BM42" s="22">
        <f t="shared" ref="BM42" si="215">+AV42</f>
        <v>0</v>
      </c>
      <c r="BN42" s="22" t="str">
        <f t="shared" ref="BN42" si="216">+AW42</f>
        <v>250620</v>
      </c>
      <c r="BO42" s="22">
        <f t="shared" ref="BO42" si="217">+AX42</f>
        <v>0</v>
      </c>
      <c r="BQ42" s="22" t="e">
        <f ca="1">IF(BR42&gt;BR43,IF(MAX(BQ45:BQ79)&lt;&gt;0,INDEX(A45:A79,MATCH(MAX(BQ45:BQ79),BQ45:BQ79,0)),A44),IF(MIN(BQ45:BQ79)&lt;&gt;0,INDEX(A45:A79,MATCH(MIN(BQ45:BQ79),BQ45:BQ79,0))))</f>
        <v>#NUM!</v>
      </c>
      <c r="BR42" s="22" t="e">
        <f ca="1">+MAX(BQ45:BQ79)</f>
        <v>#NUM!</v>
      </c>
      <c r="BS42" s="22">
        <f ca="1">IF(BT42&gt;BT43,IF(MAX(BS45:BS79)&lt;&gt;0,INDEX(A45:A79,MATCH(MAX(BS45:BS79),BS45:BS79,0)),A44),IF(MIN(BS45:BS79)&lt;&gt;0,INDEX(A45:A79,MATCH(MIN(BS45:BS79),BS45:BS79,0))))</f>
        <v>500</v>
      </c>
      <c r="BT42" s="22">
        <f ca="1">+MAX(BS45:BS79)</f>
        <v>480673386.15205395</v>
      </c>
      <c r="BU42" s="22">
        <f ca="1">IF(BV42&gt;BV43,IF(MAX(BU45:BU79)&lt;&gt;0,INDEX(A45:A79,MATCH(MAX(BU45:BU79),BU45:BU79,0)),A44),IF(MIN(BU45:BU79)&lt;&gt;0,INDEX(A45:A79,MATCH(MIN(BU45:BU79),BU45:BU79,0))))</f>
        <v>500</v>
      </c>
      <c r="BV42" s="22">
        <f ca="1">+MAX(BU45:BU79)</f>
        <v>410943977.68958431</v>
      </c>
      <c r="BX42" s="22" t="e">
        <f ca="1">IF(BY42&gt;BZ42,IF(MAX(BX45:BX79)&lt;&gt;0,INDEX(G45:G79,MATCH(MAX(BX45:BX79),BX45:BX79,0)),G44),IF(MIN(BX45:BX79)&lt;&gt;0,INDEX(G45:G79,MATCH(MIN(BX45:BX79),BX45:BX79,0))))</f>
        <v>#NUM!</v>
      </c>
      <c r="BY42" s="22" t="e">
        <f ca="1">+MAX(BX45:BX79)</f>
        <v>#NUM!</v>
      </c>
      <c r="BZ42" s="22" t="e">
        <f ca="1">ABS(+MIN(BX45:BX79))</f>
        <v>#NUM!</v>
      </c>
      <c r="CA42" s="22"/>
      <c r="CB42" s="22"/>
      <c r="CC42" s="22" t="e">
        <f ca="1">+AVERAGE(BY80:BY81,CA80:CA81,CC80:CC81)</f>
        <v>#N/A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1019302</v>
      </c>
      <c r="CM42" s="22">
        <f>ABS(+MIN(CK45:CK79))</f>
        <v>3966.0000000000018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491</v>
      </c>
      <c r="CR42" s="22">
        <f>+MAX(CQ45:CQ79)</f>
        <v>97315</v>
      </c>
      <c r="CS42" s="22">
        <f>ABS(+MIN(CQ45:CQ79))</f>
        <v>91889</v>
      </c>
      <c r="CT42" s="22"/>
      <c r="CU42" s="22"/>
      <c r="CV42" s="22"/>
      <c r="CW42" s="22" t="e">
        <f ca="1">IF(CX42&gt;CY42,IF(MAX(CW45:CW79)&lt;&gt;0,INDEX(A45:A79,MATCH(MAX(CW45:CW79),CW45:CW79,0)),M44),IF(MIN(CW45:CW79)&lt;&gt;0,INDEX(A45:A79,MATCH(MIN(CW45:CW79),CW45:CW79,0))))</f>
        <v>#NUM!</v>
      </c>
      <c r="CX42" s="61" t="e">
        <f ca="1">+MAX(CW45:CW79)</f>
        <v>#NUM!</v>
      </c>
      <c r="CY42" s="22" t="e">
        <f ca="1">ABS(+MIN(CW45:CW79))</f>
        <v>#NUM!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8">+DB42</f>
        <v>0</v>
      </c>
      <c r="EG42" s="22">
        <f t="shared" ref="EG42" si="219">+DC42</f>
        <v>0</v>
      </c>
      <c r="EH42" s="22">
        <f t="shared" ref="EH42" si="220">+DD42</f>
        <v>0</v>
      </c>
      <c r="EI42" s="22">
        <f t="shared" ref="EI42" si="221">+DE42</f>
        <v>0</v>
      </c>
      <c r="EJ42" s="22">
        <f t="shared" ref="EJ42" si="222">+DF42</f>
        <v>0</v>
      </c>
      <c r="EL42" s="22">
        <f>+DH42</f>
        <v>0</v>
      </c>
      <c r="EM42" s="22">
        <f t="shared" ref="EM42" si="223">+DI42</f>
        <v>0</v>
      </c>
      <c r="EN42" s="22">
        <f>+DJ42</f>
        <v>0</v>
      </c>
      <c r="EO42" s="22">
        <f t="shared" ref="EO42" si="224">+DK42</f>
        <v>0</v>
      </c>
      <c r="EP42" s="22">
        <f t="shared" ref="EP42" si="225">+DL42</f>
        <v>0</v>
      </c>
      <c r="EQ42" s="22">
        <f t="shared" ref="EQ42" si="226">+DM42</f>
        <v>0</v>
      </c>
      <c r="EU42" s="67">
        <v>565.05999999999995</v>
      </c>
      <c r="EV42" s="67" t="s">
        <v>355</v>
      </c>
      <c r="EW42" s="67">
        <v>488.43</v>
      </c>
      <c r="EX42" s="67" t="s">
        <v>356</v>
      </c>
      <c r="EY42" s="67">
        <v>5663.94</v>
      </c>
      <c r="EZ42" s="67" t="s">
        <v>357</v>
      </c>
      <c r="FA42" s="67">
        <v>20063.564999999999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250509</v>
      </c>
      <c r="C43" s="45" t="str">
        <f>+C2</f>
        <v>250516</v>
      </c>
      <c r="D43" s="45" t="str">
        <f>+D2</f>
        <v>250620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7">+BJ2</f>
        <v>GAMMA</v>
      </c>
      <c r="BK43" s="22" t="str">
        <f t="shared" si="227"/>
        <v>GAMMA</v>
      </c>
      <c r="BL43" s="22" t="str">
        <f t="shared" si="227"/>
        <v>GAMMA</v>
      </c>
      <c r="BM43" s="22" t="str">
        <f t="shared" si="227"/>
        <v>GAMMA</v>
      </c>
      <c r="BN43" s="22" t="str">
        <f t="shared" si="227"/>
        <v>GAMMA</v>
      </c>
      <c r="BO43" s="25" t="str">
        <f t="shared" si="227"/>
        <v>GAMMA</v>
      </c>
      <c r="BQ43" s="22" t="s">
        <v>11</v>
      </c>
      <c r="BR43" s="22" t="e">
        <f ca="1">ABS(+MIN(BQ45:BQ79))</f>
        <v>#NUM!</v>
      </c>
      <c r="BS43" s="22" t="s">
        <v>11</v>
      </c>
      <c r="BT43" s="22">
        <f ca="1">ABS(+MIN(BS45:BS79))</f>
        <v>10971102.532079145</v>
      </c>
      <c r="BU43" s="22" t="s">
        <v>11</v>
      </c>
      <c r="BV43" s="25">
        <f ca="1">ABS(+MIN(BU45:BU79))</f>
        <v>155057192.17566317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8">+CD2</f>
        <v>DELTA</v>
      </c>
      <c r="CE43" s="22" t="str">
        <f t="shared" si="228"/>
        <v>DELTA</v>
      </c>
      <c r="CF43" s="22" t="str">
        <f t="shared" si="228"/>
        <v>DELTA</v>
      </c>
      <c r="CG43" s="22" t="str">
        <f t="shared" si="228"/>
        <v>DELTA</v>
      </c>
      <c r="CH43" s="22" t="str">
        <f t="shared" si="228"/>
        <v>DELTA</v>
      </c>
      <c r="CI43" s="25" t="str">
        <f t="shared" si="228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9">+EE2</f>
        <v>IMPL_VOL</v>
      </c>
      <c r="EF43" s="22" t="str">
        <f t="shared" si="229"/>
        <v>IMPL_VOL</v>
      </c>
      <c r="EG43" s="22" t="str">
        <f t="shared" si="229"/>
        <v>IMPL_VOL</v>
      </c>
      <c r="EH43" s="22" t="str">
        <f t="shared" si="229"/>
        <v>IMPL_VOL</v>
      </c>
      <c r="EI43" s="22" t="str">
        <f t="shared" si="229"/>
        <v>IMPL_VOL</v>
      </c>
      <c r="EJ43" s="22" t="str">
        <f t="shared" si="229"/>
        <v>IMPL_VOL</v>
      </c>
      <c r="EL43" s="22" t="str">
        <f t="shared" ref="EL43:EQ43" si="230">+EL2</f>
        <v>IMPL_VOL</v>
      </c>
      <c r="EM43" s="22" t="str">
        <f t="shared" si="230"/>
        <v>IMPL_VOL</v>
      </c>
      <c r="EN43" s="22" t="str">
        <f t="shared" si="230"/>
        <v>IMPL_VOL</v>
      </c>
      <c r="EO43" s="22" t="str">
        <f t="shared" si="230"/>
        <v>IMPL_VOL</v>
      </c>
      <c r="EP43" s="22" t="str">
        <f t="shared" si="230"/>
        <v>IMPL_VOL</v>
      </c>
      <c r="EQ43" s="22" t="str">
        <f t="shared" si="230"/>
        <v>IMPL_VOL</v>
      </c>
      <c r="EU43" s="67">
        <v>565.05999999999995</v>
      </c>
      <c r="EV43" s="67" t="s">
        <v>363</v>
      </c>
      <c r="EW43" s="67">
        <v>488.39</v>
      </c>
      <c r="EX43" s="67" t="s">
        <v>364</v>
      </c>
      <c r="EY43" s="67">
        <v>5663.94</v>
      </c>
      <c r="EZ43" s="67" t="s">
        <v>365</v>
      </c>
      <c r="FA43" s="67">
        <v>20063.564999999999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496.17</v>
      </c>
      <c r="B44" s="27">
        <f>+AS44/AT44</f>
        <v>-1.0361767113520937</v>
      </c>
      <c r="C44" s="27">
        <f>+AU44/AV44</f>
        <v>-2.2856472689027942</v>
      </c>
      <c r="D44" s="27">
        <f>+AW44/AX44</f>
        <v>-0.86715586478444706</v>
      </c>
      <c r="E44" s="28">
        <v>0</v>
      </c>
      <c r="F44" s="47">
        <f>RTD("tos.rtd", ,"MARK", F43)</f>
        <v>20471.75</v>
      </c>
      <c r="G44" s="48" t="e">
        <f>RTD("tos.rtd", ,"MARK", G43)</f>
        <v>#N/A</v>
      </c>
      <c r="AO44" s="1">
        <v>0</v>
      </c>
      <c r="AP44" s="1">
        <v>1015184</v>
      </c>
      <c r="AQ44" s="1">
        <v>-864820</v>
      </c>
      <c r="AS44" s="13">
        <f t="shared" ref="AS44:AY44" si="231">SUM(AS45:AS79)</f>
        <v>117719</v>
      </c>
      <c r="AT44" s="29">
        <f t="shared" si="231"/>
        <v>-113609</v>
      </c>
      <c r="AU44" s="13">
        <f t="shared" si="231"/>
        <v>302078</v>
      </c>
      <c r="AV44" s="29">
        <f t="shared" si="231"/>
        <v>-132163</v>
      </c>
      <c r="AW44" s="13">
        <f t="shared" si="231"/>
        <v>193805</v>
      </c>
      <c r="AX44" s="29">
        <f t="shared" si="231"/>
        <v>-223495</v>
      </c>
      <c r="AY44" s="29">
        <f t="shared" si="231"/>
        <v>144335</v>
      </c>
      <c r="AZ44" s="1">
        <v>0</v>
      </c>
      <c r="BA44" s="13">
        <f t="shared" ref="BA44:BH44" si="232">SUM(BA45:BA79)</f>
        <v>1025864</v>
      </c>
      <c r="BB44" s="29">
        <f t="shared" si="232"/>
        <v>-872337</v>
      </c>
      <c r="BC44" s="13">
        <f t="shared" si="232"/>
        <v>65238</v>
      </c>
      <c r="BD44" s="29">
        <f t="shared" si="232"/>
        <v>-91493</v>
      </c>
      <c r="BE44" s="13">
        <f t="shared" si="232"/>
        <v>15012</v>
      </c>
      <c r="BF44" s="29">
        <f t="shared" si="232"/>
        <v>-17262</v>
      </c>
      <c r="BG44" s="29"/>
      <c r="BH44" s="29">
        <f t="shared" ca="1" si="232"/>
        <v>99240</v>
      </c>
      <c r="BJ44" s="30" t="e">
        <f t="shared" ref="BJ44:BO44" ca="1" si="233">SUM(BJ45:BJ79)</f>
        <v>#NUM!</v>
      </c>
      <c r="BK44" s="31" t="e">
        <f t="shared" ca="1" si="233"/>
        <v>#NUM!</v>
      </c>
      <c r="BL44" s="30">
        <f t="shared" ca="1" si="233"/>
        <v>0.77496318134592579</v>
      </c>
      <c r="BM44" s="31">
        <f t="shared" ca="1" si="233"/>
        <v>-0.39380132245575572</v>
      </c>
      <c r="BN44" s="30">
        <f t="shared" ca="1" si="233"/>
        <v>0.6009915564308308</v>
      </c>
      <c r="BO44" s="31">
        <f t="shared" ca="1" si="233"/>
        <v>-0.57617847322200311</v>
      </c>
      <c r="BQ44" s="30" t="e">
        <f ca="1">SUM(BQ45:BQ79)</f>
        <v>#NUM!</v>
      </c>
      <c r="BR44" s="31"/>
      <c r="BS44" s="30">
        <f ca="1">SUM(BS45:BS79)</f>
        <v>1439854158.5128448</v>
      </c>
      <c r="BT44" s="31"/>
      <c r="BU44" s="30">
        <f ca="1">SUM(BU45:BU79)</f>
        <v>170566207.09324068</v>
      </c>
      <c r="BV44" s="31"/>
      <c r="BW44" s="69"/>
      <c r="BX44" s="30" t="e">
        <f ca="1">SUM(BX45:BX79)</f>
        <v>#NUM!</v>
      </c>
      <c r="BY44" s="31"/>
      <c r="BZ44" s="30">
        <f ca="1">SUM(BZ45:BZ79)</f>
        <v>213595798.44865832</v>
      </c>
      <c r="CA44" s="31"/>
      <c r="CB44" s="30">
        <f ca="1">SUM(CB45:CB79)</f>
        <v>55599036.497084148</v>
      </c>
      <c r="CC44" s="31"/>
      <c r="CD44" s="30">
        <f t="shared" ref="CD44:CI44" si="234">SUM(CD45:CD79)</f>
        <v>29.09</v>
      </c>
      <c r="CE44" s="31">
        <f t="shared" si="234"/>
        <v>6.39</v>
      </c>
      <c r="CF44" s="30">
        <f t="shared" si="234"/>
        <v>29.57</v>
      </c>
      <c r="CG44" s="31">
        <f t="shared" si="234"/>
        <v>11.18</v>
      </c>
      <c r="CH44" s="30">
        <f t="shared" si="234"/>
        <v>4.91</v>
      </c>
      <c r="CI44" s="31">
        <f t="shared" si="234"/>
        <v>2.6499999999999995</v>
      </c>
      <c r="CK44" s="30">
        <f>SUM(CK45:CK79)</f>
        <v>8667992</v>
      </c>
      <c r="CL44" s="31"/>
      <c r="CM44" s="30">
        <f>SUM(CM45:CM79)</f>
        <v>21221929</v>
      </c>
      <c r="CN44" s="31"/>
      <c r="CO44" s="30">
        <f>SUM(CO45:CO79)</f>
        <v>5334346</v>
      </c>
      <c r="CP44" s="31">
        <f t="shared" ref="CP44:CP79" si="235">+CK44+CM44+CO44</f>
        <v>35224267</v>
      </c>
      <c r="CQ44" s="30">
        <f>SUM(CQ45:CQ79)</f>
        <v>153527</v>
      </c>
      <c r="CR44" s="31"/>
      <c r="CS44" s="30">
        <f>SUM(CS45:CS79)</f>
        <v>-26255</v>
      </c>
      <c r="CT44" s="31"/>
      <c r="CU44" s="30">
        <f>SUM(CU45:CU79)</f>
        <v>-2250</v>
      </c>
      <c r="CV44" s="31"/>
      <c r="CW44" s="31" t="e">
        <f ca="1">SUM(CW45:CW79)</f>
        <v>#NUM!</v>
      </c>
      <c r="CY44" s="31" t="e">
        <f ca="1">SUM(CY45:CY79)</f>
        <v>#NUM!</v>
      </c>
      <c r="DA44" s="30">
        <f t="shared" ref="DA44:DB44" si="236">SUM(DA45:DA79)</f>
        <v>212</v>
      </c>
      <c r="DB44" s="31">
        <f t="shared" si="236"/>
        <v>104.44000000000008</v>
      </c>
      <c r="DC44" s="30">
        <f t="shared" ref="DC44:DF44" si="237">SUM(DC45:DC79)</f>
        <v>213.65000000000003</v>
      </c>
      <c r="DD44" s="31">
        <f t="shared" si="237"/>
        <v>110.9100000000001</v>
      </c>
      <c r="DE44" s="30">
        <f t="shared" si="237"/>
        <v>204.61000000000004</v>
      </c>
      <c r="DF44" s="30">
        <f t="shared" si="237"/>
        <v>101.86999999999999</v>
      </c>
      <c r="DG44" s="64">
        <v>750</v>
      </c>
      <c r="DH44" s="30">
        <f t="shared" ref="DH44:DM44" si="238">SUM(DH45:DH79)</f>
        <v>7505.5915122867264</v>
      </c>
      <c r="DI44" s="31">
        <f t="shared" si="238"/>
        <v>-3265.3268376915998</v>
      </c>
      <c r="DJ44" s="30">
        <f t="shared" si="238"/>
        <v>8165</v>
      </c>
      <c r="DK44" s="31">
        <f t="shared" si="238"/>
        <v>1569</v>
      </c>
      <c r="DL44" s="30">
        <f t="shared" si="238"/>
        <v>4240.264674595127</v>
      </c>
      <c r="DM44" s="30">
        <f t="shared" si="238"/>
        <v>9734</v>
      </c>
      <c r="DP44" s="30">
        <f>SUM(DP45:DP79)</f>
        <v>1792.2268693644496</v>
      </c>
      <c r="DQ44" s="31">
        <f>SUM(DQ45:DQ79)</f>
        <v>3374.5900000000006</v>
      </c>
      <c r="DR44" s="30" t="e">
        <f ca="1">SUM(DR45:DR79)</f>
        <v>#NUM!</v>
      </c>
      <c r="DS44" s="31">
        <f>SUM(DS45:DS79)</f>
        <v>8373.27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9">SUM(EE45:EE79)</f>
        <v>9.5103000000000009</v>
      </c>
      <c r="EF44" s="31">
        <f t="shared" si="239"/>
        <v>109.8143</v>
      </c>
      <c r="EG44" s="30">
        <f t="shared" si="239"/>
        <v>7.2153999999999998</v>
      </c>
      <c r="EH44" s="31">
        <f t="shared" si="239"/>
        <v>15.758300000000002</v>
      </c>
      <c r="EI44" s="30">
        <f t="shared" si="239"/>
        <v>8.0964000000000009</v>
      </c>
      <c r="EJ44" s="30">
        <f t="shared" si="239"/>
        <v>9.0876000000000001</v>
      </c>
      <c r="EK44" s="63" t="e">
        <f ca="1">SUM(EK45:EK79)</f>
        <v>#NUM!</v>
      </c>
      <c r="EL44" s="30">
        <f t="shared" ref="EL44:EQ44" si="240">SUM(EL45:EL79)</f>
        <v>0</v>
      </c>
      <c r="EM44" s="31">
        <f t="shared" si="240"/>
        <v>0</v>
      </c>
      <c r="EN44" s="30">
        <f t="shared" si="240"/>
        <v>0</v>
      </c>
      <c r="EO44" s="31">
        <f t="shared" si="240"/>
        <v>0</v>
      </c>
      <c r="EP44" s="30">
        <f t="shared" si="240"/>
        <v>0</v>
      </c>
      <c r="EQ44" s="30">
        <f t="shared" si="240"/>
        <v>0</v>
      </c>
      <c r="EU44" s="67">
        <v>565.05999999999995</v>
      </c>
      <c r="EV44" s="67" t="s">
        <v>371</v>
      </c>
      <c r="EW44" s="67">
        <v>488.49</v>
      </c>
      <c r="EX44" s="67" t="s">
        <v>372</v>
      </c>
      <c r="EY44" s="67">
        <v>5663.94</v>
      </c>
      <c r="EZ44" s="67" t="s">
        <v>373</v>
      </c>
      <c r="FA44" s="67">
        <v>20063.564999999999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ROUND(485/$A$39,0)*$A$39+17*$A$39</f>
        <v>502</v>
      </c>
      <c r="B45" s="3">
        <f t="shared" ref="B45:B79" si="241">+IF($A$1="ABS",AS45-AT45,AS45+AT45)</f>
        <v>1809</v>
      </c>
      <c r="C45" s="3">
        <f t="shared" ref="C45:C71" si="242">+IF($A$1="ABS",AU45-AV45,AU45+AV45)</f>
        <v>3474</v>
      </c>
      <c r="D45" s="3">
        <f t="shared" ref="D45:D79" si="243">+IF($A$1="ABS",AW45-AX45,AW45+AX45)</f>
        <v>0</v>
      </c>
      <c r="E45" s="3">
        <f t="shared" ref="E45:E79" si="244">SUM(B45:D45)</f>
        <v>5283</v>
      </c>
      <c r="F45" s="4">
        <f>+$F$44/$A$44*A45</f>
        <v>20712.293165648869</v>
      </c>
      <c r="AM45" s="1">
        <v>173</v>
      </c>
      <c r="AN45" s="1">
        <v>1</v>
      </c>
      <c r="AO45" s="1">
        <v>502</v>
      </c>
      <c r="AP45" s="1">
        <v>2333</v>
      </c>
      <c r="AQ45" s="1">
        <v>-1</v>
      </c>
      <c r="AS45" s="30">
        <f>IF(RTD("tos.rtd",,AS$43,"."&amp;$A$43&amp;$AS$42&amp;"C"&amp;$A45)="N/A",0,RTD("tos.rtd",,AS$43,"."&amp;$A$43&amp;$AS$42&amp;"C"&amp;$A45))</f>
        <v>1808</v>
      </c>
      <c r="AT45" s="31">
        <f>-IF(RTD("tos.rtd",,AT$43,"."&amp;$A$43&amp;$AS$42&amp;"P"&amp;$A45)="N/A",0,RTD("tos.rtd",,AT$43,"."&amp;$A$43&amp;$AS$42&amp;"P"&amp;$A45))</f>
        <v>-1</v>
      </c>
      <c r="AU45" s="30">
        <f>IF(RTD("tos.rtd",,AU$2,"."&amp;$A$43&amp;$AU$1&amp;"C"&amp;$A45)="N/A",0,RTD("tos.rtd",,AU$2,"."&amp;$A$43&amp;$AU$1&amp;"C"&amp;$A45))</f>
        <v>3358</v>
      </c>
      <c r="AV45" s="31">
        <f>-IF(RTD("tos.rtd",,AV$2,"."&amp;$A$43&amp;$AU$1&amp;"P"&amp;$A45)="N/A",0,RTD("tos.rtd",,AV$2,"."&amp;$A$43&amp;$AU$1&amp;"P"&amp;$A45))</f>
        <v>-116</v>
      </c>
      <c r="AW45" s="30">
        <f>IF(RTD("tos.rtd",,AW$2,"."&amp;$A$43&amp;$AW$1&amp;"C"&amp;$A45)="N/A",0,RTD("tos.rtd",,AW$2,"."&amp;$A$43&amp;$AW$1&amp;"C"&amp;$A45))</f>
        <v>0</v>
      </c>
      <c r="AX45" s="31">
        <f>-IF(RTD("tos.rtd",,AX$2,"."&amp;$A$43&amp;$AW$1&amp;"P"&amp;$A45)="N/A",0,RTD("tos.rtd",,AX$2,"."&amp;$A$43&amp;$AW$1&amp;"P"&amp;$A45))</f>
        <v>0</v>
      </c>
      <c r="AY45" s="31">
        <f>SUM(AS45:AX45)</f>
        <v>5049</v>
      </c>
      <c r="AZ45" s="8">
        <f t="shared" ref="AZ45:AZ79" si="245">+A45</f>
        <v>502</v>
      </c>
      <c r="BA45" s="30">
        <f>IF(RTD("tos.rtd",,BA$43,"."&amp;$A$43&amp;$AS$42&amp;"C"&amp;$A45)="N/A",0,RTD("tos.rtd",,BA$43,"."&amp;$A$43&amp;$AS$42&amp;"C"&amp;$A45))</f>
        <v>2333</v>
      </c>
      <c r="BB45" s="31">
        <f>-IF(RTD("tos.rtd",,BB$43,"."&amp;$A$43&amp;$AS$42&amp;"P"&amp;$A45)="N/A",0,RTD("tos.rtd",,BB$43,"."&amp;$A$43&amp;$AS$42&amp;"P"&amp;$A45))</f>
        <v>-1</v>
      </c>
      <c r="BC45" s="30">
        <f>IF(RTD("tos.rtd",,BC$2,"."&amp;$A$43&amp;$AU$1&amp;"C"&amp;$A45)="N/A",0,RTD("tos.rtd",,BC$2,"."&amp;$A$43&amp;$AU$1&amp;"C"&amp;$A45))</f>
        <v>967</v>
      </c>
      <c r="BD45" s="31">
        <f>-IF(RTD("tos.rtd",,BD$2,"."&amp;$A$43&amp;$AU$1&amp;"P"&amp;$A45)="N/A",0,RTD("tos.rtd",,BD$2,"."&amp;$A$43&amp;$AU$1&amp;"P"&amp;$A45))</f>
        <v>-54</v>
      </c>
      <c r="BE45" s="30">
        <f>IF(RTD("tos.rtd",,BE$2,"."&amp;$A$43&amp;$AW$1&amp;"C"&amp;$A45)="N/A",0,RTD("tos.rtd",,BE$2,"."&amp;$A$43&amp;$AW$1&amp;"C"&amp;$A45))</f>
        <v>0</v>
      </c>
      <c r="BF45" s="31">
        <f>-IF(RTD("tos.rtd",,BF$2,"."&amp;$A$43&amp;$AW$1&amp;"P"&amp;$A45)="N/A",0,RTD("tos.rtd",,BF$2,"."&amp;$A$43&amp;$AW$1&amp;"P"&amp;$A45))</f>
        <v>0</v>
      </c>
      <c r="BG45" s="32">
        <f ca="1">+Hoja2!Y46</f>
        <v>-125</v>
      </c>
      <c r="BH45" s="31">
        <f ca="1">SUM(BA45:BG45)</f>
        <v>3120</v>
      </c>
      <c r="BI45" s="8"/>
      <c r="BJ45" s="83" t="e">
        <f ca="1">IF($BP$1=1,DX45,IF(RTD("tos.rtd",,BJ$43,"."&amp;$A$43&amp;$AS$42&amp;"C"&amp;$A45)="N/A",0,RTD("tos.rtd",,BJ$43,"."&amp;$A$43&amp;$AS$42&amp;"C"&amp;$A45)))</f>
        <v>#NUM!</v>
      </c>
      <c r="BK45" s="83" t="e">
        <f ca="1">IF($BP$1=1,DY45,-IF(RTD("tos.rtd",,BK$43,"."&amp;$A$43&amp;$AS$42&amp;"P"&amp;$A45)="N/A",0,RTD("tos.rtd",,BK$43,"."&amp;$A$43&amp;$AS$42&amp;"P"&amp;$A45)))</f>
        <v>#NUM!</v>
      </c>
      <c r="BL45" s="83">
        <f ca="1">IF($BP$1=1,DZ45,IF(RTD("tos.rtd",,BL$2,"."&amp;$A$43&amp;$AU$1&amp;"C"&amp;$A45)="N/A",0,RTD("tos.rtd",,BL$2,"."&amp;$A$43&amp;$AU$1&amp;"C"&amp;$A45)))</f>
        <v>3.2063492392838941E-2</v>
      </c>
      <c r="BM45" s="83">
        <f ca="1">IF($BP$1=1,EA45,-IF(RTD("tos.rtd",,BM$2,"."&amp;$A$43&amp;$AU$1&amp;"P"&amp;$A45)="N/A",0,RTD("tos.rtd",,BM$2,"."&amp;$A$43&amp;$AU$1&amp;"P"&amp;$A45)))</f>
        <v>-1.0871494050193855E-2</v>
      </c>
      <c r="BN45" s="83">
        <f ca="1">IF($BP$1=1,EB45,IF(RTD("tos.rtd",,BN$2,"."&amp;$A$43&amp;$AW$1&amp;"C"&amp;$A45)="N/A",0,RTD("tos.rtd",,BN$2,"."&amp;$A$43&amp;$AW$1&amp;"C"&amp;$A45)))</f>
        <v>2.2651185155858997E-2</v>
      </c>
      <c r="BO45" s="83">
        <f ca="1">IF($BP$1=1,EC45,-IF(RTD("tos.rtd",,BO$2,"."&amp;$A$43&amp;$AW$1&amp;"P"&amp;$A45)="N/A",0,RTD("tos.rtd",,BO$2,"."&amp;$A$43&amp;$AW$1&amp;"P"&amp;$A45)))</f>
        <v>-2.2651185155858997E-2</v>
      </c>
      <c r="BQ45" s="83" t="e">
        <f ca="1">+$A$44*$A$44*AS45*BJ45-$A$44*$A$44*AT45*BK45</f>
        <v>#NUM!</v>
      </c>
      <c r="BR45" s="83"/>
      <c r="BS45" s="83">
        <f ca="1">+$A$44*$A$44*AU45*BL45-$A$44*$A$44*AV45*BM45</f>
        <v>26196046.349141639</v>
      </c>
      <c r="BT45" s="83"/>
      <c r="BU45" s="83">
        <f ca="1">+$A$44*$A$44*AW45*BN45-$A$44*$A$44*AX45*BO45</f>
        <v>0</v>
      </c>
      <c r="BV45" s="83"/>
      <c r="BX45" s="83" t="e">
        <f t="shared" ref="BX45" ca="1" si="246">+$A$44*$A$44*BA45*BJ45-$A$44*$A$44*BB45*BK45</f>
        <v>#NUM!</v>
      </c>
      <c r="BY45" s="83"/>
      <c r="BZ45" s="83">
        <f t="shared" ref="BZ45" ca="1" si="247">+$A$44*$A$44*BC45*BL45-$A$44*$A$44*BD45*BM45</f>
        <v>7488528.0911653908</v>
      </c>
      <c r="CA45" s="83"/>
      <c r="CB45" s="83">
        <f t="shared" ref="CB45" ca="1" si="248">+$A$44*$A$44*BE45*BN45-$A$44*$A$44*BF45*BO45</f>
        <v>0</v>
      </c>
      <c r="CC45" s="83"/>
      <c r="CD45" s="83">
        <f>IF(RTD("tos.rtd",,CD$43,"."&amp;$A$43&amp;$AS$42&amp;"C"&amp;$A45)="N/A",0,RTD("tos.rtd",,CD$43,"."&amp;$A$43&amp;$AS$42&amp;"C"&amp;$A45))</f>
        <v>0.01</v>
      </c>
      <c r="CE45" s="83">
        <f>-IF(RTD("tos.rtd",,CE$43,"."&amp;$A$43&amp;$AS$42&amp;"P"&amp;$A45)="N/A",0,RTD("tos.rtd",,CE$43,"."&amp;$A$43&amp;$AS$42&amp;"P"&amp;$A45))</f>
        <v>0.56999999999999995</v>
      </c>
      <c r="CF45" s="83">
        <f>IF(RTD("tos.rtd",,CF$2,"."&amp;$A$43&amp;$AU$1&amp;"C"&amp;$A45)="N/A",0,RTD("tos.rtd",,CF$2,"."&amp;$A$43&amp;$AU$1&amp;"C"&amp;$A45))</f>
        <v>0.28000000000000003</v>
      </c>
      <c r="CG45" s="83">
        <f>-IF(RTD("tos.rtd",,CG$2,"."&amp;$A$43&amp;$AU$1&amp;"P"&amp;$A45)="N/A",0,RTD("tos.rtd",,CG$2,"."&amp;$A$43&amp;$AU$1&amp;"P"&amp;$A45))</f>
        <v>0.56000000000000005</v>
      </c>
      <c r="CH45" s="83">
        <f>IF(RTD("tos.rtd",,CH$2,"."&amp;$A$43&amp;$AW$1&amp;"C"&amp;$A45)="N/A",0,RTD("tos.rtd",,CH$2,"."&amp;$A$43&amp;$AW$1&amp;"C"&amp;$A45))</f>
        <v>0</v>
      </c>
      <c r="CI45" s="83">
        <f>-IF(RTD("tos.rtd",,CI$2,"."&amp;$A$43&amp;$AW$1&amp;"P"&amp;$A45)="N/A",0,RTD("tos.rtd",,CI$2,"."&amp;$A$43&amp;$AW$1&amp;"P"&amp;$A45))</f>
        <v>0</v>
      </c>
      <c r="CK45" s="83">
        <f>+AS45*CD45*100+AT45*CE45*100</f>
        <v>1751.0000000000002</v>
      </c>
      <c r="CL45" s="83"/>
      <c r="CM45" s="83">
        <f>+AU45*CF45*100+AV45*CG45*100</f>
        <v>87528.000000000015</v>
      </c>
      <c r="CN45" s="83"/>
      <c r="CO45" s="83">
        <f>+AW45*CH45*100+AX45*CI45*100</f>
        <v>0</v>
      </c>
      <c r="CP45" s="83">
        <f t="shared" si="235"/>
        <v>89279.000000000015</v>
      </c>
      <c r="CQ45" s="83">
        <f t="shared" ref="CQ45:CQ79" si="249">+BA45+BB45</f>
        <v>2332</v>
      </c>
      <c r="CR45" s="83"/>
      <c r="CS45" s="83">
        <f t="shared" ref="CS45:CS79" si="250">+BC45+BD45</f>
        <v>913</v>
      </c>
      <c r="CT45" s="83"/>
      <c r="CU45" s="83">
        <f t="shared" ref="CU45:CU79" si="251">+BE45+BF45</f>
        <v>0</v>
      </c>
      <c r="CV45" s="83"/>
      <c r="CW45" s="83" t="e">
        <f t="shared" ref="CW45:CW79" ca="1" si="252">+BQ45+BS45+BU45</f>
        <v>#NUM!</v>
      </c>
      <c r="CY45" s="83" t="e">
        <f t="shared" ref="CY45:CY79" ca="1" si="253">+BX45+BZ45+CB45</f>
        <v>#NUM!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14.3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14.23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13.88</v>
      </c>
      <c r="DG45" s="86">
        <f>+$A45-$A$44</f>
        <v>5.8299999999999841</v>
      </c>
      <c r="DH45" s="83">
        <f t="shared" ref="DH45:DH79" si="254">((DA45-DE45)/(DC45-DE45))*(BA45-AP45)</f>
        <v>0</v>
      </c>
      <c r="DI45" s="83">
        <f t="shared" ref="DI45:DI79" si="255">((DB45-DF45)/(DD45-DF45))*(BB45-AQ45)</f>
        <v>0</v>
      </c>
      <c r="DJ45" s="83">
        <f t="shared" ref="DJ45:DJ79" si="256">IF(DA45&gt;=(DE45+(DC45-DE45)*0.6),(BA45-AP45),IF(DA45&lt;=(DE45+(DC45-DE45)*0.4),-(BA45-AP45),0))</f>
        <v>0</v>
      </c>
      <c r="DK45" s="83">
        <f t="shared" ref="DK45:DK79" si="257">IF(DB45&lt;=(DF45+(DD45-DF45)*0.4),-(BB45-AQ45),IF(DB45&gt;=(DF45+(DD45-DF45)*0.6),(BB45-AQ45),0))</f>
        <v>0</v>
      </c>
      <c r="DL45" s="83">
        <f t="shared" ref="DL45:DL79" si="258">+DH45+DI45</f>
        <v>0</v>
      </c>
      <c r="DM45" s="83">
        <f t="shared" ref="DM45:DM79" si="259">+DJ45+DK45</f>
        <v>0</v>
      </c>
      <c r="DN45" s="64" t="str">
        <f t="shared" ref="DN45:DN79" si="260">IF(AND(DA45&gt;=(DE45+(DC45-DE45)*0.6),BA45&gt;AP45),"BUY",IF(AND(DA45&lt;=(DE45+(DC45-DE45)*0.4),BA45&gt;AP45),"SELL","UNKNOWN"))</f>
        <v>UNKNOWN</v>
      </c>
      <c r="DO45" s="64" t="str">
        <f t="shared" ref="DO45:DO79" si="261">IF(AND(DB45&gt;=(DF45+(DD45-DF45)*0.6),ABS(BB45)&gt;ABS(AQ45)),"BUY",IF(AND(DB45&lt;=(DF45+(DD45-DF45)*0.4),ABS(BB45)&gt;ABS(AQ45)),"SELL","UNKNOWN"))</f>
        <v>UNKNOWN</v>
      </c>
      <c r="DP45" s="83">
        <f t="shared" ref="DP45:DP79" si="262">+DH45*DA45+DI45*DB45</f>
        <v>0</v>
      </c>
      <c r="DQ45" s="83">
        <f t="shared" ref="DQ45:DQ79" si="263">+DA45*DJ45+DB45*DK45</f>
        <v>0</v>
      </c>
      <c r="DR45" s="83" t="e">
        <f t="shared" ref="DR45:DR79" ca="1" si="264">+BJ45*DJ45+BK45*DK45</f>
        <v>#NUM!</v>
      </c>
      <c r="DS45" s="83">
        <f t="shared" ref="DS45:DS79" si="265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266">AM45+IF(DN45="BUY",DT45,IF(DN45="SELL",-DT45,0))</f>
        <v>173</v>
      </c>
      <c r="DW45" s="83">
        <f t="shared" ref="DW45:DW79" si="267">AN45+IF(DO45="BUY",DU45,IF(DO45="SELL",-DU45,0))</f>
        <v>1</v>
      </c>
      <c r="DX45" s="83" t="e">
        <f ca="1">(EXP(-POWER((LN($A$44/$A45)+($EC$1+POWER($EE45,2)/2)*($EM$1/$DY$1))/($EE45*SQRT($EM$1/$DY$1)),2)/2)/SQRT(2*PI())/($A$44*$EE45*SQRT($EM$1/$DY$1)))</f>
        <v>#NUM!</v>
      </c>
      <c r="DY45" s="83" t="e">
        <f ca="1">-(EXP(-POWER((LN($A$44/$A45)+($EC$1+POWER($EF45,2)/2)*($EM$1/$DY$1))/($EF45*SQRT($EM$1/$DY$1)),2)/2)/SQRT(2*PI())/($A$44*$EF45*SQRT($EM$1/$DY$1)))</f>
        <v>#NUM!</v>
      </c>
      <c r="DZ45" s="83">
        <f ca="1">(EXP(-POWER((LN($A$44/$A45)+($EC$1+POWER($EG45,2)/2)*($EO$1/$DY$1))/($EG45*SQRT($EO$1/$DY$1)),2)/2)/SQRT(2*PI())/($A$44*$EG45*SQRT($EO$1/$DY$1)))</f>
        <v>3.2063492392838941E-2</v>
      </c>
      <c r="EA45" s="83">
        <f ca="1">-(EXP(-POWER((LN($A$44/$A45)+($EC$1+POWER($EH45,2)/2)*($EO$1/$DY$1))/($EH45*SQRT($EO$1/$DY$1)),2)/2)/SQRT(2*PI())/($A$44*$EH45*SQRT($EO$1/$DY$1)))</f>
        <v>-1.0871494050193855E-2</v>
      </c>
      <c r="EB45" s="83">
        <f ca="1">(EXP(-POWER((LN($A$44/$A45)+($EC$1+POWER($EI45,2)/2)*($EO$1/$DY$1))/($EI45*SQRT($EO$1/$DY$1)),2)/2)/SQRT(2*PI())/($A$44*$EI45*SQRT($EO$1/$DY$1)))</f>
        <v>2.2651185155858997E-2</v>
      </c>
      <c r="EC45" s="83">
        <f ca="1">-(EXP(-POWER((LN($A$44/$A45)+($EC$1+POWER($EJ45,2)/2)*($EO$1/$DY$1))/($EJ45*SQRT($EO$1/$DY$1)),2)/2)/SQRT(2*PI())/($A$44*$EJ45*SQRT($EO$1/$DY$1)))</f>
        <v>-2.2651185155858997E-2</v>
      </c>
      <c r="ED45" s="63">
        <f>+DV45+DW45</f>
        <v>174</v>
      </c>
      <c r="EE45" s="84">
        <f t="shared" ref="EE45:EE79" si="268">IFERROR(VALUE(IF(OR(EL45="--",EL45="0.00%"),$EE$1,EL45)),$EE$1)</f>
        <v>0.62339999999999995</v>
      </c>
      <c r="EF45" s="84">
        <f t="shared" ref="EF45:EF79" si="269">IFERROR(VALUE(IF(OR(EM45="--",EM45="0.00%"),$EE$1,EM45)),$EE$1)</f>
        <v>7.2458</v>
      </c>
      <c r="EG45" s="84">
        <f t="shared" ref="EG45:EG79" si="270">IFERROR(VALUE(IF(OR(EN45="--",EN45="0.00%"),$EE$1,EN45)),$EE$1)</f>
        <v>0.16520000000000001</v>
      </c>
      <c r="EH45" s="84">
        <f t="shared" ref="EH45:EH79" si="271">IFERROR(VALUE(IF(OR(EO45="--",EO45="0.00%"),$EE$1,EO45)),$EE$1)</f>
        <v>0.5423</v>
      </c>
      <c r="EI45" s="84">
        <f t="shared" ref="EI45:EI79" si="272">IFERROR(VALUE(IF(OR(EP45="--",EP45="0.00%"),$EE$1,EP45)),$EE$1)</f>
        <v>0.25</v>
      </c>
      <c r="EJ45" s="84">
        <f t="shared" ref="EJ45:EJ79" si="273">IFERROR(VALUE(IF(OR(EQ45="--",EQ45="0.00%"),$EE$1,EQ45)),$EE$1)</f>
        <v>0.25</v>
      </c>
      <c r="EK45" s="63" t="e">
        <f ca="1">+DV45*DX45*$A$44*$A$44+DW45*DY45*$A$44*$A$44</f>
        <v>#NUM!</v>
      </c>
      <c r="EL45" s="83" t="str">
        <f>RTD("tos.rtd",,EL$43,"."&amp;$A$43&amp;$AS$42&amp;"C"&amp;$A45)</f>
        <v>62.34%</v>
      </c>
      <c r="EM45" s="83" t="str">
        <f>RTD("tos.rtd",,EM$43,"."&amp;$A$43&amp;$AS$42&amp;"P"&amp;$A45)</f>
        <v>724.58%</v>
      </c>
      <c r="EN45" s="83" t="str">
        <f>RTD("tos.rtd",,EN$2,"."&amp;$A$43&amp;$AU$1&amp;"C"&amp;$A45)</f>
        <v>16.52%</v>
      </c>
      <c r="EO45" s="83" t="str">
        <f>RTD("tos.rtd",,EO$2,"."&amp;$A$43&amp;$AU$1&amp;"P"&amp;$A45)</f>
        <v>54.23%</v>
      </c>
      <c r="EP45" s="83" t="str">
        <f>RTD("tos.rtd",,EP$2,"."&amp;$A$43&amp;$AW$1&amp;"C"&amp;$A45)</f>
        <v>N/A</v>
      </c>
      <c r="EQ45" s="83" t="str">
        <f>RTD("tos.rtd",,EQ$2,"."&amp;$A$43&amp;$AW$1&amp;"P"&amp;$A45)</f>
        <v>N/A</v>
      </c>
      <c r="ES45" s="63" t="str">
        <f t="shared" ref="ES45:ES79" si="274">IFERROR(
    A45 &amp; "," &amp; TEXT(IF(ISNUMBER(DV45+DW45), DV45+DW45, 0), "00.00"),    "Error"
)</f>
        <v>502,174.00</v>
      </c>
      <c r="ET45" s="63" t="str">
        <f t="shared" ref="ET45:ET79" ca="1" si="275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IF(ISNUMBER(EK45), (EK45),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IF(ISNUMBER(EK45), (EK45), 0)
        )))),
    "00.00")
)</f>
        <v>502,00.00</v>
      </c>
      <c r="EU45" s="67">
        <v>565.13</v>
      </c>
      <c r="EV45" s="67" t="s">
        <v>379</v>
      </c>
      <c r="EW45" s="67">
        <v>488.61</v>
      </c>
      <c r="EX45" s="67" t="s">
        <v>380</v>
      </c>
      <c r="EY45" s="67">
        <v>5663.94</v>
      </c>
      <c r="EZ45" s="67" t="s">
        <v>381</v>
      </c>
      <c r="FA45" s="67">
        <v>20063.564999999999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501</v>
      </c>
      <c r="B46" s="3">
        <f t="shared" si="241"/>
        <v>2376</v>
      </c>
      <c r="C46" s="3">
        <f t="shared" si="242"/>
        <v>2628</v>
      </c>
      <c r="D46" s="3">
        <f t="shared" si="243"/>
        <v>0</v>
      </c>
      <c r="E46" s="3">
        <f>SUM(B46:D46)</f>
        <v>5004</v>
      </c>
      <c r="F46" s="4">
        <f>+$F$44/$A$44*A46</f>
        <v>20671.033617510126</v>
      </c>
      <c r="AM46" s="1">
        <v>170</v>
      </c>
      <c r="AN46" s="1">
        <v>-17</v>
      </c>
      <c r="AO46" s="1">
        <v>501</v>
      </c>
      <c r="AP46" s="1">
        <v>3364</v>
      </c>
      <c r="AQ46" s="1">
        <v>-19</v>
      </c>
      <c r="AS46" s="6">
        <f>IF(RTD("tos.rtd",,AS$43,"."&amp;$A$43&amp;$AS$42&amp;"C"&amp;$A46)="N/A",0,RTD("tos.rtd",,AS$43,"."&amp;$A$43&amp;$AS$42&amp;"C"&amp;$A46))</f>
        <v>2358</v>
      </c>
      <c r="AT46" s="7">
        <f>-IF(RTD("tos.rtd",,AT$43,"."&amp;$A$43&amp;$AS$42&amp;"P"&amp;$A46)="N/A",0,RTD("tos.rtd",,AT$43,"."&amp;$A$43&amp;$AS$42&amp;"P"&amp;$A46))</f>
        <v>-18</v>
      </c>
      <c r="AU46" s="6">
        <f>IF(RTD("tos.rtd",,AU$2,"."&amp;$A$43&amp;$AU$1&amp;"C"&amp;$A46)="N/A",0,RTD("tos.rtd",,AU$2,"."&amp;$A$43&amp;$AU$1&amp;"C"&amp;$A46))</f>
        <v>2599</v>
      </c>
      <c r="AV46" s="7">
        <f>-IF(RTD("tos.rtd",,AV$2,"."&amp;$A$43&amp;$AU$1&amp;"P"&amp;$A46)="N/A",0,RTD("tos.rtd",,AV$2,"."&amp;$A$43&amp;$AU$1&amp;"P"&amp;$A46))</f>
        <v>-29</v>
      </c>
      <c r="AW46" s="6">
        <f>IF(RTD("tos.rtd",,AW$2,"."&amp;$A$43&amp;$AW$1&amp;"C"&amp;$A46)="N/A",0,RTD("tos.rtd",,AW$2,"."&amp;$A$43&amp;$AW$1&amp;"C"&amp;$A46))</f>
        <v>0</v>
      </c>
      <c r="AX46" s="7">
        <f>-IF(RTD("tos.rtd",,AX$2,"."&amp;$A$43&amp;$AW$1&amp;"P"&amp;$A46)="N/A",0,RTD("tos.rtd",,AX$2,"."&amp;$A$43&amp;$AW$1&amp;"P"&amp;$A46))</f>
        <v>0</v>
      </c>
      <c r="AY46" s="7">
        <f t="shared" ref="AY46:AY79" si="276">SUM(AS46:AX46)</f>
        <v>4910</v>
      </c>
      <c r="AZ46" s="8">
        <f t="shared" si="245"/>
        <v>501</v>
      </c>
      <c r="BA46" s="6">
        <f>IF(RTD("tos.rtd",,BA$43,"."&amp;$A$43&amp;$AS$42&amp;"C"&amp;$A46)="N/A",0,RTD("tos.rtd",,BA$43,"."&amp;$A$43&amp;$AS$42&amp;"C"&amp;$A46))</f>
        <v>3367</v>
      </c>
      <c r="BB46" s="7">
        <f>-IF(RTD("tos.rtd",,BB$43,"."&amp;$A$43&amp;$AS$42&amp;"P"&amp;$A46)="N/A",0,RTD("tos.rtd",,BB$43,"."&amp;$A$43&amp;$AS$42&amp;"P"&amp;$A46))</f>
        <v>-19</v>
      </c>
      <c r="BC46" s="6">
        <f>IF(RTD("tos.rtd",,BC$2,"."&amp;$A$43&amp;$AU$1&amp;"C"&amp;$A46)="N/A",0,RTD("tos.rtd",,BC$2,"."&amp;$A$43&amp;$AU$1&amp;"C"&amp;$A46))</f>
        <v>1256</v>
      </c>
      <c r="BD46" s="7">
        <f>-IF(RTD("tos.rtd",,BD$2,"."&amp;$A$43&amp;$AU$1&amp;"P"&amp;$A46)="N/A",0,RTD("tos.rtd",,BD$2,"."&amp;$A$43&amp;$AU$1&amp;"P"&amp;$A46))</f>
        <v>-50</v>
      </c>
      <c r="BE46" s="6">
        <f>IF(RTD("tos.rtd",,BE$2,"."&amp;$A$43&amp;$AW$1&amp;"C"&amp;$A46)="N/A",0,RTD("tos.rtd",,BE$2,"."&amp;$A$43&amp;$AW$1&amp;"C"&amp;$A46))</f>
        <v>0</v>
      </c>
      <c r="BF46" s="7">
        <f>-IF(RTD("tos.rtd",,BF$2,"."&amp;$A$43&amp;$AW$1&amp;"P"&amp;$A46)="N/A",0,RTD("tos.rtd",,BF$2,"."&amp;$A$43&amp;$AW$1&amp;"P"&amp;$A46))</f>
        <v>0</v>
      </c>
      <c r="BG46" s="32">
        <f ca="1">+Hoja2!Y47</f>
        <v>244</v>
      </c>
      <c r="BH46" s="7">
        <f t="shared" ref="BH46:BH79" ca="1" si="277">SUM(BA46:BG46)</f>
        <v>4798</v>
      </c>
      <c r="BI46" s="8" t="str">
        <f ca="1">IF(AND(BH46&lt;0,BH45&gt;0), "Cruce -", IF(AND(BH46&gt;0,BH45&lt;0),"Cruce +", ""))</f>
        <v/>
      </c>
      <c r="BJ46" s="83" t="e">
        <f ca="1">IF($BP$1=1,DX46,IF(RTD("tos.rtd",,BJ$43,"."&amp;$A$43&amp;$AS$42&amp;"C"&amp;$A46)="N/A",0,RTD("tos.rtd",,BJ$43,"."&amp;$A$43&amp;$AS$42&amp;"C"&amp;$A46)))</f>
        <v>#NUM!</v>
      </c>
      <c r="BK46" s="83" t="e">
        <f ca="1">IF($BP$1=1,DY46,-IF(RTD("tos.rtd",,BK$43,"."&amp;$A$43&amp;$AS$42&amp;"P"&amp;$A46)="N/A",0,RTD("tos.rtd",,BK$43,"."&amp;$A$43&amp;$AS$42&amp;"P"&amp;$A46)))</f>
        <v>#NUM!</v>
      </c>
      <c r="BL46" s="83">
        <f ca="1">IF($BP$1=1,DZ46,IF(RTD("tos.rtd",,BL$2,"."&amp;$A$43&amp;$AU$1&amp;"C"&amp;$A46)="N/A",0,RTD("tos.rtd",,BL$2,"."&amp;$A$43&amp;$AU$1&amp;"C"&amp;$A46)))</f>
        <v>3.4063755346811213E-2</v>
      </c>
      <c r="BM46" s="83">
        <f ca="1">IF($BP$1=1,EA46,-IF(RTD("tos.rtd",,BM$2,"."&amp;$A$43&amp;$AU$1&amp;"P"&amp;$A46)="N/A",0,RTD("tos.rtd",,BM$2,"."&amp;$A$43&amp;$AU$1&amp;"P"&amp;$A46)))</f>
        <v>-1.1090103279821796E-2</v>
      </c>
      <c r="BN46" s="83">
        <f ca="1">IF($BP$1=1,EB46,IF(RTD("tos.rtd",,BN$2,"."&amp;$A$43&amp;$AW$1&amp;"C"&amp;$A46)="N/A",0,RTD("tos.rtd",,BN$2,"."&amp;$A$43&amp;$AW$1&amp;"C"&amp;$A46)))</f>
        <v>2.3021594902727819E-2</v>
      </c>
      <c r="BO46" s="83">
        <f ca="1">IF($BP$1=1,EC46,-IF(RTD("tos.rtd",,BO$2,"."&amp;$A$43&amp;$AW$1&amp;"P"&amp;$A46)="N/A",0,RTD("tos.rtd",,BO$2,"."&amp;$A$43&amp;$AW$1&amp;"P"&amp;$A46)))</f>
        <v>-2.3021594902727819E-2</v>
      </c>
      <c r="BQ46" s="83" t="e">
        <f t="shared" ref="BQ46:BQ79" ca="1" si="278">+$A$44*$A$44*AS46*BJ46-$A$44*$A$44*AT46*BK46</f>
        <v>#NUM!</v>
      </c>
      <c r="BR46" s="3" t="e">
        <f t="shared" ref="BR46:BR79" ca="1" si="279">IF(AND(BQ46&lt;0,BQ45&gt;0), "Cruce -", IF(AND(BQ46&gt;0,BQ45&lt;0),"Cruce +", ""))</f>
        <v>#NUM!</v>
      </c>
      <c r="BS46" s="83">
        <f t="shared" ref="BS46:BS79" ca="1" si="280">+$A$44*$A$44*AU46*BL46-$A$44*$A$44*AV46*BM46</f>
        <v>21715971.098970018</v>
      </c>
      <c r="BT46" s="3" t="str">
        <f t="shared" ref="BT46:BT79" ca="1" si="281">IF(AND(BS46&lt;0,BS45&gt;0), "Cruce -", IF(AND(BS46&gt;0,BS45&lt;0),"Cruce +", ""))</f>
        <v/>
      </c>
      <c r="BU46" s="83">
        <f t="shared" ref="BU46:BU79" ca="1" si="282">+$A$44*$A$44*AW46*BN46-$A$44*$A$44*AX46*BO46</f>
        <v>0</v>
      </c>
      <c r="BV46" s="83"/>
      <c r="BX46" s="83" t="e">
        <f t="shared" ref="BX46:BX79" ca="1" si="283">+$A$44*$A$44*BA46*BJ46-$A$44*$A$44*BB46*BK46</f>
        <v>#NUM!</v>
      </c>
      <c r="BY46" s="83" t="e">
        <f ca="1">IF(AND(BX46&lt;0,BX45&gt;0), "Cruce -", IF(AND(BX46&gt;0,BX45&lt;0),"Cruce +", ""))</f>
        <v>#NUM!</v>
      </c>
      <c r="BZ46" s="83">
        <f t="shared" ref="BZ46:BZ79" ca="1" si="284">+$A$44*$A$44*BC46*BL46-$A$44*$A$44*BD46*BM46</f>
        <v>10396273.09022044</v>
      </c>
      <c r="CA46" s="83" t="str">
        <f ca="1">IF(AND(BZ46&lt;0,BZ45&gt;0), "Cruce -", IF(AND(BZ46&gt;0,BZ45&lt;0),"Cruce +", ""))</f>
        <v/>
      </c>
      <c r="CB46" s="83">
        <f t="shared" ref="CB46:CB79" ca="1" si="285">+$A$44*$A$44*BE46*BN46-$A$44*$A$44*BF46*BO46</f>
        <v>0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0.01</v>
      </c>
      <c r="CE46" s="83">
        <f>-IF(RTD("tos.rtd",,CE$43,"."&amp;$A$43&amp;$AS$42&amp;"P"&amp;$A46)="N/A",0,RTD("tos.rtd",,CE$43,"."&amp;$A$43&amp;$AS$42&amp;"P"&amp;$A46))</f>
        <v>0.56000000000000005</v>
      </c>
      <c r="CF46" s="83">
        <f>IF(RTD("tos.rtd",,CF$2,"."&amp;$A$43&amp;$AU$1&amp;"C"&amp;$A46)="N/A",0,RTD("tos.rtd",,CF$2,"."&amp;$A$43&amp;$AU$1&amp;"C"&amp;$A46))</f>
        <v>0.31</v>
      </c>
      <c r="CG46" s="83">
        <f>-IF(RTD("tos.rtd",,CG$2,"."&amp;$A$43&amp;$AU$1&amp;"P"&amp;$A46)="N/A",0,RTD("tos.rtd",,CG$2,"."&amp;$A$43&amp;$AU$1&amp;"P"&amp;$A46))</f>
        <v>0.55000000000000004</v>
      </c>
      <c r="CH46" s="83">
        <f>IF(RTD("tos.rtd",,CH$2,"."&amp;$A$43&amp;$AW$1&amp;"C"&amp;$A46)="N/A",0,RTD("tos.rtd",,CH$2,"."&amp;$A$43&amp;$AW$1&amp;"C"&amp;$A46))</f>
        <v>0</v>
      </c>
      <c r="CI46" s="83">
        <f>-IF(RTD("tos.rtd",,CI$2,"."&amp;$A$43&amp;$AW$1&amp;"P"&amp;$A46)="N/A",0,RTD("tos.rtd",,CI$2,"."&amp;$A$43&amp;$AW$1&amp;"P"&amp;$A46))</f>
        <v>0</v>
      </c>
      <c r="CK46" s="83">
        <f t="shared" ref="CK46:CK79" si="286">+AS46*CD46*100+AT46*CE46*100</f>
        <v>1349.9999999999998</v>
      </c>
      <c r="CL46" s="83"/>
      <c r="CM46" s="83">
        <f t="shared" ref="CM46:CM79" si="287">+AU46*CF46*100+AV46*CG46*100</f>
        <v>78974</v>
      </c>
      <c r="CN46" s="83"/>
      <c r="CO46" s="83">
        <f t="shared" ref="CO46:CO79" si="288">+AW46*CH46*100+AX46*CI46*100</f>
        <v>0</v>
      </c>
      <c r="CP46" s="83">
        <f t="shared" si="235"/>
        <v>80324</v>
      </c>
      <c r="CQ46" s="83">
        <f t="shared" si="249"/>
        <v>3348</v>
      </c>
      <c r="CR46" s="83"/>
      <c r="CS46" s="83">
        <f t="shared" si="250"/>
        <v>1206</v>
      </c>
      <c r="CT46" s="83"/>
      <c r="CU46" s="83">
        <f t="shared" si="251"/>
        <v>0</v>
      </c>
      <c r="CV46" s="83"/>
      <c r="CW46" s="83" t="e">
        <f t="shared" ca="1" si="252"/>
        <v>#NUM!</v>
      </c>
      <c r="CY46" s="83" t="e">
        <f t="shared" ca="1" si="253"/>
        <v>#NUM!</v>
      </c>
      <c r="CZ46" s="70" t="e">
        <f ca="1">IF(AND(CY46&lt;0,CY45&gt;0), "Cruce -", IF(AND(CY46&gt;0,CY45&lt;0),"Cruce +", ""))</f>
        <v>#NUM!</v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12.51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13.23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12.88</v>
      </c>
      <c r="DG46" s="86">
        <f t="shared" ref="DG46:DG79" si="289">+$A46-$A$44</f>
        <v>4.8299999999999841</v>
      </c>
      <c r="DH46" s="83">
        <f t="shared" si="254"/>
        <v>3</v>
      </c>
      <c r="DI46" s="83">
        <f t="shared" si="255"/>
        <v>0</v>
      </c>
      <c r="DJ46" s="83">
        <f t="shared" si="256"/>
        <v>3</v>
      </c>
      <c r="DK46" s="83">
        <f t="shared" si="257"/>
        <v>0</v>
      </c>
      <c r="DL46" s="83">
        <f t="shared" si="258"/>
        <v>3</v>
      </c>
      <c r="DM46" s="83">
        <f t="shared" si="259"/>
        <v>3</v>
      </c>
      <c r="DN46" s="64" t="str">
        <f t="shared" si="260"/>
        <v>BUY</v>
      </c>
      <c r="DO46" s="64" t="str">
        <f t="shared" si="261"/>
        <v>UNKNOWN</v>
      </c>
      <c r="DP46" s="83">
        <f t="shared" si="262"/>
        <v>0.03</v>
      </c>
      <c r="DQ46" s="83">
        <f t="shared" si="263"/>
        <v>0.03</v>
      </c>
      <c r="DR46" s="83" t="e">
        <f t="shared" ca="1" si="264"/>
        <v>#NUM!</v>
      </c>
      <c r="DS46" s="83">
        <f t="shared" si="265"/>
        <v>0.03</v>
      </c>
      <c r="DT46" s="83">
        <f t="shared" ref="DT46:DT79" si="290">BA46-VLOOKUP(AZ46,$AO$45:$AQ$79,2,FALSE)</f>
        <v>3</v>
      </c>
      <c r="DU46" s="83">
        <f t="shared" ref="DU46:DU79" si="291">BB46-VLOOKUP(AZ46,$AO$45:$AQ$79,3,FALSE)</f>
        <v>0</v>
      </c>
      <c r="DV46" s="83">
        <f t="shared" si="266"/>
        <v>173</v>
      </c>
      <c r="DW46" s="83">
        <f t="shared" si="267"/>
        <v>-17</v>
      </c>
      <c r="DX46" s="83" t="e">
        <f ca="1">(EXP(-POWER((LN($A$44/$A46)+($EC$1+POWER($EE46,2)/2)*($EM$1/$DY$1))/($EE46*SQRT($EM$1/$DY$1)),2)/2)/SQRT(2*PI())/($A$44*$EE46*SQRT($EM$1/$DY$1)))</f>
        <v>#NUM!</v>
      </c>
      <c r="DY46" s="83" t="e">
        <f ca="1">-(EXP(-POWER((LN($A$44/$A46)+($EC$1+POWER($EF46,2)/2)*($EM$1/$DY$1))/($EF46*SQRT($EM$1/$DY$1)),2)/2)/SQRT(2*PI())/($A$44*$EF46*SQRT($EM$1/$DY$1)))</f>
        <v>#NUM!</v>
      </c>
      <c r="DZ46" s="83">
        <f ca="1">(EXP(-POWER((LN($A$44/$A46)+($EC$1+POWER($EG46,2)/2)*($EO$1/$DY$1))/($EG46*SQRT($EO$1/$DY$1)),2)/2)/SQRT(2*PI())/($A$44*$EG46*SQRT($EO$1/$DY$1)))</f>
        <v>3.4063755346811213E-2</v>
      </c>
      <c r="EA46" s="83">
        <f ca="1">-(EXP(-POWER((LN($A$44/$A46)+($EC$1+POWER($EH46,2)/2)*($EO$1/$DY$1))/($EH46*SQRT($EO$1/$DY$1)),2)/2)/SQRT(2*PI())/($A$44*$EH46*SQRT($EO$1/$DY$1)))</f>
        <v>-1.1090103279821796E-2</v>
      </c>
      <c r="EB46" s="83">
        <f ca="1">(EXP(-POWER((LN($A$44/$A46)+($EC$1+POWER($EI46,2)/2)*($EO$1/$DY$1))/($EI46*SQRT($EO$1/$DY$1)),2)/2)/SQRT(2*PI())/($A$44*$EI46*SQRT($EO$1/$DY$1)))</f>
        <v>2.3021594902727819E-2</v>
      </c>
      <c r="EC46" s="83">
        <f ca="1">-(EXP(-POWER((LN($A$44/$A46)+($EC$1+POWER($EJ46,2)/2)*($EO$1/$DY$1))/($EJ46*SQRT($EO$1/$DY$1)),2)/2)/SQRT(2*PI())/($A$44*$EJ46*SQRT($EO$1/$DY$1)))</f>
        <v>-2.3021594902727819E-2</v>
      </c>
      <c r="ED46" s="63">
        <f t="shared" ref="ED46:ED79" si="292">+DV46+DW46</f>
        <v>156</v>
      </c>
      <c r="EE46" s="84">
        <f t="shared" si="268"/>
        <v>0.52849999999999997</v>
      </c>
      <c r="EF46" s="84">
        <f t="shared" si="269"/>
        <v>6.9668999999999999</v>
      </c>
      <c r="EG46" s="84">
        <f t="shared" si="270"/>
        <v>0.16089999999999999</v>
      </c>
      <c r="EH46" s="84">
        <f t="shared" si="271"/>
        <v>0.53290000000000004</v>
      </c>
      <c r="EI46" s="84">
        <f t="shared" si="272"/>
        <v>0.25</v>
      </c>
      <c r="EJ46" s="84">
        <f t="shared" si="273"/>
        <v>0.25</v>
      </c>
      <c r="EK46" s="63" t="e">
        <f t="shared" ref="EK46:EK79" ca="1" si="293">+DV46*DX46*$A$44*$A$44+DW46*DY46*$A$44*$A$44</f>
        <v>#NUM!</v>
      </c>
      <c r="EL46" s="83" t="str">
        <f>RTD("tos.rtd",,EL$43,"."&amp;$A$43&amp;$AS$42&amp;"C"&amp;$A46)</f>
        <v>52.85%</v>
      </c>
      <c r="EM46" s="83" t="str">
        <f>RTD("tos.rtd",,EM$43,"."&amp;$A$43&amp;$AS$42&amp;"P"&amp;$A46)</f>
        <v>696.69%</v>
      </c>
      <c r="EN46" s="83" t="str">
        <f>RTD("tos.rtd",,EN$2,"."&amp;$A$43&amp;$AU$1&amp;"C"&amp;$A46)</f>
        <v>16.09%</v>
      </c>
      <c r="EO46" s="83" t="str">
        <f>RTD("tos.rtd",,EO$2,"."&amp;$A$43&amp;$AU$1&amp;"P"&amp;$A46)</f>
        <v>53.29%</v>
      </c>
      <c r="EP46" s="83" t="str">
        <f>RTD("tos.rtd",,EP$2,"."&amp;$A$43&amp;$AW$1&amp;"C"&amp;$A46)</f>
        <v>N/A</v>
      </c>
      <c r="EQ46" s="83" t="str">
        <f>RTD("tos.rtd",,EQ$2,"."&amp;$A$43&amp;$AW$1&amp;"P"&amp;$A46)</f>
        <v>N/A</v>
      </c>
      <c r="ES46" s="63" t="str">
        <f t="shared" si="274"/>
        <v>501,156.00</v>
      </c>
      <c r="ET46" s="63" t="str">
        <f t="shared" ca="1" si="275"/>
        <v>501,00.00</v>
      </c>
      <c r="EU46" s="67">
        <v>565.15</v>
      </c>
      <c r="EV46" s="67" t="s">
        <v>387</v>
      </c>
      <c r="EW46" s="67">
        <v>488.6</v>
      </c>
      <c r="EX46" s="67" t="s">
        <v>388</v>
      </c>
      <c r="EY46" s="67">
        <v>5663.94</v>
      </c>
      <c r="EZ46" s="67" t="s">
        <v>389</v>
      </c>
      <c r="FA46" s="67">
        <v>20063.564999999999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94">+A46-$A$39</f>
        <v>500</v>
      </c>
      <c r="B47" s="3">
        <f t="shared" si="241"/>
        <v>13115</v>
      </c>
      <c r="C47" s="3">
        <f t="shared" si="242"/>
        <v>58135</v>
      </c>
      <c r="D47" s="3">
        <f t="shared" si="243"/>
        <v>102222</v>
      </c>
      <c r="E47" s="3">
        <f>SUM(B47:D47)</f>
        <v>173472</v>
      </c>
      <c r="F47" s="4">
        <f>+$F$44/$A$44*A47</f>
        <v>20629.774069371382</v>
      </c>
      <c r="AM47" s="1">
        <v>3692</v>
      </c>
      <c r="AN47" s="1">
        <v>-150</v>
      </c>
      <c r="AO47" s="1">
        <v>500</v>
      </c>
      <c r="AP47" s="1">
        <v>10720</v>
      </c>
      <c r="AQ47" s="1">
        <v>-389</v>
      </c>
      <c r="AS47" s="6">
        <f>IF(RTD("tos.rtd",,AS$43,"."&amp;$A$43&amp;$AS$42&amp;"C"&amp;$A47)="N/A",0,RTD("tos.rtd",,AS$43,"."&amp;$A$43&amp;$AS$42&amp;"C"&amp;$A47))</f>
        <v>13017</v>
      </c>
      <c r="AT47" s="7">
        <f>-IF(RTD("tos.rtd",,AT$43,"."&amp;$A$43&amp;$AS$42&amp;"P"&amp;$A47)="N/A",0,RTD("tos.rtd",,AT$43,"."&amp;$A$43&amp;$AS$42&amp;"P"&amp;$A47))</f>
        <v>-98</v>
      </c>
      <c r="AU47" s="6">
        <f>IF(RTD("tos.rtd",,AU$2,"."&amp;$A$43&amp;$AU$1&amp;"C"&amp;$A47)="N/A",0,RTD("tos.rtd",,AU$2,"."&amp;$A$43&amp;$AU$1&amp;"C"&amp;$A47))</f>
        <v>55098</v>
      </c>
      <c r="AV47" s="7">
        <f>-IF(RTD("tos.rtd",,AV$2,"."&amp;$A$43&amp;$AU$1&amp;"P"&amp;$A47)="N/A",0,RTD("tos.rtd",,AV$2,"."&amp;$A$43&amp;$AU$1&amp;"P"&amp;$A47))</f>
        <v>-3037</v>
      </c>
      <c r="AW47" s="6">
        <f>IF(RTD("tos.rtd",,AW$2,"."&amp;$A$43&amp;$AW$1&amp;"C"&amp;$A47)="N/A",0,RTD("tos.rtd",,AW$2,"."&amp;$A$43&amp;$AW$1&amp;"C"&amp;$A47))</f>
        <v>68899</v>
      </c>
      <c r="AX47" s="7">
        <f>-IF(RTD("tos.rtd",,AX$2,"."&amp;$A$43&amp;$AW$1&amp;"P"&amp;$A47)="N/A",0,RTD("tos.rtd",,AX$2,"."&amp;$A$43&amp;$AW$1&amp;"P"&amp;$A47))</f>
        <v>-33323</v>
      </c>
      <c r="AY47" s="7">
        <f t="shared" si="276"/>
        <v>100556</v>
      </c>
      <c r="AZ47" s="8">
        <f t="shared" si="245"/>
        <v>500</v>
      </c>
      <c r="BA47" s="6">
        <f>IF(RTD("tos.rtd",,BA$43,"."&amp;$A$43&amp;$AS$42&amp;"C"&amp;$A47)="N/A",0,RTD("tos.rtd",,BA$43,"."&amp;$A$43&amp;$AS$42&amp;"C"&amp;$A47))</f>
        <v>10725</v>
      </c>
      <c r="BB47" s="7">
        <f>-IF(RTD("tos.rtd",,BB$43,"."&amp;$A$43&amp;$AS$42&amp;"P"&amp;$A47)="N/A",0,RTD("tos.rtd",,BB$43,"."&amp;$A$43&amp;$AS$42&amp;"P"&amp;$A47))</f>
        <v>-464</v>
      </c>
      <c r="BC47" s="6">
        <f>IF(RTD("tos.rtd",,BC$2,"."&amp;$A$43&amp;$AU$1&amp;"C"&amp;$A47)="N/A",0,RTD("tos.rtd",,BC$2,"."&amp;$A$43&amp;$AU$1&amp;"C"&amp;$A47))</f>
        <v>14625</v>
      </c>
      <c r="BD47" s="7">
        <f>-IF(RTD("tos.rtd",,BD$2,"."&amp;$A$43&amp;$AU$1&amp;"P"&amp;$A47)="N/A",0,RTD("tos.rtd",,BD$2,"."&amp;$A$43&amp;$AU$1&amp;"P"&amp;$A47))</f>
        <v>-444</v>
      </c>
      <c r="BE47" s="6">
        <f>IF(RTD("tos.rtd",,BE$2,"."&amp;$A$43&amp;$AW$1&amp;"C"&amp;$A47)="N/A",0,RTD("tos.rtd",,BE$2,"."&amp;$A$43&amp;$AW$1&amp;"C"&amp;$A47))</f>
        <v>3695</v>
      </c>
      <c r="BF47" s="7">
        <f>-IF(RTD("tos.rtd",,BF$2,"."&amp;$A$43&amp;$AW$1&amp;"P"&amp;$A47)="N/A",0,RTD("tos.rtd",,BF$2,"."&amp;$A$43&amp;$AW$1&amp;"P"&amp;$A47))</f>
        <v>-344</v>
      </c>
      <c r="BG47" s="32">
        <f ca="1">+Hoja2!Y48</f>
        <v>17042</v>
      </c>
      <c r="BH47" s="7">
        <f t="shared" ca="1" si="277"/>
        <v>44835</v>
      </c>
      <c r="BI47" s="8" t="str">
        <f t="shared" ref="BI47:BI79" ca="1" si="295">IF(AND(BH47&lt;0,BH46&gt;0), "Cruce -", IF(AND(BH47&gt;0,BH46&lt;0),"Cruce +", ""))</f>
        <v/>
      </c>
      <c r="BJ47" s="83" t="e">
        <f ca="1">IF($BP$1=1,DX47,IF(RTD("tos.rtd",,BJ$43,"."&amp;$A$43&amp;$AS$42&amp;"C"&amp;$A47)="N/A",0,RTD("tos.rtd",,BJ$43,"."&amp;$A$43&amp;$AS$42&amp;"C"&amp;$A47)))</f>
        <v>#NUM!</v>
      </c>
      <c r="BK47" s="83" t="e">
        <f ca="1">IF($BP$1=1,DY47,-IF(RTD("tos.rtd",,BK$43,"."&amp;$A$43&amp;$AS$42&amp;"P"&amp;$A47)="N/A",0,RTD("tos.rtd",,BK$43,"."&amp;$A$43&amp;$AS$42&amp;"P"&amp;$A47)))</f>
        <v>#NUM!</v>
      </c>
      <c r="BL47" s="83">
        <f ca="1">IF($BP$1=1,DZ47,IF(RTD("tos.rtd",,BL$2,"."&amp;$A$43&amp;$AU$1&amp;"C"&amp;$A47)="N/A",0,RTD("tos.rtd",,BL$2,"."&amp;$A$43&amp;$AU$1&amp;"C"&amp;$A47)))</f>
        <v>3.6045712591315053E-2</v>
      </c>
      <c r="BM47" s="83">
        <f ca="1">IF($BP$1=1,EA47,-IF(RTD("tos.rtd",,BM$2,"."&amp;$A$43&amp;$AU$1&amp;"P"&amp;$A47)="N/A",0,RTD("tos.rtd",,BM$2,"."&amp;$A$43&amp;$AU$1&amp;"P"&amp;$A47)))</f>
        <v>-1.1048905824993883E-2</v>
      </c>
      <c r="BN47" s="83">
        <f ca="1">IF($BP$1=1,EB47,IF(RTD("tos.rtd",,BN$2,"."&amp;$A$43&amp;$AW$1&amp;"C"&amp;$A47)="N/A",0,RTD("tos.rtd",,BN$2,"."&amp;$A$43&amp;$AW$1&amp;"C"&amp;$A47)))</f>
        <v>3.3724927586912874E-2</v>
      </c>
      <c r="BO47" s="83">
        <f ca="1">IF($BP$1=1,EC47,-IF(RTD("tos.rtd",,BO$2,"."&amp;$A$43&amp;$AW$1&amp;"P"&amp;$A47)="N/A",0,RTD("tos.rtd",,BO$2,"."&amp;$A$43&amp;$AW$1&amp;"P"&amp;$A47)))</f>
        <v>-1.9636974333451736E-2</v>
      </c>
      <c r="BQ47" s="83" t="e">
        <f t="shared" ca="1" si="278"/>
        <v>#NUM!</v>
      </c>
      <c r="BR47" s="3" t="e">
        <f t="shared" ca="1" si="279"/>
        <v>#NUM!</v>
      </c>
      <c r="BS47" s="83">
        <f t="shared" ca="1" si="280"/>
        <v>480673386.15205395</v>
      </c>
      <c r="BT47" s="3" t="str">
        <f t="shared" ca="1" si="281"/>
        <v/>
      </c>
      <c r="BU47" s="83">
        <f t="shared" ca="1" si="282"/>
        <v>410943977.68958431</v>
      </c>
      <c r="BV47" s="83"/>
      <c r="BX47" s="83" t="e">
        <f t="shared" ca="1" si="283"/>
        <v>#NUM!</v>
      </c>
      <c r="BY47" s="83" t="e">
        <f t="shared" ref="BY47:CC79" ca="1" si="296">IF(AND(BX47&lt;0,BX46&gt;0), "Cruce -", IF(AND(BX47&gt;0,BX46&lt;0),"Cruce +", ""))</f>
        <v>#NUM!</v>
      </c>
      <c r="BZ47" s="83">
        <f t="shared" ca="1" si="284"/>
        <v>128573102.48835619</v>
      </c>
      <c r="CA47" s="83" t="str">
        <f t="shared" ca="1" si="296"/>
        <v/>
      </c>
      <c r="CB47" s="83">
        <f t="shared" ca="1" si="285"/>
        <v>29014952.91006536</v>
      </c>
      <c r="CC47" s="83" t="str">
        <f t="shared" ca="1" si="296"/>
        <v/>
      </c>
      <c r="CD47" s="83">
        <f>IF(RTD("tos.rtd",,CD$43,"."&amp;$A$43&amp;$AS$42&amp;"C"&amp;$A47)="N/A",0,RTD("tos.rtd",,CD$43,"."&amp;$A$43&amp;$AS$42&amp;"C"&amp;$A47))</f>
        <v>0.01</v>
      </c>
      <c r="CE47" s="83">
        <f>-IF(RTD("tos.rtd",,CE$43,"."&amp;$A$43&amp;$AS$42&amp;"P"&amp;$A47)="N/A",0,RTD("tos.rtd",,CE$43,"."&amp;$A$43&amp;$AS$42&amp;"P"&amp;$A47))</f>
        <v>0.55000000000000004</v>
      </c>
      <c r="CF47" s="83">
        <f>IF(RTD("tos.rtd",,CF$2,"."&amp;$A$43&amp;$AU$1&amp;"C"&amp;$A47)="N/A",0,RTD("tos.rtd",,CF$2,"."&amp;$A$43&amp;$AU$1&amp;"C"&amp;$A47))</f>
        <v>0.35</v>
      </c>
      <c r="CG47" s="83">
        <f>-IF(RTD("tos.rtd",,CG$2,"."&amp;$A$43&amp;$AU$1&amp;"P"&amp;$A47)="N/A",0,RTD("tos.rtd",,CG$2,"."&amp;$A$43&amp;$AU$1&amp;"P"&amp;$A47))</f>
        <v>0.53</v>
      </c>
      <c r="CH47" s="83">
        <f>IF(RTD("tos.rtd",,CH$2,"."&amp;$A$43&amp;$AW$1&amp;"C"&amp;$A47)="N/A",0,RTD("tos.rtd",,CH$2,"."&amp;$A$43&amp;$AW$1&amp;"C"&amp;$A47))</f>
        <v>0.49</v>
      </c>
      <c r="CI47" s="83">
        <f>-IF(RTD("tos.rtd",,CI$2,"."&amp;$A$43&amp;$AW$1&amp;"P"&amp;$A47)="N/A",0,RTD("tos.rtd",,CI$2,"."&amp;$A$43&amp;$AW$1&amp;"P"&amp;$A47))</f>
        <v>0.5</v>
      </c>
      <c r="CK47" s="83">
        <f t="shared" si="286"/>
        <v>7627.0000000000009</v>
      </c>
      <c r="CL47" s="83"/>
      <c r="CM47" s="83">
        <f t="shared" si="287"/>
        <v>1767469</v>
      </c>
      <c r="CN47" s="83"/>
      <c r="CO47" s="83">
        <f t="shared" si="288"/>
        <v>1709901</v>
      </c>
      <c r="CP47" s="83">
        <f t="shared" si="235"/>
        <v>3484997</v>
      </c>
      <c r="CQ47" s="83">
        <f t="shared" si="249"/>
        <v>10261</v>
      </c>
      <c r="CR47" s="83"/>
      <c r="CS47" s="83">
        <f t="shared" si="250"/>
        <v>14181</v>
      </c>
      <c r="CT47" s="83"/>
      <c r="CU47" s="83">
        <f t="shared" si="251"/>
        <v>3351</v>
      </c>
      <c r="CV47" s="83"/>
      <c r="CW47" s="83" t="e">
        <f t="shared" ca="1" si="252"/>
        <v>#NUM!</v>
      </c>
      <c r="CY47" s="83" t="e">
        <f t="shared" ca="1" si="253"/>
        <v>#NUM!</v>
      </c>
      <c r="CZ47" s="70" t="e">
        <f t="shared" ref="CZ47:CZ79" ca="1" si="297">IF(AND(CY47&lt;0,CY46&gt;0), "Cruce -", IF(AND(CY47&gt;0,CY46&lt;0),"Cruce +", ""))</f>
        <v>#NUM!</v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11.95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12.23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11.88</v>
      </c>
      <c r="DG47" s="86">
        <f t="shared" si="289"/>
        <v>3.8299999999999841</v>
      </c>
      <c r="DH47" s="83">
        <f t="shared" si="254"/>
        <v>5</v>
      </c>
      <c r="DI47" s="83">
        <f t="shared" si="255"/>
        <v>-14.999999999999694</v>
      </c>
      <c r="DJ47" s="83">
        <f t="shared" si="256"/>
        <v>5</v>
      </c>
      <c r="DK47" s="83">
        <f t="shared" si="257"/>
        <v>75</v>
      </c>
      <c r="DL47" s="83">
        <f t="shared" si="258"/>
        <v>-9.9999999999996945</v>
      </c>
      <c r="DM47" s="83">
        <f t="shared" si="259"/>
        <v>80</v>
      </c>
      <c r="DN47" s="64" t="str">
        <f t="shared" si="260"/>
        <v>BUY</v>
      </c>
      <c r="DO47" s="64" t="str">
        <f t="shared" si="261"/>
        <v>SELL</v>
      </c>
      <c r="DP47" s="83">
        <f t="shared" si="262"/>
        <v>-179.19999999999632</v>
      </c>
      <c r="DQ47" s="83">
        <f t="shared" si="263"/>
        <v>896.3</v>
      </c>
      <c r="DR47" s="83" t="e">
        <f t="shared" ca="1" si="264"/>
        <v>#NUM!</v>
      </c>
      <c r="DS47" s="83">
        <f t="shared" si="265"/>
        <v>41.3</v>
      </c>
      <c r="DT47" s="83">
        <f t="shared" si="290"/>
        <v>5</v>
      </c>
      <c r="DU47" s="83">
        <f t="shared" si="291"/>
        <v>-75</v>
      </c>
      <c r="DV47" s="83">
        <f t="shared" si="266"/>
        <v>3697</v>
      </c>
      <c r="DW47" s="83">
        <f t="shared" si="267"/>
        <v>-75</v>
      </c>
      <c r="DX47" s="83" t="e">
        <f ca="1">(EXP(-POWER((LN($A$44/$A47)+($EC$1+POWER($EE47,2)/2)*($EM$1/$DY$1))/($EE47*SQRT($EM$1/$DY$1)),2)/2)/SQRT(2*PI())/($A$44*$EE47*SQRT($EM$1/$DY$1)))</f>
        <v>#NUM!</v>
      </c>
      <c r="DY47" s="83" t="e">
        <f ca="1">-(EXP(-POWER((LN($A$44/$A47)+($EC$1+POWER($EF47,2)/2)*($EM$1/$DY$1))/($EF47*SQRT($EM$1/$DY$1)),2)/2)/SQRT(2*PI())/($A$44*$EF47*SQRT($EM$1/$DY$1)))</f>
        <v>#NUM!</v>
      </c>
      <c r="DZ47" s="83">
        <f ca="1">(EXP(-POWER((LN($A$44/$A47)+($EC$1+POWER($EG47,2)/2)*($EO$1/$DY$1))/($EG47*SQRT($EO$1/$DY$1)),2)/2)/SQRT(2*PI())/($A$44*$EG47*SQRT($EO$1/$DY$1)))</f>
        <v>3.6045712591315053E-2</v>
      </c>
      <c r="EA47" s="83">
        <f ca="1">-(EXP(-POWER((LN($A$44/$A47)+($EC$1+POWER($EH47,2)/2)*($EO$1/$DY$1))/($EH47*SQRT($EO$1/$DY$1)),2)/2)/SQRT(2*PI())/($A$44*$EH47*SQRT($EO$1/$DY$1)))</f>
        <v>-1.1048905824993883E-2</v>
      </c>
      <c r="EB47" s="83">
        <f ca="1">(EXP(-POWER((LN($A$44/$A47)+($EC$1+POWER($EI47,2)/2)*($EO$1/$DY$1))/($EI47*SQRT($EO$1/$DY$1)),2)/2)/SQRT(2*PI())/($A$44*$EI47*SQRT($EO$1/$DY$1)))</f>
        <v>3.3724927586912874E-2</v>
      </c>
      <c r="EC47" s="83">
        <f ca="1">-(EXP(-POWER((LN($A$44/$A47)+($EC$1+POWER($EJ47,2)/2)*($EO$1/$DY$1))/($EJ47*SQRT($EO$1/$DY$1)),2)/2)/SQRT(2*PI())/($A$44*$EJ47*SQRT($EO$1/$DY$1)))</f>
        <v>-1.9636974333451736E-2</v>
      </c>
      <c r="ED47" s="63">
        <f t="shared" si="292"/>
        <v>3622</v>
      </c>
      <c r="EE47" s="84">
        <f t="shared" si="268"/>
        <v>0.43149999999999999</v>
      </c>
      <c r="EF47" s="84">
        <f t="shared" si="269"/>
        <v>6.6809000000000003</v>
      </c>
      <c r="EG47" s="84">
        <f t="shared" si="270"/>
        <v>0.15659999999999999</v>
      </c>
      <c r="EH47" s="84">
        <f t="shared" si="271"/>
        <v>0.53600000000000003</v>
      </c>
      <c r="EI47" s="84">
        <f t="shared" si="272"/>
        <v>0.1686</v>
      </c>
      <c r="EJ47" s="84">
        <f t="shared" si="273"/>
        <v>0.29870000000000002</v>
      </c>
      <c r="EK47" s="63" t="e">
        <f t="shared" ca="1" si="293"/>
        <v>#NUM!</v>
      </c>
      <c r="EL47" s="83" t="str">
        <f>RTD("tos.rtd",,EL$43,"."&amp;$A$43&amp;$AS$42&amp;"C"&amp;$A47)</f>
        <v>43.15%</v>
      </c>
      <c r="EM47" s="83" t="str">
        <f>RTD("tos.rtd",,EM$43,"."&amp;$A$43&amp;$AS$42&amp;"P"&amp;$A47)</f>
        <v>668.09%</v>
      </c>
      <c r="EN47" s="83" t="str">
        <f>RTD("tos.rtd",,EN$2,"."&amp;$A$43&amp;$AU$1&amp;"C"&amp;$A47)</f>
        <v>15.66%</v>
      </c>
      <c r="EO47" s="83" t="str">
        <f>RTD("tos.rtd",,EO$2,"."&amp;$A$43&amp;$AU$1&amp;"P"&amp;$A47)</f>
        <v>53.60%</v>
      </c>
      <c r="EP47" s="83" t="str">
        <f>RTD("tos.rtd",,EP$2,"."&amp;$A$43&amp;$AW$1&amp;"C"&amp;$A47)</f>
        <v>16.86%</v>
      </c>
      <c r="EQ47" s="83" t="str">
        <f>RTD("tos.rtd",,EQ$2,"."&amp;$A$43&amp;$AW$1&amp;"P"&amp;$A47)</f>
        <v>29.87%</v>
      </c>
      <c r="ES47" s="63" t="str">
        <f t="shared" si="274"/>
        <v>500,3622.00</v>
      </c>
      <c r="ET47" s="63" t="str">
        <f t="shared" ca="1" si="275"/>
        <v>500,00.00</v>
      </c>
      <c r="EU47" s="67">
        <v>565.15</v>
      </c>
      <c r="EV47" s="67" t="s">
        <v>395</v>
      </c>
      <c r="EW47" s="67">
        <v>488.59</v>
      </c>
      <c r="EX47" s="67" t="s">
        <v>396</v>
      </c>
      <c r="EY47" s="67">
        <v>5663.94</v>
      </c>
      <c r="EZ47" s="67" t="s">
        <v>397</v>
      </c>
      <c r="FA47" s="67">
        <v>20063.564999999999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94"/>
        <v>499</v>
      </c>
      <c r="B48" s="3">
        <f t="shared" si="241"/>
        <v>2539</v>
      </c>
      <c r="C48" s="3">
        <f t="shared" si="242"/>
        <v>787</v>
      </c>
      <c r="D48" s="3">
        <f t="shared" si="243"/>
        <v>0</v>
      </c>
      <c r="E48" s="3">
        <f t="shared" si="244"/>
        <v>3326</v>
      </c>
      <c r="F48" s="4">
        <f t="shared" ref="F48:F79" si="298">+$F$44/$A$44*A48</f>
        <v>20588.514521232639</v>
      </c>
      <c r="AM48" s="1">
        <v>-115</v>
      </c>
      <c r="AN48" s="1">
        <v>-22</v>
      </c>
      <c r="AO48" s="1">
        <v>499</v>
      </c>
      <c r="AP48" s="1">
        <v>3313</v>
      </c>
      <c r="AQ48" s="1">
        <v>-50</v>
      </c>
      <c r="AS48" s="6">
        <f>IF(RTD("tos.rtd",,AS$43,"."&amp;$A$43&amp;$AS$42&amp;"C"&amp;$A48)="N/A",0,RTD("tos.rtd",,AS$43,"."&amp;$A$43&amp;$AS$42&amp;"C"&amp;$A48))</f>
        <v>2492</v>
      </c>
      <c r="AT48" s="7">
        <f>-IF(RTD("tos.rtd",,AT$43,"."&amp;$A$43&amp;$AS$42&amp;"P"&amp;$A48)="N/A",0,RTD("tos.rtd",,AT$43,"."&amp;$A$43&amp;$AS$42&amp;"P"&amp;$A48))</f>
        <v>-47</v>
      </c>
      <c r="AU48" s="6">
        <f>IF(RTD("tos.rtd",,AU$2,"."&amp;$A$43&amp;$AU$1&amp;"C"&amp;$A48)="N/A",0,RTD("tos.rtd",,AU$2,"."&amp;$A$43&amp;$AU$1&amp;"C"&amp;$A48))</f>
        <v>784</v>
      </c>
      <c r="AV48" s="7">
        <f>-IF(RTD("tos.rtd",,AV$2,"."&amp;$A$43&amp;$AU$1&amp;"P"&amp;$A48)="N/A",0,RTD("tos.rtd",,AV$2,"."&amp;$A$43&amp;$AU$1&amp;"P"&amp;$A48))</f>
        <v>-3</v>
      </c>
      <c r="AW48" s="6">
        <f>IF(RTD("tos.rtd",,AW$2,"."&amp;$A$43&amp;$AW$1&amp;"C"&amp;$A48)="N/A",0,RTD("tos.rtd",,AW$2,"."&amp;$A$43&amp;$AW$1&amp;"C"&amp;$A48))</f>
        <v>0</v>
      </c>
      <c r="AX48" s="7">
        <f>-IF(RTD("tos.rtd",,AX$2,"."&amp;$A$43&amp;$AW$1&amp;"P"&amp;$A48)="N/A",0,RTD("tos.rtd",,AX$2,"."&amp;$A$43&amp;$AW$1&amp;"P"&amp;$A48))</f>
        <v>0</v>
      </c>
      <c r="AY48" s="7">
        <f t="shared" si="276"/>
        <v>3226</v>
      </c>
      <c r="AZ48" s="8">
        <f t="shared" si="245"/>
        <v>499</v>
      </c>
      <c r="BA48" s="6">
        <f>IF(RTD("tos.rtd",,BA$43,"."&amp;$A$43&amp;$AS$42&amp;"C"&amp;$A48)="N/A",0,RTD("tos.rtd",,BA$43,"."&amp;$A$43&amp;$AS$42&amp;"C"&amp;$A48))</f>
        <v>3314</v>
      </c>
      <c r="BB48" s="7">
        <f>-IF(RTD("tos.rtd",,BB$43,"."&amp;$A$43&amp;$AS$42&amp;"P"&amp;$A48)="N/A",0,RTD("tos.rtd",,BB$43,"."&amp;$A$43&amp;$AS$42&amp;"P"&amp;$A48))</f>
        <v>-50</v>
      </c>
      <c r="BC48" s="6">
        <f>IF(RTD("tos.rtd",,BC$2,"."&amp;$A$43&amp;$AU$1&amp;"C"&amp;$A48)="N/A",0,RTD("tos.rtd",,BC$2,"."&amp;$A$43&amp;$AU$1&amp;"C"&amp;$A48))</f>
        <v>666</v>
      </c>
      <c r="BD48" s="7">
        <f>-IF(RTD("tos.rtd",,BD$2,"."&amp;$A$43&amp;$AU$1&amp;"P"&amp;$A48)="N/A",0,RTD("tos.rtd",,BD$2,"."&amp;$A$43&amp;$AU$1&amp;"P"&amp;$A48))</f>
        <v>-50</v>
      </c>
      <c r="BE48" s="6">
        <f>IF(RTD("tos.rtd",,BE$2,"."&amp;$A$43&amp;$AW$1&amp;"C"&amp;$A48)="N/A",0,RTD("tos.rtd",,BE$2,"."&amp;$A$43&amp;$AW$1&amp;"C"&amp;$A48))</f>
        <v>0</v>
      </c>
      <c r="BF48" s="7">
        <f>-IF(RTD("tos.rtd",,BF$2,"."&amp;$A$43&amp;$AW$1&amp;"P"&amp;$A48)="N/A",0,RTD("tos.rtd",,BF$2,"."&amp;$A$43&amp;$AW$1&amp;"P"&amp;$A48))</f>
        <v>0</v>
      </c>
      <c r="BG48" s="32">
        <f ca="1">+Hoja2!Y49</f>
        <v>-226</v>
      </c>
      <c r="BH48" s="7">
        <f t="shared" ca="1" si="277"/>
        <v>3654</v>
      </c>
      <c r="BI48" s="8" t="str">
        <f t="shared" ca="1" si="295"/>
        <v/>
      </c>
      <c r="BJ48" s="83" t="e">
        <f ca="1">IF($BP$1=1,DX48,IF(RTD("tos.rtd",,BJ$43,"."&amp;$A$43&amp;$AS$42&amp;"C"&amp;$A48)="N/A",0,RTD("tos.rtd",,BJ$43,"."&amp;$A$43&amp;$AS$42&amp;"C"&amp;$A48)))</f>
        <v>#NUM!</v>
      </c>
      <c r="BK48" s="83" t="e">
        <f ca="1">IF($BP$1=1,DY48,-IF(RTD("tos.rtd",,BK$43,"."&amp;$A$43&amp;$AS$42&amp;"P"&amp;$A48)="N/A",0,RTD("tos.rtd",,BK$43,"."&amp;$A$43&amp;$AS$42&amp;"P"&amp;$A48)))</f>
        <v>#NUM!</v>
      </c>
      <c r="BL48" s="83">
        <f ca="1">IF($BP$1=1,DZ48,IF(RTD("tos.rtd",,BL$2,"."&amp;$A$43&amp;$AU$1&amp;"C"&amp;$A48)="N/A",0,RTD("tos.rtd",,BL$2,"."&amp;$A$43&amp;$AU$1&amp;"C"&amp;$A48)))</f>
        <v>3.8001761309029512E-2</v>
      </c>
      <c r="BM48" s="83">
        <f ca="1">IF($BP$1=1,EA48,-IF(RTD("tos.rtd",,BM$2,"."&amp;$A$43&amp;$AU$1&amp;"P"&amp;$A48)="N/A",0,RTD("tos.rtd",,BM$2,"."&amp;$A$43&amp;$AU$1&amp;"P"&amp;$A48)))</f>
        <v>-1.145012230692887E-2</v>
      </c>
      <c r="BN48" s="83">
        <f ca="1">IF($BP$1=1,EB48,IF(RTD("tos.rtd",,BN$2,"."&amp;$A$43&amp;$AW$1&amp;"C"&amp;$A48)="N/A",0,RTD("tos.rtd",,BN$2,"."&amp;$A$43&amp;$AW$1&amp;"C"&amp;$A48)))</f>
        <v>2.3535949655131064E-2</v>
      </c>
      <c r="BO48" s="83">
        <f ca="1">IF($BP$1=1,EC48,-IF(RTD("tos.rtd",,BO$2,"."&amp;$A$43&amp;$AW$1&amp;"P"&amp;$A48)="N/A",0,RTD("tos.rtd",,BO$2,"."&amp;$A$43&amp;$AW$1&amp;"P"&amp;$A48)))</f>
        <v>-2.3535949655131064E-2</v>
      </c>
      <c r="BQ48" s="83" t="e">
        <f t="shared" ca="1" si="278"/>
        <v>#NUM!</v>
      </c>
      <c r="BR48" s="3" t="e">
        <f t="shared" ca="1" si="279"/>
        <v>#NUM!</v>
      </c>
      <c r="BS48" s="83">
        <f t="shared" ca="1" si="280"/>
        <v>7326217.0702695372</v>
      </c>
      <c r="BT48" s="3" t="str">
        <f t="shared" ca="1" si="281"/>
        <v/>
      </c>
      <c r="BU48" s="83">
        <f t="shared" ca="1" si="282"/>
        <v>0</v>
      </c>
      <c r="BV48" s="83"/>
      <c r="BX48" s="83" t="e">
        <f t="shared" ca="1" si="283"/>
        <v>#NUM!</v>
      </c>
      <c r="BY48" s="83" t="e">
        <f t="shared" ca="1" si="296"/>
        <v>#NUM!</v>
      </c>
      <c r="BZ48" s="83">
        <f t="shared" ca="1" si="284"/>
        <v>6089788.1545200646</v>
      </c>
      <c r="CA48" s="83" t="str">
        <f t="shared" ca="1" si="296"/>
        <v/>
      </c>
      <c r="CB48" s="83">
        <f t="shared" ca="1" si="285"/>
        <v>0</v>
      </c>
      <c r="CC48" s="83" t="str">
        <f t="shared" ca="1" si="296"/>
        <v/>
      </c>
      <c r="CD48" s="83">
        <f>IF(RTD("tos.rtd",,CD$43,"."&amp;$A$43&amp;$AS$42&amp;"C"&amp;$A48)="N/A",0,RTD("tos.rtd",,CD$43,"."&amp;$A$43&amp;$AS$42&amp;"C"&amp;$A48))</f>
        <v>0.01</v>
      </c>
      <c r="CE48" s="83">
        <f>-IF(RTD("tos.rtd",,CE$43,"."&amp;$A$43&amp;$AS$42&amp;"P"&amp;$A48)="N/A",0,RTD("tos.rtd",,CE$43,"."&amp;$A$43&amp;$AS$42&amp;"P"&amp;$A48))</f>
        <v>0.54</v>
      </c>
      <c r="CF48" s="83">
        <f>IF(RTD("tos.rtd",,CF$2,"."&amp;$A$43&amp;$AU$1&amp;"C"&amp;$A48)="N/A",0,RTD("tos.rtd",,CF$2,"."&amp;$A$43&amp;$AU$1&amp;"C"&amp;$A48))</f>
        <v>0.39</v>
      </c>
      <c r="CG48" s="83">
        <f>-IF(RTD("tos.rtd",,CG$2,"."&amp;$A$43&amp;$AU$1&amp;"P"&amp;$A48)="N/A",0,RTD("tos.rtd",,CG$2,"."&amp;$A$43&amp;$AU$1&amp;"P"&amp;$A48))</f>
        <v>0.52</v>
      </c>
      <c r="CH48" s="83">
        <f>IF(RTD("tos.rtd",,CH$2,"."&amp;$A$43&amp;$AW$1&amp;"C"&amp;$A48)="N/A",0,RTD("tos.rtd",,CH$2,"."&amp;$A$43&amp;$AW$1&amp;"C"&amp;$A48))</f>
        <v>0</v>
      </c>
      <c r="CI48" s="83">
        <f>-IF(RTD("tos.rtd",,CI$2,"."&amp;$A$43&amp;$AW$1&amp;"P"&amp;$A48)="N/A",0,RTD("tos.rtd",,CI$2,"."&amp;$A$43&amp;$AW$1&amp;"P"&amp;$A48))</f>
        <v>0</v>
      </c>
      <c r="CK48" s="83">
        <f t="shared" si="286"/>
        <v>-46.000000000000455</v>
      </c>
      <c r="CL48" s="83"/>
      <c r="CM48" s="83">
        <f t="shared" si="287"/>
        <v>30420</v>
      </c>
      <c r="CN48" s="83"/>
      <c r="CO48" s="83">
        <f t="shared" si="288"/>
        <v>0</v>
      </c>
      <c r="CP48" s="83">
        <f t="shared" si="235"/>
        <v>30374</v>
      </c>
      <c r="CQ48" s="83">
        <f t="shared" si="249"/>
        <v>3264</v>
      </c>
      <c r="CR48" s="83"/>
      <c r="CS48" s="83">
        <f t="shared" si="250"/>
        <v>616</v>
      </c>
      <c r="CT48" s="83"/>
      <c r="CU48" s="83">
        <f t="shared" si="251"/>
        <v>0</v>
      </c>
      <c r="CV48" s="83"/>
      <c r="CW48" s="83" t="e">
        <f t="shared" ca="1" si="252"/>
        <v>#NUM!</v>
      </c>
      <c r="CY48" s="83" t="e">
        <f t="shared" ca="1" si="253"/>
        <v>#NUM!</v>
      </c>
      <c r="CZ48" s="70" t="e">
        <f t="shared" ca="1" si="297"/>
        <v>#NUM!</v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10.71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11.23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10.88</v>
      </c>
      <c r="DG48" s="86">
        <f t="shared" si="289"/>
        <v>2.8299999999999841</v>
      </c>
      <c r="DH48" s="83">
        <f t="shared" si="254"/>
        <v>1</v>
      </c>
      <c r="DI48" s="83">
        <f t="shared" si="255"/>
        <v>0</v>
      </c>
      <c r="DJ48" s="83">
        <f t="shared" si="256"/>
        <v>1</v>
      </c>
      <c r="DK48" s="83">
        <f t="shared" si="257"/>
        <v>0</v>
      </c>
      <c r="DL48" s="83">
        <f t="shared" si="258"/>
        <v>1</v>
      </c>
      <c r="DM48" s="83">
        <f t="shared" si="259"/>
        <v>1</v>
      </c>
      <c r="DN48" s="64" t="str">
        <f t="shared" si="260"/>
        <v>BUY</v>
      </c>
      <c r="DO48" s="64" t="str">
        <f t="shared" si="261"/>
        <v>UNKNOWN</v>
      </c>
      <c r="DP48" s="83">
        <f t="shared" si="262"/>
        <v>0.01</v>
      </c>
      <c r="DQ48" s="83">
        <f t="shared" si="263"/>
        <v>0.01</v>
      </c>
      <c r="DR48" s="83" t="e">
        <f t="shared" ca="1" si="264"/>
        <v>#NUM!</v>
      </c>
      <c r="DS48" s="83">
        <f t="shared" si="265"/>
        <v>0.01</v>
      </c>
      <c r="DT48" s="83">
        <f t="shared" si="290"/>
        <v>1</v>
      </c>
      <c r="DU48" s="83">
        <f t="shared" si="291"/>
        <v>0</v>
      </c>
      <c r="DV48" s="83">
        <f t="shared" si="266"/>
        <v>-114</v>
      </c>
      <c r="DW48" s="83">
        <f t="shared" si="267"/>
        <v>-22</v>
      </c>
      <c r="DX48" s="83" t="e">
        <f ca="1">(EXP(-POWER((LN($A$44/$A48)+($EC$1+POWER($EE48,2)/2)*($EM$1/$DY$1))/($EE48*SQRT($EM$1/$DY$1)),2)/2)/SQRT(2*PI())/($A$44*$EE48*SQRT($EM$1/$DY$1)))</f>
        <v>#NUM!</v>
      </c>
      <c r="DY48" s="83" t="e">
        <f ca="1">-(EXP(-POWER((LN($A$44/$A48)+($EC$1+POWER($EF48,2)/2)*($EM$1/$DY$1))/($EF48*SQRT($EM$1/$DY$1)),2)/2)/SQRT(2*PI())/($A$44*$EF48*SQRT($EM$1/$DY$1)))</f>
        <v>#NUM!</v>
      </c>
      <c r="DZ48" s="83">
        <f ca="1">(EXP(-POWER((LN($A$44/$A48)+($EC$1+POWER($EG48,2)/2)*($EO$1/$DY$1))/($EG48*SQRT($EO$1/$DY$1)),2)/2)/SQRT(2*PI())/($A$44*$EG48*SQRT($EO$1/$DY$1)))</f>
        <v>3.8001761309029512E-2</v>
      </c>
      <c r="EA48" s="83">
        <f ca="1">-(EXP(-POWER((LN($A$44/$A48)+($EC$1+POWER($EH48,2)/2)*($EO$1/$DY$1))/($EH48*SQRT($EO$1/$DY$1)),2)/2)/SQRT(2*PI())/($A$44*$EH48*SQRT($EO$1/$DY$1)))</f>
        <v>-1.145012230692887E-2</v>
      </c>
      <c r="EB48" s="83">
        <f ca="1">(EXP(-POWER((LN($A$44/$A48)+($EC$1+POWER($EI48,2)/2)*($EO$1/$DY$1))/($EI48*SQRT($EO$1/$DY$1)),2)/2)/SQRT(2*PI())/($A$44*$EI48*SQRT($EO$1/$DY$1)))</f>
        <v>2.3535949655131064E-2</v>
      </c>
      <c r="EC48" s="83">
        <f ca="1">-(EXP(-POWER((LN($A$44/$A48)+($EC$1+POWER($EJ48,2)/2)*($EO$1/$DY$1))/($EJ48*SQRT($EO$1/$DY$1)),2)/2)/SQRT(2*PI())/($A$44*$EJ48*SQRT($EO$1/$DY$1)))</f>
        <v>-2.3535949655131064E-2</v>
      </c>
      <c r="ED48" s="63">
        <f t="shared" si="292"/>
        <v>-136</v>
      </c>
      <c r="EE48" s="84">
        <f t="shared" si="268"/>
        <v>0.33179999999999998</v>
      </c>
      <c r="EF48" s="84">
        <f t="shared" si="269"/>
        <v>6.3871000000000002</v>
      </c>
      <c r="EG48" s="84">
        <f t="shared" si="270"/>
        <v>0.15210000000000001</v>
      </c>
      <c r="EH48" s="84">
        <f t="shared" si="271"/>
        <v>0.51780000000000004</v>
      </c>
      <c r="EI48" s="84">
        <f t="shared" si="272"/>
        <v>0.25</v>
      </c>
      <c r="EJ48" s="84">
        <f t="shared" si="273"/>
        <v>0.25</v>
      </c>
      <c r="EK48" s="63" t="e">
        <f t="shared" ca="1" si="293"/>
        <v>#NUM!</v>
      </c>
      <c r="EL48" s="83" t="str">
        <f>RTD("tos.rtd",,EL$43,"."&amp;$A$43&amp;$AS$42&amp;"C"&amp;$A48)</f>
        <v>33.18%</v>
      </c>
      <c r="EM48" s="83" t="str">
        <f>RTD("tos.rtd",,EM$43,"."&amp;$A$43&amp;$AS$42&amp;"P"&amp;$A48)</f>
        <v>638.71%</v>
      </c>
      <c r="EN48" s="83" t="str">
        <f>RTD("tos.rtd",,EN$2,"."&amp;$A$43&amp;$AU$1&amp;"C"&amp;$A48)</f>
        <v>15.21%</v>
      </c>
      <c r="EO48" s="83" t="str">
        <f>RTD("tos.rtd",,EO$2,"."&amp;$A$43&amp;$AU$1&amp;"P"&amp;$A48)</f>
        <v>51.78%</v>
      </c>
      <c r="EP48" s="83" t="str">
        <f>RTD("tos.rtd",,EP$2,"."&amp;$A$43&amp;$AW$1&amp;"C"&amp;$A48)</f>
        <v>N/A</v>
      </c>
      <c r="EQ48" s="83" t="str">
        <f>RTD("tos.rtd",,EQ$2,"."&amp;$A$43&amp;$AW$1&amp;"P"&amp;$A48)</f>
        <v>N/A</v>
      </c>
      <c r="ES48" s="63" t="str">
        <f t="shared" si="274"/>
        <v>499,-136.00</v>
      </c>
      <c r="ET48" s="63" t="str">
        <f t="shared" ca="1" si="275"/>
        <v>499,00.00</v>
      </c>
      <c r="EU48" s="67">
        <v>565.20000000000005</v>
      </c>
      <c r="EV48" s="67" t="s">
        <v>403</v>
      </c>
      <c r="EW48" s="67">
        <v>488.61</v>
      </c>
      <c r="EX48" s="67" t="s">
        <v>404</v>
      </c>
      <c r="EY48" s="67">
        <v>5663.94</v>
      </c>
      <c r="EZ48" s="67" t="s">
        <v>405</v>
      </c>
      <c r="FA48" s="67">
        <v>20063.564999999999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94"/>
        <v>498</v>
      </c>
      <c r="B49" s="3">
        <f t="shared" ref="B49:B56" si="299">+IF($A$1="ABS",AS49-AT49,AS49+AT49)</f>
        <v>2626</v>
      </c>
      <c r="C49" s="3">
        <f t="shared" ref="C49:C56" si="300">+IF($A$1="ABS",AU49-AV49,AU49+AV49)</f>
        <v>1570</v>
      </c>
      <c r="D49" s="3">
        <f t="shared" ref="D49:D56" si="301">+IF($A$1="ABS",AW49-AX49,AW49+AX49)</f>
        <v>0</v>
      </c>
      <c r="E49" s="3">
        <f t="shared" ref="E49:E56" si="302">SUM(B49:D49)</f>
        <v>4196</v>
      </c>
      <c r="F49" s="4">
        <f t="shared" ref="F49:F56" si="303">+$F$44/$A$44*A49</f>
        <v>20547.254973093895</v>
      </c>
      <c r="AM49" s="1">
        <v>2735</v>
      </c>
      <c r="AN49" s="1">
        <v>-29</v>
      </c>
      <c r="AO49" s="1">
        <v>498</v>
      </c>
      <c r="AP49" s="1">
        <v>10639</v>
      </c>
      <c r="AQ49" s="1">
        <v>-209</v>
      </c>
      <c r="AS49" s="6">
        <f>IF(RTD("tos.rtd",,AS$43,"."&amp;$A$43&amp;$AS$42&amp;"C"&amp;$A49)="N/A",0,RTD("tos.rtd",,AS$43,"."&amp;$A$43&amp;$AS$42&amp;"C"&amp;$A49))</f>
        <v>2562</v>
      </c>
      <c r="AT49" s="7">
        <f>-IF(RTD("tos.rtd",,AT$43,"."&amp;$A$43&amp;$AS$42&amp;"P"&amp;$A49)="N/A",0,RTD("tos.rtd",,AT$43,"."&amp;$A$43&amp;$AS$42&amp;"P"&amp;$A49))</f>
        <v>-64</v>
      </c>
      <c r="AU49" s="6">
        <f>IF(RTD("tos.rtd",,AU$2,"."&amp;$A$43&amp;$AU$1&amp;"C"&amp;$A49)="N/A",0,RTD("tos.rtd",,AU$2,"."&amp;$A$43&amp;$AU$1&amp;"C"&amp;$A49))</f>
        <v>1535</v>
      </c>
      <c r="AV49" s="7">
        <f>-IF(RTD("tos.rtd",,AV$2,"."&amp;$A$43&amp;$AU$1&amp;"P"&amp;$A49)="N/A",0,RTD("tos.rtd",,AV$2,"."&amp;$A$43&amp;$AU$1&amp;"P"&amp;$A49))</f>
        <v>-35</v>
      </c>
      <c r="AW49" s="6">
        <f>IF(RTD("tos.rtd",,AW$2,"."&amp;$A$43&amp;$AW$1&amp;"C"&amp;$A49)="N/A",0,RTD("tos.rtd",,AW$2,"."&amp;$A$43&amp;$AW$1&amp;"C"&amp;$A49))</f>
        <v>0</v>
      </c>
      <c r="AX49" s="7">
        <f>-IF(RTD("tos.rtd",,AX$2,"."&amp;$A$43&amp;$AW$1&amp;"P"&amp;$A49)="N/A",0,RTD("tos.rtd",,AX$2,"."&amp;$A$43&amp;$AW$1&amp;"P"&amp;$A49))</f>
        <v>0</v>
      </c>
      <c r="AY49" s="7">
        <f t="shared" ref="AY49:AY56" si="304">SUM(AS49:AX49)</f>
        <v>3998</v>
      </c>
      <c r="AZ49" s="8">
        <f t="shared" si="245"/>
        <v>498</v>
      </c>
      <c r="BA49" s="6">
        <f>IF(RTD("tos.rtd",,BA$43,"."&amp;$A$43&amp;$AS$42&amp;"C"&amp;$A49)="N/A",0,RTD("tos.rtd",,BA$43,"."&amp;$A$43&amp;$AS$42&amp;"C"&amp;$A49))</f>
        <v>10702</v>
      </c>
      <c r="BB49" s="7">
        <f>-IF(RTD("tos.rtd",,BB$43,"."&amp;$A$43&amp;$AS$42&amp;"P"&amp;$A49)="N/A",0,RTD("tos.rtd",,BB$43,"."&amp;$A$43&amp;$AS$42&amp;"P"&amp;$A49))</f>
        <v>-209</v>
      </c>
      <c r="BC49" s="6">
        <f>IF(RTD("tos.rtd",,BC$2,"."&amp;$A$43&amp;$AU$1&amp;"C"&amp;$A49)="N/A",0,RTD("tos.rtd",,BC$2,"."&amp;$A$43&amp;$AU$1&amp;"C"&amp;$A49))</f>
        <v>948</v>
      </c>
      <c r="BD49" s="7">
        <f>-IF(RTD("tos.rtd",,BD$2,"."&amp;$A$43&amp;$AU$1&amp;"P"&amp;$A49)="N/A",0,RTD("tos.rtd",,BD$2,"."&amp;$A$43&amp;$AU$1&amp;"P"&amp;$A49))</f>
        <v>-17</v>
      </c>
      <c r="BE49" s="6">
        <f>IF(RTD("tos.rtd",,BE$2,"."&amp;$A$43&amp;$AW$1&amp;"C"&amp;$A49)="N/A",0,RTD("tos.rtd",,BE$2,"."&amp;$A$43&amp;$AW$1&amp;"C"&amp;$A49))</f>
        <v>0</v>
      </c>
      <c r="BF49" s="7">
        <f>-IF(RTD("tos.rtd",,BF$2,"."&amp;$A$43&amp;$AW$1&amp;"P"&amp;$A49)="N/A",0,RTD("tos.rtd",,BF$2,"."&amp;$A$43&amp;$AW$1&amp;"P"&amp;$A49))</f>
        <v>0</v>
      </c>
      <c r="BG49" s="32">
        <f ca="1">+Hoja2!Y50</f>
        <v>103</v>
      </c>
      <c r="BH49" s="7">
        <f t="shared" ca="1" si="277"/>
        <v>11527</v>
      </c>
      <c r="BI49" s="8" t="str">
        <f t="shared" ca="1" si="295"/>
        <v/>
      </c>
      <c r="BJ49" s="83" t="e">
        <f ca="1">IF($BP$1=1,DX49,IF(RTD("tos.rtd",,BJ$43,"."&amp;$A$43&amp;$AS$42&amp;"C"&amp;$A49)="N/A",0,RTD("tos.rtd",,BJ$43,"."&amp;$A$43&amp;$AS$42&amp;"C"&amp;$A49)))</f>
        <v>#NUM!</v>
      </c>
      <c r="BK49" s="83" t="e">
        <f ca="1">IF($BP$1=1,DY49,-IF(RTD("tos.rtd",,BK$43,"."&amp;$A$43&amp;$AS$42&amp;"P"&amp;$A49)="N/A",0,RTD("tos.rtd",,BK$43,"."&amp;$A$43&amp;$AS$42&amp;"P"&amp;$A49)))</f>
        <v>#NUM!</v>
      </c>
      <c r="BL49" s="83">
        <f ca="1">IF($BP$1=1,DZ49,IF(RTD("tos.rtd",,BL$2,"."&amp;$A$43&amp;$AU$1&amp;"C"&amp;$A49)="N/A",0,RTD("tos.rtd",,BL$2,"."&amp;$A$43&amp;$AU$1&amp;"C"&amp;$A49)))</f>
        <v>4.0253088307406336E-2</v>
      </c>
      <c r="BM49" s="83">
        <f ca="1">IF($BP$1=1,EA49,-IF(RTD("tos.rtd",,BM$2,"."&amp;$A$43&amp;$AU$1&amp;"P"&amp;$A49)="N/A",0,RTD("tos.rtd",,BM$2,"."&amp;$A$43&amp;$AU$1&amp;"P"&amp;$A49)))</f>
        <v>-1.1613810583827466E-2</v>
      </c>
      <c r="BN49" s="83">
        <f ca="1">IF($BP$1=1,EB49,IF(RTD("tos.rtd",,BN$2,"."&amp;$A$43&amp;$AW$1&amp;"C"&amp;$A49)="N/A",0,RTD("tos.rtd",,BN$2,"."&amp;$A$43&amp;$AW$1&amp;"C"&amp;$A49)))</f>
        <v>2.3673664383469906E-2</v>
      </c>
      <c r="BO49" s="83">
        <f ca="1">IF($BP$1=1,EC49,-IF(RTD("tos.rtd",,BO$2,"."&amp;$A$43&amp;$AW$1&amp;"P"&amp;$A49)="N/A",0,RTD("tos.rtd",,BO$2,"."&amp;$A$43&amp;$AW$1&amp;"P"&amp;$A49)))</f>
        <v>-2.3673664383469906E-2</v>
      </c>
      <c r="BQ49" s="83" t="e">
        <f t="shared" ref="BQ49:BQ56" ca="1" si="305">+$A$44*$A$44*AS49*BJ49-$A$44*$A$44*AT49*BK49</f>
        <v>#NUM!</v>
      </c>
      <c r="BR49" s="3" t="e">
        <f t="shared" ca="1" si="279"/>
        <v>#NUM!</v>
      </c>
      <c r="BS49" s="83">
        <f t="shared" ref="BS49:BS56" ca="1" si="306">+$A$44*$A$44*AU49*BL49-$A$44*$A$44*AV49*BM49</f>
        <v>15111309.11437894</v>
      </c>
      <c r="BT49" s="3" t="str">
        <f t="shared" ca="1" si="281"/>
        <v/>
      </c>
      <c r="BU49" s="83">
        <f t="shared" ref="BU49:BU56" ca="1" si="307">+$A$44*$A$44*AW49*BN49-$A$44*$A$44*AX49*BO49</f>
        <v>0</v>
      </c>
      <c r="BV49" s="83"/>
      <c r="BX49" s="83" t="e">
        <f t="shared" ref="BX49:BX56" ca="1" si="308">+$A$44*$A$44*BA49*BJ49-$A$44*$A$44*BB49*BK49</f>
        <v>#NUM!</v>
      </c>
      <c r="BY49" s="83" t="e">
        <f t="shared" ca="1" si="296"/>
        <v>#NUM!</v>
      </c>
      <c r="BZ49" s="83">
        <f t="shared" ref="BZ49:BZ56" ca="1" si="309">+$A$44*$A$44*BC49*BL49-$A$44*$A$44*BD49*BM49</f>
        <v>9345783.7539437059</v>
      </c>
      <c r="CA49" s="83" t="str">
        <f t="shared" ca="1" si="296"/>
        <v/>
      </c>
      <c r="CB49" s="83">
        <f t="shared" ref="CB49:CB56" ca="1" si="310">+$A$44*$A$44*BE49*BN49-$A$44*$A$44*BF49*BO49</f>
        <v>0</v>
      </c>
      <c r="CC49" s="83" t="str">
        <f t="shared" ca="1" si="296"/>
        <v/>
      </c>
      <c r="CD49" s="83">
        <f>IF(RTD("tos.rtd",,CD$43,"."&amp;$A$43&amp;$AS$42&amp;"C"&amp;$A49)="N/A",0,RTD("tos.rtd",,CD$43,"."&amp;$A$43&amp;$AS$42&amp;"C"&amp;$A49))</f>
        <v>0.02</v>
      </c>
      <c r="CE49" s="83">
        <f>-IF(RTD("tos.rtd",,CE$43,"."&amp;$A$43&amp;$AS$42&amp;"P"&amp;$A49)="N/A",0,RTD("tos.rtd",,CE$43,"."&amp;$A$43&amp;$AS$42&amp;"P"&amp;$A49))</f>
        <v>0.52</v>
      </c>
      <c r="CF49" s="83">
        <f>IF(RTD("tos.rtd",,CF$2,"."&amp;$A$43&amp;$AU$1&amp;"C"&amp;$A49)="N/A",0,RTD("tos.rtd",,CF$2,"."&amp;$A$43&amp;$AU$1&amp;"C"&amp;$A49))</f>
        <v>0.43</v>
      </c>
      <c r="CG49" s="83">
        <f>-IF(RTD("tos.rtd",,CG$2,"."&amp;$A$43&amp;$AU$1&amp;"P"&amp;$A49)="N/A",0,RTD("tos.rtd",,CG$2,"."&amp;$A$43&amp;$AU$1&amp;"P"&amp;$A49))</f>
        <v>0.51</v>
      </c>
      <c r="CH49" s="83">
        <f>IF(RTD("tos.rtd",,CH$2,"."&amp;$A$43&amp;$AW$1&amp;"C"&amp;$A49)="N/A",0,RTD("tos.rtd",,CH$2,"."&amp;$A$43&amp;$AW$1&amp;"C"&amp;$A49))</f>
        <v>0</v>
      </c>
      <c r="CI49" s="83">
        <f>-IF(RTD("tos.rtd",,CI$2,"."&amp;$A$43&amp;$AW$1&amp;"P"&amp;$A49)="N/A",0,RTD("tos.rtd",,CI$2,"."&amp;$A$43&amp;$AW$1&amp;"P"&amp;$A49))</f>
        <v>0</v>
      </c>
      <c r="CK49" s="83">
        <f t="shared" ref="CK49:CK56" si="311">+AS49*CD49*100+AT49*CE49*100</f>
        <v>1796</v>
      </c>
      <c r="CL49" s="83"/>
      <c r="CM49" s="83">
        <f t="shared" ref="CM49:CM56" si="312">+AU49*CF49*100+AV49*CG49*100</f>
        <v>64220</v>
      </c>
      <c r="CN49" s="83"/>
      <c r="CO49" s="83">
        <f t="shared" ref="CO49:CO56" si="313">+AW49*CH49*100+AX49*CI49*100</f>
        <v>0</v>
      </c>
      <c r="CP49" s="83">
        <f t="shared" ref="CP49:CP56" si="314">+CK49+CM49+CO49</f>
        <v>66016</v>
      </c>
      <c r="CQ49" s="83">
        <f t="shared" ref="CQ49:CQ56" si="315">+BA49+BB49</f>
        <v>10493</v>
      </c>
      <c r="CR49" s="83"/>
      <c r="CS49" s="83">
        <f t="shared" ref="CS49:CS56" si="316">+BC49+BD49</f>
        <v>931</v>
      </c>
      <c r="CT49" s="83"/>
      <c r="CU49" s="83">
        <f t="shared" ref="CU49:CU56" si="317">+BE49+BF49</f>
        <v>0</v>
      </c>
      <c r="CV49" s="83"/>
      <c r="CW49" s="83" t="e">
        <f t="shared" ref="CW49:CW56" ca="1" si="318">+BQ49+BS49+BU49</f>
        <v>#NUM!</v>
      </c>
      <c r="CY49" s="83" t="e">
        <f t="shared" ref="CY49:CY56" ca="1" si="319">+BX49+BZ49+CB49</f>
        <v>#NUM!</v>
      </c>
      <c r="CZ49" s="70" t="e">
        <f t="shared" ca="1" si="297"/>
        <v>#NUM!</v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10.1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10.23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9.8800000000000008</v>
      </c>
      <c r="DG49" s="86">
        <f t="shared" si="289"/>
        <v>1.8299999999999841</v>
      </c>
      <c r="DH49" s="83">
        <f t="shared" ref="DH49:DH56" si="320">((DA49-DE49)/(DC49-DE49))*(BA49-AP49)</f>
        <v>63</v>
      </c>
      <c r="DI49" s="83">
        <f t="shared" ref="DI49:DI56" si="321">((DB49-DF49)/(DD49-DF49))*(BB49-AQ49)</f>
        <v>0</v>
      </c>
      <c r="DJ49" s="83">
        <f t="shared" ref="DJ49:DJ56" si="322">IF(DA49&gt;=(DE49+(DC49-DE49)*0.6),(BA49-AP49),IF(DA49&lt;=(DE49+(DC49-DE49)*0.4),-(BA49-AP49),0))</f>
        <v>63</v>
      </c>
      <c r="DK49" s="83">
        <f t="shared" si="257"/>
        <v>0</v>
      </c>
      <c r="DL49" s="83">
        <f t="shared" si="258"/>
        <v>63</v>
      </c>
      <c r="DM49" s="83">
        <f t="shared" si="259"/>
        <v>63</v>
      </c>
      <c r="DN49" s="64" t="str">
        <f t="shared" si="260"/>
        <v>BUY</v>
      </c>
      <c r="DO49" s="64" t="str">
        <f t="shared" si="261"/>
        <v>UNKNOWN</v>
      </c>
      <c r="DP49" s="83">
        <f t="shared" si="262"/>
        <v>0.63</v>
      </c>
      <c r="DQ49" s="83">
        <f t="shared" si="263"/>
        <v>0.63</v>
      </c>
      <c r="DR49" s="83" t="e">
        <f t="shared" ca="1" si="264"/>
        <v>#NUM!</v>
      </c>
      <c r="DS49" s="83">
        <f t="shared" si="265"/>
        <v>1.26</v>
      </c>
      <c r="DT49" s="83">
        <f t="shared" si="290"/>
        <v>63</v>
      </c>
      <c r="DU49" s="83">
        <f t="shared" si="291"/>
        <v>0</v>
      </c>
      <c r="DV49" s="83">
        <f t="shared" si="266"/>
        <v>2798</v>
      </c>
      <c r="DW49" s="83">
        <f t="shared" si="267"/>
        <v>-29</v>
      </c>
      <c r="DX49" s="83" t="e">
        <f t="shared" ref="DX49:DX56" ca="1" si="323">(EXP(-POWER((LN($A$44/$A49)+($EC$1+POWER($EE49,2)/2)*($EM$1/$DY$1))/($EE49*SQRT($EM$1/$DY$1)),2)/2)/SQRT(2*PI())/($A$44*$EE49*SQRT($EM$1/$DY$1)))</f>
        <v>#NUM!</v>
      </c>
      <c r="DY49" s="83" t="e">
        <f t="shared" ref="DY49:DY56" ca="1" si="324">-(EXP(-POWER((LN($A$44/$A49)+($EC$1+POWER($EF49,2)/2)*($EM$1/$DY$1))/($EF49*SQRT($EM$1/$DY$1)),2)/2)/SQRT(2*PI())/($A$44*$EF49*SQRT($EM$1/$DY$1)))</f>
        <v>#NUM!</v>
      </c>
      <c r="DZ49" s="83">
        <f t="shared" ref="DZ49:DZ56" ca="1" si="325">(EXP(-POWER((LN($A$44/$A49)+($EC$1+POWER($EG49,2)/2)*($EO$1/$DY$1))/($EG49*SQRT($EO$1/$DY$1)),2)/2)/SQRT(2*PI())/($A$44*$EG49*SQRT($EO$1/$DY$1)))</f>
        <v>4.0253088307406336E-2</v>
      </c>
      <c r="EA49" s="83">
        <f t="shared" ref="EA49:EA56" ca="1" si="326">-(EXP(-POWER((LN($A$44/$A49)+($EC$1+POWER($EH49,2)/2)*($EO$1/$DY$1))/($EH49*SQRT($EO$1/$DY$1)),2)/2)/SQRT(2*PI())/($A$44*$EH49*SQRT($EO$1/$DY$1)))</f>
        <v>-1.1613810583827466E-2</v>
      </c>
      <c r="EB49" s="83">
        <f t="shared" ref="EB49:EB56" ca="1" si="327">(EXP(-POWER((LN($A$44/$A49)+($EC$1+POWER($EI49,2)/2)*($EO$1/$DY$1))/($EI49*SQRT($EO$1/$DY$1)),2)/2)/SQRT(2*PI())/($A$44*$EI49*SQRT($EO$1/$DY$1)))</f>
        <v>2.3673664383469906E-2</v>
      </c>
      <c r="EC49" s="83">
        <f t="shared" ref="EC49:EC56" ca="1" si="328">-(EXP(-POWER((LN($A$44/$A49)+($EC$1+POWER($EJ49,2)/2)*($EO$1/$DY$1))/($EJ49*SQRT($EO$1/$DY$1)),2)/2)/SQRT(2*PI())/($A$44*$EJ49*SQRT($EO$1/$DY$1)))</f>
        <v>-2.3673664383469906E-2</v>
      </c>
      <c r="ED49" s="63">
        <f t="shared" si="292"/>
        <v>2769</v>
      </c>
      <c r="EE49" s="84">
        <f t="shared" ref="EE49:EE56" si="329">IFERROR(VALUE(IF(OR(EL49="--",EL49="0.00%"),$EE$1,EL49)),$EE$1)</f>
        <v>0.22800000000000001</v>
      </c>
      <c r="EF49" s="84">
        <f t="shared" ref="EF49:EF56" si="330">IFERROR(VALUE(IF(OR(EM49="--",EM49="0.00%"),$EE$1,EM49)),$EE$1)</f>
        <v>6.0843999999999996</v>
      </c>
      <c r="EG49" s="84">
        <f t="shared" ref="EG49:EG56" si="331">IFERROR(VALUE(IF(OR(EN49="--",EN49="0.00%"),$EE$1,EN49)),$EE$1)</f>
        <v>0.14599999999999999</v>
      </c>
      <c r="EH49" s="84">
        <f t="shared" ref="EH49:EH56" si="332">IFERROR(VALUE(IF(OR(EO49="--",EO49="0.00%"),$EE$1,EO49)),$EE$1)</f>
        <v>0.51080000000000003</v>
      </c>
      <c r="EI49" s="84">
        <f t="shared" ref="EI49:EI56" si="333">IFERROR(VALUE(IF(OR(EP49="--",EP49="0.00%"),$EE$1,EP49)),$EE$1)</f>
        <v>0.25</v>
      </c>
      <c r="EJ49" s="84">
        <f t="shared" ref="EJ49:EJ56" si="334">IFERROR(VALUE(IF(OR(EQ49="--",EQ49="0.00%"),$EE$1,EQ49)),$EE$1)</f>
        <v>0.25</v>
      </c>
      <c r="EK49" s="63" t="e">
        <f t="shared" ca="1" si="293"/>
        <v>#NUM!</v>
      </c>
      <c r="EL49" s="83" t="str">
        <f>RTD("tos.rtd",,EL$43,"."&amp;$A$43&amp;$AS$42&amp;"C"&amp;$A49)</f>
        <v>22.80%</v>
      </c>
      <c r="EM49" s="83" t="str">
        <f>RTD("tos.rtd",,EM$43,"."&amp;$A$43&amp;$AS$42&amp;"P"&amp;$A49)</f>
        <v>608.44%</v>
      </c>
      <c r="EN49" s="83" t="str">
        <f>RTD("tos.rtd",,EN$2,"."&amp;$A$43&amp;$AU$1&amp;"C"&amp;$A49)</f>
        <v>14.60%</v>
      </c>
      <c r="EO49" s="83" t="str">
        <f>RTD("tos.rtd",,EO$2,"."&amp;$A$43&amp;$AU$1&amp;"P"&amp;$A49)</f>
        <v>51.08%</v>
      </c>
      <c r="EP49" s="83" t="str">
        <f>RTD("tos.rtd",,EP$2,"."&amp;$A$43&amp;$AW$1&amp;"C"&amp;$A49)</f>
        <v>N/A</v>
      </c>
      <c r="EQ49" s="83" t="str">
        <f>RTD("tos.rtd",,EQ$2,"."&amp;$A$43&amp;$AW$1&amp;"P"&amp;$A49)</f>
        <v>N/A</v>
      </c>
      <c r="ES49" s="63" t="str">
        <f t="shared" si="274"/>
        <v>498,2769.00</v>
      </c>
      <c r="ET49" s="63" t="str">
        <f t="shared" ca="1" si="275"/>
        <v>498,00.00</v>
      </c>
      <c r="EU49" s="68">
        <v>565.21</v>
      </c>
      <c r="EV49" s="68" t="s">
        <v>411</v>
      </c>
      <c r="EW49" s="68">
        <v>488.61</v>
      </c>
      <c r="EX49" s="68" t="s">
        <v>412</v>
      </c>
      <c r="EY49" s="68">
        <v>5663.94</v>
      </c>
      <c r="EZ49" s="68" t="s">
        <v>413</v>
      </c>
      <c r="FA49" s="68">
        <v>20063.564999999999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94"/>
        <v>497</v>
      </c>
      <c r="B50" s="3">
        <f t="shared" si="299"/>
        <v>3718</v>
      </c>
      <c r="C50" s="3">
        <f t="shared" si="300"/>
        <v>884</v>
      </c>
      <c r="D50" s="3">
        <f t="shared" si="301"/>
        <v>0</v>
      </c>
      <c r="E50" s="3">
        <f t="shared" si="302"/>
        <v>4602</v>
      </c>
      <c r="F50" s="4">
        <f t="shared" si="303"/>
        <v>20505.995424955156</v>
      </c>
      <c r="AM50" s="1">
        <v>-3317</v>
      </c>
      <c r="AN50" s="1">
        <v>-1</v>
      </c>
      <c r="AO50" s="1">
        <v>497</v>
      </c>
      <c r="AP50" s="1">
        <v>12075</v>
      </c>
      <c r="AQ50" s="1">
        <v>-191</v>
      </c>
      <c r="AS50" s="6">
        <f>IF(RTD("tos.rtd",,AS$43,"."&amp;$A$43&amp;$AS$42&amp;"C"&amp;$A50)="N/A",0,RTD("tos.rtd",,AS$43,"."&amp;$A$43&amp;$AS$42&amp;"C"&amp;$A50))</f>
        <v>3438</v>
      </c>
      <c r="AT50" s="7">
        <f>-IF(RTD("tos.rtd",,AT$43,"."&amp;$A$43&amp;$AS$42&amp;"P"&amp;$A50)="N/A",0,RTD("tos.rtd",,AT$43,"."&amp;$A$43&amp;$AS$42&amp;"P"&amp;$A50))</f>
        <v>-280</v>
      </c>
      <c r="AU50" s="6">
        <f>IF(RTD("tos.rtd",,AU$2,"."&amp;$A$43&amp;$AU$1&amp;"C"&amp;$A50)="N/A",0,RTD("tos.rtd",,AU$2,"."&amp;$A$43&amp;$AU$1&amp;"C"&amp;$A50))</f>
        <v>808</v>
      </c>
      <c r="AV50" s="7">
        <f>-IF(RTD("tos.rtd",,AV$2,"."&amp;$A$43&amp;$AU$1&amp;"P"&amp;$A50)="N/A",0,RTD("tos.rtd",,AV$2,"."&amp;$A$43&amp;$AU$1&amp;"P"&amp;$A50))</f>
        <v>-76</v>
      </c>
      <c r="AW50" s="6">
        <f>IF(RTD("tos.rtd",,AW$2,"."&amp;$A$43&amp;$AW$1&amp;"C"&amp;$A50)="N/A",0,RTD("tos.rtd",,AW$2,"."&amp;$A$43&amp;$AW$1&amp;"C"&amp;$A50))</f>
        <v>0</v>
      </c>
      <c r="AX50" s="7">
        <f>-IF(RTD("tos.rtd",,AX$2,"."&amp;$A$43&amp;$AW$1&amp;"P"&amp;$A50)="N/A",0,RTD("tos.rtd",,AX$2,"."&amp;$A$43&amp;$AW$1&amp;"P"&amp;$A50))</f>
        <v>0</v>
      </c>
      <c r="AY50" s="7">
        <f t="shared" si="304"/>
        <v>3890</v>
      </c>
      <c r="AZ50" s="8">
        <f t="shared" si="245"/>
        <v>497</v>
      </c>
      <c r="BA50" s="6">
        <f>IF(RTD("tos.rtd",,BA$43,"."&amp;$A$43&amp;$AS$42&amp;"C"&amp;$A50)="N/A",0,RTD("tos.rtd",,BA$43,"."&amp;$A$43&amp;$AS$42&amp;"C"&amp;$A50))</f>
        <v>12075</v>
      </c>
      <c r="BB50" s="7">
        <f>-IF(RTD("tos.rtd",,BB$43,"."&amp;$A$43&amp;$AS$42&amp;"P"&amp;$A50)="N/A",0,RTD("tos.rtd",,BB$43,"."&amp;$A$43&amp;$AS$42&amp;"P"&amp;$A50))</f>
        <v>-191</v>
      </c>
      <c r="BC50" s="6">
        <f>IF(RTD("tos.rtd",,BC$2,"."&amp;$A$43&amp;$AU$1&amp;"C"&amp;$A50)="N/A",0,RTD("tos.rtd",,BC$2,"."&amp;$A$43&amp;$AU$1&amp;"C"&amp;$A50))</f>
        <v>779</v>
      </c>
      <c r="BD50" s="7">
        <f>-IF(RTD("tos.rtd",,BD$2,"."&amp;$A$43&amp;$AU$1&amp;"P"&amp;$A50)="N/A",0,RTD("tos.rtd",,BD$2,"."&amp;$A$43&amp;$AU$1&amp;"P"&amp;$A50))</f>
        <v>-30</v>
      </c>
      <c r="BE50" s="6">
        <f>IF(RTD("tos.rtd",,BE$2,"."&amp;$A$43&amp;$AW$1&amp;"C"&amp;$A50)="N/A",0,RTD("tos.rtd",,BE$2,"."&amp;$A$43&amp;$AW$1&amp;"C"&amp;$A50))</f>
        <v>0</v>
      </c>
      <c r="BF50" s="7">
        <f>-IF(RTD("tos.rtd",,BF$2,"."&amp;$A$43&amp;$AW$1&amp;"P"&amp;$A50)="N/A",0,RTD("tos.rtd",,BF$2,"."&amp;$A$43&amp;$AW$1&amp;"P"&amp;$A50))</f>
        <v>0</v>
      </c>
      <c r="BG50" s="32">
        <f ca="1">+Hoja2!Y51</f>
        <v>312</v>
      </c>
      <c r="BH50" s="7">
        <f t="shared" ca="1" si="277"/>
        <v>12945</v>
      </c>
      <c r="BI50" s="8" t="str">
        <f t="shared" ca="1" si="295"/>
        <v/>
      </c>
      <c r="BJ50" s="83" t="e">
        <f ca="1">IF($BP$1=1,DX50,IF(RTD("tos.rtd",,BJ$43,"."&amp;$A$43&amp;$AS$42&amp;"C"&amp;$A50)="N/A",0,RTD("tos.rtd",,BJ$43,"."&amp;$A$43&amp;$AS$42&amp;"C"&amp;$A50)))</f>
        <v>#NUM!</v>
      </c>
      <c r="BK50" s="83" t="e">
        <f ca="1">IF($BP$1=1,DY50,-IF(RTD("tos.rtd",,BK$43,"."&amp;$A$43&amp;$AS$42&amp;"P"&amp;$A50)="N/A",0,RTD("tos.rtd",,BK$43,"."&amp;$A$43&amp;$AS$42&amp;"P"&amp;$A50)))</f>
        <v>#NUM!</v>
      </c>
      <c r="BL50" s="83">
        <f ca="1">IF($BP$1=1,DZ50,IF(RTD("tos.rtd",,BL$2,"."&amp;$A$43&amp;$AU$1&amp;"C"&amp;$A50)="N/A",0,RTD("tos.rtd",,BL$2,"."&amp;$A$43&amp;$AU$1&amp;"C"&amp;$A50)))</f>
        <v>4.2374697437181946E-2</v>
      </c>
      <c r="BM50" s="83">
        <f ca="1">IF($BP$1=1,EA50,-IF(RTD("tos.rtd",,BM$2,"."&amp;$A$43&amp;$AU$1&amp;"P"&amp;$A50)="N/A",0,RTD("tos.rtd",,BM$2,"."&amp;$A$43&amp;$AU$1&amp;"P"&amp;$A50)))</f>
        <v>-1.1758896869296369E-2</v>
      </c>
      <c r="BN50" s="83">
        <f ca="1">IF($BP$1=1,EB50,IF(RTD("tos.rtd",,BN$2,"."&amp;$A$43&amp;$AW$1&amp;"C"&amp;$A50)="N/A",0,RTD("tos.rtd",,BN$2,"."&amp;$A$43&amp;$AW$1&amp;"C"&amp;$A50)))</f>
        <v>2.3728893192333577E-2</v>
      </c>
      <c r="BO50" s="83">
        <f ca="1">IF($BP$1=1,EC50,-IF(RTD("tos.rtd",,BO$2,"."&amp;$A$43&amp;$AW$1&amp;"P"&amp;$A50)="N/A",0,RTD("tos.rtd",,BO$2,"."&amp;$A$43&amp;$AW$1&amp;"P"&amp;$A50)))</f>
        <v>-2.3728893192333577E-2</v>
      </c>
      <c r="BQ50" s="83" t="e">
        <f t="shared" ca="1" si="305"/>
        <v>#NUM!</v>
      </c>
      <c r="BR50" s="3" t="e">
        <f t="shared" ca="1" si="279"/>
        <v>#NUM!</v>
      </c>
      <c r="BS50" s="83">
        <f t="shared" ca="1" si="306"/>
        <v>8209047.3234525668</v>
      </c>
      <c r="BT50" s="3" t="str">
        <f t="shared" ca="1" si="281"/>
        <v/>
      </c>
      <c r="BU50" s="83">
        <f t="shared" ca="1" si="307"/>
        <v>0</v>
      </c>
      <c r="BV50" s="83"/>
      <c r="BX50" s="83" t="e">
        <f t="shared" ca="1" si="308"/>
        <v>#NUM!</v>
      </c>
      <c r="BY50" s="83" t="e">
        <f t="shared" ca="1" si="296"/>
        <v>#NUM!</v>
      </c>
      <c r="BZ50" s="83">
        <f t="shared" ca="1" si="309"/>
        <v>8039682.8646518271</v>
      </c>
      <c r="CA50" s="83" t="str">
        <f t="shared" ca="1" si="296"/>
        <v/>
      </c>
      <c r="CB50" s="83">
        <f t="shared" ca="1" si="310"/>
        <v>0</v>
      </c>
      <c r="CC50" s="83" t="str">
        <f t="shared" ca="1" si="296"/>
        <v/>
      </c>
      <c r="CD50" s="83">
        <f>IF(RTD("tos.rtd",,CD$43,"."&amp;$A$43&amp;$AS$42&amp;"C"&amp;$A50)="N/A",0,RTD("tos.rtd",,CD$43,"."&amp;$A$43&amp;$AS$42&amp;"C"&amp;$A50))</f>
        <v>0.03</v>
      </c>
      <c r="CE50" s="83">
        <f>-IF(RTD("tos.rtd",,CE$43,"."&amp;$A$43&amp;$AS$42&amp;"P"&amp;$A50)="N/A",0,RTD("tos.rtd",,CE$43,"."&amp;$A$43&amp;$AS$42&amp;"P"&amp;$A50))</f>
        <v>0.51</v>
      </c>
      <c r="CF50" s="83">
        <f>IF(RTD("tos.rtd",,CF$2,"."&amp;$A$43&amp;$AU$1&amp;"C"&amp;$A50)="N/A",0,RTD("tos.rtd",,CF$2,"."&amp;$A$43&amp;$AU$1&amp;"C"&amp;$A50))</f>
        <v>0.47</v>
      </c>
      <c r="CG50" s="83">
        <f>-IF(RTD("tos.rtd",,CG$2,"."&amp;$A$43&amp;$AU$1&amp;"P"&amp;$A50)="N/A",0,RTD("tos.rtd",,CG$2,"."&amp;$A$43&amp;$AU$1&amp;"P"&amp;$A50))</f>
        <v>0.5</v>
      </c>
      <c r="CH50" s="83">
        <f>IF(RTD("tos.rtd",,CH$2,"."&amp;$A$43&amp;$AW$1&amp;"C"&amp;$A50)="N/A",0,RTD("tos.rtd",,CH$2,"."&amp;$A$43&amp;$AW$1&amp;"C"&amp;$A50))</f>
        <v>0</v>
      </c>
      <c r="CI50" s="83">
        <f>-IF(RTD("tos.rtd",,CI$2,"."&amp;$A$43&amp;$AW$1&amp;"P"&amp;$A50)="N/A",0,RTD("tos.rtd",,CI$2,"."&amp;$A$43&amp;$AW$1&amp;"P"&amp;$A50))</f>
        <v>0</v>
      </c>
      <c r="CK50" s="83">
        <f t="shared" si="311"/>
        <v>-3966.0000000000018</v>
      </c>
      <c r="CL50" s="83"/>
      <c r="CM50" s="83">
        <f t="shared" si="312"/>
        <v>34176</v>
      </c>
      <c r="CN50" s="83"/>
      <c r="CO50" s="83">
        <f t="shared" si="313"/>
        <v>0</v>
      </c>
      <c r="CP50" s="83">
        <f t="shared" si="314"/>
        <v>30210</v>
      </c>
      <c r="CQ50" s="83">
        <f t="shared" si="315"/>
        <v>11884</v>
      </c>
      <c r="CR50" s="83"/>
      <c r="CS50" s="83">
        <f t="shared" si="316"/>
        <v>749</v>
      </c>
      <c r="CT50" s="83"/>
      <c r="CU50" s="83">
        <f t="shared" si="317"/>
        <v>0</v>
      </c>
      <c r="CV50" s="83"/>
      <c r="CW50" s="83" t="e">
        <f t="shared" ca="1" si="318"/>
        <v>#NUM!</v>
      </c>
      <c r="CY50" s="83" t="e">
        <f t="shared" ca="1" si="319"/>
        <v>#NUM!</v>
      </c>
      <c r="CZ50" s="70" t="e">
        <f t="shared" ca="1" si="297"/>
        <v>#NUM!</v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9.1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9.23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8.8800000000000008</v>
      </c>
      <c r="DG50" s="86">
        <f t="shared" si="289"/>
        <v>0.82999999999998408</v>
      </c>
      <c r="DH50" s="83">
        <f t="shared" si="320"/>
        <v>0</v>
      </c>
      <c r="DI50" s="83">
        <f t="shared" si="321"/>
        <v>0</v>
      </c>
      <c r="DJ50" s="83">
        <f t="shared" si="322"/>
        <v>0</v>
      </c>
      <c r="DK50" s="83">
        <f t="shared" si="257"/>
        <v>0</v>
      </c>
      <c r="DL50" s="83">
        <f t="shared" si="258"/>
        <v>0</v>
      </c>
      <c r="DM50" s="83">
        <f t="shared" si="259"/>
        <v>0</v>
      </c>
      <c r="DN50" s="64" t="str">
        <f t="shared" si="260"/>
        <v>UNKNOWN</v>
      </c>
      <c r="DO50" s="64" t="str">
        <f t="shared" si="261"/>
        <v>UNKNOWN</v>
      </c>
      <c r="DP50" s="83">
        <f t="shared" si="262"/>
        <v>0</v>
      </c>
      <c r="DQ50" s="83">
        <f t="shared" si="263"/>
        <v>0</v>
      </c>
      <c r="DR50" s="83" t="e">
        <f t="shared" ca="1" si="264"/>
        <v>#NUM!</v>
      </c>
      <c r="DS50" s="83">
        <f t="shared" si="265"/>
        <v>0</v>
      </c>
      <c r="DT50" s="83">
        <f t="shared" si="290"/>
        <v>0</v>
      </c>
      <c r="DU50" s="83">
        <f t="shared" si="291"/>
        <v>0</v>
      </c>
      <c r="DV50" s="83">
        <f t="shared" si="266"/>
        <v>-3317</v>
      </c>
      <c r="DW50" s="83">
        <f t="shared" si="267"/>
        <v>-1</v>
      </c>
      <c r="DX50" s="83" t="e">
        <f t="shared" ca="1" si="323"/>
        <v>#NUM!</v>
      </c>
      <c r="DY50" s="83" t="e">
        <f t="shared" ca="1" si="324"/>
        <v>#NUM!</v>
      </c>
      <c r="DZ50" s="83">
        <f t="shared" ca="1" si="325"/>
        <v>4.2374697437181946E-2</v>
      </c>
      <c r="EA50" s="83">
        <f t="shared" ca="1" si="326"/>
        <v>-1.1758896869296369E-2</v>
      </c>
      <c r="EB50" s="83">
        <f t="shared" ca="1" si="327"/>
        <v>2.3728893192333577E-2</v>
      </c>
      <c r="EC50" s="83">
        <f t="shared" ca="1" si="328"/>
        <v>-2.3728893192333577E-2</v>
      </c>
      <c r="ED50" s="63">
        <f t="shared" si="292"/>
        <v>-3318</v>
      </c>
      <c r="EE50" s="84">
        <f t="shared" si="329"/>
        <v>0.1171</v>
      </c>
      <c r="EF50" s="84">
        <f t="shared" si="330"/>
        <v>5.7714999999999996</v>
      </c>
      <c r="EG50" s="84">
        <f t="shared" si="331"/>
        <v>0.1399</v>
      </c>
      <c r="EH50" s="84">
        <f t="shared" si="332"/>
        <v>0.50439999999999996</v>
      </c>
      <c r="EI50" s="84">
        <f t="shared" si="333"/>
        <v>0.25</v>
      </c>
      <c r="EJ50" s="84">
        <f t="shared" si="334"/>
        <v>0.25</v>
      </c>
      <c r="EK50" s="63" t="e">
        <f t="shared" ca="1" si="293"/>
        <v>#NUM!</v>
      </c>
      <c r="EL50" s="83" t="str">
        <f>RTD("tos.rtd",,EL$43,"."&amp;$A$43&amp;$AS$42&amp;"C"&amp;$A50)</f>
        <v>11.71%</v>
      </c>
      <c r="EM50" s="83" t="str">
        <f>RTD("tos.rtd",,EM$43,"."&amp;$A$43&amp;$AS$42&amp;"P"&amp;$A50)</f>
        <v>577.15%</v>
      </c>
      <c r="EN50" s="83" t="str">
        <f>RTD("tos.rtd",,EN$2,"."&amp;$A$43&amp;$AU$1&amp;"C"&amp;$A50)</f>
        <v>13.99%</v>
      </c>
      <c r="EO50" s="83" t="str">
        <f>RTD("tos.rtd",,EO$2,"."&amp;$A$43&amp;$AU$1&amp;"P"&amp;$A50)</f>
        <v>50.44%</v>
      </c>
      <c r="EP50" s="83" t="str">
        <f>RTD("tos.rtd",,EP$2,"."&amp;$A$43&amp;$AW$1&amp;"C"&amp;$A50)</f>
        <v>N/A</v>
      </c>
      <c r="EQ50" s="83" t="str">
        <f>RTD("tos.rtd",,EQ$2,"."&amp;$A$43&amp;$AW$1&amp;"P"&amp;$A50)</f>
        <v>N/A</v>
      </c>
      <c r="ES50" s="63" t="str">
        <f t="shared" si="274"/>
        <v>497,-3318.00</v>
      </c>
      <c r="ET50" s="63" t="str">
        <f t="shared" ca="1" si="275"/>
        <v>497,00.00</v>
      </c>
      <c r="EU50" s="68">
        <v>565.20000000000005</v>
      </c>
      <c r="EV50" s="68" t="s">
        <v>419</v>
      </c>
      <c r="EW50" s="68">
        <v>488.6</v>
      </c>
      <c r="EX50" s="68" t="s">
        <v>420</v>
      </c>
      <c r="EY50" s="68">
        <v>5663.94</v>
      </c>
      <c r="EZ50" s="68" t="s">
        <v>421</v>
      </c>
      <c r="FA50" s="68">
        <v>20063.564999999999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94"/>
        <v>496</v>
      </c>
      <c r="B51" s="3">
        <f t="shared" si="299"/>
        <v>2743</v>
      </c>
      <c r="C51" s="3">
        <f t="shared" si="300"/>
        <v>1040</v>
      </c>
      <c r="D51" s="3">
        <f t="shared" si="301"/>
        <v>0</v>
      </c>
      <c r="E51" s="3">
        <f t="shared" si="302"/>
        <v>3783</v>
      </c>
      <c r="F51" s="4">
        <f t="shared" si="303"/>
        <v>20464.735876816412</v>
      </c>
      <c r="AM51" s="1">
        <v>866</v>
      </c>
      <c r="AN51" s="1">
        <v>70</v>
      </c>
      <c r="AO51" s="1">
        <v>496</v>
      </c>
      <c r="AP51" s="1">
        <v>17246</v>
      </c>
      <c r="AQ51" s="1">
        <v>-412</v>
      </c>
      <c r="AS51" s="6">
        <f>IF(RTD("tos.rtd",,AS$43,"."&amp;$A$43&amp;$AS$42&amp;"C"&amp;$A51)="N/A",0,RTD("tos.rtd",,AS$43,"."&amp;$A$43&amp;$AS$42&amp;"C"&amp;$A51))</f>
        <v>2517</v>
      </c>
      <c r="AT51" s="7">
        <f>-IF(RTD("tos.rtd",,AT$43,"."&amp;$A$43&amp;$AS$42&amp;"P"&amp;$A51)="N/A",0,RTD("tos.rtd",,AT$43,"."&amp;$A$43&amp;$AS$42&amp;"P"&amp;$A51))</f>
        <v>-226</v>
      </c>
      <c r="AU51" s="6">
        <f>IF(RTD("tos.rtd",,AU$2,"."&amp;$A$43&amp;$AU$1&amp;"C"&amp;$A51)="N/A",0,RTD("tos.rtd",,AU$2,"."&amp;$A$43&amp;$AU$1&amp;"C"&amp;$A51))</f>
        <v>992</v>
      </c>
      <c r="AV51" s="7">
        <f>-IF(RTD("tos.rtd",,AV$2,"."&amp;$A$43&amp;$AU$1&amp;"P"&amp;$A51)="N/A",0,RTD("tos.rtd",,AV$2,"."&amp;$A$43&amp;$AU$1&amp;"P"&amp;$A51))</f>
        <v>-48</v>
      </c>
      <c r="AW51" s="6">
        <f>IF(RTD("tos.rtd",,AW$2,"."&amp;$A$43&amp;$AW$1&amp;"C"&amp;$A51)="N/A",0,RTD("tos.rtd",,AW$2,"."&amp;$A$43&amp;$AW$1&amp;"C"&amp;$A51))</f>
        <v>0</v>
      </c>
      <c r="AX51" s="7">
        <f>-IF(RTD("tos.rtd",,AX$2,"."&amp;$A$43&amp;$AW$1&amp;"P"&amp;$A51)="N/A",0,RTD("tos.rtd",,AX$2,"."&amp;$A$43&amp;$AW$1&amp;"P"&amp;$A51))</f>
        <v>0</v>
      </c>
      <c r="AY51" s="7">
        <f t="shared" si="304"/>
        <v>3235</v>
      </c>
      <c r="AZ51" s="8">
        <f t="shared" si="245"/>
        <v>496</v>
      </c>
      <c r="BA51" s="6">
        <f>IF(RTD("tos.rtd",,BA$43,"."&amp;$A$43&amp;$AS$42&amp;"C"&amp;$A51)="N/A",0,RTD("tos.rtd",,BA$43,"."&amp;$A$43&amp;$AS$42&amp;"C"&amp;$A51))</f>
        <v>17493</v>
      </c>
      <c r="BB51" s="7">
        <f>-IF(RTD("tos.rtd",,BB$43,"."&amp;$A$43&amp;$AS$42&amp;"P"&amp;$A51)="N/A",0,RTD("tos.rtd",,BB$43,"."&amp;$A$43&amp;$AS$42&amp;"P"&amp;$A51))</f>
        <v>-414</v>
      </c>
      <c r="BC51" s="6">
        <f>IF(RTD("tos.rtd",,BC$2,"."&amp;$A$43&amp;$AU$1&amp;"C"&amp;$A51)="N/A",0,RTD("tos.rtd",,BC$2,"."&amp;$A$43&amp;$AU$1&amp;"C"&amp;$A51))</f>
        <v>1114</v>
      </c>
      <c r="BD51" s="7">
        <f>-IF(RTD("tos.rtd",,BD$2,"."&amp;$A$43&amp;$AU$1&amp;"P"&amp;$A51)="N/A",0,RTD("tos.rtd",,BD$2,"."&amp;$A$43&amp;$AU$1&amp;"P"&amp;$A51))</f>
        <v>-40</v>
      </c>
      <c r="BE51" s="6">
        <f>IF(RTD("tos.rtd",,BE$2,"."&amp;$A$43&amp;$AW$1&amp;"C"&amp;$A51)="N/A",0,RTD("tos.rtd",,BE$2,"."&amp;$A$43&amp;$AW$1&amp;"C"&amp;$A51))</f>
        <v>0</v>
      </c>
      <c r="BF51" s="7">
        <f>-IF(RTD("tos.rtd",,BF$2,"."&amp;$A$43&amp;$AW$1&amp;"P"&amp;$A51)="N/A",0,RTD("tos.rtd",,BF$2,"."&amp;$A$43&amp;$AW$1&amp;"P"&amp;$A51))</f>
        <v>0</v>
      </c>
      <c r="BG51" s="32">
        <f ca="1">+Hoja2!Y52</f>
        <v>91</v>
      </c>
      <c r="BH51" s="7">
        <f t="shared" ca="1" si="277"/>
        <v>18244</v>
      </c>
      <c r="BI51" s="8" t="str">
        <f t="shared" ca="1" si="295"/>
        <v/>
      </c>
      <c r="BJ51" s="83" t="e">
        <f ca="1">IF($BP$1=1,DX51,IF(RTD("tos.rtd",,BJ$43,"."&amp;$A$43&amp;$AS$42&amp;"C"&amp;$A51)="N/A",0,RTD("tos.rtd",,BJ$43,"."&amp;$A$43&amp;$AS$42&amp;"C"&amp;$A51)))</f>
        <v>#NUM!</v>
      </c>
      <c r="BK51" s="83" t="e">
        <f ca="1">IF($BP$1=1,DY51,-IF(RTD("tos.rtd",,BK$43,"."&amp;$A$43&amp;$AS$42&amp;"P"&amp;$A51)="N/A",0,RTD("tos.rtd",,BK$43,"."&amp;$A$43&amp;$AS$42&amp;"P"&amp;$A51)))</f>
        <v>#NUM!</v>
      </c>
      <c r="BL51" s="83">
        <f ca="1">IF($BP$1=1,DZ51,IF(RTD("tos.rtd",,BL$2,"."&amp;$A$43&amp;$AU$1&amp;"C"&amp;$A51)="N/A",0,RTD("tos.rtd",,BL$2,"."&amp;$A$43&amp;$AU$1&amp;"C"&amp;$A51)))</f>
        <v>4.4761751145044375E-2</v>
      </c>
      <c r="BM51" s="83">
        <f ca="1">IF($BP$1=1,EA51,-IF(RTD("tos.rtd",,BM$2,"."&amp;$A$43&amp;$AU$1&amp;"P"&amp;$A51)="N/A",0,RTD("tos.rtd",,BM$2,"."&amp;$A$43&amp;$AU$1&amp;"P"&amp;$A51)))</f>
        <v>-1.2047730696924511E-2</v>
      </c>
      <c r="BN51" s="83">
        <f ca="1">IF($BP$1=1,EB51,IF(RTD("tos.rtd",,BN$2,"."&amp;$A$43&amp;$AW$1&amp;"C"&amp;$A51)="N/A",0,RTD("tos.rtd",,BN$2,"."&amp;$A$43&amp;$AW$1&amp;"C"&amp;$A51)))</f>
        <v>2.370055430572713E-2</v>
      </c>
      <c r="BO51" s="83">
        <f ca="1">IF($BP$1=1,EC51,-IF(RTD("tos.rtd",,BO$2,"."&amp;$A$43&amp;$AW$1&amp;"P"&amp;$A51)="N/A",0,RTD("tos.rtd",,BO$2,"."&amp;$A$43&amp;$AW$1&amp;"P"&amp;$A51)))</f>
        <v>-2.370055430572713E-2</v>
      </c>
      <c r="BQ51" s="83" t="e">
        <f t="shared" ca="1" si="305"/>
        <v>#NUM!</v>
      </c>
      <c r="BR51" s="3" t="e">
        <f t="shared" ca="1" si="279"/>
        <v>#NUM!</v>
      </c>
      <c r="BS51" s="83">
        <f t="shared" ca="1" si="306"/>
        <v>10789133.233501032</v>
      </c>
      <c r="BT51" s="3" t="str">
        <f t="shared" ca="1" si="281"/>
        <v/>
      </c>
      <c r="BU51" s="83">
        <f t="shared" ca="1" si="307"/>
        <v>0</v>
      </c>
      <c r="BV51" s="83"/>
      <c r="BX51" s="83" t="e">
        <f t="shared" ca="1" si="308"/>
        <v>#NUM!</v>
      </c>
      <c r="BY51" s="83" t="e">
        <f t="shared" ca="1" si="296"/>
        <v>#NUM!</v>
      </c>
      <c r="BZ51" s="83">
        <f t="shared" ca="1" si="309"/>
        <v>12157259.106215268</v>
      </c>
      <c r="CA51" s="83" t="str">
        <f t="shared" ca="1" si="296"/>
        <v/>
      </c>
      <c r="CB51" s="83">
        <f t="shared" ca="1" si="310"/>
        <v>0</v>
      </c>
      <c r="CC51" s="83" t="str">
        <f t="shared" ca="1" si="296"/>
        <v/>
      </c>
      <c r="CD51" s="83">
        <f>IF(RTD("tos.rtd",,CD$43,"."&amp;$A$43&amp;$AS$42&amp;"C"&amp;$A51)="N/A",0,RTD("tos.rtd",,CD$43,"."&amp;$A$43&amp;$AS$42&amp;"C"&amp;$A51))</f>
        <v>1</v>
      </c>
      <c r="CE51" s="83">
        <f>-IF(RTD("tos.rtd",,CE$43,"."&amp;$A$43&amp;$AS$42&amp;"P"&amp;$A51)="N/A",0,RTD("tos.rtd",,CE$43,"."&amp;$A$43&amp;$AS$42&amp;"P"&amp;$A51))</f>
        <v>0.49</v>
      </c>
      <c r="CF51" s="83">
        <f>IF(RTD("tos.rtd",,CF$2,"."&amp;$A$43&amp;$AU$1&amp;"C"&amp;$A51)="N/A",0,RTD("tos.rtd",,CF$2,"."&amp;$A$43&amp;$AU$1&amp;"C"&amp;$A51))</f>
        <v>0.53</v>
      </c>
      <c r="CG51" s="83">
        <f>-IF(RTD("tos.rtd",,CG$2,"."&amp;$A$43&amp;$AU$1&amp;"P"&amp;$A51)="N/A",0,RTD("tos.rtd",,CG$2,"."&amp;$A$43&amp;$AU$1&amp;"P"&amp;$A51))</f>
        <v>0.48</v>
      </c>
      <c r="CH51" s="83">
        <f>IF(RTD("tos.rtd",,CH$2,"."&amp;$A$43&amp;$AW$1&amp;"C"&amp;$A51)="N/A",0,RTD("tos.rtd",,CH$2,"."&amp;$A$43&amp;$AW$1&amp;"C"&amp;$A51))</f>
        <v>0</v>
      </c>
      <c r="CI51" s="83">
        <f>-IF(RTD("tos.rtd",,CI$2,"."&amp;$A$43&amp;$AW$1&amp;"P"&amp;$A51)="N/A",0,RTD("tos.rtd",,CI$2,"."&amp;$A$43&amp;$AW$1&amp;"P"&amp;$A51))</f>
        <v>0</v>
      </c>
      <c r="CK51" s="83">
        <f t="shared" si="311"/>
        <v>240626</v>
      </c>
      <c r="CL51" s="83"/>
      <c r="CM51" s="83">
        <f t="shared" si="312"/>
        <v>50272</v>
      </c>
      <c r="CN51" s="83"/>
      <c r="CO51" s="83">
        <f t="shared" si="313"/>
        <v>0</v>
      </c>
      <c r="CP51" s="83">
        <f t="shared" si="314"/>
        <v>290898</v>
      </c>
      <c r="CQ51" s="83">
        <f t="shared" si="315"/>
        <v>17079</v>
      </c>
      <c r="CR51" s="83"/>
      <c r="CS51" s="83">
        <f t="shared" si="316"/>
        <v>1074</v>
      </c>
      <c r="CT51" s="83"/>
      <c r="CU51" s="83">
        <f t="shared" si="317"/>
        <v>0</v>
      </c>
      <c r="CV51" s="83"/>
      <c r="CW51" s="83" t="e">
        <f t="shared" ca="1" si="318"/>
        <v>#NUM!</v>
      </c>
      <c r="CY51" s="83" t="e">
        <f t="shared" ca="1" si="319"/>
        <v>#NUM!</v>
      </c>
      <c r="CZ51" s="70" t="e">
        <f t="shared" ca="1" si="297"/>
        <v>#NUM!</v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7.7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8.2200000000000006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7.88</v>
      </c>
      <c r="DG51" s="86">
        <f t="shared" si="289"/>
        <v>-0.17000000000001592</v>
      </c>
      <c r="DH51" s="83">
        <f t="shared" si="320"/>
        <v>247</v>
      </c>
      <c r="DI51" s="83">
        <f t="shared" si="321"/>
        <v>1.0588235294117607</v>
      </c>
      <c r="DJ51" s="83">
        <f t="shared" si="322"/>
        <v>247</v>
      </c>
      <c r="DK51" s="83">
        <f t="shared" si="257"/>
        <v>2</v>
      </c>
      <c r="DL51" s="83">
        <f t="shared" si="258"/>
        <v>248.05882352941177</v>
      </c>
      <c r="DM51" s="83">
        <f t="shared" si="259"/>
        <v>249</v>
      </c>
      <c r="DN51" s="64" t="str">
        <f t="shared" si="260"/>
        <v>BUY</v>
      </c>
      <c r="DO51" s="64" t="str">
        <f t="shared" si="261"/>
        <v>SELL</v>
      </c>
      <c r="DP51" s="83">
        <f t="shared" si="262"/>
        <v>10.622941176470558</v>
      </c>
      <c r="DQ51" s="83">
        <f t="shared" si="263"/>
        <v>17.87</v>
      </c>
      <c r="DR51" s="83" t="e">
        <f t="shared" ca="1" si="264"/>
        <v>#NUM!</v>
      </c>
      <c r="DS51" s="83">
        <f t="shared" si="265"/>
        <v>247.98</v>
      </c>
      <c r="DT51" s="83">
        <f t="shared" si="290"/>
        <v>247</v>
      </c>
      <c r="DU51" s="83">
        <f t="shared" si="291"/>
        <v>-2</v>
      </c>
      <c r="DV51" s="83">
        <f t="shared" si="266"/>
        <v>1113</v>
      </c>
      <c r="DW51" s="83">
        <f t="shared" si="267"/>
        <v>72</v>
      </c>
      <c r="DX51" s="83" t="e">
        <f t="shared" ca="1" si="323"/>
        <v>#NUM!</v>
      </c>
      <c r="DY51" s="83" t="e">
        <f t="shared" ca="1" si="324"/>
        <v>#NUM!</v>
      </c>
      <c r="DZ51" s="83">
        <f t="shared" ca="1" si="325"/>
        <v>4.4761751145044375E-2</v>
      </c>
      <c r="EA51" s="83">
        <f t="shared" ca="1" si="326"/>
        <v>-1.2047730696924511E-2</v>
      </c>
      <c r="EB51" s="83">
        <f t="shared" ca="1" si="327"/>
        <v>2.370055430572713E-2</v>
      </c>
      <c r="EC51" s="83">
        <f t="shared" ca="1" si="328"/>
        <v>-2.370055430572713E-2</v>
      </c>
      <c r="ED51" s="63">
        <f t="shared" si="292"/>
        <v>1185</v>
      </c>
      <c r="EE51" s="84">
        <f t="shared" si="329"/>
        <v>0.25</v>
      </c>
      <c r="EF51" s="84">
        <f t="shared" si="330"/>
        <v>5.4432999999999998</v>
      </c>
      <c r="EG51" s="84">
        <f t="shared" si="331"/>
        <v>0.13220000000000001</v>
      </c>
      <c r="EH51" s="84">
        <f t="shared" si="332"/>
        <v>0.49180000000000001</v>
      </c>
      <c r="EI51" s="84">
        <f t="shared" si="333"/>
        <v>0.25</v>
      </c>
      <c r="EJ51" s="84">
        <f t="shared" si="334"/>
        <v>0.25</v>
      </c>
      <c r="EK51" s="63" t="e">
        <f t="shared" ca="1" si="293"/>
        <v>#NUM!</v>
      </c>
      <c r="EL51" s="83" t="str">
        <f>RTD("tos.rtd",,EL$43,"."&amp;$A$43&amp;$AS$42&amp;"C"&amp;$A51)</f>
        <v>--</v>
      </c>
      <c r="EM51" s="83" t="str">
        <f>RTD("tos.rtd",,EM$43,"."&amp;$A$43&amp;$AS$42&amp;"P"&amp;$A51)</f>
        <v>544.33%</v>
      </c>
      <c r="EN51" s="83" t="str">
        <f>RTD("tos.rtd",,EN$2,"."&amp;$A$43&amp;$AU$1&amp;"C"&amp;$A51)</f>
        <v>13.22%</v>
      </c>
      <c r="EO51" s="83" t="str">
        <f>RTD("tos.rtd",,EO$2,"."&amp;$A$43&amp;$AU$1&amp;"P"&amp;$A51)</f>
        <v>49.18%</v>
      </c>
      <c r="EP51" s="83" t="str">
        <f>RTD("tos.rtd",,EP$2,"."&amp;$A$43&amp;$AW$1&amp;"C"&amp;$A51)</f>
        <v>N/A</v>
      </c>
      <c r="EQ51" s="83" t="str">
        <f>RTD("tos.rtd",,EQ$2,"."&amp;$A$43&amp;$AW$1&amp;"P"&amp;$A51)</f>
        <v>N/A</v>
      </c>
      <c r="ES51" s="63" t="str">
        <f t="shared" si="274"/>
        <v>496,1185.00</v>
      </c>
      <c r="ET51" s="63" t="str">
        <f t="shared" ca="1" si="275"/>
        <v>496,00.00</v>
      </c>
      <c r="EU51" s="68">
        <v>565.17999999999995</v>
      </c>
      <c r="EV51" s="68" t="s">
        <v>427</v>
      </c>
      <c r="EW51" s="68">
        <v>488.6</v>
      </c>
      <c r="EX51" s="68" t="s">
        <v>428</v>
      </c>
      <c r="EY51" s="68">
        <v>5663.94</v>
      </c>
      <c r="EZ51" s="68" t="s">
        <v>429</v>
      </c>
      <c r="FA51" s="68">
        <v>20063.564999999999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94"/>
        <v>495</v>
      </c>
      <c r="B52" s="3">
        <f t="shared" si="299"/>
        <v>12595</v>
      </c>
      <c r="C52" s="3">
        <f t="shared" si="300"/>
        <v>41287</v>
      </c>
      <c r="D52" s="3">
        <f t="shared" si="301"/>
        <v>3790</v>
      </c>
      <c r="E52" s="3">
        <f t="shared" si="302"/>
        <v>57672</v>
      </c>
      <c r="F52" s="4">
        <f t="shared" si="303"/>
        <v>20423.476328677669</v>
      </c>
      <c r="AM52" s="1">
        <v>-1164</v>
      </c>
      <c r="AN52" s="1">
        <v>-909</v>
      </c>
      <c r="AO52" s="1">
        <v>495</v>
      </c>
      <c r="AP52" s="1">
        <v>71316</v>
      </c>
      <c r="AQ52" s="1">
        <v>-4252</v>
      </c>
      <c r="AS52" s="6">
        <f>IF(RTD("tos.rtd",,AS$43,"."&amp;$A$43&amp;$AS$42&amp;"C"&amp;$A52)="N/A",0,RTD("tos.rtd",,AS$43,"."&amp;$A$43&amp;$AS$42&amp;"C"&amp;$A52))</f>
        <v>10961</v>
      </c>
      <c r="AT52" s="7">
        <f>-IF(RTD("tos.rtd",,AT$43,"."&amp;$A$43&amp;$AS$42&amp;"P"&amp;$A52)="N/A",0,RTD("tos.rtd",,AT$43,"."&amp;$A$43&amp;$AS$42&amp;"P"&amp;$A52))</f>
        <v>-1634</v>
      </c>
      <c r="AU52" s="6">
        <f>IF(RTD("tos.rtd",,AU$2,"."&amp;$A$43&amp;$AU$1&amp;"C"&amp;$A52)="N/A",0,RTD("tos.rtd",,AU$2,"."&amp;$A$43&amp;$AU$1&amp;"C"&amp;$A52))</f>
        <v>38799</v>
      </c>
      <c r="AV52" s="7">
        <f>-IF(RTD("tos.rtd",,AV$2,"."&amp;$A$43&amp;$AU$1&amp;"P"&amp;$A52)="N/A",0,RTD("tos.rtd",,AV$2,"."&amp;$A$43&amp;$AU$1&amp;"P"&amp;$A52))</f>
        <v>-2488</v>
      </c>
      <c r="AW52" s="6">
        <f>IF(RTD("tos.rtd",,AW$2,"."&amp;$A$43&amp;$AW$1&amp;"C"&amp;$A52)="N/A",0,RTD("tos.rtd",,AW$2,"."&amp;$A$43&amp;$AW$1&amp;"C"&amp;$A52))</f>
        <v>2009</v>
      </c>
      <c r="AX52" s="7">
        <f>-IF(RTD("tos.rtd",,AX$2,"."&amp;$A$43&amp;$AW$1&amp;"P"&amp;$A52)="N/A",0,RTD("tos.rtd",,AX$2,"."&amp;$A$43&amp;$AW$1&amp;"P"&amp;$A52))</f>
        <v>-1781</v>
      </c>
      <c r="AY52" s="7">
        <f t="shared" si="304"/>
        <v>45866</v>
      </c>
      <c r="AZ52" s="8">
        <f t="shared" si="245"/>
        <v>495</v>
      </c>
      <c r="BA52" s="6">
        <f>IF(RTD("tos.rtd",,BA$43,"."&amp;$A$43&amp;$AS$42&amp;"C"&amp;$A52)="N/A",0,RTD("tos.rtd",,BA$43,"."&amp;$A$43&amp;$AS$42&amp;"C"&amp;$A52))</f>
        <v>71389</v>
      </c>
      <c r="BB52" s="7">
        <f>-IF(RTD("tos.rtd",,BB$43,"."&amp;$A$43&amp;$AS$42&amp;"P"&amp;$A52)="N/A",0,RTD("tos.rtd",,BB$43,"."&amp;$A$43&amp;$AS$42&amp;"P"&amp;$A52))</f>
        <v>-4253</v>
      </c>
      <c r="BC52" s="6">
        <f>IF(RTD("tos.rtd",,BC$2,"."&amp;$A$43&amp;$AU$1&amp;"C"&amp;$A52)="N/A",0,RTD("tos.rtd",,BC$2,"."&amp;$A$43&amp;$AU$1&amp;"C"&amp;$A52))</f>
        <v>5633</v>
      </c>
      <c r="BD52" s="7">
        <f>-IF(RTD("tos.rtd",,BD$2,"."&amp;$A$43&amp;$AU$1&amp;"P"&amp;$A52)="N/A",0,RTD("tos.rtd",,BD$2,"."&amp;$A$43&amp;$AU$1&amp;"P"&amp;$A52))</f>
        <v>-952</v>
      </c>
      <c r="BE52" s="6">
        <f>IF(RTD("tos.rtd",,BE$2,"."&amp;$A$43&amp;$AW$1&amp;"C"&amp;$A52)="N/A",0,RTD("tos.rtd",,BE$2,"."&amp;$A$43&amp;$AW$1&amp;"C"&amp;$A52))</f>
        <v>4934</v>
      </c>
      <c r="BF52" s="7">
        <f>-IF(RTD("tos.rtd",,BF$2,"."&amp;$A$43&amp;$AW$1&amp;"P"&amp;$A52)="N/A",0,RTD("tos.rtd",,BF$2,"."&amp;$A$43&amp;$AW$1&amp;"P"&amp;$A52))</f>
        <v>-459</v>
      </c>
      <c r="BG52" s="32">
        <f ca="1">+Hoja2!Y53</f>
        <v>1722</v>
      </c>
      <c r="BH52" s="7">
        <f t="shared" ca="1" si="277"/>
        <v>78014</v>
      </c>
      <c r="BI52" s="8" t="str">
        <f t="shared" ca="1" si="295"/>
        <v/>
      </c>
      <c r="BJ52" s="83" t="e">
        <f ca="1">IF($BP$1=1,DX52,IF(RTD("tos.rtd",,BJ$43,"."&amp;$A$43&amp;$AS$42&amp;"C"&amp;$A52)="N/A",0,RTD("tos.rtd",,BJ$43,"."&amp;$A$43&amp;$AS$42&amp;"C"&amp;$A52)))</f>
        <v>#NUM!</v>
      </c>
      <c r="BK52" s="83" t="e">
        <f ca="1">IF($BP$1=1,DY52,-IF(RTD("tos.rtd",,BK$43,"."&amp;$A$43&amp;$AS$42&amp;"P"&amp;$A52)="N/A",0,RTD("tos.rtd",,BK$43,"."&amp;$A$43&amp;$AS$42&amp;"P"&amp;$A52)))</f>
        <v>#NUM!</v>
      </c>
      <c r="BL52" s="83">
        <f ca="1">IF($BP$1=1,DZ52,IF(RTD("tos.rtd",,BL$2,"."&amp;$A$43&amp;$AU$1&amp;"C"&amp;$A52)="N/A",0,RTD("tos.rtd",,BL$2,"."&amp;$A$43&amp;$AU$1&amp;"C"&amp;$A52)))</f>
        <v>4.7163947690152579E-2</v>
      </c>
      <c r="BM52" s="83">
        <f ca="1">IF($BP$1=1,EA52,-IF(RTD("tos.rtd",,BM$2,"."&amp;$A$43&amp;$AU$1&amp;"P"&amp;$A52)="N/A",0,RTD("tos.rtd",,BM$2,"."&amp;$A$43&amp;$AU$1&amp;"P"&amp;$A52)))</f>
        <v>-1.2199903771264614E-2</v>
      </c>
      <c r="BN52" s="83">
        <f ca="1">IF($BP$1=1,EB52,IF(RTD("tos.rtd",,BN$2,"."&amp;$A$43&amp;$AW$1&amp;"C"&amp;$A52)="N/A",0,RTD("tos.rtd",,BN$2,"."&amp;$A$43&amp;$AW$1&amp;"C"&amp;$A52)))</f>
        <v>3.4861828531628072E-2</v>
      </c>
      <c r="BO52" s="83">
        <f ca="1">IF($BP$1=1,EC52,-IF(RTD("tos.rtd",,BO$2,"."&amp;$A$43&amp;$AW$1&amp;"P"&amp;$A52)="N/A",0,RTD("tos.rtd",,BO$2,"."&amp;$A$43&amp;$AW$1&amp;"P"&amp;$A52)))</f>
        <v>-2.0231356882295853E-2</v>
      </c>
      <c r="BQ52" s="83" t="e">
        <f t="shared" ca="1" si="305"/>
        <v>#NUM!</v>
      </c>
      <c r="BR52" s="3" t="e">
        <f t="shared" ca="1" si="279"/>
        <v>#NUM!</v>
      </c>
      <c r="BS52" s="83">
        <f t="shared" ca="1" si="306"/>
        <v>443024241.76339352</v>
      </c>
      <c r="BT52" s="3" t="str">
        <f t="shared" ca="1" si="281"/>
        <v/>
      </c>
      <c r="BU52" s="83">
        <f t="shared" ca="1" si="307"/>
        <v>8371599.9942191429</v>
      </c>
      <c r="BV52" s="83"/>
      <c r="BX52" s="83" t="e">
        <f t="shared" ca="1" si="308"/>
        <v>#NUM!</v>
      </c>
      <c r="BY52" s="83" t="e">
        <f t="shared" ca="1" si="296"/>
        <v>#NUM!</v>
      </c>
      <c r="BZ52" s="83">
        <f t="shared" ca="1" si="309"/>
        <v>62545728.420623124</v>
      </c>
      <c r="CA52" s="83" t="str">
        <f t="shared" ca="1" si="296"/>
        <v/>
      </c>
      <c r="CB52" s="83">
        <f t="shared" ca="1" si="310"/>
        <v>40059678.720374085</v>
      </c>
      <c r="CC52" s="83" t="str">
        <f t="shared" ca="1" si="296"/>
        <v/>
      </c>
      <c r="CD52" s="83">
        <f>IF(RTD("tos.rtd",,CD$43,"."&amp;$A$43&amp;$AS$42&amp;"C"&amp;$A52)="N/A",0,RTD("tos.rtd",,CD$43,"."&amp;$A$43&amp;$AS$42&amp;"C"&amp;$A52))</f>
        <v>1</v>
      </c>
      <c r="CE52" s="83">
        <f>-IF(RTD("tos.rtd",,CE$43,"."&amp;$A$43&amp;$AS$42&amp;"P"&amp;$A52)="N/A",0,RTD("tos.rtd",,CE$43,"."&amp;$A$43&amp;$AS$42&amp;"P"&amp;$A52))</f>
        <v>0.47</v>
      </c>
      <c r="CF52" s="83">
        <f>IF(RTD("tos.rtd",,CF$2,"."&amp;$A$43&amp;$AU$1&amp;"C"&amp;$A52)="N/A",0,RTD("tos.rtd",,CF$2,"."&amp;$A$43&amp;$AU$1&amp;"C"&amp;$A52))</f>
        <v>0.57999999999999996</v>
      </c>
      <c r="CG52" s="83">
        <f>-IF(RTD("tos.rtd",,CG$2,"."&amp;$A$43&amp;$AU$1&amp;"P"&amp;$A52)="N/A",0,RTD("tos.rtd",,CG$2,"."&amp;$A$43&amp;$AU$1&amp;"P"&amp;$A52))</f>
        <v>0.47</v>
      </c>
      <c r="CH52" s="83">
        <f>IF(RTD("tos.rtd",,CH$2,"."&amp;$A$43&amp;$AW$1&amp;"C"&amp;$A52)="N/A",0,RTD("tos.rtd",,CH$2,"."&amp;$A$43&amp;$AW$1&amp;"C"&amp;$A52))</f>
        <v>0.56000000000000005</v>
      </c>
      <c r="CI52" s="83">
        <f>-IF(RTD("tos.rtd",,CI$2,"."&amp;$A$43&amp;$AW$1&amp;"P"&amp;$A52)="N/A",0,RTD("tos.rtd",,CI$2,"."&amp;$A$43&amp;$AW$1&amp;"P"&amp;$A52))</f>
        <v>0.46</v>
      </c>
      <c r="CK52" s="83">
        <f t="shared" si="311"/>
        <v>1019302</v>
      </c>
      <c r="CL52" s="83"/>
      <c r="CM52" s="83">
        <f t="shared" si="312"/>
        <v>2133406</v>
      </c>
      <c r="CN52" s="83"/>
      <c r="CO52" s="83">
        <f t="shared" si="313"/>
        <v>30578.000000000015</v>
      </c>
      <c r="CP52" s="83">
        <f t="shared" si="314"/>
        <v>3183286</v>
      </c>
      <c r="CQ52" s="83">
        <f t="shared" si="315"/>
        <v>67136</v>
      </c>
      <c r="CR52" s="83"/>
      <c r="CS52" s="83">
        <f t="shared" si="316"/>
        <v>4681</v>
      </c>
      <c r="CT52" s="83"/>
      <c r="CU52" s="83">
        <f t="shared" si="317"/>
        <v>4475</v>
      </c>
      <c r="CV52" s="83"/>
      <c r="CW52" s="83" t="e">
        <f t="shared" ca="1" si="318"/>
        <v>#NUM!</v>
      </c>
      <c r="CY52" s="83" t="e">
        <f t="shared" ca="1" si="319"/>
        <v>#NUM!</v>
      </c>
      <c r="CZ52" s="70" t="e">
        <f t="shared" ca="1" si="297"/>
        <v>#NUM!</v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6.77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7.22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6.88</v>
      </c>
      <c r="DG52" s="86">
        <f t="shared" si="289"/>
        <v>-1.1700000000000159</v>
      </c>
      <c r="DH52" s="83">
        <f t="shared" si="320"/>
        <v>73</v>
      </c>
      <c r="DI52" s="83">
        <f t="shared" si="321"/>
        <v>0.32352941176470695</v>
      </c>
      <c r="DJ52" s="83">
        <f t="shared" si="322"/>
        <v>73</v>
      </c>
      <c r="DK52" s="83">
        <f t="shared" si="257"/>
        <v>1</v>
      </c>
      <c r="DL52" s="83">
        <f t="shared" si="258"/>
        <v>73.32352941176471</v>
      </c>
      <c r="DM52" s="83">
        <f t="shared" si="259"/>
        <v>74</v>
      </c>
      <c r="DN52" s="64" t="str">
        <f t="shared" si="260"/>
        <v>BUY</v>
      </c>
      <c r="DO52" s="64" t="str">
        <f t="shared" si="261"/>
        <v>SELL</v>
      </c>
      <c r="DP52" s="83">
        <f t="shared" si="262"/>
        <v>2.920294117647066</v>
      </c>
      <c r="DQ52" s="83">
        <f t="shared" si="263"/>
        <v>7.5</v>
      </c>
      <c r="DR52" s="83" t="e">
        <f t="shared" ca="1" si="264"/>
        <v>#NUM!</v>
      </c>
      <c r="DS52" s="83">
        <f t="shared" si="265"/>
        <v>73.47</v>
      </c>
      <c r="DT52" s="83">
        <f t="shared" si="290"/>
        <v>73</v>
      </c>
      <c r="DU52" s="83">
        <f t="shared" si="291"/>
        <v>-1</v>
      </c>
      <c r="DV52" s="83">
        <f t="shared" si="266"/>
        <v>-1091</v>
      </c>
      <c r="DW52" s="83">
        <f t="shared" si="267"/>
        <v>-908</v>
      </c>
      <c r="DX52" s="83" t="e">
        <f t="shared" ca="1" si="323"/>
        <v>#NUM!</v>
      </c>
      <c r="DY52" s="83" t="e">
        <f t="shared" ca="1" si="324"/>
        <v>#NUM!</v>
      </c>
      <c r="DZ52" s="83">
        <f t="shared" ca="1" si="325"/>
        <v>4.7163947690152579E-2</v>
      </c>
      <c r="EA52" s="83">
        <f t="shared" ca="1" si="326"/>
        <v>-1.2199903771264614E-2</v>
      </c>
      <c r="EB52" s="83">
        <f t="shared" ca="1" si="327"/>
        <v>3.4861828531628072E-2</v>
      </c>
      <c r="EC52" s="83">
        <f t="shared" ca="1" si="328"/>
        <v>-2.0231356882295853E-2</v>
      </c>
      <c r="ED52" s="63">
        <f t="shared" si="292"/>
        <v>-1999</v>
      </c>
      <c r="EE52" s="84">
        <f t="shared" si="329"/>
        <v>0.25</v>
      </c>
      <c r="EF52" s="84">
        <f t="shared" si="330"/>
        <v>5.1044</v>
      </c>
      <c r="EG52" s="84">
        <f t="shared" si="331"/>
        <v>0.1234</v>
      </c>
      <c r="EH52" s="84">
        <f t="shared" si="332"/>
        <v>0.48470000000000002</v>
      </c>
      <c r="EI52" s="84">
        <f t="shared" si="333"/>
        <v>0.16830000000000001</v>
      </c>
      <c r="EJ52" s="84">
        <f t="shared" si="334"/>
        <v>0.2918</v>
      </c>
      <c r="EK52" s="63" t="e">
        <f t="shared" ca="1" si="293"/>
        <v>#NUM!</v>
      </c>
      <c r="EL52" s="83" t="str">
        <f>RTD("tos.rtd",,EL$43,"."&amp;$A$43&amp;$AS$42&amp;"C"&amp;$A52)</f>
        <v>--</v>
      </c>
      <c r="EM52" s="83" t="str">
        <f>RTD("tos.rtd",,EM$43,"."&amp;$A$43&amp;$AS$42&amp;"P"&amp;$A52)</f>
        <v>510.44%</v>
      </c>
      <c r="EN52" s="83" t="str">
        <f>RTD("tos.rtd",,EN$2,"."&amp;$A$43&amp;$AU$1&amp;"C"&amp;$A52)</f>
        <v>12.34%</v>
      </c>
      <c r="EO52" s="83" t="str">
        <f>RTD("tos.rtd",,EO$2,"."&amp;$A$43&amp;$AU$1&amp;"P"&amp;$A52)</f>
        <v>48.47%</v>
      </c>
      <c r="EP52" s="83" t="str">
        <f>RTD("tos.rtd",,EP$2,"."&amp;$A$43&amp;$AW$1&amp;"C"&amp;$A52)</f>
        <v>16.83%</v>
      </c>
      <c r="EQ52" s="83" t="str">
        <f>RTD("tos.rtd",,EQ$2,"."&amp;$A$43&amp;$AW$1&amp;"P"&amp;$A52)</f>
        <v>29.18%</v>
      </c>
      <c r="ES52" s="63" t="str">
        <f t="shared" si="274"/>
        <v>495,-1999.00</v>
      </c>
      <c r="ET52" s="63" t="str">
        <f t="shared" ca="1" si="275"/>
        <v>495,00.00</v>
      </c>
      <c r="EU52" s="68">
        <v>565.1</v>
      </c>
      <c r="EV52" s="68" t="s">
        <v>435</v>
      </c>
      <c r="EW52" s="68">
        <v>488.55</v>
      </c>
      <c r="EX52" s="68" t="s">
        <v>436</v>
      </c>
      <c r="EY52" s="68">
        <v>5663.94</v>
      </c>
      <c r="EZ52" s="68" t="s">
        <v>437</v>
      </c>
      <c r="FA52" s="68">
        <v>20063.564999999999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94"/>
        <v>494</v>
      </c>
      <c r="B53" s="3">
        <f t="shared" si="299"/>
        <v>3387</v>
      </c>
      <c r="C53" s="3">
        <f t="shared" si="300"/>
        <v>559</v>
      </c>
      <c r="D53" s="3">
        <f t="shared" si="301"/>
        <v>0</v>
      </c>
      <c r="E53" s="3">
        <f t="shared" si="302"/>
        <v>3946</v>
      </c>
      <c r="F53" s="4">
        <f t="shared" si="303"/>
        <v>20382.216780538925</v>
      </c>
      <c r="AM53" s="1">
        <v>-1813</v>
      </c>
      <c r="AN53" s="1">
        <v>-157</v>
      </c>
      <c r="AO53" s="1">
        <v>494</v>
      </c>
      <c r="AP53" s="1">
        <v>35708</v>
      </c>
      <c r="AQ53" s="1">
        <v>-781</v>
      </c>
      <c r="AS53" s="6">
        <f>IF(RTD("tos.rtd",,AS$43,"."&amp;$A$43&amp;$AS$42&amp;"C"&amp;$A53)="N/A",0,RTD("tos.rtd",,AS$43,"."&amp;$A$43&amp;$AS$42&amp;"C"&amp;$A53))</f>
        <v>3016</v>
      </c>
      <c r="AT53" s="7">
        <f>-IF(RTD("tos.rtd",,AT$43,"."&amp;$A$43&amp;$AS$42&amp;"P"&amp;$A53)="N/A",0,RTD("tos.rtd",,AT$43,"."&amp;$A$43&amp;$AS$42&amp;"P"&amp;$A53))</f>
        <v>-371</v>
      </c>
      <c r="AU53" s="6">
        <f>IF(RTD("tos.rtd",,AU$2,"."&amp;$A$43&amp;$AU$1&amp;"C"&amp;$A53)="N/A",0,RTD("tos.rtd",,AU$2,"."&amp;$A$43&amp;$AU$1&amp;"C"&amp;$A53))</f>
        <v>449</v>
      </c>
      <c r="AV53" s="7">
        <f>-IF(RTD("tos.rtd",,AV$2,"."&amp;$A$43&amp;$AU$1&amp;"P"&amp;$A53)="N/A",0,RTD("tos.rtd",,AV$2,"."&amp;$A$43&amp;$AU$1&amp;"P"&amp;$A53))</f>
        <v>-110</v>
      </c>
      <c r="AW53" s="6">
        <f>IF(RTD("tos.rtd",,AW$2,"."&amp;$A$43&amp;$AW$1&amp;"C"&amp;$A53)="N/A",0,RTD("tos.rtd",,AW$2,"."&amp;$A$43&amp;$AW$1&amp;"C"&amp;$A53))</f>
        <v>0</v>
      </c>
      <c r="AX53" s="7">
        <f>-IF(RTD("tos.rtd",,AX$2,"."&amp;$A$43&amp;$AW$1&amp;"P"&amp;$A53)="N/A",0,RTD("tos.rtd",,AX$2,"."&amp;$A$43&amp;$AW$1&amp;"P"&amp;$A53))</f>
        <v>0</v>
      </c>
      <c r="AY53" s="7">
        <f t="shared" si="304"/>
        <v>2984</v>
      </c>
      <c r="AZ53" s="8">
        <f t="shared" si="245"/>
        <v>494</v>
      </c>
      <c r="BA53" s="6">
        <f>IF(RTD("tos.rtd",,BA$43,"."&amp;$A$43&amp;$AS$42&amp;"C"&amp;$A53)="N/A",0,RTD("tos.rtd",,BA$43,"."&amp;$A$43&amp;$AS$42&amp;"C"&amp;$A53))</f>
        <v>36320</v>
      </c>
      <c r="BB53" s="7">
        <f>-IF(RTD("tos.rtd",,BB$43,"."&amp;$A$43&amp;$AS$42&amp;"P"&amp;$A53)="N/A",0,RTD("tos.rtd",,BB$43,"."&amp;$A$43&amp;$AS$42&amp;"P"&amp;$A53))</f>
        <v>-783</v>
      </c>
      <c r="BC53" s="6">
        <f>IF(RTD("tos.rtd",,BC$2,"."&amp;$A$43&amp;$AU$1&amp;"C"&amp;$A53)="N/A",0,RTD("tos.rtd",,BC$2,"."&amp;$A$43&amp;$AU$1&amp;"C"&amp;$A53))</f>
        <v>1093</v>
      </c>
      <c r="BD53" s="7">
        <f>-IF(RTD("tos.rtd",,BD$2,"."&amp;$A$43&amp;$AU$1&amp;"P"&amp;$A53)="N/A",0,RTD("tos.rtd",,BD$2,"."&amp;$A$43&amp;$AU$1&amp;"P"&amp;$A53))</f>
        <v>-316</v>
      </c>
      <c r="BE53" s="6">
        <f>IF(RTD("tos.rtd",,BE$2,"."&amp;$A$43&amp;$AW$1&amp;"C"&amp;$A53)="N/A",0,RTD("tos.rtd",,BE$2,"."&amp;$A$43&amp;$AW$1&amp;"C"&amp;$A53))</f>
        <v>0</v>
      </c>
      <c r="BF53" s="7">
        <f>-IF(RTD("tos.rtd",,BF$2,"."&amp;$A$43&amp;$AW$1&amp;"P"&amp;$A53)="N/A",0,RTD("tos.rtd",,BF$2,"."&amp;$A$43&amp;$AW$1&amp;"P"&amp;$A53))</f>
        <v>0</v>
      </c>
      <c r="BG53" s="32">
        <f ca="1">+Hoja2!Y54</f>
        <v>146</v>
      </c>
      <c r="BH53" s="7">
        <f t="shared" ca="1" si="277"/>
        <v>36460</v>
      </c>
      <c r="BI53" s="8" t="str">
        <f t="shared" ca="1" si="295"/>
        <v/>
      </c>
      <c r="BJ53" s="83" t="e">
        <f ca="1">IF($BP$1=1,DX53,IF(RTD("tos.rtd",,BJ$43,"."&amp;$A$43&amp;$AS$42&amp;"C"&amp;$A53)="N/A",0,RTD("tos.rtd",,BJ$43,"."&amp;$A$43&amp;$AS$42&amp;"C"&amp;$A53)))</f>
        <v>#NUM!</v>
      </c>
      <c r="BK53" s="83" t="e">
        <f ca="1">IF($BP$1=1,DY53,-IF(RTD("tos.rtd",,BK$43,"."&amp;$A$43&amp;$AS$42&amp;"P"&amp;$A53)="N/A",0,RTD("tos.rtd",,BK$43,"."&amp;$A$43&amp;$AS$42&amp;"P"&amp;$A53)))</f>
        <v>#NUM!</v>
      </c>
      <c r="BL53" s="83">
        <f ca="1">IF($BP$1=1,DZ53,IF(RTD("tos.rtd",,BL$2,"."&amp;$A$43&amp;$AU$1&amp;"C"&amp;$A53)="N/A",0,RTD("tos.rtd",,BL$2,"."&amp;$A$43&amp;$AU$1&amp;"C"&amp;$A53)))</f>
        <v>4.9518780116069326E-2</v>
      </c>
      <c r="BM53" s="83">
        <f ca="1">IF($BP$1=1,EA53,-IF(RTD("tos.rtd",,BM$2,"."&amp;$A$43&amp;$AU$1&amp;"P"&amp;$A53)="N/A",0,RTD("tos.rtd",,BM$2,"."&amp;$A$43&amp;$AU$1&amp;"P"&amp;$A53)))</f>
        <v>-1.2328411897534504E-2</v>
      </c>
      <c r="BN53" s="83">
        <f ca="1">IF($BP$1=1,EB53,IF(RTD("tos.rtd",,BN$2,"."&amp;$A$43&amp;$AW$1&amp;"C"&amp;$A53)="N/A",0,RTD("tos.rtd",,BN$2,"."&amp;$A$43&amp;$AW$1&amp;"C"&amp;$A53)))</f>
        <v>2.339324409557789E-2</v>
      </c>
      <c r="BO53" s="83">
        <f ca="1">IF($BP$1=1,EC53,-IF(RTD("tos.rtd",,BO$2,"."&amp;$A$43&amp;$AW$1&amp;"P"&amp;$A53)="N/A",0,RTD("tos.rtd",,BO$2,"."&amp;$A$43&amp;$AW$1&amp;"P"&amp;$A53)))</f>
        <v>-2.339324409557789E-2</v>
      </c>
      <c r="BQ53" s="83" t="e">
        <f t="shared" ca="1" si="305"/>
        <v>#NUM!</v>
      </c>
      <c r="BR53" s="3" t="e">
        <f t="shared" ca="1" si="279"/>
        <v>#NUM!</v>
      </c>
      <c r="BS53" s="83">
        <f t="shared" ca="1" si="306"/>
        <v>5139795.994639379</v>
      </c>
      <c r="BT53" s="3" t="str">
        <f t="shared" ca="1" si="281"/>
        <v/>
      </c>
      <c r="BU53" s="83">
        <f t="shared" ca="1" si="307"/>
        <v>0</v>
      </c>
      <c r="BV53" s="83"/>
      <c r="BX53" s="83" t="e">
        <f t="shared" ca="1" si="308"/>
        <v>#NUM!</v>
      </c>
      <c r="BY53" s="83" t="e">
        <f t="shared" ca="1" si="296"/>
        <v>#NUM!</v>
      </c>
      <c r="BZ53" s="83">
        <f t="shared" ca="1" si="309"/>
        <v>12365424.728182508</v>
      </c>
      <c r="CA53" s="83" t="str">
        <f t="shared" ca="1" si="296"/>
        <v/>
      </c>
      <c r="CB53" s="83">
        <f t="shared" ca="1" si="310"/>
        <v>0</v>
      </c>
      <c r="CC53" s="83" t="str">
        <f t="shared" ca="1" si="296"/>
        <v/>
      </c>
      <c r="CD53" s="83">
        <f>IF(RTD("tos.rtd",,CD$43,"."&amp;$A$43&amp;$AS$42&amp;"C"&amp;$A53)="N/A",0,RTD("tos.rtd",,CD$43,"."&amp;$A$43&amp;$AS$42&amp;"C"&amp;$A53))</f>
        <v>1</v>
      </c>
      <c r="CE53" s="83">
        <f>-IF(RTD("tos.rtd",,CE$43,"."&amp;$A$43&amp;$AS$42&amp;"P"&amp;$A53)="N/A",0,RTD("tos.rtd",,CE$43,"."&amp;$A$43&amp;$AS$42&amp;"P"&amp;$A53))</f>
        <v>0.44</v>
      </c>
      <c r="CF53" s="83">
        <f>IF(RTD("tos.rtd",,CF$2,"."&amp;$A$43&amp;$AU$1&amp;"C"&amp;$A53)="N/A",0,RTD("tos.rtd",,CF$2,"."&amp;$A$43&amp;$AU$1&amp;"C"&amp;$A53))</f>
        <v>0.65</v>
      </c>
      <c r="CG53" s="83">
        <f>-IF(RTD("tos.rtd",,CG$2,"."&amp;$A$43&amp;$AU$1&amp;"P"&amp;$A53)="N/A",0,RTD("tos.rtd",,CG$2,"."&amp;$A$43&amp;$AU$1&amp;"P"&amp;$A53))</f>
        <v>0.45</v>
      </c>
      <c r="CH53" s="83">
        <f>IF(RTD("tos.rtd",,CH$2,"."&amp;$A$43&amp;$AW$1&amp;"C"&amp;$A53)="N/A",0,RTD("tos.rtd",,CH$2,"."&amp;$A$43&amp;$AW$1&amp;"C"&amp;$A53))</f>
        <v>0</v>
      </c>
      <c r="CI53" s="83">
        <f>-IF(RTD("tos.rtd",,CI$2,"."&amp;$A$43&amp;$AW$1&amp;"P"&amp;$A53)="N/A",0,RTD("tos.rtd",,CI$2,"."&amp;$A$43&amp;$AW$1&amp;"P"&amp;$A53))</f>
        <v>0</v>
      </c>
      <c r="CK53" s="83">
        <f t="shared" si="311"/>
        <v>285276</v>
      </c>
      <c r="CL53" s="83"/>
      <c r="CM53" s="83">
        <f t="shared" si="312"/>
        <v>24235.000000000004</v>
      </c>
      <c r="CN53" s="83"/>
      <c r="CO53" s="83">
        <f t="shared" si="313"/>
        <v>0</v>
      </c>
      <c r="CP53" s="83">
        <f t="shared" si="314"/>
        <v>309511</v>
      </c>
      <c r="CQ53" s="83">
        <f t="shared" si="315"/>
        <v>35537</v>
      </c>
      <c r="CR53" s="83"/>
      <c r="CS53" s="83">
        <f t="shared" si="316"/>
        <v>777</v>
      </c>
      <c r="CT53" s="83"/>
      <c r="CU53" s="83">
        <f t="shared" si="317"/>
        <v>0</v>
      </c>
      <c r="CV53" s="83"/>
      <c r="CW53" s="83" t="e">
        <f t="shared" ca="1" si="318"/>
        <v>#NUM!</v>
      </c>
      <c r="CY53" s="83" t="e">
        <f t="shared" ca="1" si="319"/>
        <v>#NUM!</v>
      </c>
      <c r="CZ53" s="70" t="e">
        <f t="shared" ca="1" si="297"/>
        <v>#NUM!</v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5.7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6.23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5.88</v>
      </c>
      <c r="DG53" s="86">
        <f t="shared" si="289"/>
        <v>-2.1700000000000159</v>
      </c>
      <c r="DH53" s="83">
        <f t="shared" si="320"/>
        <v>612</v>
      </c>
      <c r="DI53" s="83">
        <f t="shared" si="321"/>
        <v>1.0285714285714254</v>
      </c>
      <c r="DJ53" s="83">
        <f t="shared" si="322"/>
        <v>612</v>
      </c>
      <c r="DK53" s="83">
        <f t="shared" si="257"/>
        <v>2</v>
      </c>
      <c r="DL53" s="83">
        <f t="shared" si="258"/>
        <v>613.02857142857147</v>
      </c>
      <c r="DM53" s="83">
        <f t="shared" si="259"/>
        <v>614</v>
      </c>
      <c r="DN53" s="64" t="str">
        <f t="shared" si="260"/>
        <v>BUY</v>
      </c>
      <c r="DO53" s="64" t="str">
        <f t="shared" si="261"/>
        <v>SELL</v>
      </c>
      <c r="DP53" s="83">
        <f t="shared" si="262"/>
        <v>11.982857142857124</v>
      </c>
      <c r="DQ53" s="83">
        <f t="shared" si="263"/>
        <v>17.52</v>
      </c>
      <c r="DR53" s="83" t="e">
        <f t="shared" ca="1" si="264"/>
        <v>#NUM!</v>
      </c>
      <c r="DS53" s="83">
        <f t="shared" si="265"/>
        <v>612.88</v>
      </c>
      <c r="DT53" s="83">
        <f t="shared" si="290"/>
        <v>612</v>
      </c>
      <c r="DU53" s="83">
        <f t="shared" si="291"/>
        <v>-2</v>
      </c>
      <c r="DV53" s="83">
        <f t="shared" si="266"/>
        <v>-1201</v>
      </c>
      <c r="DW53" s="83">
        <f t="shared" si="267"/>
        <v>-155</v>
      </c>
      <c r="DX53" s="83" t="e">
        <f t="shared" ca="1" si="323"/>
        <v>#NUM!</v>
      </c>
      <c r="DY53" s="83" t="e">
        <f t="shared" ca="1" si="324"/>
        <v>#NUM!</v>
      </c>
      <c r="DZ53" s="83">
        <f t="shared" ca="1" si="325"/>
        <v>4.9518780116069326E-2</v>
      </c>
      <c r="EA53" s="83">
        <f t="shared" ca="1" si="326"/>
        <v>-1.2328411897534504E-2</v>
      </c>
      <c r="EB53" s="83">
        <f t="shared" ca="1" si="327"/>
        <v>2.339324409557789E-2</v>
      </c>
      <c r="EC53" s="83">
        <f t="shared" ca="1" si="328"/>
        <v>-2.339324409557789E-2</v>
      </c>
      <c r="ED53" s="63">
        <f t="shared" si="292"/>
        <v>-1356</v>
      </c>
      <c r="EE53" s="84">
        <f t="shared" si="329"/>
        <v>0.25</v>
      </c>
      <c r="EF53" s="84">
        <f t="shared" si="330"/>
        <v>4.7518000000000002</v>
      </c>
      <c r="EG53" s="84">
        <f t="shared" si="331"/>
        <v>0.1129</v>
      </c>
      <c r="EH53" s="84">
        <f t="shared" si="332"/>
        <v>0.47820000000000001</v>
      </c>
      <c r="EI53" s="84">
        <f t="shared" si="333"/>
        <v>0.25</v>
      </c>
      <c r="EJ53" s="84">
        <f t="shared" si="334"/>
        <v>0.25</v>
      </c>
      <c r="EK53" s="63" t="e">
        <f t="shared" ca="1" si="293"/>
        <v>#NUM!</v>
      </c>
      <c r="EL53" s="83" t="str">
        <f>RTD("tos.rtd",,EL$43,"."&amp;$A$43&amp;$AS$42&amp;"C"&amp;$A53)</f>
        <v>--</v>
      </c>
      <c r="EM53" s="83" t="str">
        <f>RTD("tos.rtd",,EM$43,"."&amp;$A$43&amp;$AS$42&amp;"P"&amp;$A53)</f>
        <v>475.18%</v>
      </c>
      <c r="EN53" s="83" t="str">
        <f>RTD("tos.rtd",,EN$2,"."&amp;$A$43&amp;$AU$1&amp;"C"&amp;$A53)</f>
        <v>11.29%</v>
      </c>
      <c r="EO53" s="83" t="str">
        <f>RTD("tos.rtd",,EO$2,"."&amp;$A$43&amp;$AU$1&amp;"P"&amp;$A53)</f>
        <v>47.82%</v>
      </c>
      <c r="EP53" s="83" t="str">
        <f>RTD("tos.rtd",,EP$2,"."&amp;$A$43&amp;$AW$1&amp;"C"&amp;$A53)</f>
        <v>N/A</v>
      </c>
      <c r="EQ53" s="83" t="str">
        <f>RTD("tos.rtd",,EQ$2,"."&amp;$A$43&amp;$AW$1&amp;"P"&amp;$A53)</f>
        <v>N/A</v>
      </c>
      <c r="ES53" s="63" t="str">
        <f t="shared" si="274"/>
        <v>494,-1356.00</v>
      </c>
      <c r="ET53" s="63" t="str">
        <f t="shared" ca="1" si="275"/>
        <v>494,00.00</v>
      </c>
      <c r="EU53" s="68">
        <v>565.05999999999995</v>
      </c>
      <c r="EV53" s="68" t="s">
        <v>443</v>
      </c>
      <c r="EW53" s="68">
        <v>488.5</v>
      </c>
      <c r="EX53" s="68" t="s">
        <v>444</v>
      </c>
      <c r="EY53" s="68">
        <v>5663.94</v>
      </c>
      <c r="EZ53" s="68" t="s">
        <v>445</v>
      </c>
      <c r="FA53" s="68">
        <v>20063.564999999999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94"/>
        <v>493</v>
      </c>
      <c r="B54" s="3">
        <f t="shared" si="299"/>
        <v>6763</v>
      </c>
      <c r="C54" s="3">
        <f t="shared" si="300"/>
        <v>836</v>
      </c>
      <c r="D54" s="3">
        <f t="shared" si="301"/>
        <v>0</v>
      </c>
      <c r="E54" s="3">
        <f t="shared" si="302"/>
        <v>7599</v>
      </c>
      <c r="F54" s="4">
        <f t="shared" si="303"/>
        <v>20340.957232400182</v>
      </c>
      <c r="AM54" s="1">
        <v>-4846</v>
      </c>
      <c r="AN54" s="1">
        <v>-562</v>
      </c>
      <c r="AO54" s="1">
        <v>493</v>
      </c>
      <c r="AP54" s="1">
        <v>74522</v>
      </c>
      <c r="AQ54" s="1">
        <v>-3021</v>
      </c>
      <c r="AS54" s="6">
        <f>IF(RTD("tos.rtd",,AS$43,"."&amp;$A$43&amp;$AS$42&amp;"C"&amp;$A54)="N/A",0,RTD("tos.rtd",,AS$43,"."&amp;$A$43&amp;$AS$42&amp;"C"&amp;$A54))</f>
        <v>6093</v>
      </c>
      <c r="AT54" s="7">
        <f>-IF(RTD("tos.rtd",,AT$43,"."&amp;$A$43&amp;$AS$42&amp;"P"&amp;$A54)="N/A",0,RTD("tos.rtd",,AT$43,"."&amp;$A$43&amp;$AS$42&amp;"P"&amp;$A54))</f>
        <v>-670</v>
      </c>
      <c r="AU54" s="6">
        <f>IF(RTD("tos.rtd",,AU$2,"."&amp;$A$43&amp;$AU$1&amp;"C"&amp;$A54)="N/A",0,RTD("tos.rtd",,AU$2,"."&amp;$A$43&amp;$AU$1&amp;"C"&amp;$A54))</f>
        <v>728</v>
      </c>
      <c r="AV54" s="7">
        <f>-IF(RTD("tos.rtd",,AV$2,"."&amp;$A$43&amp;$AU$1&amp;"P"&amp;$A54)="N/A",0,RTD("tos.rtd",,AV$2,"."&amp;$A$43&amp;$AU$1&amp;"P"&amp;$A54))</f>
        <v>-108</v>
      </c>
      <c r="AW54" s="6">
        <f>IF(RTD("tos.rtd",,AW$2,"."&amp;$A$43&amp;$AW$1&amp;"C"&amp;$A54)="N/A",0,RTD("tos.rtd",,AW$2,"."&amp;$A$43&amp;$AW$1&amp;"C"&amp;$A54))</f>
        <v>0</v>
      </c>
      <c r="AX54" s="7">
        <f>-IF(RTD("tos.rtd",,AX$2,"."&amp;$A$43&amp;$AW$1&amp;"P"&amp;$A54)="N/A",0,RTD("tos.rtd",,AX$2,"."&amp;$A$43&amp;$AW$1&amp;"P"&amp;$A54))</f>
        <v>0</v>
      </c>
      <c r="AY54" s="7">
        <f t="shared" si="304"/>
        <v>6043</v>
      </c>
      <c r="AZ54" s="8">
        <f t="shared" si="245"/>
        <v>493</v>
      </c>
      <c r="BA54" s="6">
        <f>IF(RTD("tos.rtd",,BA$43,"."&amp;$A$43&amp;$AS$42&amp;"C"&amp;$A54)="N/A",0,RTD("tos.rtd",,BA$43,"."&amp;$A$43&amp;$AS$42&amp;"C"&amp;$A54))</f>
        <v>74644</v>
      </c>
      <c r="BB54" s="7">
        <f>-IF(RTD("tos.rtd",,BB$43,"."&amp;$A$43&amp;$AS$42&amp;"P"&amp;$A54)="N/A",0,RTD("tos.rtd",,BB$43,"."&amp;$A$43&amp;$AS$42&amp;"P"&amp;$A54))</f>
        <v>-3069</v>
      </c>
      <c r="BC54" s="6">
        <f>IF(RTD("tos.rtd",,BC$2,"."&amp;$A$43&amp;$AU$1&amp;"C"&amp;$A54)="N/A",0,RTD("tos.rtd",,BC$2,"."&amp;$A$43&amp;$AU$1&amp;"C"&amp;$A54))</f>
        <v>1576</v>
      </c>
      <c r="BD54" s="7">
        <f>-IF(RTD("tos.rtd",,BD$2,"."&amp;$A$43&amp;$AU$1&amp;"P"&amp;$A54)="N/A",0,RTD("tos.rtd",,BD$2,"."&amp;$A$43&amp;$AU$1&amp;"P"&amp;$A54))</f>
        <v>-285</v>
      </c>
      <c r="BE54" s="6">
        <f>IF(RTD("tos.rtd",,BE$2,"."&amp;$A$43&amp;$AW$1&amp;"C"&amp;$A54)="N/A",0,RTD("tos.rtd",,BE$2,"."&amp;$A$43&amp;$AW$1&amp;"C"&amp;$A54))</f>
        <v>0</v>
      </c>
      <c r="BF54" s="7">
        <f>-IF(RTD("tos.rtd",,BF$2,"."&amp;$A$43&amp;$AW$1&amp;"P"&amp;$A54)="N/A",0,RTD("tos.rtd",,BF$2,"."&amp;$A$43&amp;$AW$1&amp;"P"&amp;$A54))</f>
        <v>0</v>
      </c>
      <c r="BG54" s="32">
        <f ca="1">+Hoja2!Y55</f>
        <v>377</v>
      </c>
      <c r="BH54" s="7">
        <f t="shared" ca="1" si="277"/>
        <v>73243</v>
      </c>
      <c r="BI54" s="8" t="str">
        <f t="shared" ca="1" si="295"/>
        <v/>
      </c>
      <c r="BJ54" s="83" t="e">
        <f ca="1">IF($BP$1=1,DX54,IF(RTD("tos.rtd",,BJ$43,"."&amp;$A$43&amp;$AS$42&amp;"C"&amp;$A54)="N/A",0,RTD("tos.rtd",,BJ$43,"."&amp;$A$43&amp;$AS$42&amp;"C"&amp;$A54)))</f>
        <v>#NUM!</v>
      </c>
      <c r="BK54" s="83" t="e">
        <f ca="1">IF($BP$1=1,DY54,-IF(RTD("tos.rtd",,BK$43,"."&amp;$A$43&amp;$AS$42&amp;"P"&amp;$A54)="N/A",0,RTD("tos.rtd",,BK$43,"."&amp;$A$43&amp;$AS$42&amp;"P"&amp;$A54)))</f>
        <v>#NUM!</v>
      </c>
      <c r="BL54" s="83">
        <f ca="1">IF($BP$1=1,DZ54,IF(RTD("tos.rtd",,BL$2,"."&amp;$A$43&amp;$AU$1&amp;"C"&amp;$A54)="N/A",0,RTD("tos.rtd",,BL$2,"."&amp;$A$43&amp;$AU$1&amp;"C"&amp;$A54)))</f>
        <v>5.1853355608478209E-2</v>
      </c>
      <c r="BM54" s="83">
        <f ca="1">IF($BP$1=1,EA54,-IF(RTD("tos.rtd",,BM$2,"."&amp;$A$43&amp;$AU$1&amp;"P"&amp;$A54)="N/A",0,RTD("tos.rtd",,BM$2,"."&amp;$A$43&amp;$AU$1&amp;"P"&amp;$A54)))</f>
        <v>-1.2436179012817497E-2</v>
      </c>
      <c r="BN54" s="83">
        <f ca="1">IF($BP$1=1,EB54,IF(RTD("tos.rtd",,BN$2,"."&amp;$A$43&amp;$AW$1&amp;"C"&amp;$A54)="N/A",0,RTD("tos.rtd",,BN$2,"."&amp;$A$43&amp;$AW$1&amp;"C"&amp;$A54)))</f>
        <v>2.3116528750129296E-2</v>
      </c>
      <c r="BO54" s="83">
        <f ca="1">IF($BP$1=1,EC54,-IF(RTD("tos.rtd",,BO$2,"."&amp;$A$43&amp;$AW$1&amp;"P"&amp;$A54)="N/A",0,RTD("tos.rtd",,BO$2,"."&amp;$A$43&amp;$AW$1&amp;"P"&amp;$A54)))</f>
        <v>-2.3116528750129296E-2</v>
      </c>
      <c r="BQ54" s="83" t="e">
        <f t="shared" ca="1" si="305"/>
        <v>#NUM!</v>
      </c>
      <c r="BR54" s="3" t="e">
        <f t="shared" ca="1" si="279"/>
        <v>#NUM!</v>
      </c>
      <c r="BS54" s="83">
        <f t="shared" ca="1" si="306"/>
        <v>8962632.4262038041</v>
      </c>
      <c r="BT54" s="3" t="str">
        <f t="shared" ca="1" si="281"/>
        <v/>
      </c>
      <c r="BU54" s="83">
        <f t="shared" ca="1" si="307"/>
        <v>0</v>
      </c>
      <c r="BV54" s="83"/>
      <c r="BX54" s="83" t="e">
        <f t="shared" ca="1" si="308"/>
        <v>#NUM!</v>
      </c>
      <c r="BY54" s="83" t="e">
        <f t="shared" ca="1" si="296"/>
        <v>#NUM!</v>
      </c>
      <c r="BZ54" s="83">
        <f t="shared" ca="1" si="309"/>
        <v>19245874.827953909</v>
      </c>
      <c r="CA54" s="83" t="str">
        <f t="shared" ca="1" si="296"/>
        <v/>
      </c>
      <c r="CB54" s="83">
        <f t="shared" ca="1" si="310"/>
        <v>0</v>
      </c>
      <c r="CC54" s="83" t="str">
        <f t="shared" ca="1" si="296"/>
        <v/>
      </c>
      <c r="CD54" s="83">
        <f>IF(RTD("tos.rtd",,CD$43,"."&amp;$A$43&amp;$AS$42&amp;"C"&amp;$A54)="N/A",0,RTD("tos.rtd",,CD$43,"."&amp;$A$43&amp;$AS$42&amp;"C"&amp;$A54))</f>
        <v>1</v>
      </c>
      <c r="CE54" s="83">
        <f>-IF(RTD("tos.rtd",,CE$43,"."&amp;$A$43&amp;$AS$42&amp;"P"&amp;$A54)="N/A",0,RTD("tos.rtd",,CE$43,"."&amp;$A$43&amp;$AS$42&amp;"P"&amp;$A54))</f>
        <v>0.42</v>
      </c>
      <c r="CF54" s="83">
        <f>IF(RTD("tos.rtd",,CF$2,"."&amp;$A$43&amp;$AU$1&amp;"C"&amp;$A54)="N/A",0,RTD("tos.rtd",,CF$2,"."&amp;$A$43&amp;$AU$1&amp;"C"&amp;$A54))</f>
        <v>0.73</v>
      </c>
      <c r="CG54" s="83">
        <f>-IF(RTD("tos.rtd",,CG$2,"."&amp;$A$43&amp;$AU$1&amp;"P"&amp;$A54)="N/A",0,RTD("tos.rtd",,CG$2,"."&amp;$A$43&amp;$AU$1&amp;"P"&amp;$A54))</f>
        <v>0.44</v>
      </c>
      <c r="CH54" s="83">
        <f>IF(RTD("tos.rtd",,CH$2,"."&amp;$A$43&amp;$AW$1&amp;"C"&amp;$A54)="N/A",0,RTD("tos.rtd",,CH$2,"."&amp;$A$43&amp;$AW$1&amp;"C"&amp;$A54))</f>
        <v>0</v>
      </c>
      <c r="CI54" s="83">
        <f>-IF(RTD("tos.rtd",,CI$2,"."&amp;$A$43&amp;$AW$1&amp;"P"&amp;$A54)="N/A",0,RTD("tos.rtd",,CI$2,"."&amp;$A$43&amp;$AW$1&amp;"P"&amp;$A54))</f>
        <v>0</v>
      </c>
      <c r="CK54" s="83">
        <f t="shared" si="311"/>
        <v>581160</v>
      </c>
      <c r="CL54" s="83"/>
      <c r="CM54" s="83">
        <f t="shared" si="312"/>
        <v>48391.999999999993</v>
      </c>
      <c r="CN54" s="83"/>
      <c r="CO54" s="83">
        <f t="shared" si="313"/>
        <v>0</v>
      </c>
      <c r="CP54" s="83">
        <f t="shared" si="314"/>
        <v>629552</v>
      </c>
      <c r="CQ54" s="83">
        <f t="shared" si="315"/>
        <v>71575</v>
      </c>
      <c r="CR54" s="83"/>
      <c r="CS54" s="83">
        <f t="shared" si="316"/>
        <v>1291</v>
      </c>
      <c r="CT54" s="83"/>
      <c r="CU54" s="83">
        <f t="shared" si="317"/>
        <v>0</v>
      </c>
      <c r="CV54" s="83"/>
      <c r="CW54" s="83" t="e">
        <f t="shared" ca="1" si="318"/>
        <v>#NUM!</v>
      </c>
      <c r="CY54" s="83" t="e">
        <f t="shared" ca="1" si="319"/>
        <v>#NUM!</v>
      </c>
      <c r="CZ54" s="70" t="e">
        <f t="shared" ca="1" si="297"/>
        <v>#NUM!</v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4.87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5.22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4.88</v>
      </c>
      <c r="DG54" s="86">
        <f t="shared" si="289"/>
        <v>-3.1700000000000159</v>
      </c>
      <c r="DH54" s="83">
        <f t="shared" si="320"/>
        <v>122</v>
      </c>
      <c r="DI54" s="83">
        <f t="shared" si="321"/>
        <v>1.4117647058823235</v>
      </c>
      <c r="DJ54" s="83">
        <f t="shared" si="322"/>
        <v>122</v>
      </c>
      <c r="DK54" s="83">
        <f t="shared" si="257"/>
        <v>48</v>
      </c>
      <c r="DL54" s="83">
        <f t="shared" si="258"/>
        <v>123.41176470588232</v>
      </c>
      <c r="DM54" s="83">
        <f t="shared" si="259"/>
        <v>170</v>
      </c>
      <c r="DN54" s="64" t="str">
        <f t="shared" si="260"/>
        <v>BUY</v>
      </c>
      <c r="DO54" s="64" t="str">
        <f t="shared" si="261"/>
        <v>SELL</v>
      </c>
      <c r="DP54" s="83">
        <f t="shared" si="262"/>
        <v>8.0952941176469153</v>
      </c>
      <c r="DQ54" s="83">
        <f t="shared" si="263"/>
        <v>234.98</v>
      </c>
      <c r="DR54" s="83" t="e">
        <f t="shared" ca="1" si="264"/>
        <v>#NUM!</v>
      </c>
      <c r="DS54" s="83">
        <f t="shared" si="265"/>
        <v>142.16</v>
      </c>
      <c r="DT54" s="83">
        <f t="shared" si="290"/>
        <v>122</v>
      </c>
      <c r="DU54" s="83">
        <f t="shared" si="291"/>
        <v>-48</v>
      </c>
      <c r="DV54" s="83">
        <f t="shared" si="266"/>
        <v>-4724</v>
      </c>
      <c r="DW54" s="83">
        <f t="shared" si="267"/>
        <v>-514</v>
      </c>
      <c r="DX54" s="83" t="e">
        <f t="shared" ca="1" si="323"/>
        <v>#NUM!</v>
      </c>
      <c r="DY54" s="83" t="e">
        <f t="shared" ca="1" si="324"/>
        <v>#NUM!</v>
      </c>
      <c r="DZ54" s="83">
        <f t="shared" ca="1" si="325"/>
        <v>5.1853355608478209E-2</v>
      </c>
      <c r="EA54" s="83">
        <f t="shared" ca="1" si="326"/>
        <v>-1.2436179012817497E-2</v>
      </c>
      <c r="EB54" s="83">
        <f t="shared" ca="1" si="327"/>
        <v>2.3116528750129296E-2</v>
      </c>
      <c r="EC54" s="83">
        <f t="shared" ca="1" si="328"/>
        <v>-2.3116528750129296E-2</v>
      </c>
      <c r="ED54" s="63">
        <f t="shared" si="292"/>
        <v>-5238</v>
      </c>
      <c r="EE54" s="84">
        <f t="shared" si="329"/>
        <v>0.25</v>
      </c>
      <c r="EF54" s="84">
        <f t="shared" si="330"/>
        <v>4.3708999999999998</v>
      </c>
      <c r="EG54" s="84">
        <f t="shared" si="331"/>
        <v>9.8699999999999996E-2</v>
      </c>
      <c r="EH54" s="84">
        <f t="shared" si="332"/>
        <v>0.47210000000000002</v>
      </c>
      <c r="EI54" s="84">
        <f t="shared" si="333"/>
        <v>0.25</v>
      </c>
      <c r="EJ54" s="84">
        <f t="shared" si="334"/>
        <v>0.25</v>
      </c>
      <c r="EK54" s="63" t="e">
        <f t="shared" ca="1" si="293"/>
        <v>#NUM!</v>
      </c>
      <c r="EL54" s="83" t="str">
        <f>RTD("tos.rtd",,EL$43,"."&amp;$A$43&amp;$AS$42&amp;"C"&amp;$A54)</f>
        <v>--</v>
      </c>
      <c r="EM54" s="83" t="str">
        <f>RTD("tos.rtd",,EM$43,"."&amp;$A$43&amp;$AS$42&amp;"P"&amp;$A54)</f>
        <v>437.09%</v>
      </c>
      <c r="EN54" s="83" t="str">
        <f>RTD("tos.rtd",,EN$2,"."&amp;$A$43&amp;$AU$1&amp;"C"&amp;$A54)</f>
        <v>9.87%</v>
      </c>
      <c r="EO54" s="83" t="str">
        <f>RTD("tos.rtd",,EO$2,"."&amp;$A$43&amp;$AU$1&amp;"P"&amp;$A54)</f>
        <v>47.21%</v>
      </c>
      <c r="EP54" s="83" t="str">
        <f>RTD("tos.rtd",,EP$2,"."&amp;$A$43&amp;$AW$1&amp;"C"&amp;$A54)</f>
        <v>N/A</v>
      </c>
      <c r="EQ54" s="83" t="str">
        <f>RTD("tos.rtd",,EQ$2,"."&amp;$A$43&amp;$AW$1&amp;"P"&amp;$A54)</f>
        <v>N/A</v>
      </c>
      <c r="ES54" s="63" t="str">
        <f t="shared" si="274"/>
        <v>493,-5238.00</v>
      </c>
      <c r="ET54" s="63" t="str">
        <f t="shared" ca="1" si="275"/>
        <v>493,00.00</v>
      </c>
      <c r="EU54" s="68">
        <v>565.1</v>
      </c>
      <c r="EV54" s="68" t="s">
        <v>451</v>
      </c>
      <c r="EW54" s="68">
        <v>488.54</v>
      </c>
      <c r="EX54" s="68" t="s">
        <v>452</v>
      </c>
      <c r="EY54" s="68">
        <v>5663.94</v>
      </c>
      <c r="EZ54" s="68" t="s">
        <v>453</v>
      </c>
      <c r="FA54" s="68">
        <v>20063.564999999999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94"/>
        <v>492</v>
      </c>
      <c r="B55" s="3">
        <f t="shared" ref="B55" si="335">+IF($A$1="ABS",AS55-AT55,AS55+AT55)</f>
        <v>7686</v>
      </c>
      <c r="C55" s="3">
        <f t="shared" ref="C55" si="336">+IF($A$1="ABS",AU55-AV55,AU55+AV55)</f>
        <v>1613</v>
      </c>
      <c r="D55" s="3">
        <f t="shared" ref="D55" si="337">+IF($A$1="ABS",AW55-AX55,AW55+AX55)</f>
        <v>0</v>
      </c>
      <c r="E55" s="3">
        <f t="shared" ref="E55" si="338">SUM(B55:D55)</f>
        <v>9299</v>
      </c>
      <c r="F55" s="4">
        <f t="shared" ref="F55" si="339">+$F$44/$A$44*A55</f>
        <v>20299.697684261442</v>
      </c>
      <c r="AM55" s="1">
        <v>6354</v>
      </c>
      <c r="AN55" s="1">
        <v>-2575</v>
      </c>
      <c r="AO55" s="1">
        <v>492</v>
      </c>
      <c r="AP55" s="1">
        <v>96955</v>
      </c>
      <c r="AQ55" s="1">
        <v>-11206</v>
      </c>
      <c r="AS55" s="6">
        <f>IF(RTD("tos.rtd",,AS$43,"."&amp;$A$43&amp;$AS$42&amp;"C"&amp;$A55)="N/A",0,RTD("tos.rtd",,AS$43,"."&amp;$A$43&amp;$AS$42&amp;"C"&amp;$A55))</f>
        <v>5394</v>
      </c>
      <c r="AT55" s="7">
        <f>-IF(RTD("tos.rtd",,AT$43,"."&amp;$A$43&amp;$AS$42&amp;"P"&amp;$A55)="N/A",0,RTD("tos.rtd",,AT$43,"."&amp;$A$43&amp;$AS$42&amp;"P"&amp;$A55))</f>
        <v>-2292</v>
      </c>
      <c r="AU55" s="6">
        <f>IF(RTD("tos.rtd",,AU$2,"."&amp;$A$43&amp;$AU$1&amp;"C"&amp;$A55)="N/A",0,RTD("tos.rtd",,AU$2,"."&amp;$A$43&amp;$AU$1&amp;"C"&amp;$A55))</f>
        <v>1025</v>
      </c>
      <c r="AV55" s="7">
        <f>-IF(RTD("tos.rtd",,AV$2,"."&amp;$A$43&amp;$AU$1&amp;"P"&amp;$A55)="N/A",0,RTD("tos.rtd",,AV$2,"."&amp;$A$43&amp;$AU$1&amp;"P"&amp;$A55))</f>
        <v>-588</v>
      </c>
      <c r="AW55" s="6">
        <f>IF(RTD("tos.rtd",,AW$2,"."&amp;$A$43&amp;$AW$1&amp;"C"&amp;$A55)="N/A",0,RTD("tos.rtd",,AW$2,"."&amp;$A$43&amp;$AW$1&amp;"C"&amp;$A55))</f>
        <v>0</v>
      </c>
      <c r="AX55" s="7">
        <f>-IF(RTD("tos.rtd",,AX$2,"."&amp;$A$43&amp;$AW$1&amp;"P"&amp;$A55)="N/A",0,RTD("tos.rtd",,AX$2,"."&amp;$A$43&amp;$AW$1&amp;"P"&amp;$A55))</f>
        <v>0</v>
      </c>
      <c r="AY55" s="7">
        <f t="shared" ref="AY55" si="340">SUM(AS55:AX55)</f>
        <v>3539</v>
      </c>
      <c r="AZ55" s="8">
        <f t="shared" si="245"/>
        <v>492</v>
      </c>
      <c r="BA55" s="6">
        <f>IF(RTD("tos.rtd",,BA$43,"."&amp;$A$43&amp;$AS$42&amp;"C"&amp;$A55)="N/A",0,RTD("tos.rtd",,BA$43,"."&amp;$A$43&amp;$AS$42&amp;"C"&amp;$A55))</f>
        <v>97017</v>
      </c>
      <c r="BB55" s="7">
        <f>-IF(RTD("tos.rtd",,BB$43,"."&amp;$A$43&amp;$AS$42&amp;"P"&amp;$A55)="N/A",0,RTD("tos.rtd",,BB$43,"."&amp;$A$43&amp;$AS$42&amp;"P"&amp;$A55))</f>
        <v>-11255</v>
      </c>
      <c r="BC55" s="6">
        <f>IF(RTD("tos.rtd",,BC$2,"."&amp;$A$43&amp;$AU$1&amp;"C"&amp;$A55)="N/A",0,RTD("tos.rtd",,BC$2,"."&amp;$A$43&amp;$AU$1&amp;"C"&amp;$A55))</f>
        <v>2465</v>
      </c>
      <c r="BD55" s="7">
        <f>-IF(RTD("tos.rtd",,BD$2,"."&amp;$A$43&amp;$AU$1&amp;"P"&amp;$A55)="N/A",0,RTD("tos.rtd",,BD$2,"."&amp;$A$43&amp;$AU$1&amp;"P"&amp;$A55))</f>
        <v>-521</v>
      </c>
      <c r="BE55" s="6">
        <f>IF(RTD("tos.rtd",,BE$2,"."&amp;$A$43&amp;$AW$1&amp;"C"&amp;$A55)="N/A",0,RTD("tos.rtd",,BE$2,"."&amp;$A$43&amp;$AW$1&amp;"C"&amp;$A55))</f>
        <v>0</v>
      </c>
      <c r="BF55" s="7">
        <f>-IF(RTD("tos.rtd",,BF$2,"."&amp;$A$43&amp;$AW$1&amp;"P"&amp;$A55)="N/A",0,RTD("tos.rtd",,BF$2,"."&amp;$A$43&amp;$AW$1&amp;"P"&amp;$A55))</f>
        <v>0</v>
      </c>
      <c r="BG55" s="32">
        <f ca="1">+Hoja2!Y56</f>
        <v>523</v>
      </c>
      <c r="BH55" s="7">
        <f t="shared" ca="1" si="277"/>
        <v>88229</v>
      </c>
      <c r="BI55" s="8" t="str">
        <f t="shared" ca="1" si="295"/>
        <v/>
      </c>
      <c r="BJ55" s="83" t="e">
        <f ca="1">IF($BP$1=1,DX55,IF(RTD("tos.rtd",,BJ$43,"."&amp;$A$43&amp;$AS$42&amp;"C"&amp;$A55)="N/A",0,RTD("tos.rtd",,BJ$43,"."&amp;$A$43&amp;$AS$42&amp;"C"&amp;$A55)))</f>
        <v>#NUM!</v>
      </c>
      <c r="BK55" s="83" t="e">
        <f ca="1">IF($BP$1=1,DY55,-IF(RTD("tos.rtd",,BK$43,"."&amp;$A$43&amp;$AS$42&amp;"P"&amp;$A55)="N/A",0,RTD("tos.rtd",,BK$43,"."&amp;$A$43&amp;$AS$42&amp;"P"&amp;$A55)))</f>
        <v>#NUM!</v>
      </c>
      <c r="BL55" s="83">
        <f ca="1">IF($BP$1=1,DZ55,IF(RTD("tos.rtd",,BL$2,"."&amp;$A$43&amp;$AU$1&amp;"C"&amp;$A55)="N/A",0,RTD("tos.rtd",,BL$2,"."&amp;$A$43&amp;$AU$1&amp;"C"&amp;$A55)))</f>
        <v>5.2006200236955749E-2</v>
      </c>
      <c r="BM55" s="83">
        <f ca="1">IF($BP$1=1,EA55,-IF(RTD("tos.rtd",,BM$2,"."&amp;$A$43&amp;$AU$1&amp;"P"&amp;$A55)="N/A",0,RTD("tos.rtd",,BM$2,"."&amp;$A$43&amp;$AU$1&amp;"P"&amp;$A55)))</f>
        <v>-1.2516081299055844E-2</v>
      </c>
      <c r="BN55" s="83">
        <f ca="1">IF($BP$1=1,EB55,IF(RTD("tos.rtd",,BN$2,"."&amp;$A$43&amp;$AW$1&amp;"C"&amp;$A55)="N/A",0,RTD("tos.rtd",,BN$2,"."&amp;$A$43&amp;$AW$1&amp;"C"&amp;$A55)))</f>
        <v>2.2760735508197842E-2</v>
      </c>
      <c r="BO55" s="83">
        <f ca="1">IF($BP$1=1,EC55,-IF(RTD("tos.rtd",,BO$2,"."&amp;$A$43&amp;$AW$1&amp;"P"&amp;$A55)="N/A",0,RTD("tos.rtd",,BO$2,"."&amp;$A$43&amp;$AW$1&amp;"P"&amp;$A55)))</f>
        <v>-2.2760735508197842E-2</v>
      </c>
      <c r="BQ55" s="83" t="e">
        <f t="shared" ref="BQ55" ca="1" si="341">+$A$44*$A$44*AS55*BJ55-$A$44*$A$44*AT55*BK55</f>
        <v>#NUM!</v>
      </c>
      <c r="BR55" s="3" t="e">
        <f t="shared" ca="1" si="279"/>
        <v>#NUM!</v>
      </c>
      <c r="BS55" s="83">
        <f t="shared" ref="BS55" ca="1" si="342">+$A$44*$A$44*AU55*BL55-$A$44*$A$44*AV55*BM55</f>
        <v>11311422.22538038</v>
      </c>
      <c r="BT55" s="3" t="str">
        <f t="shared" ca="1" si="281"/>
        <v/>
      </c>
      <c r="BU55" s="83">
        <f t="shared" ref="BU55" ca="1" si="343">+$A$44*$A$44*AW55*BN55-$A$44*$A$44*AX55*BO55</f>
        <v>0</v>
      </c>
      <c r="BV55" s="83"/>
      <c r="BX55" s="83" t="e">
        <f t="shared" ref="BX55" ca="1" si="344">+$A$44*$A$44*BA55*BJ55-$A$44*$A$44*BB55*BK55</f>
        <v>#NUM!</v>
      </c>
      <c r="BY55" s="83" t="e">
        <f t="shared" ca="1" si="296"/>
        <v>#NUM!</v>
      </c>
      <c r="BZ55" s="83">
        <f t="shared" ref="BZ55" ca="1" si="345">+$A$44*$A$44*BC55*BL55-$A$44*$A$44*BD55*BM55</f>
        <v>29954373.164484281</v>
      </c>
      <c r="CA55" s="83" t="str">
        <f t="shared" ca="1" si="296"/>
        <v/>
      </c>
      <c r="CB55" s="83">
        <f t="shared" ref="CB55" ca="1" si="346">+$A$44*$A$44*BE55*BN55-$A$44*$A$44*BF55*BO55</f>
        <v>0</v>
      </c>
      <c r="CC55" s="83" t="str">
        <f t="shared" ca="1" si="296"/>
        <v/>
      </c>
      <c r="CD55" s="83">
        <f>IF(RTD("tos.rtd",,CD$43,"."&amp;$A$43&amp;$AS$42&amp;"C"&amp;$A55)="N/A",0,RTD("tos.rtd",,CD$43,"."&amp;$A$43&amp;$AS$42&amp;"C"&amp;$A55))</f>
        <v>1</v>
      </c>
      <c r="CE55" s="83">
        <f>-IF(RTD("tos.rtd",,CE$43,"."&amp;$A$43&amp;$AS$42&amp;"P"&amp;$A55)="N/A",0,RTD("tos.rtd",,CE$43,"."&amp;$A$43&amp;$AS$42&amp;"P"&amp;$A55))</f>
        <v>0.38</v>
      </c>
      <c r="CF55" s="83">
        <f>IF(RTD("tos.rtd",,CF$2,"."&amp;$A$43&amp;$AU$1&amp;"C"&amp;$A55)="N/A",0,RTD("tos.rtd",,CF$2,"."&amp;$A$43&amp;$AU$1&amp;"C"&amp;$A55))</f>
        <v>0.85</v>
      </c>
      <c r="CG55" s="83">
        <f>-IF(RTD("tos.rtd",,CG$2,"."&amp;$A$43&amp;$AU$1&amp;"P"&amp;$A55)="N/A",0,RTD("tos.rtd",,CG$2,"."&amp;$A$43&amp;$AU$1&amp;"P"&amp;$A55))</f>
        <v>0.42</v>
      </c>
      <c r="CH55" s="83">
        <f>IF(RTD("tos.rtd",,CH$2,"."&amp;$A$43&amp;$AW$1&amp;"C"&amp;$A55)="N/A",0,RTD("tos.rtd",,CH$2,"."&amp;$A$43&amp;$AW$1&amp;"C"&amp;$A55))</f>
        <v>0</v>
      </c>
      <c r="CI55" s="83">
        <f>-IF(RTD("tos.rtd",,CI$2,"."&amp;$A$43&amp;$AW$1&amp;"P"&amp;$A55)="N/A",0,RTD("tos.rtd",,CI$2,"."&amp;$A$43&amp;$AW$1&amp;"P"&amp;$A55))</f>
        <v>0</v>
      </c>
      <c r="CK55" s="83">
        <f t="shared" ref="CK55" si="347">+AS55*CD55*100+AT55*CE55*100</f>
        <v>452304</v>
      </c>
      <c r="CL55" s="83"/>
      <c r="CM55" s="83">
        <f t="shared" ref="CM55" si="348">+AU55*CF55*100+AV55*CG55*100</f>
        <v>62429</v>
      </c>
      <c r="CN55" s="83"/>
      <c r="CO55" s="83">
        <f t="shared" ref="CO55" si="349">+AW55*CH55*100+AX55*CI55*100</f>
        <v>0</v>
      </c>
      <c r="CP55" s="83">
        <f t="shared" ref="CP55" si="350">+CK55+CM55+CO55</f>
        <v>514733</v>
      </c>
      <c r="CQ55" s="83">
        <f t="shared" ref="CQ55" si="351">+BA55+BB55</f>
        <v>85762</v>
      </c>
      <c r="CR55" s="83"/>
      <c r="CS55" s="83">
        <f t="shared" ref="CS55" si="352">+BC55+BD55</f>
        <v>1944</v>
      </c>
      <c r="CT55" s="83"/>
      <c r="CU55" s="83">
        <f t="shared" ref="CU55" si="353">+BE55+BF55</f>
        <v>0</v>
      </c>
      <c r="CV55" s="83"/>
      <c r="CW55" s="83" t="e">
        <f t="shared" ref="CW55" ca="1" si="354">+BQ55+BS55+BU55</f>
        <v>#NUM!</v>
      </c>
      <c r="CY55" s="83" t="e">
        <f t="shared" ref="CY55" ca="1" si="355">+BX55+BZ55+CB55</f>
        <v>#NUM!</v>
      </c>
      <c r="CZ55" s="70" t="e">
        <f t="shared" ca="1" si="297"/>
        <v>#NUM!</v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4.07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4.22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3.87</v>
      </c>
      <c r="DG55" s="86">
        <f t="shared" si="289"/>
        <v>-4.1700000000000159</v>
      </c>
      <c r="DH55" s="83">
        <f t="shared" ref="DH55" si="356">((DA55-DE55)/(DC55-DE55))*(BA55-AP55)</f>
        <v>62</v>
      </c>
      <c r="DI55" s="83">
        <f t="shared" ref="DI55" si="357">((DB55-DF55)/(DD55-DF55))*(BB55-AQ55)</f>
        <v>-28.000000000000053</v>
      </c>
      <c r="DJ55" s="83">
        <f t="shared" ref="DJ55" si="358">IF(DA55&gt;=(DE55+(DC55-DE55)*0.6),(BA55-AP55),IF(DA55&lt;=(DE55+(DC55-DE55)*0.4),-(BA55-AP55),0))</f>
        <v>62</v>
      </c>
      <c r="DK55" s="83">
        <f t="shared" si="257"/>
        <v>0</v>
      </c>
      <c r="DL55" s="83">
        <f t="shared" si="258"/>
        <v>33.999999999999943</v>
      </c>
      <c r="DM55" s="83">
        <f t="shared" si="259"/>
        <v>62</v>
      </c>
      <c r="DN55" s="64" t="str">
        <f t="shared" si="260"/>
        <v>BUY</v>
      </c>
      <c r="DO55" s="64" t="str">
        <f t="shared" si="261"/>
        <v>UNKNOWN</v>
      </c>
      <c r="DP55" s="83">
        <f t="shared" si="262"/>
        <v>-113.34000000000022</v>
      </c>
      <c r="DQ55" s="83">
        <f t="shared" si="263"/>
        <v>0.62</v>
      </c>
      <c r="DR55" s="83" t="e">
        <f t="shared" ca="1" si="264"/>
        <v>#NUM!</v>
      </c>
      <c r="DS55" s="83">
        <f t="shared" si="265"/>
        <v>62</v>
      </c>
      <c r="DT55" s="83">
        <f t="shared" si="290"/>
        <v>62</v>
      </c>
      <c r="DU55" s="83">
        <f t="shared" si="291"/>
        <v>-49</v>
      </c>
      <c r="DV55" s="83">
        <f t="shared" si="266"/>
        <v>6416</v>
      </c>
      <c r="DW55" s="83">
        <f t="shared" si="267"/>
        <v>-2575</v>
      </c>
      <c r="DX55" s="83" t="e">
        <f t="shared" ca="1" si="323"/>
        <v>#NUM!</v>
      </c>
      <c r="DY55" s="83" t="e">
        <f t="shared" ca="1" si="324"/>
        <v>#NUM!</v>
      </c>
      <c r="DZ55" s="83">
        <f t="shared" ca="1" si="325"/>
        <v>5.2006200236955749E-2</v>
      </c>
      <c r="EA55" s="83">
        <f t="shared" ca="1" si="326"/>
        <v>-1.2516081299055844E-2</v>
      </c>
      <c r="EB55" s="83">
        <f t="shared" ca="1" si="327"/>
        <v>2.2760735508197842E-2</v>
      </c>
      <c r="EC55" s="83">
        <f t="shared" ca="1" si="328"/>
        <v>-2.2760735508197842E-2</v>
      </c>
      <c r="ED55" s="63">
        <f t="shared" si="292"/>
        <v>3841</v>
      </c>
      <c r="EE55" s="84">
        <f t="shared" ref="EE55" si="359">IFERROR(VALUE(IF(OR(EL55="--",EL55="0.00%"),$EE$1,EL55)),$EE$1)</f>
        <v>0.25</v>
      </c>
      <c r="EF55" s="84">
        <f t="shared" ref="EF55" si="360">IFERROR(VALUE(IF(OR(EM55="--",EM55="0.00%"),$EE$1,EM55)),$EE$1)</f>
        <v>3.9618000000000002</v>
      </c>
      <c r="EG55" s="84">
        <f t="shared" ref="EG55" si="361">IFERROR(VALUE(IF(OR(EN55="--",EN55="0.00%"),$EE$1,EN55)),$EE$1)</f>
        <v>7.6600000000000001E-2</v>
      </c>
      <c r="EH55" s="84">
        <f t="shared" ref="EH55" si="362">IFERROR(VALUE(IF(OR(EO55="--",EO55="0.00%"),$EE$1,EO55)),$EE$1)</f>
        <v>0.46660000000000001</v>
      </c>
      <c r="EI55" s="84">
        <f t="shared" ref="EI55" si="363">IFERROR(VALUE(IF(OR(EP55="--",EP55="0.00%"),$EE$1,EP55)),$EE$1)</f>
        <v>0.25</v>
      </c>
      <c r="EJ55" s="84">
        <f t="shared" ref="EJ55" si="364">IFERROR(VALUE(IF(OR(EQ55="--",EQ55="0.00%"),$EE$1,EQ55)),$EE$1)</f>
        <v>0.25</v>
      </c>
      <c r="EK55" s="63" t="e">
        <f t="shared" ca="1" si="293"/>
        <v>#NUM!</v>
      </c>
      <c r="EL55" s="83" t="str">
        <f>RTD("tos.rtd",,EL$43,"."&amp;$A$43&amp;$AS$42&amp;"C"&amp;$A55)</f>
        <v>--</v>
      </c>
      <c r="EM55" s="83" t="str">
        <f>RTD("tos.rtd",,EM$43,"."&amp;$A$43&amp;$AS$42&amp;"P"&amp;$A55)</f>
        <v>396.18%</v>
      </c>
      <c r="EN55" s="83" t="str">
        <f>RTD("tos.rtd",,EN$2,"."&amp;$A$43&amp;$AU$1&amp;"C"&amp;$A55)</f>
        <v>7.66%</v>
      </c>
      <c r="EO55" s="83" t="str">
        <f>RTD("tos.rtd",,EO$2,"."&amp;$A$43&amp;$AU$1&amp;"P"&amp;$A55)</f>
        <v>46.66%</v>
      </c>
      <c r="EP55" s="83" t="str">
        <f>RTD("tos.rtd",,EP$2,"."&amp;$A$43&amp;$AW$1&amp;"C"&amp;$A55)</f>
        <v>N/A</v>
      </c>
      <c r="EQ55" s="83" t="str">
        <f>RTD("tos.rtd",,EQ$2,"."&amp;$A$43&amp;$AW$1&amp;"P"&amp;$A55)</f>
        <v>N/A</v>
      </c>
      <c r="ES55" s="63" t="str">
        <f t="shared" si="274"/>
        <v>492,3841.00</v>
      </c>
      <c r="ET55" s="63" t="str">
        <f t="shared" ca="1" si="275"/>
        <v>492,00.00</v>
      </c>
      <c r="EU55" s="68">
        <v>565.17999999999995</v>
      </c>
      <c r="EV55" s="68" t="s">
        <v>459</v>
      </c>
      <c r="EW55" s="68">
        <v>488.69</v>
      </c>
      <c r="EX55" s="68" t="s">
        <v>460</v>
      </c>
      <c r="EY55" s="68">
        <v>5663.94</v>
      </c>
      <c r="EZ55" s="68" t="s">
        <v>461</v>
      </c>
      <c r="FA55" s="68">
        <v>20063.564999999999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94"/>
        <v>491</v>
      </c>
      <c r="B56" s="3">
        <f t="shared" si="299"/>
        <v>6500</v>
      </c>
      <c r="C56" s="3">
        <f t="shared" si="300"/>
        <v>1086</v>
      </c>
      <c r="D56" s="3">
        <f t="shared" si="301"/>
        <v>0</v>
      </c>
      <c r="E56" s="3">
        <f t="shared" si="302"/>
        <v>7586</v>
      </c>
      <c r="F56" s="4">
        <f t="shared" si="303"/>
        <v>20258.438136122699</v>
      </c>
      <c r="AM56" s="1">
        <v>15074</v>
      </c>
      <c r="AN56" s="1">
        <v>524</v>
      </c>
      <c r="AO56" s="1">
        <v>491</v>
      </c>
      <c r="AP56" s="1">
        <v>123623</v>
      </c>
      <c r="AQ56" s="1">
        <v>-28258</v>
      </c>
      <c r="AS56" s="6">
        <f>IF(RTD("tos.rtd",,AS$43,"."&amp;$A$43&amp;$AS$42&amp;"C"&amp;$A56)="N/A",0,RTD("tos.rtd",,AS$43,"."&amp;$A$43&amp;$AS$42&amp;"C"&amp;$A56))</f>
        <v>4571</v>
      </c>
      <c r="AT56" s="7">
        <f>-IF(RTD("tos.rtd",,AT$43,"."&amp;$A$43&amp;$AS$42&amp;"P"&amp;$A56)="N/A",0,RTD("tos.rtd",,AT$43,"."&amp;$A$43&amp;$AS$42&amp;"P"&amp;$A56))</f>
        <v>-1929</v>
      </c>
      <c r="AU56" s="6">
        <f>IF(RTD("tos.rtd",,AU$2,"."&amp;$A$43&amp;$AU$1&amp;"C"&amp;$A56)="N/A",0,RTD("tos.rtd",,AU$2,"."&amp;$A$43&amp;$AU$1&amp;"C"&amp;$A56))</f>
        <v>787</v>
      </c>
      <c r="AV56" s="7">
        <f>-IF(RTD("tos.rtd",,AV$2,"."&amp;$A$43&amp;$AU$1&amp;"P"&amp;$A56)="N/A",0,RTD("tos.rtd",,AV$2,"."&amp;$A$43&amp;$AU$1&amp;"P"&amp;$A56))</f>
        <v>-299</v>
      </c>
      <c r="AW56" s="6">
        <f>IF(RTD("tos.rtd",,AW$2,"."&amp;$A$43&amp;$AW$1&amp;"C"&amp;$A56)="N/A",0,RTD("tos.rtd",,AW$2,"."&amp;$A$43&amp;$AW$1&amp;"C"&amp;$A56))</f>
        <v>0</v>
      </c>
      <c r="AX56" s="7">
        <f>-IF(RTD("tos.rtd",,AX$2,"."&amp;$A$43&amp;$AW$1&amp;"P"&amp;$A56)="N/A",0,RTD("tos.rtd",,AX$2,"."&amp;$A$43&amp;$AW$1&amp;"P"&amp;$A56))</f>
        <v>0</v>
      </c>
      <c r="AY56" s="7">
        <f t="shared" si="304"/>
        <v>3130</v>
      </c>
      <c r="AZ56" s="8">
        <f t="shared" si="245"/>
        <v>491</v>
      </c>
      <c r="BA56" s="6">
        <f>IF(RTD("tos.rtd",,BA$43,"."&amp;$A$43&amp;$AS$42&amp;"C"&amp;$A56)="N/A",0,RTD("tos.rtd",,BA$43,"."&amp;$A$43&amp;$AS$42&amp;"C"&amp;$A56))</f>
        <v>125611</v>
      </c>
      <c r="BB56" s="7">
        <f>-IF(RTD("tos.rtd",,BB$43,"."&amp;$A$43&amp;$AS$42&amp;"P"&amp;$A56)="N/A",0,RTD("tos.rtd",,BB$43,"."&amp;$A$43&amp;$AS$42&amp;"P"&amp;$A56))</f>
        <v>-28296</v>
      </c>
      <c r="BC56" s="6">
        <f>IF(RTD("tos.rtd",,BC$2,"."&amp;$A$43&amp;$AU$1&amp;"C"&amp;$A56)="N/A",0,RTD("tos.rtd",,BC$2,"."&amp;$A$43&amp;$AU$1&amp;"C"&amp;$A56))</f>
        <v>2095</v>
      </c>
      <c r="BD56" s="7">
        <f>-IF(RTD("tos.rtd",,BD$2,"."&amp;$A$43&amp;$AU$1&amp;"P"&amp;$A56)="N/A",0,RTD("tos.rtd",,BD$2,"."&amp;$A$43&amp;$AU$1&amp;"P"&amp;$A56))</f>
        <v>-1071</v>
      </c>
      <c r="BE56" s="6">
        <f>IF(RTD("tos.rtd",,BE$2,"."&amp;$A$43&amp;$AW$1&amp;"C"&amp;$A56)="N/A",0,RTD("tos.rtd",,BE$2,"."&amp;$A$43&amp;$AW$1&amp;"C"&amp;$A56))</f>
        <v>0</v>
      </c>
      <c r="BF56" s="7">
        <f>-IF(RTD("tos.rtd",,BF$2,"."&amp;$A$43&amp;$AW$1&amp;"P"&amp;$A56)="N/A",0,RTD("tos.rtd",,BF$2,"."&amp;$A$43&amp;$AW$1&amp;"P"&amp;$A56))</f>
        <v>0</v>
      </c>
      <c r="BG56" s="32">
        <f ca="1">+Hoja2!Y57</f>
        <v>1030</v>
      </c>
      <c r="BH56" s="7">
        <f t="shared" ca="1" si="277"/>
        <v>99369</v>
      </c>
      <c r="BI56" s="8" t="str">
        <f t="shared" ca="1" si="295"/>
        <v/>
      </c>
      <c r="BJ56" s="83" t="e">
        <f ca="1">IF($BP$1=1,DX56,IF(RTD("tos.rtd",,BJ$43,"."&amp;$A$43&amp;$AS$42&amp;"C"&amp;$A56)="N/A",0,RTD("tos.rtd",,BJ$43,"."&amp;$A$43&amp;$AS$42&amp;"C"&amp;$A56)))</f>
        <v>#NUM!</v>
      </c>
      <c r="BK56" s="83" t="e">
        <f ca="1">IF($BP$1=1,DY56,-IF(RTD("tos.rtd",,BK$43,"."&amp;$A$43&amp;$AS$42&amp;"P"&amp;$A56)="N/A",0,RTD("tos.rtd",,BK$43,"."&amp;$A$43&amp;$AS$42&amp;"P"&amp;$A56)))</f>
        <v>#NUM!</v>
      </c>
      <c r="BL56" s="83">
        <f ca="1">IF($BP$1=1,DZ56,IF(RTD("tos.rtd",,BL$2,"."&amp;$A$43&amp;$AU$1&amp;"C"&amp;$A56)="N/A",0,RTD("tos.rtd",,BL$2,"."&amp;$A$43&amp;$AU$1&amp;"C"&amp;$A56)))</f>
        <v>0</v>
      </c>
      <c r="BM56" s="83">
        <f ca="1">IF($BP$1=1,EA56,-IF(RTD("tos.rtd",,BM$2,"."&amp;$A$43&amp;$AU$1&amp;"P"&amp;$A56)="N/A",0,RTD("tos.rtd",,BM$2,"."&amp;$A$43&amp;$AU$1&amp;"P"&amp;$A56)))</f>
        <v>-1.2590130912431817E-2</v>
      </c>
      <c r="BN56" s="83">
        <f ca="1">IF($BP$1=1,EB56,IF(RTD("tos.rtd",,BN$2,"."&amp;$A$43&amp;$AW$1&amp;"C"&amp;$A56)="N/A",0,RTD("tos.rtd",,BN$2,"."&amp;$A$43&amp;$AW$1&amp;"C"&amp;$A56)))</f>
        <v>2.2329135759730917E-2</v>
      </c>
      <c r="BO56" s="83">
        <f ca="1">IF($BP$1=1,EC56,-IF(RTD("tos.rtd",,BO$2,"."&amp;$A$43&amp;$AW$1&amp;"P"&amp;$A56)="N/A",0,RTD("tos.rtd",,BO$2,"."&amp;$A$43&amp;$AW$1&amp;"P"&amp;$A56)))</f>
        <v>-2.2329135759730917E-2</v>
      </c>
      <c r="BQ56" s="83" t="e">
        <f t="shared" ca="1" si="305"/>
        <v>#NUM!</v>
      </c>
      <c r="BR56" s="3" t="e">
        <f t="shared" ca="1" si="279"/>
        <v>#NUM!</v>
      </c>
      <c r="BS56" s="83">
        <f t="shared" ca="1" si="306"/>
        <v>-926749.66581531987</v>
      </c>
      <c r="BT56" s="3" t="str">
        <f t="shared" ca="1" si="281"/>
        <v>Cruce -</v>
      </c>
      <c r="BU56" s="83">
        <f t="shared" ca="1" si="307"/>
        <v>0</v>
      </c>
      <c r="BV56" s="83"/>
      <c r="BX56" s="83" t="e">
        <f t="shared" ca="1" si="308"/>
        <v>#NUM!</v>
      </c>
      <c r="BY56" s="83" t="e">
        <f t="shared" ca="1" si="296"/>
        <v>#NUM!</v>
      </c>
      <c r="BZ56" s="83">
        <f t="shared" ca="1" si="309"/>
        <v>-3319561.5120006949</v>
      </c>
      <c r="CA56" s="83" t="str">
        <f t="shared" ca="1" si="296"/>
        <v>Cruce -</v>
      </c>
      <c r="CB56" s="83">
        <f t="shared" ca="1" si="310"/>
        <v>0</v>
      </c>
      <c r="CC56" s="83" t="str">
        <f t="shared" ca="1" si="296"/>
        <v/>
      </c>
      <c r="CD56" s="83">
        <f>IF(RTD("tos.rtd",,CD$43,"."&amp;$A$43&amp;$AS$42&amp;"C"&amp;$A56)="N/A",0,RTD("tos.rtd",,CD$43,"."&amp;$A$43&amp;$AS$42&amp;"C"&amp;$A56))</f>
        <v>1</v>
      </c>
      <c r="CE56" s="83">
        <f>-IF(RTD("tos.rtd",,CE$43,"."&amp;$A$43&amp;$AS$42&amp;"P"&amp;$A56)="N/A",0,RTD("tos.rtd",,CE$43,"."&amp;$A$43&amp;$AS$42&amp;"P"&amp;$A56))</f>
        <v>0.34</v>
      </c>
      <c r="CF56" s="83">
        <f>IF(RTD("tos.rtd",,CF$2,"."&amp;$A$43&amp;$AU$1&amp;"C"&amp;$A56)="N/A",0,RTD("tos.rtd",,CF$2,"."&amp;$A$43&amp;$AU$1&amp;"C"&amp;$A56))</f>
        <v>1</v>
      </c>
      <c r="CG56" s="83">
        <f>-IF(RTD("tos.rtd",,CG$2,"."&amp;$A$43&amp;$AU$1&amp;"P"&amp;$A56)="N/A",0,RTD("tos.rtd",,CG$2,"."&amp;$A$43&amp;$AU$1&amp;"P"&amp;$A56))</f>
        <v>0.41</v>
      </c>
      <c r="CH56" s="83">
        <f>IF(RTD("tos.rtd",,CH$2,"."&amp;$A$43&amp;$AW$1&amp;"C"&amp;$A56)="N/A",0,RTD("tos.rtd",,CH$2,"."&amp;$A$43&amp;$AW$1&amp;"C"&amp;$A56))</f>
        <v>0</v>
      </c>
      <c r="CI56" s="83">
        <f>-IF(RTD("tos.rtd",,CI$2,"."&amp;$A$43&amp;$AW$1&amp;"P"&amp;$A56)="N/A",0,RTD("tos.rtd",,CI$2,"."&amp;$A$43&amp;$AW$1&amp;"P"&amp;$A56))</f>
        <v>0</v>
      </c>
      <c r="CK56" s="83">
        <f t="shared" si="311"/>
        <v>391514</v>
      </c>
      <c r="CL56" s="83"/>
      <c r="CM56" s="83">
        <f t="shared" si="312"/>
        <v>66441</v>
      </c>
      <c r="CN56" s="83"/>
      <c r="CO56" s="83">
        <f t="shared" si="313"/>
        <v>0</v>
      </c>
      <c r="CP56" s="83">
        <f t="shared" si="314"/>
        <v>457955</v>
      </c>
      <c r="CQ56" s="83">
        <f t="shared" si="315"/>
        <v>97315</v>
      </c>
      <c r="CR56" s="83"/>
      <c r="CS56" s="83">
        <f t="shared" si="316"/>
        <v>1024</v>
      </c>
      <c r="CT56" s="83"/>
      <c r="CU56" s="83">
        <f t="shared" si="317"/>
        <v>0</v>
      </c>
      <c r="CV56" s="83"/>
      <c r="CW56" s="83" t="e">
        <f t="shared" ca="1" si="318"/>
        <v>#NUM!</v>
      </c>
      <c r="CY56" s="83" t="e">
        <f t="shared" ca="1" si="319"/>
        <v>#NUM!</v>
      </c>
      <c r="CZ56" s="70" t="e">
        <f t="shared" ca="1" si="297"/>
        <v>#NUM!</v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3.05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4.3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2</v>
      </c>
      <c r="DG56" s="86">
        <f t="shared" si="289"/>
        <v>-5.1700000000000159</v>
      </c>
      <c r="DH56" s="83">
        <f t="shared" si="320"/>
        <v>1988</v>
      </c>
      <c r="DI56" s="83">
        <f t="shared" si="321"/>
        <v>-17.34782608695652</v>
      </c>
      <c r="DJ56" s="83">
        <f t="shared" si="322"/>
        <v>1988</v>
      </c>
      <c r="DK56" s="83">
        <f t="shared" si="257"/>
        <v>0</v>
      </c>
      <c r="DL56" s="83">
        <f t="shared" si="258"/>
        <v>1970.6521739130435</v>
      </c>
      <c r="DM56" s="83">
        <f t="shared" si="259"/>
        <v>1988</v>
      </c>
      <c r="DN56" s="64" t="str">
        <f t="shared" si="260"/>
        <v>BUY</v>
      </c>
      <c r="DO56" s="64" t="str">
        <f t="shared" si="261"/>
        <v>UNKNOWN</v>
      </c>
      <c r="DP56" s="83">
        <f t="shared" si="262"/>
        <v>-33.030869565217387</v>
      </c>
      <c r="DQ56" s="83">
        <f t="shared" si="263"/>
        <v>19.88</v>
      </c>
      <c r="DR56" s="83" t="e">
        <f t="shared" ca="1" si="264"/>
        <v>#NUM!</v>
      </c>
      <c r="DS56" s="83">
        <f t="shared" si="265"/>
        <v>1988</v>
      </c>
      <c r="DT56" s="83">
        <f t="shared" si="290"/>
        <v>1988</v>
      </c>
      <c r="DU56" s="83">
        <f t="shared" si="291"/>
        <v>-38</v>
      </c>
      <c r="DV56" s="83">
        <f t="shared" si="266"/>
        <v>17062</v>
      </c>
      <c r="DW56" s="83">
        <f t="shared" si="267"/>
        <v>524</v>
      </c>
      <c r="DX56" s="83" t="e">
        <f t="shared" ca="1" si="323"/>
        <v>#NUM!</v>
      </c>
      <c r="DY56" s="83" t="e">
        <f t="shared" ca="1" si="324"/>
        <v>#NUM!</v>
      </c>
      <c r="DZ56" s="83">
        <f t="shared" ca="1" si="325"/>
        <v>0</v>
      </c>
      <c r="EA56" s="83">
        <f t="shared" ca="1" si="326"/>
        <v>-1.2590130912431817E-2</v>
      </c>
      <c r="EB56" s="83">
        <f t="shared" ca="1" si="327"/>
        <v>2.2329135759730917E-2</v>
      </c>
      <c r="EC56" s="83">
        <f t="shared" ca="1" si="328"/>
        <v>-2.2329135759730917E-2</v>
      </c>
      <c r="ED56" s="63">
        <f t="shared" si="292"/>
        <v>17586</v>
      </c>
      <c r="EE56" s="84">
        <f t="shared" si="329"/>
        <v>0.25</v>
      </c>
      <c r="EF56" s="84">
        <f t="shared" si="330"/>
        <v>3.5926</v>
      </c>
      <c r="EG56" s="84">
        <f t="shared" si="331"/>
        <v>8.9999999999999998E-4</v>
      </c>
      <c r="EH56" s="84">
        <f t="shared" si="332"/>
        <v>0.46079999999999999</v>
      </c>
      <c r="EI56" s="84">
        <f t="shared" si="333"/>
        <v>0.25</v>
      </c>
      <c r="EJ56" s="84">
        <f t="shared" si="334"/>
        <v>0.25</v>
      </c>
      <c r="EK56" s="63" t="e">
        <f t="shared" ca="1" si="293"/>
        <v>#NUM!</v>
      </c>
      <c r="EL56" s="83" t="str">
        <f>RTD("tos.rtd",,EL$43,"."&amp;$A$43&amp;$AS$42&amp;"C"&amp;$A56)</f>
        <v>--</v>
      </c>
      <c r="EM56" s="83" t="str">
        <f>RTD("tos.rtd",,EM$43,"."&amp;$A$43&amp;$AS$42&amp;"P"&amp;$A56)</f>
        <v>359.26%</v>
      </c>
      <c r="EN56" s="83" t="str">
        <f>RTD("tos.rtd",,EN$2,"."&amp;$A$43&amp;$AU$1&amp;"C"&amp;$A56)</f>
        <v>0.09%</v>
      </c>
      <c r="EO56" s="83" t="str">
        <f>RTD("tos.rtd",,EO$2,"."&amp;$A$43&amp;$AU$1&amp;"P"&amp;$A56)</f>
        <v>46.08%</v>
      </c>
      <c r="EP56" s="83" t="str">
        <f>RTD("tos.rtd",,EP$2,"."&amp;$A$43&amp;$AW$1&amp;"C"&amp;$A56)</f>
        <v>N/A</v>
      </c>
      <c r="EQ56" s="83" t="str">
        <f>RTD("tos.rtd",,EQ$2,"."&amp;$A$43&amp;$AW$1&amp;"P"&amp;$A56)</f>
        <v>N/A</v>
      </c>
      <c r="ES56" s="63" t="str">
        <f t="shared" si="274"/>
        <v>491,17586.00</v>
      </c>
      <c r="ET56" s="63" t="str">
        <f t="shared" ca="1" si="275"/>
        <v>491,00.00</v>
      </c>
      <c r="EU56" s="68">
        <v>565.38</v>
      </c>
      <c r="EV56" s="68" t="s">
        <v>467</v>
      </c>
      <c r="EW56" s="68">
        <v>488.85</v>
      </c>
      <c r="EX56" s="68" t="s">
        <v>468</v>
      </c>
      <c r="EY56" s="68">
        <v>5663.94</v>
      </c>
      <c r="EZ56" s="68" t="s">
        <v>469</v>
      </c>
      <c r="FA56" s="68">
        <v>20063.564999999999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94"/>
        <v>490</v>
      </c>
      <c r="B57" s="3">
        <f t="shared" si="241"/>
        <v>15914</v>
      </c>
      <c r="C57" s="3">
        <f t="shared" si="242"/>
        <v>79033</v>
      </c>
      <c r="D57" s="3">
        <f t="shared" si="243"/>
        <v>54699</v>
      </c>
      <c r="E57" s="3">
        <f t="shared" si="244"/>
        <v>149646</v>
      </c>
      <c r="F57" s="4">
        <f t="shared" si="298"/>
        <v>20217.178587983955</v>
      </c>
      <c r="AM57" s="1">
        <v>9390</v>
      </c>
      <c r="AN57" s="1">
        <v>-8771</v>
      </c>
      <c r="AO57" s="1">
        <v>490</v>
      </c>
      <c r="AP57" s="1">
        <v>169630</v>
      </c>
      <c r="AQ57" s="1">
        <v>-79554</v>
      </c>
      <c r="AS57" s="6">
        <f>IF(RTD("tos.rtd",,AS$43,"."&amp;$A$43&amp;$AS$42&amp;"C"&amp;$A57)="N/A",0,RTD("tos.rtd",,AS$43,"."&amp;$A$43&amp;$AS$42&amp;"C"&amp;$A57))</f>
        <v>10598</v>
      </c>
      <c r="AT57" s="7">
        <f>-IF(RTD("tos.rtd",,AT$43,"."&amp;$A$43&amp;$AS$42&amp;"P"&amp;$A57)="N/A",0,RTD("tos.rtd",,AT$43,"."&amp;$A$43&amp;$AS$42&amp;"P"&amp;$A57))</f>
        <v>-5316</v>
      </c>
      <c r="AU57" s="6">
        <f>IF(RTD("tos.rtd",,AU$2,"."&amp;$A$43&amp;$AU$1&amp;"C"&amp;$A57)="N/A",0,RTD("tos.rtd",,AU$2,"."&amp;$A$43&amp;$AU$1&amp;"C"&amp;$A57))</f>
        <v>64740</v>
      </c>
      <c r="AV57" s="7">
        <f>-IF(RTD("tos.rtd",,AV$2,"."&amp;$A$43&amp;$AU$1&amp;"P"&amp;$A57)="N/A",0,RTD("tos.rtd",,AV$2,"."&amp;$A$43&amp;$AU$1&amp;"P"&amp;$A57))</f>
        <v>-14293</v>
      </c>
      <c r="AW57" s="6">
        <f>IF(RTD("tos.rtd",,AW$2,"."&amp;$A$43&amp;$AW$1&amp;"C"&amp;$A57)="N/A",0,RTD("tos.rtd",,AW$2,"."&amp;$A$43&amp;$AW$1&amp;"C"&amp;$A57))</f>
        <v>24218</v>
      </c>
      <c r="AX57" s="7">
        <f>-IF(RTD("tos.rtd",,AX$2,"."&amp;$A$43&amp;$AW$1&amp;"P"&amp;$A57)="N/A",0,RTD("tos.rtd",,AX$2,"."&amp;$A$43&amp;$AW$1&amp;"P"&amp;$A57))</f>
        <v>-30481</v>
      </c>
      <c r="AY57" s="7">
        <f t="shared" si="276"/>
        <v>49466</v>
      </c>
      <c r="AZ57" s="8">
        <f t="shared" si="245"/>
        <v>490</v>
      </c>
      <c r="BA57" s="6">
        <f>IF(RTD("tos.rtd",,BA$43,"."&amp;$A$43&amp;$AS$42&amp;"C"&amp;$A57)="N/A",0,RTD("tos.rtd",,BA$43,"."&amp;$A$43&amp;$AS$42&amp;"C"&amp;$A57))</f>
        <v>172339</v>
      </c>
      <c r="BB57" s="7">
        <f>-IF(RTD("tos.rtd",,BB$43,"."&amp;$A$43&amp;$AS$42&amp;"P"&amp;$A57)="N/A",0,RTD("tos.rtd",,BB$43,"."&amp;$A$43&amp;$AS$42&amp;"P"&amp;$A57))</f>
        <v>-80050</v>
      </c>
      <c r="BC57" s="6">
        <f>IF(RTD("tos.rtd",,BC$2,"."&amp;$A$43&amp;$AU$1&amp;"C"&amp;$A57)="N/A",0,RTD("tos.rtd",,BC$2,"."&amp;$A$43&amp;$AU$1&amp;"C"&amp;$A57))</f>
        <v>16143</v>
      </c>
      <c r="BD57" s="7">
        <f>-IF(RTD("tos.rtd",,BD$2,"."&amp;$A$43&amp;$AU$1&amp;"P"&amp;$A57)="N/A",0,RTD("tos.rtd",,BD$2,"."&amp;$A$43&amp;$AU$1&amp;"P"&amp;$A57))</f>
        <v>-10614</v>
      </c>
      <c r="BE57" s="6">
        <f>IF(RTD("tos.rtd",,BE$2,"."&amp;$A$43&amp;$AW$1&amp;"C"&amp;$A57)="N/A",0,RTD("tos.rtd",,BE$2,"."&amp;$A$43&amp;$AW$1&amp;"C"&amp;$A57))</f>
        <v>4988</v>
      </c>
      <c r="BF57" s="7">
        <f>-IF(RTD("tos.rtd",,BF$2,"."&amp;$A$43&amp;$AW$1&amp;"P"&amp;$A57)="N/A",0,RTD("tos.rtd",,BF$2,"."&amp;$A$43&amp;$AW$1&amp;"P"&amp;$A57))</f>
        <v>-3753</v>
      </c>
      <c r="BG57" s="32">
        <f ca="1">+Hoja2!Y58</f>
        <v>-916</v>
      </c>
      <c r="BH57" s="7">
        <f t="shared" ca="1" si="277"/>
        <v>98137</v>
      </c>
      <c r="BI57" s="8" t="str">
        <f t="shared" ca="1" si="295"/>
        <v/>
      </c>
      <c r="BJ57" s="83" t="e">
        <f ca="1">IF($BP$1=1,DX57,IF(RTD("tos.rtd",,BJ$43,"."&amp;$A$43&amp;$AS$42&amp;"C"&amp;$A57)="N/A",0,RTD("tos.rtd",,BJ$43,"."&amp;$A$43&amp;$AS$42&amp;"C"&amp;$A57)))</f>
        <v>#NUM!</v>
      </c>
      <c r="BK57" s="83" t="e">
        <f ca="1">IF($BP$1=1,DY57,-IF(RTD("tos.rtd",,BK$43,"."&amp;$A$43&amp;$AS$42&amp;"P"&amp;$A57)="N/A",0,RTD("tos.rtd",,BK$43,"."&amp;$A$43&amp;$AS$42&amp;"P"&amp;$A57)))</f>
        <v>#NUM!</v>
      </c>
      <c r="BL57" s="83">
        <f ca="1">IF($BP$1=1,DZ57,IF(RTD("tos.rtd",,BL$2,"."&amp;$A$43&amp;$AU$1&amp;"C"&amp;$A57)="N/A",0,RTD("tos.rtd",,BL$2,"."&amp;$A$43&amp;$AU$1&amp;"C"&amp;$A57)))</f>
        <v>2.1825784307803419E-2</v>
      </c>
      <c r="BM57" s="83">
        <f ca="1">IF($BP$1=1,EA57,-IF(RTD("tos.rtd",,BM$2,"."&amp;$A$43&amp;$AU$1&amp;"P"&amp;$A57)="N/A",0,RTD("tos.rtd",,BM$2,"."&amp;$A$43&amp;$AU$1&amp;"P"&amp;$A57)))</f>
        <v>-1.2627844102330664E-2</v>
      </c>
      <c r="BN57" s="83">
        <f ca="1">IF($BP$1=1,EB57,IF(RTD("tos.rtd",,BN$2,"."&amp;$A$43&amp;$AW$1&amp;"C"&amp;$A57)="N/A",0,RTD("tos.rtd",,BN$2,"."&amp;$A$43&amp;$AW$1&amp;"C"&amp;$A57)))</f>
        <v>2.9668125227630116E-2</v>
      </c>
      <c r="BO57" s="83">
        <f ca="1">IF($BP$1=1,EC57,-IF(RTD("tos.rtd",,BO$2,"."&amp;$A$43&amp;$AW$1&amp;"P"&amp;$A57)="N/A",0,RTD("tos.rtd",,BO$2,"."&amp;$A$43&amp;$AW$1&amp;"P"&amp;$A57)))</f>
        <v>-1.9003536545301694E-2</v>
      </c>
      <c r="BQ57" s="83" t="e">
        <f t="shared" ca="1" si="278"/>
        <v>#NUM!</v>
      </c>
      <c r="BR57" s="3" t="e">
        <f t="shared" ca="1" si="279"/>
        <v>#NUM!</v>
      </c>
      <c r="BS57" s="83">
        <f t="shared" ca="1" si="280"/>
        <v>303425435.62481874</v>
      </c>
      <c r="BT57" s="3" t="str">
        <f t="shared" ca="1" si="281"/>
        <v>Cruce +</v>
      </c>
      <c r="BU57" s="83">
        <f t="shared" ca="1" si="282"/>
        <v>34282657.620409846</v>
      </c>
      <c r="BV57" s="83"/>
      <c r="BX57" s="83" t="e">
        <f t="shared" ca="1" si="283"/>
        <v>#NUM!</v>
      </c>
      <c r="BY57" s="83" t="e">
        <f t="shared" ca="1" si="296"/>
        <v>#NUM!</v>
      </c>
      <c r="BZ57" s="83">
        <f t="shared" ca="1" si="284"/>
        <v>53742531.434149906</v>
      </c>
      <c r="CA57" s="83" t="str">
        <f t="shared" ca="1" si="296"/>
        <v>Cruce +</v>
      </c>
      <c r="CB57" s="83">
        <f t="shared" ca="1" si="285"/>
        <v>18873584.169896662</v>
      </c>
      <c r="CC57" s="83" t="str">
        <f t="shared" ca="1" si="296"/>
        <v/>
      </c>
      <c r="CD57" s="83">
        <f>IF(RTD("tos.rtd",,CD$43,"."&amp;$A$43&amp;$AS$42&amp;"C"&amp;$A57)="N/A",0,RTD("tos.rtd",,CD$43,"."&amp;$A$43&amp;$AS$42&amp;"C"&amp;$A57))</f>
        <v>1</v>
      </c>
      <c r="CE57" s="83">
        <f>-IF(RTD("tos.rtd",,CE$43,"."&amp;$A$43&amp;$AS$42&amp;"P"&amp;$A57)="N/A",0,RTD("tos.rtd",,CE$43,"."&amp;$A$43&amp;$AS$42&amp;"P"&amp;$A57))</f>
        <v>0.3</v>
      </c>
      <c r="CF57" s="83">
        <f>IF(RTD("tos.rtd",,CF$2,"."&amp;$A$43&amp;$AU$1&amp;"C"&amp;$A57)="N/A",0,RTD("tos.rtd",,CF$2,"."&amp;$A$43&amp;$AU$1&amp;"C"&amp;$A57))</f>
        <v>1</v>
      </c>
      <c r="CG57" s="83">
        <f>-IF(RTD("tos.rtd",,CG$2,"."&amp;$A$43&amp;$AU$1&amp;"P"&amp;$A57)="N/A",0,RTD("tos.rtd",,CG$2,"."&amp;$A$43&amp;$AU$1&amp;"P"&amp;$A57))</f>
        <v>0.39</v>
      </c>
      <c r="CH57" s="83">
        <f>IF(RTD("tos.rtd",,CH$2,"."&amp;$A$43&amp;$AW$1&amp;"C"&amp;$A57)="N/A",0,RTD("tos.rtd",,CH$2,"."&amp;$A$43&amp;$AW$1&amp;"C"&amp;$A57))</f>
        <v>0.63</v>
      </c>
      <c r="CI57" s="83">
        <f>-IF(RTD("tos.rtd",,CI$2,"."&amp;$A$43&amp;$AW$1&amp;"P"&amp;$A57)="N/A",0,RTD("tos.rtd",,CI$2,"."&amp;$A$43&amp;$AW$1&amp;"P"&amp;$A57))</f>
        <v>0.41</v>
      </c>
      <c r="CK57" s="83">
        <f t="shared" si="286"/>
        <v>900320</v>
      </c>
      <c r="CL57" s="83"/>
      <c r="CM57" s="83">
        <f t="shared" si="287"/>
        <v>5916573</v>
      </c>
      <c r="CN57" s="83"/>
      <c r="CO57" s="83">
        <f t="shared" si="288"/>
        <v>276013</v>
      </c>
      <c r="CP57" s="83">
        <f t="shared" si="235"/>
        <v>7092906</v>
      </c>
      <c r="CQ57" s="83">
        <f t="shared" si="249"/>
        <v>92289</v>
      </c>
      <c r="CR57" s="83"/>
      <c r="CS57" s="83">
        <f t="shared" si="250"/>
        <v>5529</v>
      </c>
      <c r="CT57" s="83"/>
      <c r="CU57" s="83">
        <f t="shared" si="251"/>
        <v>1235</v>
      </c>
      <c r="CV57" s="83"/>
      <c r="CW57" s="83" t="e">
        <f t="shared" ca="1" si="252"/>
        <v>#NUM!</v>
      </c>
      <c r="CY57" s="83" t="e">
        <f t="shared" ca="1" si="253"/>
        <v>#NUM!</v>
      </c>
      <c r="CZ57" s="70" t="e">
        <f t="shared" ca="1" si="297"/>
        <v>#NUM!</v>
      </c>
      <c r="DA57" s="83">
        <f>IF(RTD("tos.rtd",,DA$43,"."&amp;$A$43&amp;$AS$42&amp;"C"&amp;$A57)="N/A",0,RTD("tos.rtd",,DA$43,"."&amp;$A$43&amp;$AS$42&amp;"C"&amp;$A57))</f>
        <v>0.01</v>
      </c>
      <c r="DB57" s="83">
        <f>IF(RTD("tos.rtd",,DB$43,"."&amp;$A$43&amp;$AS$42&amp;"P"&amp;$A57)="N/A",0,RTD("tos.rtd",,DB$43,"."&amp;$A$43&amp;$AS$42&amp;"P"&amp;$A57))</f>
        <v>2.11</v>
      </c>
      <c r="DC57" s="83">
        <f>IF(RTD("tos.rtd",,DC$43,"."&amp;$A$43&amp;$AS$42&amp;"C"&amp;$A57)="N/A",0,RTD("tos.rtd",,DC$43,"."&amp;$A$43&amp;$AS$42&amp;"C"&amp;$A57))</f>
        <v>0.01</v>
      </c>
      <c r="DD57" s="83">
        <f>IF(RTD("tos.rtd",,DD$43,"."&amp;$A$43&amp;$AS$42&amp;"P"&amp;$A57)="N/A",0,RTD("tos.rtd",,DD$43,"."&amp;$A$43&amp;$AS$42&amp;"P"&amp;$A57))</f>
        <v>3.45</v>
      </c>
      <c r="DE57" s="83">
        <f>IF(RTD("tos.rtd",,DE$43,"."&amp;$A$43&amp;$AS$42&amp;"C"&amp;$A57)="N/A",0,RTD("tos.rtd",,DE$43,"."&amp;$A$43&amp;$AS$42&amp;"C"&amp;$A57))</f>
        <v>0</v>
      </c>
      <c r="DF57" s="83">
        <f>IF(RTD("tos.rtd",,DF$43,"."&amp;$A$43&amp;$AS$42&amp;"P"&amp;$A57)="N/A",0,RTD("tos.rtd",,DF$43,"."&amp;$A$43&amp;$AS$42&amp;"P"&amp;$A57))</f>
        <v>1</v>
      </c>
      <c r="DG57" s="86">
        <f t="shared" si="289"/>
        <v>-6.1700000000000159</v>
      </c>
      <c r="DH57" s="83">
        <f t="shared" si="254"/>
        <v>2709</v>
      </c>
      <c r="DI57" s="83">
        <f t="shared" si="255"/>
        <v>-224.71836734693875</v>
      </c>
      <c r="DJ57" s="83">
        <f t="shared" si="256"/>
        <v>2709</v>
      </c>
      <c r="DK57" s="83">
        <f t="shared" si="257"/>
        <v>0</v>
      </c>
      <c r="DL57" s="83">
        <f t="shared" si="258"/>
        <v>2484.281632653061</v>
      </c>
      <c r="DM57" s="83">
        <f t="shared" si="259"/>
        <v>2709</v>
      </c>
      <c r="DN57" s="64" t="str">
        <f t="shared" si="260"/>
        <v>BUY</v>
      </c>
      <c r="DO57" s="64" t="str">
        <f t="shared" si="261"/>
        <v>UNKNOWN</v>
      </c>
      <c r="DP57" s="83">
        <f t="shared" si="262"/>
        <v>-447.06575510204078</v>
      </c>
      <c r="DQ57" s="83">
        <f t="shared" si="263"/>
        <v>27.09</v>
      </c>
      <c r="DR57" s="83" t="e">
        <f t="shared" ca="1" si="264"/>
        <v>#NUM!</v>
      </c>
      <c r="DS57" s="83">
        <f t="shared" si="265"/>
        <v>2709</v>
      </c>
      <c r="DT57" s="83">
        <f t="shared" si="290"/>
        <v>2709</v>
      </c>
      <c r="DU57" s="83">
        <f t="shared" si="291"/>
        <v>-496</v>
      </c>
      <c r="DV57" s="83">
        <f t="shared" si="266"/>
        <v>12099</v>
      </c>
      <c r="DW57" s="83">
        <f t="shared" si="267"/>
        <v>-8771</v>
      </c>
      <c r="DX57" s="83" t="e">
        <f t="shared" ref="DX57:DX64" ca="1" si="365">(EXP(-POWER((LN($A$44/$A57)+($EC$1+POWER($EE57,2)/2)*($EM$1/$DY$1))/($EE57*SQRT($EM$1/$DY$1)),2)/2)/SQRT(2*PI())/($A$44*$EE57*SQRT($EM$1/$DY$1)))</f>
        <v>#NUM!</v>
      </c>
      <c r="DY57" s="83" t="e">
        <f t="shared" ref="DY57:DY64" ca="1" si="366">-(EXP(-POWER((LN($A$44/$A57)+($EC$1+POWER($EF57,2)/2)*($EM$1/$DY$1))/($EF57*SQRT($EM$1/$DY$1)),2)/2)/SQRT(2*PI())/($A$44*$EF57*SQRT($EM$1/$DY$1)))</f>
        <v>#NUM!</v>
      </c>
      <c r="DZ57" s="83">
        <f t="shared" ref="DZ57:DZ64" ca="1" si="367">(EXP(-POWER((LN($A$44/$A57)+($EC$1+POWER($EG57,2)/2)*($EO$1/$DY$1))/($EG57*SQRT($EO$1/$DY$1)),2)/2)/SQRT(2*PI())/($A$44*$EG57*SQRT($EO$1/$DY$1)))</f>
        <v>2.1825784307803419E-2</v>
      </c>
      <c r="EA57" s="83">
        <f t="shared" ref="EA57:EA64" ca="1" si="368">-(EXP(-POWER((LN($A$44/$A57)+($EC$1+POWER($EH57,2)/2)*($EO$1/$DY$1))/($EH57*SQRT($EO$1/$DY$1)),2)/2)/SQRT(2*PI())/($A$44*$EH57*SQRT($EO$1/$DY$1)))</f>
        <v>-1.2627844102330664E-2</v>
      </c>
      <c r="EB57" s="83">
        <f t="shared" ref="EB57:EB64" ca="1" si="369">(EXP(-POWER((LN($A$44/$A57)+($EC$1+POWER($EI57,2)/2)*($EO$1/$DY$1))/($EI57*SQRT($EO$1/$DY$1)),2)/2)/SQRT(2*PI())/($A$44*$EI57*SQRT($EO$1/$DY$1)))</f>
        <v>2.9668125227630116E-2</v>
      </c>
      <c r="EC57" s="83">
        <f t="shared" ref="EC57:EC64" ca="1" si="370">-(EXP(-POWER((LN($A$44/$A57)+($EC$1+POWER($EJ57,2)/2)*($EO$1/$DY$1))/($EJ57*SQRT($EO$1/$DY$1)),2)/2)/SQRT(2*PI())/($A$44*$EJ57*SQRT($EO$1/$DY$1)))</f>
        <v>-1.9003536545301694E-2</v>
      </c>
      <c r="ED57" s="63">
        <f t="shared" si="292"/>
        <v>3328</v>
      </c>
      <c r="EE57" s="84">
        <f t="shared" si="268"/>
        <v>0.25</v>
      </c>
      <c r="EF57" s="84">
        <f t="shared" si="269"/>
        <v>3.1482999999999999</v>
      </c>
      <c r="EG57" s="84">
        <f t="shared" si="270"/>
        <v>0.25</v>
      </c>
      <c r="EH57" s="84">
        <f t="shared" si="271"/>
        <v>0.45579999999999998</v>
      </c>
      <c r="EI57" s="84">
        <f t="shared" si="272"/>
        <v>0.1673</v>
      </c>
      <c r="EJ57" s="84">
        <f t="shared" si="273"/>
        <v>0.29320000000000002</v>
      </c>
      <c r="EK57" s="63" t="e">
        <f t="shared" ca="1" si="293"/>
        <v>#NUM!</v>
      </c>
      <c r="EL57" s="83" t="str">
        <f>RTD("tos.rtd",,EL$43,"."&amp;$A$43&amp;$AS$42&amp;"C"&amp;$A57)</f>
        <v>--</v>
      </c>
      <c r="EM57" s="83" t="str">
        <f>RTD("tos.rtd",,EM$43,"."&amp;$A$43&amp;$AS$42&amp;"P"&amp;$A57)</f>
        <v>314.83%</v>
      </c>
      <c r="EN57" s="83" t="str">
        <f>RTD("tos.rtd",,EN$2,"."&amp;$A$43&amp;$AU$1&amp;"C"&amp;$A57)</f>
        <v>--</v>
      </c>
      <c r="EO57" s="83" t="str">
        <f>RTD("tos.rtd",,EO$2,"."&amp;$A$43&amp;$AU$1&amp;"P"&amp;$A57)</f>
        <v>45.58%</v>
      </c>
      <c r="EP57" s="83" t="str">
        <f>RTD("tos.rtd",,EP$2,"."&amp;$A$43&amp;$AW$1&amp;"C"&amp;$A57)</f>
        <v>16.73%</v>
      </c>
      <c r="EQ57" s="83" t="str">
        <f>RTD("tos.rtd",,EQ$2,"."&amp;$A$43&amp;$AW$1&amp;"P"&amp;$A57)</f>
        <v>29.32%</v>
      </c>
      <c r="ES57" s="63" t="str">
        <f t="shared" si="274"/>
        <v>490,3328.00</v>
      </c>
      <c r="ET57" s="63" t="str">
        <f t="shared" ca="1" si="275"/>
        <v>490,00.00</v>
      </c>
      <c r="EU57" s="68">
        <v>565.37</v>
      </c>
      <c r="EV57" s="68" t="s">
        <v>475</v>
      </c>
      <c r="EW57" s="68">
        <v>488.88</v>
      </c>
      <c r="EX57" s="68" t="s">
        <v>476</v>
      </c>
      <c r="EY57" s="68">
        <v>5663.94</v>
      </c>
      <c r="EZ57" s="68" t="s">
        <v>477</v>
      </c>
      <c r="FA57" s="68">
        <v>20063.564999999999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94"/>
        <v>489</v>
      </c>
      <c r="B58" s="3">
        <f t="shared" si="241"/>
        <v>9118</v>
      </c>
      <c r="C58" s="3">
        <f t="shared" si="242"/>
        <v>337</v>
      </c>
      <c r="D58" s="3">
        <f t="shared" si="243"/>
        <v>0</v>
      </c>
      <c r="E58" s="3">
        <f t="shared" si="244"/>
        <v>9455</v>
      </c>
      <c r="F58" s="4">
        <f t="shared" si="298"/>
        <v>20175.919039845212</v>
      </c>
      <c r="AM58" s="1">
        <v>4579</v>
      </c>
      <c r="AN58" s="1">
        <v>-8498</v>
      </c>
      <c r="AO58" s="1">
        <v>489</v>
      </c>
      <c r="AP58" s="1">
        <v>144294</v>
      </c>
      <c r="AQ58" s="1">
        <v>-76682</v>
      </c>
      <c r="AS58" s="6">
        <f>IF(RTD("tos.rtd",,AS$43,"."&amp;$A$43&amp;$AS$42&amp;"C"&amp;$A58)="N/A",0,RTD("tos.rtd",,AS$43,"."&amp;$A$43&amp;$AS$42&amp;"C"&amp;$A58))</f>
        <v>5773</v>
      </c>
      <c r="AT58" s="7">
        <f>-IF(RTD("tos.rtd",,AT$43,"."&amp;$A$43&amp;$AS$42&amp;"P"&amp;$A58)="N/A",0,RTD("tos.rtd",,AT$43,"."&amp;$A$43&amp;$AS$42&amp;"P"&amp;$A58))</f>
        <v>-3345</v>
      </c>
      <c r="AU58" s="6">
        <v>1</v>
      </c>
      <c r="AV58" s="7">
        <f>-IF(RTD("tos.rtd",,AV$2,"."&amp;$A$43&amp;$AU$1&amp;"P"&amp;$A58)="N/A",0,RTD("tos.rtd",,AV$2,"."&amp;$A$43&amp;$AU$1&amp;"P"&amp;$A58))</f>
        <v>-336</v>
      </c>
      <c r="AW58" s="6">
        <f>IF(RTD("tos.rtd",,AW$2,"."&amp;$A$43&amp;$AW$1&amp;"C"&amp;$A58)="N/A",0,RTD("tos.rtd",,AW$2,"."&amp;$A$43&amp;$AW$1&amp;"C"&amp;$A58))</f>
        <v>0</v>
      </c>
      <c r="AX58" s="7">
        <f>-IF(RTD("tos.rtd",,AX$2,"."&amp;$A$43&amp;$AW$1&amp;"P"&amp;$A58)="N/A",0,RTD("tos.rtd",,AX$2,"."&amp;$A$43&amp;$AW$1&amp;"P"&amp;$A58))</f>
        <v>0</v>
      </c>
      <c r="AY58" s="7">
        <f t="shared" si="276"/>
        <v>2093</v>
      </c>
      <c r="AZ58" s="8">
        <f t="shared" si="245"/>
        <v>489</v>
      </c>
      <c r="BA58" s="6">
        <f>IF(RTD("tos.rtd",,BA$43,"."&amp;$A$43&amp;$AS$42&amp;"C"&amp;$A58)="N/A",0,RTD("tos.rtd",,BA$43,"."&amp;$A$43&amp;$AS$42&amp;"C"&amp;$A58))</f>
        <v>147460</v>
      </c>
      <c r="BB58" s="7">
        <f>-IF(RTD("tos.rtd",,BB$43,"."&amp;$A$43&amp;$AS$42&amp;"P"&amp;$A58)="N/A",0,RTD("tos.rtd",,BB$43,"."&amp;$A$43&amp;$AS$42&amp;"P"&amp;$A58))</f>
        <v>-77159</v>
      </c>
      <c r="BC58" s="6">
        <f>IF(RTD("tos.rtd",,BC$2,"."&amp;$A$43&amp;$AU$1&amp;"C"&amp;$A58)="N/A",0,RTD("tos.rtd",,BC$2,"."&amp;$A$43&amp;$AU$1&amp;"C"&amp;$A58))</f>
        <v>2745</v>
      </c>
      <c r="BD58" s="7">
        <f>-IF(RTD("tos.rtd",,BD$2,"."&amp;$A$43&amp;$AU$1&amp;"P"&amp;$A58)="N/A",0,RTD("tos.rtd",,BD$2,"."&amp;$A$43&amp;$AU$1&amp;"P"&amp;$A58))</f>
        <v>-2013</v>
      </c>
      <c r="BE58" s="6">
        <f>IF(RTD("tos.rtd",,BE$2,"."&amp;$A$43&amp;$AW$1&amp;"C"&amp;$A58)="N/A",0,RTD("tos.rtd",,BE$2,"."&amp;$A$43&amp;$AW$1&amp;"C"&amp;$A58))</f>
        <v>0</v>
      </c>
      <c r="BF58" s="7">
        <f>-IF(RTD("tos.rtd",,BF$2,"."&amp;$A$43&amp;$AW$1&amp;"P"&amp;$A58)="N/A",0,RTD("tos.rtd",,BF$2,"."&amp;$A$43&amp;$AW$1&amp;"P"&amp;$A58))</f>
        <v>0</v>
      </c>
      <c r="BG58" s="32">
        <f ca="1">+Hoja2!Y59</f>
        <v>-205</v>
      </c>
      <c r="BH58" s="7">
        <f t="shared" ca="1" si="277"/>
        <v>70828</v>
      </c>
      <c r="BI58" s="8" t="str">
        <f t="shared" ca="1" si="295"/>
        <v/>
      </c>
      <c r="BJ58" s="83" t="e">
        <f ca="1">IF($BP$1=1,DX58,IF(RTD("tos.rtd",,BJ$43,"."&amp;$A$43&amp;$AS$42&amp;"C"&amp;$A58)="N/A",0,RTD("tos.rtd",,BJ$43,"."&amp;$A$43&amp;$AS$42&amp;"C"&amp;$A58)))</f>
        <v>#NUM!</v>
      </c>
      <c r="BK58" s="83" t="e">
        <f ca="1">IF($BP$1=1,DY58,-IF(RTD("tos.rtd",,BK$43,"."&amp;$A$43&amp;$AS$42&amp;"P"&amp;$A58)="N/A",0,RTD("tos.rtd",,BK$43,"."&amp;$A$43&amp;$AS$42&amp;"P"&amp;$A58)))</f>
        <v>#NUM!</v>
      </c>
      <c r="BL58" s="83">
        <f ca="1">IF($BP$1=1,DZ58,IF(RTD("tos.rtd",,BL$2,"."&amp;$A$43&amp;$AU$1&amp;"C"&amp;$A58)="N/A",0,RTD("tos.rtd",,BL$2,"."&amp;$A$43&amp;$AU$1&amp;"C"&amp;$A58)))</f>
        <v>2.1255456045940015E-2</v>
      </c>
      <c r="BM58" s="83">
        <f ca="1">IF($BP$1=1,EA58,-IF(RTD("tos.rtd",,BM$2,"."&amp;$A$43&amp;$AU$1&amp;"P"&amp;$A58)="N/A",0,RTD("tos.rtd",,BM$2,"."&amp;$A$43&amp;$AU$1&amp;"P"&amp;$A58)))</f>
        <v>-1.2633231834347751E-2</v>
      </c>
      <c r="BN58" s="83">
        <f ca="1">IF($BP$1=1,EB58,IF(RTD("tos.rtd",,BN$2,"."&amp;$A$43&amp;$AW$1&amp;"C"&amp;$A58)="N/A",0,RTD("tos.rtd",,BN$2,"."&amp;$A$43&amp;$AW$1&amp;"C"&amp;$A58)))</f>
        <v>2.1255456045940015E-2</v>
      </c>
      <c r="BO58" s="83">
        <f ca="1">IF($BP$1=1,EC58,-IF(RTD("tos.rtd",,BO$2,"."&amp;$A$43&amp;$AW$1&amp;"P"&amp;$A58)="N/A",0,RTD("tos.rtd",,BO$2,"."&amp;$A$43&amp;$AW$1&amp;"P"&amp;$A58)))</f>
        <v>-2.1255456045940015E-2</v>
      </c>
      <c r="BQ58" s="83" t="e">
        <f t="shared" ca="1" si="278"/>
        <v>#NUM!</v>
      </c>
      <c r="BR58" s="3" t="e">
        <f t="shared" ca="1" si="279"/>
        <v>#NUM!</v>
      </c>
      <c r="BS58" s="83">
        <f t="shared" ca="1" si="280"/>
        <v>-1039763.5193396943</v>
      </c>
      <c r="BT58" s="3" t="str">
        <f t="shared" ca="1" si="281"/>
        <v>Cruce -</v>
      </c>
      <c r="BU58" s="83">
        <f t="shared" ca="1" si="282"/>
        <v>0</v>
      </c>
      <c r="BV58" s="83"/>
      <c r="BX58" s="83" t="e">
        <f t="shared" ca="1" si="283"/>
        <v>#NUM!</v>
      </c>
      <c r="BY58" s="83" t="e">
        <f t="shared" ca="1" si="296"/>
        <v>#NUM!</v>
      </c>
      <c r="BZ58" s="83">
        <f t="shared" ca="1" si="284"/>
        <v>8103299.1411694679</v>
      </c>
      <c r="CA58" s="83" t="str">
        <f t="shared" ca="1" si="296"/>
        <v/>
      </c>
      <c r="CB58" s="83">
        <f t="shared" ca="1" si="285"/>
        <v>0</v>
      </c>
      <c r="CC58" s="83" t="str">
        <f t="shared" ca="1" si="296"/>
        <v/>
      </c>
      <c r="CD58" s="83">
        <f>IF(RTD("tos.rtd",,CD$43,"."&amp;$A$43&amp;$AS$42&amp;"C"&amp;$A58)="N/A",0,RTD("tos.rtd",,CD$43,"."&amp;$A$43&amp;$AS$42&amp;"C"&amp;$A58))</f>
        <v>1</v>
      </c>
      <c r="CE58" s="83">
        <f>-IF(RTD("tos.rtd",,CE$43,"."&amp;$A$43&amp;$AS$42&amp;"P"&amp;$A58)="N/A",0,RTD("tos.rtd",,CE$43,"."&amp;$A$43&amp;$AS$42&amp;"P"&amp;$A58))</f>
        <v>0.21</v>
      </c>
      <c r="CF58" s="83">
        <f>IF(RTD("tos.rtd",,CF$2,"."&amp;$A$43&amp;$AU$1&amp;"C"&amp;$A58)="N/A",0,RTD("tos.rtd",,CF$2,"."&amp;$A$43&amp;$AU$1&amp;"C"&amp;$A58))</f>
        <v>1</v>
      </c>
      <c r="CG58" s="83">
        <f>-IF(RTD("tos.rtd",,CG$2,"."&amp;$A$43&amp;$AU$1&amp;"P"&amp;$A58)="N/A",0,RTD("tos.rtd",,CG$2,"."&amp;$A$43&amp;$AU$1&amp;"P"&amp;$A58))</f>
        <v>0.38</v>
      </c>
      <c r="CH58" s="83">
        <f>IF(RTD("tos.rtd",,CH$2,"."&amp;$A$43&amp;$AW$1&amp;"C"&amp;$A58)="N/A",0,RTD("tos.rtd",,CH$2,"."&amp;$A$43&amp;$AW$1&amp;"C"&amp;$A58))</f>
        <v>0</v>
      </c>
      <c r="CI58" s="83">
        <f>-IF(RTD("tos.rtd",,CI$2,"."&amp;$A$43&amp;$AW$1&amp;"P"&amp;$A58)="N/A",0,RTD("tos.rtd",,CI$2,"."&amp;$A$43&amp;$AW$1&amp;"P"&amp;$A58))</f>
        <v>0</v>
      </c>
      <c r="CK58" s="83">
        <f t="shared" si="286"/>
        <v>507055</v>
      </c>
      <c r="CL58" s="83"/>
      <c r="CM58" s="83">
        <f t="shared" si="287"/>
        <v>-12668</v>
      </c>
      <c r="CN58" s="83"/>
      <c r="CO58" s="83">
        <f t="shared" si="288"/>
        <v>0</v>
      </c>
      <c r="CP58" s="83">
        <f t="shared" si="235"/>
        <v>494387</v>
      </c>
      <c r="CQ58" s="83">
        <f t="shared" si="249"/>
        <v>70301</v>
      </c>
      <c r="CR58" s="83"/>
      <c r="CS58" s="83">
        <f t="shared" si="250"/>
        <v>732</v>
      </c>
      <c r="CT58" s="83"/>
      <c r="CU58" s="83">
        <f t="shared" si="251"/>
        <v>0</v>
      </c>
      <c r="CV58" s="83"/>
      <c r="CW58" s="83" t="e">
        <f t="shared" ca="1" si="252"/>
        <v>#NUM!</v>
      </c>
      <c r="CY58" s="83" t="e">
        <f t="shared" ca="1" si="253"/>
        <v>#NUM!</v>
      </c>
      <c r="CZ58" s="70" t="e">
        <f t="shared" ca="1" si="297"/>
        <v>#NUM!</v>
      </c>
      <c r="DA58" s="83">
        <f>IF(RTD("tos.rtd",,DA$43,"."&amp;$A$43&amp;$AS$42&amp;"C"&amp;$A58)="N/A",0,RTD("tos.rtd",,DA$43,"."&amp;$A$43&amp;$AS$42&amp;"C"&amp;$A58))</f>
        <v>0.01</v>
      </c>
      <c r="DB58" s="83">
        <f>IF(RTD("tos.rtd",,DB$43,"."&amp;$A$43&amp;$AS$42&amp;"P"&amp;$A58)="N/A",0,RTD("tos.rtd",,DB$43,"."&amp;$A$43&amp;$AS$42&amp;"P"&amp;$A58))</f>
        <v>1.08</v>
      </c>
      <c r="DC58" s="83">
        <f>IF(RTD("tos.rtd",,DC$43,"."&amp;$A$43&amp;$AS$42&amp;"C"&amp;$A58)="N/A",0,RTD("tos.rtd",,DC$43,"."&amp;$A$43&amp;$AS$42&amp;"C"&amp;$A58))</f>
        <v>0.01</v>
      </c>
      <c r="DD58" s="83">
        <f>IF(RTD("tos.rtd",,DD$43,"."&amp;$A$43&amp;$AS$42&amp;"P"&amp;$A58)="N/A",0,RTD("tos.rtd",,DD$43,"."&amp;$A$43&amp;$AS$42&amp;"P"&amp;$A58))</f>
        <v>1.22</v>
      </c>
      <c r="DE58" s="83">
        <f>IF(RTD("tos.rtd",,DE$43,"."&amp;$A$43&amp;$AS$42&amp;"C"&amp;$A58)="N/A",0,RTD("tos.rtd",,DE$43,"."&amp;$A$43&amp;$AS$42&amp;"C"&amp;$A58))</f>
        <v>0</v>
      </c>
      <c r="DF58" s="83">
        <f>IF(RTD("tos.rtd",,DF$43,"."&amp;$A$43&amp;$AS$42&amp;"P"&amp;$A58)="N/A",0,RTD("tos.rtd",,DF$43,"."&amp;$A$43&amp;$AS$42&amp;"P"&amp;$A58))</f>
        <v>0.98</v>
      </c>
      <c r="DG58" s="86">
        <f t="shared" si="289"/>
        <v>-7.1700000000000159</v>
      </c>
      <c r="DH58" s="83">
        <f t="shared" si="254"/>
        <v>3166</v>
      </c>
      <c r="DI58" s="83">
        <f t="shared" si="255"/>
        <v>-198.7500000000002</v>
      </c>
      <c r="DJ58" s="83">
        <f t="shared" si="256"/>
        <v>3166</v>
      </c>
      <c r="DK58" s="83">
        <f t="shared" si="257"/>
        <v>0</v>
      </c>
      <c r="DL58" s="83">
        <f t="shared" si="258"/>
        <v>2967.25</v>
      </c>
      <c r="DM58" s="83">
        <f t="shared" si="259"/>
        <v>3166</v>
      </c>
      <c r="DN58" s="64" t="str">
        <f t="shared" si="260"/>
        <v>BUY</v>
      </c>
      <c r="DO58" s="64" t="str">
        <f t="shared" si="261"/>
        <v>UNKNOWN</v>
      </c>
      <c r="DP58" s="83">
        <f t="shared" si="262"/>
        <v>-182.99000000000024</v>
      </c>
      <c r="DQ58" s="83">
        <f t="shared" si="263"/>
        <v>31.66</v>
      </c>
      <c r="DR58" s="83" t="e">
        <f t="shared" ca="1" si="264"/>
        <v>#NUM!</v>
      </c>
      <c r="DS58" s="83">
        <f t="shared" si="265"/>
        <v>3166</v>
      </c>
      <c r="DT58" s="83">
        <f t="shared" si="290"/>
        <v>3166</v>
      </c>
      <c r="DU58" s="83">
        <f t="shared" si="291"/>
        <v>-477</v>
      </c>
      <c r="DV58" s="83">
        <f t="shared" si="266"/>
        <v>7745</v>
      </c>
      <c r="DW58" s="83">
        <f t="shared" si="267"/>
        <v>-8498</v>
      </c>
      <c r="DX58" s="83" t="e">
        <f t="shared" ca="1" si="365"/>
        <v>#NUM!</v>
      </c>
      <c r="DY58" s="83" t="e">
        <f t="shared" ca="1" si="366"/>
        <v>#NUM!</v>
      </c>
      <c r="DZ58" s="83">
        <f t="shared" ca="1" si="367"/>
        <v>2.1255456045940015E-2</v>
      </c>
      <c r="EA58" s="83">
        <f t="shared" ca="1" si="368"/>
        <v>-1.2633231834347751E-2</v>
      </c>
      <c r="EB58" s="83">
        <f t="shared" ca="1" si="369"/>
        <v>2.1255456045940015E-2</v>
      </c>
      <c r="EC58" s="83">
        <f t="shared" ca="1" si="370"/>
        <v>-2.1255456045940015E-2</v>
      </c>
      <c r="ED58" s="63">
        <f t="shared" si="292"/>
        <v>-753</v>
      </c>
      <c r="EE58" s="84">
        <f t="shared" si="268"/>
        <v>0.25</v>
      </c>
      <c r="EF58" s="84">
        <f t="shared" si="269"/>
        <v>2.4304999999999999</v>
      </c>
      <c r="EG58" s="84">
        <f t="shared" si="270"/>
        <v>0.25</v>
      </c>
      <c r="EH58" s="84">
        <f t="shared" si="271"/>
        <v>0.45140000000000002</v>
      </c>
      <c r="EI58" s="84">
        <f t="shared" si="272"/>
        <v>0.25</v>
      </c>
      <c r="EJ58" s="84">
        <f t="shared" si="273"/>
        <v>0.25</v>
      </c>
      <c r="EK58" s="63" t="e">
        <f t="shared" ca="1" si="293"/>
        <v>#NUM!</v>
      </c>
      <c r="EL58" s="83" t="str">
        <f>RTD("tos.rtd",,EL$43,"."&amp;$A$43&amp;$AS$42&amp;"C"&amp;$A58)</f>
        <v>--</v>
      </c>
      <c r="EM58" s="83" t="str">
        <f>RTD("tos.rtd",,EM$43,"."&amp;$A$43&amp;$AS$42&amp;"P"&amp;$A58)</f>
        <v>243.05%</v>
      </c>
      <c r="EN58" s="83" t="str">
        <f>RTD("tos.rtd",,EN$2,"."&amp;$A$43&amp;$AU$1&amp;"C"&amp;$A58)</f>
        <v>--</v>
      </c>
      <c r="EO58" s="83" t="str">
        <f>RTD("tos.rtd",,EO$2,"."&amp;$A$43&amp;$AU$1&amp;"P"&amp;$A58)</f>
        <v>45.14%</v>
      </c>
      <c r="EP58" s="83" t="str">
        <f>RTD("tos.rtd",,EP$2,"."&amp;$A$43&amp;$AW$1&amp;"C"&amp;$A58)</f>
        <v>N/A</v>
      </c>
      <c r="EQ58" s="83" t="str">
        <f>RTD("tos.rtd",,EQ$2,"."&amp;$A$43&amp;$AW$1&amp;"P"&amp;$A58)</f>
        <v>N/A</v>
      </c>
      <c r="ES58" s="63" t="str">
        <f t="shared" si="274"/>
        <v>489,-753.00</v>
      </c>
      <c r="ET58" s="63" t="str">
        <f t="shared" ca="1" si="275"/>
        <v>489,00.00</v>
      </c>
      <c r="EU58" s="68">
        <v>565.4</v>
      </c>
      <c r="EV58" s="68" t="s">
        <v>483</v>
      </c>
      <c r="EW58" s="68">
        <v>488.9</v>
      </c>
      <c r="EX58" s="68" t="s">
        <v>484</v>
      </c>
      <c r="EY58" s="68">
        <v>5663.94</v>
      </c>
      <c r="EZ58" s="68" t="s">
        <v>485</v>
      </c>
      <c r="FA58" s="68">
        <v>20063.564999999999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94"/>
        <v>488</v>
      </c>
      <c r="B59" s="3">
        <f t="shared" si="241"/>
        <v>6305</v>
      </c>
      <c r="C59" s="3">
        <f t="shared" si="242"/>
        <v>2491</v>
      </c>
      <c r="D59" s="3">
        <f t="shared" si="243"/>
        <v>0</v>
      </c>
      <c r="E59" s="3">
        <f>SUM(B59:D59)</f>
        <v>8796</v>
      </c>
      <c r="F59" s="4">
        <f>+$F$44/$A$44*A59</f>
        <v>20134.659491706469</v>
      </c>
      <c r="AM59" s="1">
        <v>-20623</v>
      </c>
      <c r="AN59" s="1">
        <v>-21686</v>
      </c>
      <c r="AO59" s="1">
        <v>488</v>
      </c>
      <c r="AP59" s="1">
        <v>133857</v>
      </c>
      <c r="AQ59" s="1">
        <v>-164665</v>
      </c>
      <c r="AS59" s="6">
        <f>IF(RTD("tos.rtd",,AS$43,"."&amp;$A$43&amp;$AS$42&amp;"C"&amp;$A59)="N/A",0,RTD("tos.rtd",,AS$43,"."&amp;$A$43&amp;$AS$42&amp;"C"&amp;$A59))</f>
        <v>2815</v>
      </c>
      <c r="AT59" s="7">
        <f>-IF(RTD("tos.rtd",,AT$43,"."&amp;$A$43&amp;$AS$42&amp;"P"&amp;$A59)="N/A",0,RTD("tos.rtd",,AT$43,"."&amp;$A$43&amp;$AS$42&amp;"P"&amp;$A59))</f>
        <v>-3490</v>
      </c>
      <c r="AU59" s="6">
        <f>IF(RTD("tos.rtd",,AU$2,"."&amp;$A$43&amp;$AU$1&amp;"C"&amp;$A59)="N/A",0,RTD("tos.rtd",,AU$2,"."&amp;$A$43&amp;$AU$1&amp;"C"&amp;$A59))</f>
        <v>1483</v>
      </c>
      <c r="AV59" s="7">
        <f>-IF(RTD("tos.rtd",,AV$2,"."&amp;$A$43&amp;$AU$1&amp;"P"&amp;$A59)="N/A",0,RTD("tos.rtd",,AV$2,"."&amp;$A$43&amp;$AU$1&amp;"P"&amp;$A59))</f>
        <v>-1008</v>
      </c>
      <c r="AW59" s="6">
        <f>IF(RTD("tos.rtd",,AW$2,"."&amp;$A$43&amp;$AW$1&amp;"C"&amp;$A59)="N/A",0,RTD("tos.rtd",,AW$2,"."&amp;$A$43&amp;$AW$1&amp;"C"&amp;$A59))</f>
        <v>0</v>
      </c>
      <c r="AX59" s="7">
        <f>-IF(RTD("tos.rtd",,AX$2,"."&amp;$A$43&amp;$AW$1&amp;"P"&amp;$A59)="N/A",0,RTD("tos.rtd",,AX$2,"."&amp;$A$43&amp;$AW$1&amp;"P"&amp;$A59))</f>
        <v>0</v>
      </c>
      <c r="AY59" s="7">
        <f>SUM(AS59:AX59)</f>
        <v>-200</v>
      </c>
      <c r="AZ59" s="8">
        <f t="shared" si="245"/>
        <v>488</v>
      </c>
      <c r="BA59" s="6">
        <f>IF(RTD("tos.rtd",,BA$43,"."&amp;$A$43&amp;$AS$42&amp;"C"&amp;$A59)="N/A",0,RTD("tos.rtd",,BA$43,"."&amp;$A$43&amp;$AS$42&amp;"C"&amp;$A59))</f>
        <v>134820</v>
      </c>
      <c r="BB59" s="7">
        <f>-IF(RTD("tos.rtd",,BB$43,"."&amp;$A$43&amp;$AS$42&amp;"P"&amp;$A59)="N/A",0,RTD("tos.rtd",,BB$43,"."&amp;$A$43&amp;$AS$42&amp;"P"&amp;$A59))</f>
        <v>-167184</v>
      </c>
      <c r="BC59" s="6">
        <f>IF(RTD("tos.rtd",,BC$2,"."&amp;$A$43&amp;$AU$1&amp;"C"&amp;$A59)="N/A",0,RTD("tos.rtd",,BC$2,"."&amp;$A$43&amp;$AU$1&amp;"C"&amp;$A59))</f>
        <v>1844</v>
      </c>
      <c r="BD59" s="7">
        <f>-IF(RTD("tos.rtd",,BD$2,"."&amp;$A$43&amp;$AU$1&amp;"P"&amp;$A59)="N/A",0,RTD("tos.rtd",,BD$2,"."&amp;$A$43&amp;$AU$1&amp;"P"&amp;$A59))</f>
        <v>-2184</v>
      </c>
      <c r="BE59" s="6">
        <f>IF(RTD("tos.rtd",,BE$2,"."&amp;$A$43&amp;$AW$1&amp;"C"&amp;$A59)="N/A",0,RTD("tos.rtd",,BE$2,"."&amp;$A$43&amp;$AW$1&amp;"C"&amp;$A59))</f>
        <v>0</v>
      </c>
      <c r="BF59" s="7">
        <f>-IF(RTD("tos.rtd",,BF$2,"."&amp;$A$43&amp;$AW$1&amp;"P"&amp;$A59)="N/A",0,RTD("tos.rtd",,BF$2,"."&amp;$A$43&amp;$AW$1&amp;"P"&amp;$A59))</f>
        <v>0</v>
      </c>
      <c r="BG59" s="32">
        <f ca="1">+Hoja2!Y60</f>
        <v>-249</v>
      </c>
      <c r="BH59" s="7">
        <f t="shared" ca="1" si="277"/>
        <v>-32953</v>
      </c>
      <c r="BI59" s="8" t="str">
        <f t="shared" ca="1" si="295"/>
        <v>Cruce -</v>
      </c>
      <c r="BJ59" s="83" t="e">
        <f ca="1">IF($BP$1=1,DX59,IF(RTD("tos.rtd",,BJ$43,"."&amp;$A$43&amp;$AS$42&amp;"C"&amp;$A59)="N/A",0,RTD("tos.rtd",,BJ$43,"."&amp;$A$43&amp;$AS$42&amp;"C"&amp;$A59)))</f>
        <v>#NUM!</v>
      </c>
      <c r="BK59" s="83" t="e">
        <f ca="1">IF($BP$1=1,DY59,-IF(RTD("tos.rtd",,BK$43,"."&amp;$A$43&amp;$AS$42&amp;"P"&amp;$A59)="N/A",0,RTD("tos.rtd",,BK$43,"."&amp;$A$43&amp;$AS$42&amp;"P"&amp;$A59)))</f>
        <v>#NUM!</v>
      </c>
      <c r="BL59" s="83">
        <f ca="1">IF($BP$1=1,DZ59,IF(RTD("tos.rtd",,BL$2,"."&amp;$A$43&amp;$AU$1&amp;"C"&amp;$A59)="N/A",0,RTD("tos.rtd",,BL$2,"."&amp;$A$43&amp;$AU$1&amp;"C"&amp;$A59)))</f>
        <v>2.0623570120003726E-2</v>
      </c>
      <c r="BM59" s="83">
        <f ca="1">IF($BP$1=1,EA59,-IF(RTD("tos.rtd",,BM$2,"."&amp;$A$43&amp;$AU$1&amp;"P"&amp;$A59)="N/A",0,RTD("tos.rtd",,BM$2,"."&amp;$A$43&amp;$AU$1&amp;"P"&amp;$A59)))</f>
        <v>-1.2613334093108769E-2</v>
      </c>
      <c r="BN59" s="83">
        <f ca="1">IF($BP$1=1,EB59,IF(RTD("tos.rtd",,BN$2,"."&amp;$A$43&amp;$AW$1&amp;"C"&amp;$A59)="N/A",0,RTD("tos.rtd",,BN$2,"."&amp;$A$43&amp;$AW$1&amp;"C"&amp;$A59)))</f>
        <v>2.0623570120003726E-2</v>
      </c>
      <c r="BO59" s="83">
        <f ca="1">IF($BP$1=1,EC59,-IF(RTD("tos.rtd",,BO$2,"."&amp;$A$43&amp;$AW$1&amp;"P"&amp;$A59)="N/A",0,RTD("tos.rtd",,BO$2,"."&amp;$A$43&amp;$AW$1&amp;"P"&amp;$A59)))</f>
        <v>-2.0623570120003726E-2</v>
      </c>
      <c r="BQ59" s="83" t="e">
        <f t="shared" ca="1" si="278"/>
        <v>#NUM!</v>
      </c>
      <c r="BR59" s="3" t="e">
        <f t="shared" ca="1" si="279"/>
        <v>#NUM!</v>
      </c>
      <c r="BS59" s="83">
        <f t="shared" ca="1" si="280"/>
        <v>4399446.5037510227</v>
      </c>
      <c r="BT59" s="3" t="str">
        <f t="shared" ca="1" si="281"/>
        <v>Cruce +</v>
      </c>
      <c r="BU59" s="83">
        <f t="shared" ca="1" si="282"/>
        <v>0</v>
      </c>
      <c r="BV59" s="83"/>
      <c r="BX59" s="83" t="e">
        <f t="shared" ca="1" si="283"/>
        <v>#NUM!</v>
      </c>
      <c r="BY59" s="83" t="e">
        <f t="shared" ca="1" si="296"/>
        <v>#NUM!</v>
      </c>
      <c r="BZ59" s="83">
        <f t="shared" ca="1" si="284"/>
        <v>2580591.806417021</v>
      </c>
      <c r="CA59" s="83" t="str">
        <f t="shared" ca="1" si="296"/>
        <v/>
      </c>
      <c r="CB59" s="83">
        <f t="shared" ca="1" si="285"/>
        <v>0</v>
      </c>
      <c r="CC59" s="83" t="str">
        <f t="shared" ca="1" si="296"/>
        <v/>
      </c>
      <c r="CD59" s="83">
        <f>IF(RTD("tos.rtd",,CD$43,"."&amp;$A$43&amp;$AS$42&amp;"C"&amp;$A59)="N/A",0,RTD("tos.rtd",,CD$43,"."&amp;$A$43&amp;$AS$42&amp;"C"&amp;$A59))</f>
        <v>1</v>
      </c>
      <c r="CE59" s="83">
        <f>-IF(RTD("tos.rtd",,CE$43,"."&amp;$A$43&amp;$AS$42&amp;"P"&amp;$A59)="N/A",0,RTD("tos.rtd",,CE$43,"."&amp;$A$43&amp;$AS$42&amp;"P"&amp;$A59))</f>
        <v>0.08</v>
      </c>
      <c r="CF59" s="83">
        <f>IF(RTD("tos.rtd",,CF$2,"."&amp;$A$43&amp;$AU$1&amp;"C"&amp;$A59)="N/A",0,RTD("tos.rtd",,CF$2,"."&amp;$A$43&amp;$AU$1&amp;"C"&amp;$A59))</f>
        <v>1</v>
      </c>
      <c r="CG59" s="83">
        <f>-IF(RTD("tos.rtd",,CG$2,"."&amp;$A$43&amp;$AU$1&amp;"P"&amp;$A59)="N/A",0,RTD("tos.rtd",,CG$2,"."&amp;$A$43&amp;$AU$1&amp;"P"&amp;$A59))</f>
        <v>0.36</v>
      </c>
      <c r="CH59" s="83">
        <f>IF(RTD("tos.rtd",,CH$2,"."&amp;$A$43&amp;$AW$1&amp;"C"&amp;$A59)="N/A",0,RTD("tos.rtd",,CH$2,"."&amp;$A$43&amp;$AW$1&amp;"C"&amp;$A59))</f>
        <v>0</v>
      </c>
      <c r="CI59" s="83">
        <f>-IF(RTD("tos.rtd",,CI$2,"."&amp;$A$43&amp;$AW$1&amp;"P"&amp;$A59)="N/A",0,RTD("tos.rtd",,CI$2,"."&amp;$A$43&amp;$AW$1&amp;"P"&amp;$A59))</f>
        <v>0</v>
      </c>
      <c r="CK59" s="83">
        <f t="shared" si="286"/>
        <v>253580</v>
      </c>
      <c r="CL59" s="83"/>
      <c r="CM59" s="83">
        <f t="shared" si="287"/>
        <v>112012</v>
      </c>
      <c r="CN59" s="83"/>
      <c r="CO59" s="83">
        <f t="shared" si="288"/>
        <v>0</v>
      </c>
      <c r="CP59" s="83">
        <f t="shared" si="235"/>
        <v>365592</v>
      </c>
      <c r="CQ59" s="83">
        <f t="shared" si="249"/>
        <v>-32364</v>
      </c>
      <c r="CR59" s="83"/>
      <c r="CS59" s="83">
        <f t="shared" si="250"/>
        <v>-340</v>
      </c>
      <c r="CT59" s="83"/>
      <c r="CU59" s="83">
        <f t="shared" si="251"/>
        <v>0</v>
      </c>
      <c r="CV59" s="83"/>
      <c r="CW59" s="83" t="e">
        <f ca="1">+BQ59+BS59+BU59</f>
        <v>#NUM!</v>
      </c>
      <c r="CY59" s="83" t="e">
        <f t="shared" ca="1" si="253"/>
        <v>#NUM!</v>
      </c>
      <c r="CZ59" s="70" t="e">
        <f t="shared" ca="1" si="297"/>
        <v>#NUM!</v>
      </c>
      <c r="DA59" s="83">
        <f>IF(RTD("tos.rtd",,DA$43,"."&amp;$A$43&amp;$AS$42&amp;"C"&amp;$A59)="N/A",0,RTD("tos.rtd",,DA$43,"."&amp;$A$43&amp;$AS$42&amp;"C"&amp;$A59))</f>
        <v>0.15</v>
      </c>
      <c r="DB59" s="83">
        <f>IF(RTD("tos.rtd",,DB$43,"."&amp;$A$43&amp;$AS$42&amp;"P"&amp;$A59)="N/A",0,RTD("tos.rtd",,DB$43,"."&amp;$A$43&amp;$AS$42&amp;"P"&amp;$A59))</f>
        <v>0.2</v>
      </c>
      <c r="DC59" s="83">
        <f>IF(RTD("tos.rtd",,DC$43,"."&amp;$A$43&amp;$AS$42&amp;"C"&amp;$A59)="N/A",0,RTD("tos.rtd",,DC$43,"."&amp;$A$43&amp;$AS$42&amp;"C"&amp;$A59))</f>
        <v>0.18</v>
      </c>
      <c r="DD59" s="83">
        <f>IF(RTD("tos.rtd",,DD$43,"."&amp;$A$43&amp;$AS$42&amp;"P"&amp;$A59)="N/A",0,RTD("tos.rtd",,DD$43,"."&amp;$A$43&amp;$AS$42&amp;"P"&amp;$A59))</f>
        <v>0.24</v>
      </c>
      <c r="DE59" s="83">
        <f>IF(RTD("tos.rtd",,DE$43,"."&amp;$A$43&amp;$AS$42&amp;"C"&amp;$A59)="N/A",0,RTD("tos.rtd",,DE$43,"."&amp;$A$43&amp;$AS$42&amp;"C"&amp;$A59))</f>
        <v>0.17</v>
      </c>
      <c r="DF59" s="83">
        <f>IF(RTD("tos.rtd",,DF$43,"."&amp;$A$43&amp;$AS$42&amp;"P"&amp;$A59)="N/A",0,RTD("tos.rtd",,DF$43,"."&amp;$A$43&amp;$AS$42&amp;"P"&amp;$A59))</f>
        <v>0.21</v>
      </c>
      <c r="DG59" s="86">
        <f t="shared" si="289"/>
        <v>-8.1700000000000159</v>
      </c>
      <c r="DH59" s="83">
        <f t="shared" si="254"/>
        <v>-1926.0000000000052</v>
      </c>
      <c r="DI59" s="83">
        <f t="shared" si="255"/>
        <v>839.66666666666504</v>
      </c>
      <c r="DJ59" s="83">
        <f t="shared" si="256"/>
        <v>-963</v>
      </c>
      <c r="DK59" s="83">
        <f t="shared" si="257"/>
        <v>2519</v>
      </c>
      <c r="DL59" s="83">
        <f t="shared" si="258"/>
        <v>-1086.3333333333403</v>
      </c>
      <c r="DM59" s="83">
        <f t="shared" si="259"/>
        <v>1556</v>
      </c>
      <c r="DN59" s="64" t="str">
        <f t="shared" si="260"/>
        <v>SELL</v>
      </c>
      <c r="DO59" s="64" t="str">
        <f t="shared" si="261"/>
        <v>SELL</v>
      </c>
      <c r="DP59" s="83">
        <f t="shared" si="262"/>
        <v>-120.96666666666775</v>
      </c>
      <c r="DQ59" s="83">
        <f t="shared" si="263"/>
        <v>359.35</v>
      </c>
      <c r="DR59" s="83" t="e">
        <f t="shared" ca="1" si="264"/>
        <v>#NUM!</v>
      </c>
      <c r="DS59" s="83">
        <f t="shared" si="265"/>
        <v>-761.48</v>
      </c>
      <c r="DT59" s="83">
        <f t="shared" si="290"/>
        <v>963</v>
      </c>
      <c r="DU59" s="83">
        <f t="shared" si="291"/>
        <v>-2519</v>
      </c>
      <c r="DV59" s="83">
        <f t="shared" si="266"/>
        <v>-21586</v>
      </c>
      <c r="DW59" s="83">
        <f t="shared" si="267"/>
        <v>-19167</v>
      </c>
      <c r="DX59" s="83" t="e">
        <f t="shared" ca="1" si="365"/>
        <v>#NUM!</v>
      </c>
      <c r="DY59" s="83" t="e">
        <f t="shared" ca="1" si="366"/>
        <v>#NUM!</v>
      </c>
      <c r="DZ59" s="83">
        <f t="shared" ca="1" si="367"/>
        <v>2.0623570120003726E-2</v>
      </c>
      <c r="EA59" s="83">
        <f t="shared" ca="1" si="368"/>
        <v>-1.2613334093108769E-2</v>
      </c>
      <c r="EB59" s="83">
        <f t="shared" ca="1" si="369"/>
        <v>2.0623570120003726E-2</v>
      </c>
      <c r="EC59" s="83">
        <f t="shared" ca="1" si="370"/>
        <v>-2.0623570120003726E-2</v>
      </c>
      <c r="ED59" s="63">
        <f t="shared" si="292"/>
        <v>-40753</v>
      </c>
      <c r="EE59" s="84">
        <f t="shared" si="268"/>
        <v>0.25</v>
      </c>
      <c r="EF59" s="84">
        <f t="shared" si="269"/>
        <v>1.59</v>
      </c>
      <c r="EG59" s="84">
        <f t="shared" si="270"/>
        <v>0.25</v>
      </c>
      <c r="EH59" s="84">
        <f t="shared" si="271"/>
        <v>0.44729999999999998</v>
      </c>
      <c r="EI59" s="84">
        <f t="shared" si="272"/>
        <v>0.25</v>
      </c>
      <c r="EJ59" s="84">
        <f t="shared" si="273"/>
        <v>0.25</v>
      </c>
      <c r="EK59" s="63" t="e">
        <f t="shared" ca="1" si="293"/>
        <v>#NUM!</v>
      </c>
      <c r="EL59" s="83" t="str">
        <f>RTD("tos.rtd",,EL$43,"."&amp;$A$43&amp;$AS$42&amp;"C"&amp;$A59)</f>
        <v>--</v>
      </c>
      <c r="EM59" s="83" t="str">
        <f>RTD("tos.rtd",,EM$43,"."&amp;$A$43&amp;$AS$42&amp;"P"&amp;$A59)</f>
        <v>159.00%</v>
      </c>
      <c r="EN59" s="83" t="str">
        <f>RTD("tos.rtd",,EN$2,"."&amp;$A$43&amp;$AU$1&amp;"C"&amp;$A59)</f>
        <v>--</v>
      </c>
      <c r="EO59" s="83" t="str">
        <f>RTD("tos.rtd",,EO$2,"."&amp;$A$43&amp;$AU$1&amp;"P"&amp;$A59)</f>
        <v>44.73%</v>
      </c>
      <c r="EP59" s="83" t="str">
        <f>RTD("tos.rtd",,EP$2,"."&amp;$A$43&amp;$AW$1&amp;"C"&amp;$A59)</f>
        <v>N/A</v>
      </c>
      <c r="EQ59" s="83" t="str">
        <f>RTD("tos.rtd",,EQ$2,"."&amp;$A$43&amp;$AW$1&amp;"P"&amp;$A59)</f>
        <v>N/A</v>
      </c>
      <c r="ES59" s="63" t="str">
        <f t="shared" si="274"/>
        <v>488,-40753.00</v>
      </c>
      <c r="ET59" s="63" t="str">
        <f t="shared" ca="1" si="275"/>
        <v>488,00.00</v>
      </c>
      <c r="EU59" s="68">
        <v>565.36</v>
      </c>
      <c r="EV59" s="68" t="s">
        <v>491</v>
      </c>
      <c r="EW59" s="68">
        <v>488.85</v>
      </c>
      <c r="EX59" s="68" t="s">
        <v>492</v>
      </c>
      <c r="EY59" s="68">
        <v>5663.94</v>
      </c>
      <c r="EZ59" s="68" t="s">
        <v>493</v>
      </c>
      <c r="FA59" s="68">
        <v>20063.564999999999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94"/>
        <v>487</v>
      </c>
      <c r="B60" s="3">
        <f t="shared" si="241"/>
        <v>4891</v>
      </c>
      <c r="C60" s="3">
        <f t="shared" si="242"/>
        <v>1470</v>
      </c>
      <c r="D60" s="3">
        <f t="shared" si="243"/>
        <v>0</v>
      </c>
      <c r="E60" s="3">
        <f t="shared" si="244"/>
        <v>6361</v>
      </c>
      <c r="F60" s="4">
        <f t="shared" si="298"/>
        <v>20093.399943567725</v>
      </c>
      <c r="AM60" s="1">
        <v>-3370</v>
      </c>
      <c r="AN60" s="1">
        <v>-11943</v>
      </c>
      <c r="AO60" s="1">
        <v>487</v>
      </c>
      <c r="AP60" s="1">
        <v>57814</v>
      </c>
      <c r="AQ60" s="1">
        <v>-108924</v>
      </c>
      <c r="AS60" s="6">
        <f>IF(RTD("tos.rtd",,AS$43,"."&amp;$A$43&amp;$AS$42&amp;"C"&amp;$A60)="N/A",0,RTD("tos.rtd",,AS$43,"."&amp;$A$43&amp;$AS$42&amp;"C"&amp;$A60))</f>
        <v>2634</v>
      </c>
      <c r="AT60" s="7">
        <f>-IF(RTD("tos.rtd",,AT$43,"."&amp;$A$43&amp;$AS$42&amp;"P"&amp;$A60)="N/A",0,RTD("tos.rtd",,AT$43,"."&amp;$A$43&amp;$AS$42&amp;"P"&amp;$A60))</f>
        <v>-2257</v>
      </c>
      <c r="AU60" s="6">
        <f>IF(RTD("tos.rtd",,AU$2,"."&amp;$A$43&amp;$AU$1&amp;"C"&amp;$A60)="N/A",0,RTD("tos.rtd",,AU$2,"."&amp;$A$43&amp;$AU$1&amp;"C"&amp;$A60))</f>
        <v>757</v>
      </c>
      <c r="AV60" s="7">
        <f>-IF(RTD("tos.rtd",,AV$2,"."&amp;$A$43&amp;$AU$1&amp;"P"&amp;$A60)="N/A",0,RTD("tos.rtd",,AV$2,"."&amp;$A$43&amp;$AU$1&amp;"P"&amp;$A60))</f>
        <v>-713</v>
      </c>
      <c r="AW60" s="6">
        <f>IF(RTD("tos.rtd",,AW$2,"."&amp;$A$43&amp;$AW$1&amp;"C"&amp;$A60)="N/A",0,RTD("tos.rtd",,AW$2,"."&amp;$A$43&amp;$AW$1&amp;"C"&amp;$A60))</f>
        <v>0</v>
      </c>
      <c r="AX60" s="7">
        <f>-IF(RTD("tos.rtd",,AX$2,"."&amp;$A$43&amp;$AW$1&amp;"P"&amp;$A60)="N/A",0,RTD("tos.rtd",,AX$2,"."&amp;$A$43&amp;$AW$1&amp;"P"&amp;$A60))</f>
        <v>0</v>
      </c>
      <c r="AY60" s="7">
        <f t="shared" si="276"/>
        <v>421</v>
      </c>
      <c r="AZ60" s="8">
        <f t="shared" si="245"/>
        <v>487</v>
      </c>
      <c r="BA60" s="6">
        <f>IF(RTD("tos.rtd",,BA$43,"."&amp;$A$43&amp;$AS$42&amp;"C"&amp;$A60)="N/A",0,RTD("tos.rtd",,BA$43,"."&amp;$A$43&amp;$AS$42&amp;"C"&amp;$A60))</f>
        <v>57949</v>
      </c>
      <c r="BB60" s="7">
        <f>-IF(RTD("tos.rtd",,BB$43,"."&amp;$A$43&amp;$AS$42&amp;"P"&amp;$A60)="N/A",0,RTD("tos.rtd",,BB$43,"."&amp;$A$43&amp;$AS$42&amp;"P"&amp;$A60))</f>
        <v>-110290</v>
      </c>
      <c r="BC60" s="6">
        <f>IF(RTD("tos.rtd",,BC$2,"."&amp;$A$43&amp;$AU$1&amp;"C"&amp;$A60)="N/A",0,RTD("tos.rtd",,BC$2,"."&amp;$A$43&amp;$AU$1&amp;"C"&amp;$A60))</f>
        <v>1238</v>
      </c>
      <c r="BD60" s="7">
        <f>-IF(RTD("tos.rtd",,BD$2,"."&amp;$A$43&amp;$AU$1&amp;"P"&amp;$A60)="N/A",0,RTD("tos.rtd",,BD$2,"."&amp;$A$43&amp;$AU$1&amp;"P"&amp;$A60))</f>
        <v>-3102</v>
      </c>
      <c r="BE60" s="6">
        <f>IF(RTD("tos.rtd",,BE$2,"."&amp;$A$43&amp;$AW$1&amp;"C"&amp;$A60)="N/A",0,RTD("tos.rtd",,BE$2,"."&amp;$A$43&amp;$AW$1&amp;"C"&amp;$A60))</f>
        <v>0</v>
      </c>
      <c r="BF60" s="7">
        <f>-IF(RTD("tos.rtd",,BF$2,"."&amp;$A$43&amp;$AW$1&amp;"P"&amp;$A60)="N/A",0,RTD("tos.rtd",,BF$2,"."&amp;$A$43&amp;$AW$1&amp;"P"&amp;$A60))</f>
        <v>0</v>
      </c>
      <c r="BG60" s="32">
        <f ca="1">+Hoja2!Y61</f>
        <v>-569</v>
      </c>
      <c r="BH60" s="7">
        <f t="shared" ca="1" si="277"/>
        <v>-54774</v>
      </c>
      <c r="BI60" s="8" t="str">
        <f t="shared" ca="1" si="295"/>
        <v/>
      </c>
      <c r="BJ60" s="83" t="e">
        <f ca="1">IF($BP$1=1,DX60,IF(RTD("tos.rtd",,BJ$43,"."&amp;$A$43&amp;$AS$42&amp;"C"&amp;$A60)="N/A",0,RTD("tos.rtd",,BJ$43,"."&amp;$A$43&amp;$AS$42&amp;"C"&amp;$A60)))</f>
        <v>#NUM!</v>
      </c>
      <c r="BK60" s="83" t="e">
        <f ca="1">IF($BP$1=1,DY60,-IF(RTD("tos.rtd",,BK$43,"."&amp;$A$43&amp;$AS$42&amp;"P"&amp;$A60)="N/A",0,RTD("tos.rtd",,BK$43,"."&amp;$A$43&amp;$AS$42&amp;"P"&amp;$A60)))</f>
        <v>#NUM!</v>
      </c>
      <c r="BL60" s="83">
        <f ca="1">IF($BP$1=1,DZ60,IF(RTD("tos.rtd",,BL$2,"."&amp;$A$43&amp;$AU$1&amp;"C"&amp;$A60)="N/A",0,RTD("tos.rtd",,BL$2,"."&amp;$A$43&amp;$AU$1&amp;"C"&amp;$A60)))</f>
        <v>1.993610326151414E-2</v>
      </c>
      <c r="BM60" s="83">
        <f ca="1">IF($BP$1=1,EA60,-IF(RTD("tos.rtd",,BM$2,"."&amp;$A$43&amp;$AU$1&amp;"P"&amp;$A60)="N/A",0,RTD("tos.rtd",,BM$2,"."&amp;$A$43&amp;$AU$1&amp;"P"&amp;$A60)))</f>
        <v>-1.2570049684126073E-2</v>
      </c>
      <c r="BN60" s="83">
        <f ca="1">IF($BP$1=1,EB60,IF(RTD("tos.rtd",,BN$2,"."&amp;$A$43&amp;$AW$1&amp;"C"&amp;$A60)="N/A",0,RTD("tos.rtd",,BN$2,"."&amp;$A$43&amp;$AW$1&amp;"C"&amp;$A60)))</f>
        <v>1.993610326151414E-2</v>
      </c>
      <c r="BO60" s="83">
        <f ca="1">IF($BP$1=1,EC60,-IF(RTD("tos.rtd",,BO$2,"."&amp;$A$43&amp;$AW$1&amp;"P"&amp;$A60)="N/A",0,RTD("tos.rtd",,BO$2,"."&amp;$A$43&amp;$AW$1&amp;"P"&amp;$A60)))</f>
        <v>-1.993610326151414E-2</v>
      </c>
      <c r="BQ60" s="83" t="e">
        <f t="shared" ca="1" si="278"/>
        <v>#NUM!</v>
      </c>
      <c r="BR60" s="3" t="e">
        <f t="shared" ca="1" si="279"/>
        <v>#NUM!</v>
      </c>
      <c r="BS60" s="83">
        <f t="shared" ca="1" si="280"/>
        <v>1508911.3168739467</v>
      </c>
      <c r="BT60" s="3" t="str">
        <f t="shared" ca="1" si="281"/>
        <v/>
      </c>
      <c r="BU60" s="83">
        <f t="shared" ca="1" si="282"/>
        <v>0</v>
      </c>
      <c r="BV60" s="83"/>
      <c r="BX60" s="83" t="e">
        <f t="shared" ca="1" si="283"/>
        <v>#NUM!</v>
      </c>
      <c r="BY60" s="83" t="e">
        <f t="shared" ca="1" si="296"/>
        <v>#NUM!</v>
      </c>
      <c r="BZ60" s="83">
        <f t="shared" ca="1" si="284"/>
        <v>-3523246.8476497987</v>
      </c>
      <c r="CA60" s="83" t="str">
        <f t="shared" ca="1" si="296"/>
        <v>Cruce -</v>
      </c>
      <c r="CB60" s="83">
        <f t="shared" ca="1" si="285"/>
        <v>0</v>
      </c>
      <c r="CC60" s="83" t="str">
        <f t="shared" ca="1" si="296"/>
        <v/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0.01</v>
      </c>
      <c r="CF60" s="83">
        <f>IF(RTD("tos.rtd",,CF$2,"."&amp;$A$43&amp;$AU$1&amp;"C"&amp;$A60)="N/A",0,RTD("tos.rtd",,CF$2,"."&amp;$A$43&amp;$AU$1&amp;"C"&amp;$A60))</f>
        <v>1</v>
      </c>
      <c r="CG60" s="83">
        <f>-IF(RTD("tos.rtd",,CG$2,"."&amp;$A$43&amp;$AU$1&amp;"P"&amp;$A60)="N/A",0,RTD("tos.rtd",,CG$2,"."&amp;$A$43&amp;$AU$1&amp;"P"&amp;$A60))</f>
        <v>0.34</v>
      </c>
      <c r="CH60" s="83">
        <f>IF(RTD("tos.rtd",,CH$2,"."&amp;$A$43&amp;$AW$1&amp;"C"&amp;$A60)="N/A",0,RTD("tos.rtd",,CH$2,"."&amp;$A$43&amp;$AW$1&amp;"C"&amp;$A60))</f>
        <v>0</v>
      </c>
      <c r="CI60" s="83">
        <f>-IF(RTD("tos.rtd",,CI$2,"."&amp;$A$43&amp;$AW$1&amp;"P"&amp;$A60)="N/A",0,RTD("tos.rtd",,CI$2,"."&amp;$A$43&amp;$AW$1&amp;"P"&amp;$A60))</f>
        <v>0</v>
      </c>
      <c r="CK60" s="83">
        <f t="shared" si="286"/>
        <v>261143</v>
      </c>
      <c r="CL60" s="83"/>
      <c r="CM60" s="83">
        <f t="shared" si="287"/>
        <v>51458</v>
      </c>
      <c r="CN60" s="83"/>
      <c r="CO60" s="83">
        <f t="shared" si="288"/>
        <v>0</v>
      </c>
      <c r="CP60" s="83">
        <f t="shared" si="235"/>
        <v>312601</v>
      </c>
      <c r="CQ60" s="83">
        <f t="shared" si="249"/>
        <v>-52341</v>
      </c>
      <c r="CR60" s="83"/>
      <c r="CS60" s="83">
        <f t="shared" si="250"/>
        <v>-1864</v>
      </c>
      <c r="CT60" s="83"/>
      <c r="CU60" s="83">
        <f t="shared" si="251"/>
        <v>0</v>
      </c>
      <c r="CV60" s="83"/>
      <c r="CW60" s="83" t="e">
        <f t="shared" ca="1" si="252"/>
        <v>#NUM!</v>
      </c>
      <c r="CY60" s="83" t="e">
        <f t="shared" ca="1" si="253"/>
        <v>#NUM!</v>
      </c>
      <c r="CZ60" s="70" t="e">
        <f t="shared" ca="1" si="297"/>
        <v>#NUM!</v>
      </c>
      <c r="DA60" s="83">
        <f>IF(RTD("tos.rtd",,DA$43,"."&amp;$A$43&amp;$AS$42&amp;"C"&amp;$A60)="N/A",0,RTD("tos.rtd",,DA$43,"."&amp;$A$43&amp;$AS$42&amp;"C"&amp;$A60))</f>
        <v>0.81</v>
      </c>
      <c r="DB60" s="83">
        <f>IF(RTD("tos.rtd",,DB$43,"."&amp;$A$43&amp;$AS$42&amp;"P"&amp;$A60)="N/A",0,RTD("tos.rtd",,DB$43,"."&amp;$A$43&amp;$AS$42&amp;"P"&amp;$A60))</f>
        <v>0.01</v>
      </c>
      <c r="DC60" s="83">
        <f>IF(RTD("tos.rtd",,DC$43,"."&amp;$A$43&amp;$AS$42&amp;"C"&amp;$A60)="N/A",0,RTD("tos.rtd",,DC$43,"."&amp;$A$43&amp;$AS$42&amp;"C"&amp;$A60))</f>
        <v>1</v>
      </c>
      <c r="DD60" s="83">
        <f>IF(RTD("tos.rtd",,DD$43,"."&amp;$A$43&amp;$AS$42&amp;"P"&amp;$A60)="N/A",0,RTD("tos.rtd",,DD$43,"."&amp;$A$43&amp;$AS$42&amp;"P"&amp;$A60))</f>
        <v>0.02</v>
      </c>
      <c r="DE60" s="83">
        <f>IF(RTD("tos.rtd",,DE$43,"."&amp;$A$43&amp;$AS$42&amp;"C"&amp;$A60)="N/A",0,RTD("tos.rtd",,DE$43,"."&amp;$A$43&amp;$AS$42&amp;"C"&amp;$A60))</f>
        <v>0.81</v>
      </c>
      <c r="DF60" s="83">
        <f>IF(RTD("tos.rtd",,DF$43,"."&amp;$A$43&amp;$AS$42&amp;"P"&amp;$A60)="N/A",0,RTD("tos.rtd",,DF$43,"."&amp;$A$43&amp;$AS$42&amp;"P"&amp;$A60))</f>
        <v>0.01</v>
      </c>
      <c r="DG60" s="86">
        <f t="shared" si="289"/>
        <v>-9.1700000000000159</v>
      </c>
      <c r="DH60" s="83">
        <f t="shared" si="254"/>
        <v>0</v>
      </c>
      <c r="DI60" s="83">
        <f t="shared" si="255"/>
        <v>0</v>
      </c>
      <c r="DJ60" s="83">
        <f t="shared" si="256"/>
        <v>-135</v>
      </c>
      <c r="DK60" s="83">
        <f t="shared" si="257"/>
        <v>1366</v>
      </c>
      <c r="DL60" s="83">
        <f t="shared" si="258"/>
        <v>0</v>
      </c>
      <c r="DM60" s="83">
        <f t="shared" si="259"/>
        <v>1231</v>
      </c>
      <c r="DN60" s="64" t="str">
        <f t="shared" si="260"/>
        <v>SELL</v>
      </c>
      <c r="DO60" s="64" t="str">
        <f t="shared" si="261"/>
        <v>SELL</v>
      </c>
      <c r="DP60" s="83">
        <f t="shared" si="262"/>
        <v>0</v>
      </c>
      <c r="DQ60" s="83">
        <f t="shared" si="263"/>
        <v>-95.690000000000012</v>
      </c>
      <c r="DR60" s="83" t="e">
        <f t="shared" ca="1" si="264"/>
        <v>#NUM!</v>
      </c>
      <c r="DS60" s="83">
        <f t="shared" si="265"/>
        <v>-121.34</v>
      </c>
      <c r="DT60" s="83">
        <f t="shared" si="290"/>
        <v>135</v>
      </c>
      <c r="DU60" s="83">
        <f t="shared" si="291"/>
        <v>-1366</v>
      </c>
      <c r="DV60" s="83">
        <f t="shared" si="266"/>
        <v>-3505</v>
      </c>
      <c r="DW60" s="83">
        <f t="shared" si="267"/>
        <v>-10577</v>
      </c>
      <c r="DX60" s="83" t="e">
        <f t="shared" ca="1" si="365"/>
        <v>#NUM!</v>
      </c>
      <c r="DY60" s="83" t="e">
        <f t="shared" ca="1" si="366"/>
        <v>#NUM!</v>
      </c>
      <c r="DZ60" s="83">
        <f t="shared" ca="1" si="367"/>
        <v>1.993610326151414E-2</v>
      </c>
      <c r="EA60" s="83">
        <f t="shared" ca="1" si="368"/>
        <v>-1.2570049684126073E-2</v>
      </c>
      <c r="EB60" s="83">
        <f t="shared" ca="1" si="369"/>
        <v>1.993610326151414E-2</v>
      </c>
      <c r="EC60" s="83">
        <f t="shared" ca="1" si="370"/>
        <v>-1.993610326151414E-2</v>
      </c>
      <c r="ED60" s="63">
        <f t="shared" si="292"/>
        <v>-14082</v>
      </c>
      <c r="EE60" s="84">
        <f t="shared" si="268"/>
        <v>0.25</v>
      </c>
      <c r="EF60" s="84">
        <f t="shared" si="269"/>
        <v>1.0749</v>
      </c>
      <c r="EG60" s="84">
        <f t="shared" si="270"/>
        <v>0.25</v>
      </c>
      <c r="EH60" s="84">
        <f t="shared" si="271"/>
        <v>0.44340000000000002</v>
      </c>
      <c r="EI60" s="84">
        <f t="shared" si="272"/>
        <v>0.25</v>
      </c>
      <c r="EJ60" s="84">
        <f t="shared" si="273"/>
        <v>0.25</v>
      </c>
      <c r="EK60" s="63" t="e">
        <f t="shared" ca="1" si="293"/>
        <v>#NUM!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107.49%</v>
      </c>
      <c r="EN60" s="83" t="str">
        <f>RTD("tos.rtd",,EN$2,"."&amp;$A$43&amp;$AU$1&amp;"C"&amp;$A60)</f>
        <v>--</v>
      </c>
      <c r="EO60" s="83" t="str">
        <f>RTD("tos.rtd",,EO$2,"."&amp;$A$43&amp;$AU$1&amp;"P"&amp;$A60)</f>
        <v>44.34%</v>
      </c>
      <c r="EP60" s="83" t="str">
        <f>RTD("tos.rtd",,EP$2,"."&amp;$A$43&amp;$AW$1&amp;"C"&amp;$A60)</f>
        <v>N/A</v>
      </c>
      <c r="EQ60" s="83" t="str">
        <f>RTD("tos.rtd",,EQ$2,"."&amp;$A$43&amp;$AW$1&amp;"P"&amp;$A60)</f>
        <v>N/A</v>
      </c>
      <c r="ES60" s="63" t="str">
        <f t="shared" si="274"/>
        <v>487,-14082.00</v>
      </c>
      <c r="ET60" s="63" t="str">
        <f t="shared" ca="1" si="275"/>
        <v>487,00.00</v>
      </c>
      <c r="EU60" s="68">
        <v>565.28</v>
      </c>
      <c r="EV60" s="68" t="s">
        <v>499</v>
      </c>
      <c r="EW60" s="68">
        <v>488.85</v>
      </c>
      <c r="EX60" s="68" t="s">
        <v>500</v>
      </c>
      <c r="EY60" s="68">
        <v>5663.94</v>
      </c>
      <c r="EZ60" s="68" t="s">
        <v>501</v>
      </c>
      <c r="FA60" s="68">
        <v>20063.564999999999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94"/>
        <v>486</v>
      </c>
      <c r="B61" s="3">
        <f t="shared" si="241"/>
        <v>5817</v>
      </c>
      <c r="C61" s="3">
        <f t="shared" si="242"/>
        <v>1228</v>
      </c>
      <c r="D61" s="3">
        <f t="shared" si="243"/>
        <v>0</v>
      </c>
      <c r="E61" s="3">
        <f t="shared" si="244"/>
        <v>7045</v>
      </c>
      <c r="F61" s="4">
        <f t="shared" si="298"/>
        <v>20052.140395428985</v>
      </c>
      <c r="AM61" s="1">
        <v>-1053</v>
      </c>
      <c r="AN61" s="1">
        <v>-1988</v>
      </c>
      <c r="AO61" s="1">
        <v>486</v>
      </c>
      <c r="AP61" s="1">
        <v>17429</v>
      </c>
      <c r="AQ61" s="1">
        <v>-108844</v>
      </c>
      <c r="AS61" s="6">
        <f>IF(RTD("tos.rtd",,AS$43,"."&amp;$A$43&amp;$AS$42&amp;"C"&amp;$A61)="N/A",0,RTD("tos.rtd",,AS$43,"."&amp;$A$43&amp;$AS$42&amp;"C"&amp;$A61))</f>
        <v>2181</v>
      </c>
      <c r="AT61" s="7">
        <f>-IF(RTD("tos.rtd",,AT$43,"."&amp;$A$43&amp;$AS$42&amp;"P"&amp;$A61)="N/A",0,RTD("tos.rtd",,AT$43,"."&amp;$A$43&amp;$AS$42&amp;"P"&amp;$A61))</f>
        <v>-3636</v>
      </c>
      <c r="AU61" s="6">
        <f>IF(RTD("tos.rtd",,AU$2,"."&amp;$A$43&amp;$AU$1&amp;"C"&amp;$A61)="N/A",0,RTD("tos.rtd",,AU$2,"."&amp;$A$43&amp;$AU$1&amp;"C"&amp;$A61))</f>
        <v>638</v>
      </c>
      <c r="AV61" s="7">
        <f>-IF(RTD("tos.rtd",,AV$2,"."&amp;$A$43&amp;$AU$1&amp;"P"&amp;$A61)="N/A",0,RTD("tos.rtd",,AV$2,"."&amp;$A$43&amp;$AU$1&amp;"P"&amp;$A61))</f>
        <v>-590</v>
      </c>
      <c r="AW61" s="6">
        <f>IF(RTD("tos.rtd",,AW$2,"."&amp;$A$43&amp;$AW$1&amp;"C"&amp;$A61)="N/A",0,RTD("tos.rtd",,AW$2,"."&amp;$A$43&amp;$AW$1&amp;"C"&amp;$A61))</f>
        <v>0</v>
      </c>
      <c r="AX61" s="7">
        <f>-IF(RTD("tos.rtd",,AX$2,"."&amp;$A$43&amp;$AW$1&amp;"P"&amp;$A61)="N/A",0,RTD("tos.rtd",,AX$2,"."&amp;$A$43&amp;$AW$1&amp;"P"&amp;$A61))</f>
        <v>0</v>
      </c>
      <c r="AY61" s="7">
        <f t="shared" si="276"/>
        <v>-1407</v>
      </c>
      <c r="AZ61" s="8">
        <f t="shared" si="245"/>
        <v>486</v>
      </c>
      <c r="BA61" s="6">
        <f>IF(RTD("tos.rtd",,BA$43,"."&amp;$A$43&amp;$AS$42&amp;"C"&amp;$A61)="N/A",0,RTD("tos.rtd",,BA$43,"."&amp;$A$43&amp;$AS$42&amp;"C"&amp;$A61))</f>
        <v>17501</v>
      </c>
      <c r="BB61" s="7">
        <f>-IF(RTD("tos.rtd",,BB$43,"."&amp;$A$43&amp;$AS$42&amp;"P"&amp;$A61)="N/A",0,RTD("tos.rtd",,BB$43,"."&amp;$A$43&amp;$AS$42&amp;"P"&amp;$A61))</f>
        <v>-109390</v>
      </c>
      <c r="BC61" s="6">
        <f>IF(RTD("tos.rtd",,BC$2,"."&amp;$A$43&amp;$AU$1&amp;"C"&amp;$A61)="N/A",0,RTD("tos.rtd",,BC$2,"."&amp;$A$43&amp;$AU$1&amp;"C"&amp;$A61))</f>
        <v>1695</v>
      </c>
      <c r="BD61" s="7">
        <f>-IF(RTD("tos.rtd",,BD$2,"."&amp;$A$43&amp;$AU$1&amp;"P"&amp;$A61)="N/A",0,RTD("tos.rtd",,BD$2,"."&amp;$A$43&amp;$AU$1&amp;"P"&amp;$A61))</f>
        <v>-1925</v>
      </c>
      <c r="BE61" s="6">
        <f>IF(RTD("tos.rtd",,BE$2,"."&amp;$A$43&amp;$AW$1&amp;"C"&amp;$A61)="N/A",0,RTD("tos.rtd",,BE$2,"."&amp;$A$43&amp;$AW$1&amp;"C"&amp;$A61))</f>
        <v>0</v>
      </c>
      <c r="BF61" s="7">
        <f>-IF(RTD("tos.rtd",,BF$2,"."&amp;$A$43&amp;$AW$1&amp;"P"&amp;$A61)="N/A",0,RTD("tos.rtd",,BF$2,"."&amp;$A$43&amp;$AW$1&amp;"P"&amp;$A61))</f>
        <v>0</v>
      </c>
      <c r="BG61" s="32">
        <f ca="1">+Hoja2!Y62</f>
        <v>-589</v>
      </c>
      <c r="BH61" s="7">
        <f t="shared" ca="1" si="277"/>
        <v>-92708</v>
      </c>
      <c r="BI61" s="8" t="str">
        <f t="shared" ca="1" si="295"/>
        <v/>
      </c>
      <c r="BJ61" s="83" t="e">
        <f ca="1">IF($BP$1=1,DX61,IF(RTD("tos.rtd",,BJ$43,"."&amp;$A$43&amp;$AS$42&amp;"C"&amp;$A61)="N/A",0,RTD("tos.rtd",,BJ$43,"."&amp;$A$43&amp;$AS$42&amp;"C"&amp;$A61)))</f>
        <v>#NUM!</v>
      </c>
      <c r="BK61" s="83" t="e">
        <f ca="1">IF($BP$1=1,DY61,-IF(RTD("tos.rtd",,BK$43,"."&amp;$A$43&amp;$AS$42&amp;"P"&amp;$A61)="N/A",0,RTD("tos.rtd",,BK$43,"."&amp;$A$43&amp;$AS$42&amp;"P"&amp;$A61)))</f>
        <v>#NUM!</v>
      </c>
      <c r="BL61" s="83">
        <f ca="1">IF($BP$1=1,DZ61,IF(RTD("tos.rtd",,BL$2,"."&amp;$A$43&amp;$AU$1&amp;"C"&amp;$A61)="N/A",0,RTD("tos.rtd",,BL$2,"."&amp;$A$43&amp;$AU$1&amp;"C"&amp;$A61)))</f>
        <v>1.9199494245939242E-2</v>
      </c>
      <c r="BM61" s="83">
        <f ca="1">IF($BP$1=1,EA61,-IF(RTD("tos.rtd",,BM$2,"."&amp;$A$43&amp;$AU$1&amp;"P"&amp;$A61)="N/A",0,RTD("tos.rtd",,BM$2,"."&amp;$A$43&amp;$AU$1&amp;"P"&amp;$A61)))</f>
        <v>-1.2502829182305152E-2</v>
      </c>
      <c r="BN61" s="83">
        <f ca="1">IF($BP$1=1,EB61,IF(RTD("tos.rtd",,BN$2,"."&amp;$A$43&amp;$AW$1&amp;"C"&amp;$A61)="N/A",0,RTD("tos.rtd",,BN$2,"."&amp;$A$43&amp;$AW$1&amp;"C"&amp;$A61)))</f>
        <v>1.9199494245939242E-2</v>
      </c>
      <c r="BO61" s="83">
        <f ca="1">IF($BP$1=1,EC61,-IF(RTD("tos.rtd",,BO$2,"."&amp;$A$43&amp;$AW$1&amp;"P"&amp;$A61)="N/A",0,RTD("tos.rtd",,BO$2,"."&amp;$A$43&amp;$AW$1&amp;"P"&amp;$A61)))</f>
        <v>-1.9199494245939242E-2</v>
      </c>
      <c r="BQ61" s="83" t="e">
        <f t="shared" ca="1" si="278"/>
        <v>#NUM!</v>
      </c>
      <c r="BR61" s="3" t="e">
        <f t="shared" ca="1" si="279"/>
        <v>#NUM!</v>
      </c>
      <c r="BS61" s="83">
        <f t="shared" ca="1" si="280"/>
        <v>1199561.4145719565</v>
      </c>
      <c r="BT61" s="3" t="str">
        <f t="shared" ca="1" si="281"/>
        <v/>
      </c>
      <c r="BU61" s="83">
        <f t="shared" ca="1" si="282"/>
        <v>0</v>
      </c>
      <c r="BV61" s="83"/>
      <c r="BX61" s="83" t="e">
        <f t="shared" ca="1" si="283"/>
        <v>#NUM!</v>
      </c>
      <c r="BY61" s="83" t="e">
        <f t="shared" ca="1" si="296"/>
        <v>#NUM!</v>
      </c>
      <c r="BZ61" s="83">
        <f t="shared" ca="1" si="284"/>
        <v>2086463.4616767196</v>
      </c>
      <c r="CA61" s="83" t="str">
        <f t="shared" ca="1" si="296"/>
        <v>Cruce +</v>
      </c>
      <c r="CB61" s="83">
        <f t="shared" ca="1" si="285"/>
        <v>0</v>
      </c>
      <c r="CC61" s="83" t="str">
        <f t="shared" ca="1" si="296"/>
        <v/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</v>
      </c>
      <c r="CF61" s="83">
        <f>IF(RTD("tos.rtd",,CF$2,"."&amp;$A$43&amp;$AU$1&amp;"C"&amp;$A61)="N/A",0,RTD("tos.rtd",,CF$2,"."&amp;$A$43&amp;$AU$1&amp;"C"&amp;$A61))</f>
        <v>1</v>
      </c>
      <c r="CG61" s="83">
        <f>-IF(RTD("tos.rtd",,CG$2,"."&amp;$A$43&amp;$AU$1&amp;"P"&amp;$A61)="N/A",0,RTD("tos.rtd",,CG$2,"."&amp;$A$43&amp;$AU$1&amp;"P"&amp;$A61))</f>
        <v>0.33</v>
      </c>
      <c r="CH61" s="83">
        <f>IF(RTD("tos.rtd",,CH$2,"."&amp;$A$43&amp;$AW$1&amp;"C"&amp;$A61)="N/A",0,RTD("tos.rtd",,CH$2,"."&amp;$A$43&amp;$AW$1&amp;"C"&amp;$A61))</f>
        <v>0</v>
      </c>
      <c r="CI61" s="83">
        <f>-IF(RTD("tos.rtd",,CI$2,"."&amp;$A$43&amp;$AW$1&amp;"P"&amp;$A61)="N/A",0,RTD("tos.rtd",,CI$2,"."&amp;$A$43&amp;$AW$1&amp;"P"&amp;$A61))</f>
        <v>0</v>
      </c>
      <c r="CK61" s="83">
        <f t="shared" si="286"/>
        <v>218100</v>
      </c>
      <c r="CL61" s="83"/>
      <c r="CM61" s="83">
        <f t="shared" si="287"/>
        <v>44330</v>
      </c>
      <c r="CN61" s="83"/>
      <c r="CO61" s="83">
        <f t="shared" si="288"/>
        <v>0</v>
      </c>
      <c r="CP61" s="83">
        <f t="shared" si="235"/>
        <v>262430</v>
      </c>
      <c r="CQ61" s="83">
        <f t="shared" si="249"/>
        <v>-91889</v>
      </c>
      <c r="CR61" s="83"/>
      <c r="CS61" s="83">
        <f t="shared" si="250"/>
        <v>-230</v>
      </c>
      <c r="CT61" s="83"/>
      <c r="CU61" s="83">
        <f t="shared" si="251"/>
        <v>0</v>
      </c>
      <c r="CV61" s="83"/>
      <c r="CW61" s="83" t="e">
        <f t="shared" ca="1" si="252"/>
        <v>#NUM!</v>
      </c>
      <c r="CY61" s="83" t="e">
        <f t="shared" ca="1" si="253"/>
        <v>#NUM!</v>
      </c>
      <c r="CZ61" s="70" t="e">
        <f t="shared" ca="1" si="297"/>
        <v>#NUM!</v>
      </c>
      <c r="DA61" s="83">
        <f>IF(RTD("tos.rtd",,DA$43,"."&amp;$A$43&amp;$AS$42&amp;"C"&amp;$A61)="N/A",0,RTD("tos.rtd",,DA$43,"."&amp;$A$43&amp;$AS$42&amp;"C"&amp;$A61))</f>
        <v>1.97</v>
      </c>
      <c r="DB61" s="83">
        <f>IF(RTD("tos.rtd",,DB$43,"."&amp;$A$43&amp;$AS$42&amp;"P"&amp;$A61)="N/A",0,RTD("tos.rtd",,DB$43,"."&amp;$A$43&amp;$AS$42&amp;"P"&amp;$A61))</f>
        <v>0.02</v>
      </c>
      <c r="DC61" s="83">
        <f>IF(RTD("tos.rtd",,DC$43,"."&amp;$A$43&amp;$AS$42&amp;"C"&amp;$A61)="N/A",0,RTD("tos.rtd",,DC$43,"."&amp;$A$43&amp;$AS$42&amp;"C"&amp;$A61))</f>
        <v>3.25</v>
      </c>
      <c r="DD61" s="83">
        <f>IF(RTD("tos.rtd",,DD$43,"."&amp;$A$43&amp;$AS$42&amp;"P"&amp;$A61)="N/A",0,RTD("tos.rtd",,DD$43,"."&amp;$A$43&amp;$AS$42&amp;"P"&amp;$A61))</f>
        <v>0.01</v>
      </c>
      <c r="DE61" s="83">
        <f>IF(RTD("tos.rtd",,DE$43,"."&amp;$A$43&amp;$AS$42&amp;"C"&amp;$A61)="N/A",0,RTD("tos.rtd",,DE$43,"."&amp;$A$43&amp;$AS$42&amp;"C"&amp;$A61))</f>
        <v>0.7</v>
      </c>
      <c r="DF61" s="83">
        <f>IF(RTD("tos.rtd",,DF$43,"."&amp;$A$43&amp;$AS$42&amp;"P"&amp;$A61)="N/A",0,RTD("tos.rtd",,DF$43,"."&amp;$A$43&amp;$AS$42&amp;"P"&amp;$A61))</f>
        <v>0</v>
      </c>
      <c r="DG61" s="86">
        <f t="shared" si="289"/>
        <v>-10.170000000000016</v>
      </c>
      <c r="DH61" s="83">
        <f t="shared" si="254"/>
        <v>35.858823529411772</v>
      </c>
      <c r="DI61" s="83">
        <f t="shared" si="255"/>
        <v>-1092</v>
      </c>
      <c r="DJ61" s="83">
        <f t="shared" si="256"/>
        <v>0</v>
      </c>
      <c r="DK61" s="83">
        <f t="shared" si="257"/>
        <v>-546</v>
      </c>
      <c r="DL61" s="83">
        <f t="shared" si="258"/>
        <v>-1056.1411764705883</v>
      </c>
      <c r="DM61" s="83">
        <f t="shared" si="259"/>
        <v>-546</v>
      </c>
      <c r="DN61" s="64" t="str">
        <f t="shared" si="260"/>
        <v>UNKNOWN</v>
      </c>
      <c r="DO61" s="64" t="str">
        <f t="shared" si="261"/>
        <v>BUY</v>
      </c>
      <c r="DP61" s="83">
        <f t="shared" si="262"/>
        <v>48.801882352941192</v>
      </c>
      <c r="DQ61" s="83">
        <f t="shared" si="263"/>
        <v>-10.92</v>
      </c>
      <c r="DR61" s="83" t="e">
        <f t="shared" ca="1" si="264"/>
        <v>#NUM!</v>
      </c>
      <c r="DS61" s="83">
        <f t="shared" si="265"/>
        <v>0</v>
      </c>
      <c r="DT61" s="83">
        <f t="shared" si="290"/>
        <v>72</v>
      </c>
      <c r="DU61" s="83">
        <f t="shared" si="291"/>
        <v>-546</v>
      </c>
      <c r="DV61" s="83">
        <f t="shared" si="266"/>
        <v>-1053</v>
      </c>
      <c r="DW61" s="83">
        <f t="shared" si="267"/>
        <v>-2534</v>
      </c>
      <c r="DX61" s="83" t="e">
        <f t="shared" ca="1" si="365"/>
        <v>#NUM!</v>
      </c>
      <c r="DY61" s="83" t="e">
        <f t="shared" ca="1" si="366"/>
        <v>#NUM!</v>
      </c>
      <c r="DZ61" s="83">
        <f t="shared" ca="1" si="367"/>
        <v>1.9199494245939242E-2</v>
      </c>
      <c r="EA61" s="83">
        <f t="shared" ca="1" si="368"/>
        <v>-1.2502829182305152E-2</v>
      </c>
      <c r="EB61" s="83">
        <f t="shared" ca="1" si="369"/>
        <v>1.9199494245939242E-2</v>
      </c>
      <c r="EC61" s="83">
        <f t="shared" ca="1" si="370"/>
        <v>-1.9199494245939242E-2</v>
      </c>
      <c r="ED61" s="63">
        <f t="shared" si="292"/>
        <v>-3587</v>
      </c>
      <c r="EE61" s="84">
        <f t="shared" si="268"/>
        <v>0.25</v>
      </c>
      <c r="EF61" s="84">
        <f t="shared" si="269"/>
        <v>1.0396000000000001</v>
      </c>
      <c r="EG61" s="84">
        <f t="shared" si="270"/>
        <v>0.25</v>
      </c>
      <c r="EH61" s="84">
        <f t="shared" si="271"/>
        <v>0.43969999999999998</v>
      </c>
      <c r="EI61" s="84">
        <f t="shared" si="272"/>
        <v>0.25</v>
      </c>
      <c r="EJ61" s="84">
        <f t="shared" si="273"/>
        <v>0.25</v>
      </c>
      <c r="EK61" s="63" t="e">
        <f t="shared" ca="1" si="293"/>
        <v>#NUM!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103.96%</v>
      </c>
      <c r="EN61" s="83" t="str">
        <f>RTD("tos.rtd",,EN$2,"."&amp;$A$43&amp;$AU$1&amp;"C"&amp;$A61)</f>
        <v>--</v>
      </c>
      <c r="EO61" s="83" t="str">
        <f>RTD("tos.rtd",,EO$2,"."&amp;$A$43&amp;$AU$1&amp;"P"&amp;$A61)</f>
        <v>43.97%</v>
      </c>
      <c r="EP61" s="83" t="str">
        <f>RTD("tos.rtd",,EP$2,"."&amp;$A$43&amp;$AW$1&amp;"C"&amp;$A61)</f>
        <v>N/A</v>
      </c>
      <c r="EQ61" s="83" t="str">
        <f>RTD("tos.rtd",,EQ$2,"."&amp;$A$43&amp;$AW$1&amp;"P"&amp;$A61)</f>
        <v>N/A</v>
      </c>
      <c r="ES61" s="63" t="str">
        <f t="shared" si="274"/>
        <v>486,-3587.00</v>
      </c>
      <c r="ET61" s="63" t="str">
        <f t="shared" ca="1" si="275"/>
        <v>486,00.00</v>
      </c>
      <c r="EU61" s="68">
        <v>565.35</v>
      </c>
      <c r="EV61" s="68" t="s">
        <v>507</v>
      </c>
      <c r="EW61" s="68">
        <v>488.86</v>
      </c>
      <c r="EX61" s="68" t="s">
        <v>508</v>
      </c>
      <c r="EY61" s="68">
        <v>5663.94</v>
      </c>
      <c r="EZ61" s="68" t="s">
        <v>509</v>
      </c>
      <c r="FA61" s="68">
        <v>20063.564999999999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94"/>
        <v>485</v>
      </c>
      <c r="B62" s="33">
        <f t="shared" si="241"/>
        <v>20129</v>
      </c>
      <c r="C62" s="33">
        <f t="shared" si="242"/>
        <v>39757</v>
      </c>
      <c r="D62" s="33">
        <f t="shared" si="243"/>
        <v>7032</v>
      </c>
      <c r="E62" s="33">
        <f t="shared" si="244"/>
        <v>66918</v>
      </c>
      <c r="F62" s="4">
        <f t="shared" si="298"/>
        <v>20010.880847290242</v>
      </c>
      <c r="AM62" s="1">
        <v>-6898</v>
      </c>
      <c r="AN62" s="1">
        <v>4725</v>
      </c>
      <c r="AO62" s="1">
        <v>485</v>
      </c>
      <c r="AP62" s="1">
        <v>16172</v>
      </c>
      <c r="AQ62" s="1">
        <v>-100116</v>
      </c>
      <c r="AS62" s="13">
        <f>IF(RTD("tos.rtd",,AS$43,"."&amp;$A$43&amp;$AS$42&amp;"C"&amp;$A62)="N/A",0,RTD("tos.rtd",,AS$43,"."&amp;$A$43&amp;$AS$42&amp;"C"&amp;$A62))</f>
        <v>7560</v>
      </c>
      <c r="AT62" s="29">
        <f>-IF(RTD("tos.rtd",,AT$43,"."&amp;$A$43&amp;$AS$42&amp;"P"&amp;$A62)="N/A",0,RTD("tos.rtd",,AT$43,"."&amp;$A$43&amp;$AS$42&amp;"P"&amp;$A62))</f>
        <v>-12569</v>
      </c>
      <c r="AU62" s="13">
        <f>IF(RTD("tos.rtd",,AU$2,"."&amp;$A$43&amp;$AU$1&amp;"C"&amp;$A62)="N/A",0,RTD("tos.rtd",,AU$2,"."&amp;$A$43&amp;$AU$1&amp;"C"&amp;$A62))</f>
        <v>27338</v>
      </c>
      <c r="AV62" s="29">
        <f>-IF(RTD("tos.rtd",,AV$2,"."&amp;$A$43&amp;$AU$1&amp;"P"&amp;$A62)="N/A",0,RTD("tos.rtd",,AV$2,"."&amp;$A$43&amp;$AU$1&amp;"P"&amp;$A62))</f>
        <v>-12419</v>
      </c>
      <c r="AW62" s="13">
        <f>IF(RTD("tos.rtd",,AW$2,"."&amp;$A$43&amp;$AW$1&amp;"C"&amp;$A62)="N/A",0,RTD("tos.rtd",,AW$2,"."&amp;$A$43&amp;$AW$1&amp;"C"&amp;$A62))</f>
        <v>3859</v>
      </c>
      <c r="AX62" s="29">
        <f>-IF(RTD("tos.rtd",,AX$2,"."&amp;$A$43&amp;$AW$1&amp;"P"&amp;$A62)="N/A",0,RTD("tos.rtd",,AX$2,"."&amp;$A$43&amp;$AW$1&amp;"P"&amp;$A62))</f>
        <v>-3173</v>
      </c>
      <c r="AY62" s="7">
        <f t="shared" si="276"/>
        <v>10596</v>
      </c>
      <c r="AZ62" s="8">
        <f t="shared" si="245"/>
        <v>485</v>
      </c>
      <c r="BA62" s="13">
        <f>IF(RTD("tos.rtd",,BA$43,"."&amp;$A$43&amp;$AS$42&amp;"C"&amp;$A62)="N/A",0,RTD("tos.rtd",,BA$43,"."&amp;$A$43&amp;$AS$42&amp;"C"&amp;$A62))</f>
        <v>16198</v>
      </c>
      <c r="BB62" s="29">
        <f>-IF(RTD("tos.rtd",,BB$43,"."&amp;$A$43&amp;$AS$42&amp;"P"&amp;$A62)="N/A",0,RTD("tos.rtd",,BB$43,"."&amp;$A$43&amp;$AS$42&amp;"P"&amp;$A62))</f>
        <v>-100444</v>
      </c>
      <c r="BC62" s="13">
        <f>IF(RTD("tos.rtd",,BC$2,"."&amp;$A$43&amp;$AU$1&amp;"C"&amp;$A62)="N/A",0,RTD("tos.rtd",,BC$2,"."&amp;$A$43&amp;$AU$1&amp;"C"&amp;$A62))</f>
        <v>2375</v>
      </c>
      <c r="BD62" s="29">
        <f>-IF(RTD("tos.rtd",,BD$2,"."&amp;$A$43&amp;$AU$1&amp;"P"&amp;$A62)="N/A",0,RTD("tos.rtd",,BD$2,"."&amp;$A$43&amp;$AU$1&amp;"P"&amp;$A62))</f>
        <v>-13735</v>
      </c>
      <c r="BE62" s="13">
        <f>IF(RTD("tos.rtd",,BE$2,"."&amp;$A$43&amp;$AW$1&amp;"C"&amp;$A62)="N/A",0,RTD("tos.rtd",,BE$2,"."&amp;$A$43&amp;$AW$1&amp;"C"&amp;$A62))</f>
        <v>693</v>
      </c>
      <c r="BF62" s="29">
        <f>-IF(RTD("tos.rtd",,BF$2,"."&amp;$A$43&amp;$AW$1&amp;"P"&amp;$A62)="N/A",0,RTD("tos.rtd",,BF$2,"."&amp;$A$43&amp;$AW$1&amp;"P"&amp;$A62))</f>
        <v>-1988</v>
      </c>
      <c r="BG62" s="100">
        <f ca="1">+Hoja2!Y63</f>
        <v>-2961</v>
      </c>
      <c r="BH62" s="7">
        <f t="shared" ca="1" si="277"/>
        <v>-99862</v>
      </c>
      <c r="BI62" s="8" t="str">
        <f t="shared" ca="1" si="295"/>
        <v/>
      </c>
      <c r="BJ62" s="83" t="e">
        <f ca="1">IF($BP$1=1,DX62,IF(RTD("tos.rtd",,BJ$43,"."&amp;$A$43&amp;$AS$42&amp;"C"&amp;$A62)="N/A",0,RTD("tos.rtd",,BJ$43,"."&amp;$A$43&amp;$AS$42&amp;"C"&amp;$A62)))</f>
        <v>#NUM!</v>
      </c>
      <c r="BK62" s="83" t="e">
        <f ca="1">IF($BP$1=1,DY62,-IF(RTD("tos.rtd",,BK$43,"."&amp;$A$43&amp;$AS$42&amp;"P"&amp;$A62)="N/A",0,RTD("tos.rtd",,BK$43,"."&amp;$A$43&amp;$AS$42&amp;"P"&amp;$A62)))</f>
        <v>#NUM!</v>
      </c>
      <c r="BL62" s="83">
        <f ca="1">IF($BP$1=1,DZ62,IF(RTD("tos.rtd",,BL$2,"."&amp;$A$43&amp;$AU$1&amp;"C"&amp;$A62)="N/A",0,RTD("tos.rtd",,BL$2,"."&amp;$A$43&amp;$AU$1&amp;"C"&amp;$A62)))</f>
        <v>1.842054163940882E-2</v>
      </c>
      <c r="BM62" s="83">
        <f ca="1">IF($BP$1=1,EA62,-IF(RTD("tos.rtd",,BM$2,"."&amp;$A$43&amp;$AU$1&amp;"P"&amp;$A62)="N/A",0,RTD("tos.rtd",,BM$2,"."&amp;$A$43&amp;$AU$1&amp;"P"&amp;$A62)))</f>
        <v>-1.2404154655989378E-2</v>
      </c>
      <c r="BN62" s="83">
        <f ca="1">IF($BP$1=1,EB62,IF(RTD("tos.rtd",,BN$2,"."&amp;$A$43&amp;$AW$1&amp;"C"&amp;$A62)="N/A",0,RTD("tos.rtd",,BN$2,"."&amp;$A$43&amp;$AW$1&amp;"C"&amp;$A62)))</f>
        <v>2.039435150349525E-2</v>
      </c>
      <c r="BO62" s="83">
        <f ca="1">IF($BP$1=1,EC62,-IF(RTD("tos.rtd",,BO$2,"."&amp;$A$43&amp;$AW$1&amp;"P"&amp;$A62)="N/A",0,RTD("tos.rtd",,BO$2,"."&amp;$A$43&amp;$AW$1&amp;"P"&amp;$A62)))</f>
        <v>-1.6689944154430002E-2</v>
      </c>
      <c r="BQ62" s="83" t="e">
        <f t="shared" ca="1" si="278"/>
        <v>#NUM!</v>
      </c>
      <c r="BR62" s="3" t="e">
        <f t="shared" ca="1" si="279"/>
        <v>#NUM!</v>
      </c>
      <c r="BS62" s="83">
        <f t="shared" ca="1" si="280"/>
        <v>86049806.363702714</v>
      </c>
      <c r="BT62" s="3" t="str">
        <f t="shared" ca="1" si="281"/>
        <v/>
      </c>
      <c r="BU62" s="83">
        <f t="shared" ca="1" si="282"/>
        <v>6337928.2026405111</v>
      </c>
      <c r="BV62" s="83"/>
      <c r="BX62" s="83" t="e">
        <f t="shared" ca="1" si="283"/>
        <v>#NUM!</v>
      </c>
      <c r="BY62" s="83" t="e">
        <f t="shared" ca="1" si="296"/>
        <v>#NUM!</v>
      </c>
      <c r="BZ62" s="83">
        <f t="shared" ca="1" si="284"/>
        <v>-31172463.537136875</v>
      </c>
      <c r="CA62" s="83" t="str">
        <f t="shared" ca="1" si="296"/>
        <v>Cruce -</v>
      </c>
      <c r="CB62" s="83">
        <f t="shared" ca="1" si="285"/>
        <v>-4688912.8168117572</v>
      </c>
      <c r="CC62" s="83" t="str">
        <f t="shared" ca="1" si="296"/>
        <v/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</v>
      </c>
      <c r="CF62" s="83">
        <f>IF(RTD("tos.rtd",,CF$2,"."&amp;$A$43&amp;$AU$1&amp;"C"&amp;$A62)="N/A",0,RTD("tos.rtd",,CF$2,"."&amp;$A$43&amp;$AU$1&amp;"C"&amp;$A62))</f>
        <v>1</v>
      </c>
      <c r="CG62" s="83">
        <f>-IF(RTD("tos.rtd",,CG$2,"."&amp;$A$43&amp;$AU$1&amp;"P"&amp;$A62)="N/A",0,RTD("tos.rtd",,CG$2,"."&amp;$A$43&amp;$AU$1&amp;"P"&amp;$A62))</f>
        <v>0.31</v>
      </c>
      <c r="CH62" s="83">
        <f>IF(RTD("tos.rtd",,CH$2,"."&amp;$A$43&amp;$AW$1&amp;"C"&amp;$A62)="N/A",0,RTD("tos.rtd",,CH$2,"."&amp;$A$43&amp;$AW$1&amp;"C"&amp;$A62))</f>
        <v>0.7</v>
      </c>
      <c r="CI62" s="83">
        <f>-IF(RTD("tos.rtd",,CI$2,"."&amp;$A$43&amp;$AW$1&amp;"P"&amp;$A62)="N/A",0,RTD("tos.rtd",,CI$2,"."&amp;$A$43&amp;$AW$1&amp;"P"&amp;$A62))</f>
        <v>0.37</v>
      </c>
      <c r="CK62" s="83">
        <f t="shared" si="286"/>
        <v>756000</v>
      </c>
      <c r="CL62" s="83"/>
      <c r="CM62" s="83">
        <f t="shared" si="287"/>
        <v>2348811</v>
      </c>
      <c r="CN62" s="83"/>
      <c r="CO62" s="83">
        <f t="shared" si="288"/>
        <v>152729</v>
      </c>
      <c r="CP62" s="83">
        <f t="shared" si="235"/>
        <v>3257540</v>
      </c>
      <c r="CQ62" s="83">
        <f t="shared" si="249"/>
        <v>-84246</v>
      </c>
      <c r="CR62" s="83"/>
      <c r="CS62" s="83">
        <f t="shared" si="250"/>
        <v>-11360</v>
      </c>
      <c r="CT62" s="83"/>
      <c r="CU62" s="83">
        <f t="shared" si="251"/>
        <v>-1295</v>
      </c>
      <c r="CV62" s="83"/>
      <c r="CW62" s="83" t="e">
        <f t="shared" ca="1" si="252"/>
        <v>#NUM!</v>
      </c>
      <c r="CY62" s="83" t="e">
        <f t="shared" ca="1" si="253"/>
        <v>#NUM!</v>
      </c>
      <c r="CZ62" s="70" t="e">
        <f t="shared" ca="1" si="297"/>
        <v>#NUM!</v>
      </c>
      <c r="DA62" s="83">
        <f>IF(RTD("tos.rtd",,DA$43,"."&amp;$A$43&amp;$AS$42&amp;"C"&amp;$A62)="N/A",0,RTD("tos.rtd",,DA$43,"."&amp;$A$43&amp;$AS$42&amp;"C"&amp;$A62))</f>
        <v>2.92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3.12</v>
      </c>
      <c r="DD62" s="83">
        <f>IF(RTD("tos.rtd",,DD$43,"."&amp;$A$43&amp;$AS$42&amp;"P"&amp;$A62)="N/A",0,RTD("tos.rtd",,DD$43,"."&amp;$A$43&amp;$AS$42&amp;"P"&amp;$A62))</f>
        <v>0.01</v>
      </c>
      <c r="DE62" s="83">
        <f>IF(RTD("tos.rtd",,DE$43,"."&amp;$A$43&amp;$AS$42&amp;"C"&amp;$A62)="N/A",0,RTD("tos.rtd",,DE$43,"."&amp;$A$43&amp;$AS$42&amp;"C"&amp;$A62))</f>
        <v>2.77</v>
      </c>
      <c r="DF62" s="83">
        <f>IF(RTD("tos.rtd",,DF$43,"."&amp;$A$43&amp;$AS$42&amp;"P"&amp;$A62)="N/A",0,RTD("tos.rtd",,DF$43,"."&amp;$A$43&amp;$AS$42&amp;"P"&amp;$A62))</f>
        <v>0</v>
      </c>
      <c r="DG62" s="86">
        <f t="shared" si="289"/>
        <v>-11.170000000000016</v>
      </c>
      <c r="DH62" s="83">
        <f t="shared" si="254"/>
        <v>11.142857142857133</v>
      </c>
      <c r="DI62" s="83">
        <f t="shared" si="255"/>
        <v>-328</v>
      </c>
      <c r="DJ62" s="83">
        <f t="shared" si="256"/>
        <v>0</v>
      </c>
      <c r="DK62" s="83">
        <f t="shared" si="257"/>
        <v>-328</v>
      </c>
      <c r="DL62" s="83">
        <f t="shared" si="258"/>
        <v>-316.85714285714289</v>
      </c>
      <c r="DM62" s="83">
        <f t="shared" si="259"/>
        <v>-328</v>
      </c>
      <c r="DN62" s="64" t="str">
        <f t="shared" si="260"/>
        <v>UNKNOWN</v>
      </c>
      <c r="DO62" s="64" t="str">
        <f t="shared" si="261"/>
        <v>BUY</v>
      </c>
      <c r="DP62" s="83">
        <f t="shared" si="262"/>
        <v>29.257142857142824</v>
      </c>
      <c r="DQ62" s="83">
        <f t="shared" si="263"/>
        <v>-3.2800000000000002</v>
      </c>
      <c r="DR62" s="83" t="e">
        <f t="shared" ca="1" si="264"/>
        <v>#NUM!</v>
      </c>
      <c r="DS62" s="83">
        <f t="shared" si="265"/>
        <v>0</v>
      </c>
      <c r="DT62" s="83">
        <f t="shared" si="290"/>
        <v>26</v>
      </c>
      <c r="DU62" s="83">
        <f t="shared" si="291"/>
        <v>-328</v>
      </c>
      <c r="DV62" s="83">
        <f t="shared" si="266"/>
        <v>-6898</v>
      </c>
      <c r="DW62" s="83">
        <f t="shared" si="267"/>
        <v>4397</v>
      </c>
      <c r="DX62" s="83" t="e">
        <f t="shared" ca="1" si="365"/>
        <v>#NUM!</v>
      </c>
      <c r="DY62" s="83" t="e">
        <f t="shared" ca="1" si="366"/>
        <v>#NUM!</v>
      </c>
      <c r="DZ62" s="83">
        <f t="shared" ca="1" si="367"/>
        <v>1.842054163940882E-2</v>
      </c>
      <c r="EA62" s="83">
        <f t="shared" ca="1" si="368"/>
        <v>-1.2404154655989378E-2</v>
      </c>
      <c r="EB62" s="83">
        <f t="shared" ca="1" si="369"/>
        <v>2.039435150349525E-2</v>
      </c>
      <c r="EC62" s="83">
        <f t="shared" ca="1" si="370"/>
        <v>-1.6689944154430002E-2</v>
      </c>
      <c r="ED62" s="63">
        <f t="shared" si="292"/>
        <v>-2501</v>
      </c>
      <c r="EE62" s="84">
        <f t="shared" si="268"/>
        <v>0.25</v>
      </c>
      <c r="EF62" s="84">
        <f t="shared" si="269"/>
        <v>1.1317999999999999</v>
      </c>
      <c r="EG62" s="84">
        <f t="shared" si="270"/>
        <v>0.25</v>
      </c>
      <c r="EH62" s="84">
        <f t="shared" si="271"/>
        <v>0.4365</v>
      </c>
      <c r="EI62" s="84">
        <f t="shared" si="272"/>
        <v>0.16350000000000001</v>
      </c>
      <c r="EJ62" s="84">
        <f t="shared" si="273"/>
        <v>0.29549999999999998</v>
      </c>
      <c r="EK62" s="63" t="e">
        <f t="shared" ca="1" si="293"/>
        <v>#NUM!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113.18%</v>
      </c>
      <c r="EN62" s="83" t="str">
        <f>RTD("tos.rtd",,EN$2,"."&amp;$A$43&amp;$AU$1&amp;"C"&amp;$A62)</f>
        <v>--</v>
      </c>
      <c r="EO62" s="83" t="str">
        <f>RTD("tos.rtd",,EO$2,"."&amp;$A$43&amp;$AU$1&amp;"P"&amp;$A62)</f>
        <v>43.65%</v>
      </c>
      <c r="EP62" s="83" t="str">
        <f>RTD("tos.rtd",,EP$2,"."&amp;$A$43&amp;$AW$1&amp;"C"&amp;$A62)</f>
        <v>16.35%</v>
      </c>
      <c r="EQ62" s="83" t="str">
        <f>RTD("tos.rtd",,EQ$2,"."&amp;$A$43&amp;$AW$1&amp;"P"&amp;$A62)</f>
        <v>29.55%</v>
      </c>
      <c r="ES62" s="63" t="str">
        <f t="shared" si="274"/>
        <v>485,-2501.00</v>
      </c>
      <c r="ET62" s="63" t="str">
        <f t="shared" ca="1" si="275"/>
        <v>485,00.00</v>
      </c>
      <c r="EU62" s="68">
        <v>565.47</v>
      </c>
      <c r="EV62" s="68" t="s">
        <v>515</v>
      </c>
      <c r="EW62" s="68">
        <v>488.98</v>
      </c>
      <c r="EX62" s="68" t="s">
        <v>516</v>
      </c>
      <c r="EY62" s="68">
        <v>5663.94</v>
      </c>
      <c r="EZ62" s="68" t="s">
        <v>517</v>
      </c>
      <c r="FA62" s="68">
        <v>20063.564999999999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94"/>
        <v>484</v>
      </c>
      <c r="B63" s="3">
        <f t="shared" si="241"/>
        <v>10105</v>
      </c>
      <c r="C63" s="3">
        <f t="shared" si="242"/>
        <v>3037</v>
      </c>
      <c r="D63" s="3">
        <f t="shared" si="243"/>
        <v>0</v>
      </c>
      <c r="E63" s="3">
        <f t="shared" si="244"/>
        <v>13142</v>
      </c>
      <c r="F63" s="4">
        <f>+$F$44/$A$44*A63</f>
        <v>19969.621299151499</v>
      </c>
      <c r="AM63" s="1">
        <v>14</v>
      </c>
      <c r="AN63" s="1">
        <v>-441</v>
      </c>
      <c r="AO63" s="1">
        <v>484</v>
      </c>
      <c r="AP63" s="1">
        <v>4222</v>
      </c>
      <c r="AQ63" s="1">
        <v>-47829</v>
      </c>
      <c r="AS63" s="6">
        <f>IF(RTD("tos.rtd",,AS$43,"."&amp;$A$43&amp;$AS$42&amp;"C"&amp;$A63)="N/A",0,RTD("tos.rtd",,AS$43,"."&amp;$A$43&amp;$AS$42&amp;"C"&amp;$A63))</f>
        <v>1773</v>
      </c>
      <c r="AT63" s="7">
        <f>-IF(RTD("tos.rtd",,AT$43,"."&amp;$A$43&amp;$AS$42&amp;"P"&amp;$A63)="N/A",0,RTD("tos.rtd",,AT$43,"."&amp;$A$43&amp;$AS$42&amp;"P"&amp;$A63))</f>
        <v>-8332</v>
      </c>
      <c r="AU63" s="6">
        <f>IF(RTD("tos.rtd",,AU$2,"."&amp;$A$43&amp;$AU$1&amp;"C"&amp;$A63)="N/A",0,RTD("tos.rtd",,AU$2,"."&amp;$A$43&amp;$AU$1&amp;"C"&amp;$A63))</f>
        <v>1519</v>
      </c>
      <c r="AV63" s="7">
        <f>-IF(RTD("tos.rtd",,AV$2,"."&amp;$A$43&amp;$AU$1&amp;"P"&amp;$A63)="N/A",0,RTD("tos.rtd",,AV$2,"."&amp;$A$43&amp;$AU$1&amp;"P"&amp;$A63))</f>
        <v>-1518</v>
      </c>
      <c r="AW63" s="6">
        <f>IF(RTD("tos.rtd",,AW$2,"."&amp;$A$43&amp;$AW$1&amp;"C"&amp;$A63)="N/A",0,RTD("tos.rtd",,AW$2,"."&amp;$A$43&amp;$AW$1&amp;"C"&amp;$A63))</f>
        <v>0</v>
      </c>
      <c r="AX63" s="7">
        <f>-IF(RTD("tos.rtd",,AX$2,"."&amp;$A$43&amp;$AW$1&amp;"P"&amp;$A63)="N/A",0,RTD("tos.rtd",,AX$2,"."&amp;$A$43&amp;$AW$1&amp;"P"&amp;$A63))</f>
        <v>0</v>
      </c>
      <c r="AY63" s="7">
        <f t="shared" si="276"/>
        <v>-6558</v>
      </c>
      <c r="AZ63" s="8">
        <f t="shared" si="245"/>
        <v>484</v>
      </c>
      <c r="BA63" s="6">
        <f>IF(RTD("tos.rtd",,BA$43,"."&amp;$A$43&amp;$AS$42&amp;"C"&amp;$A63)="N/A",0,RTD("tos.rtd",,BA$43,"."&amp;$A$43&amp;$AS$42&amp;"C"&amp;$A63))</f>
        <v>4274</v>
      </c>
      <c r="BB63" s="7">
        <f>-IF(RTD("tos.rtd",,BB$43,"."&amp;$A$43&amp;$AS$42&amp;"P"&amp;$A63)="N/A",0,RTD("tos.rtd",,BB$43,"."&amp;$A$43&amp;$AS$42&amp;"P"&amp;$A63))</f>
        <v>-48368</v>
      </c>
      <c r="BC63" s="6">
        <f>IF(RTD("tos.rtd",,BC$2,"."&amp;$A$43&amp;$AU$1&amp;"C"&amp;$A63)="N/A",0,RTD("tos.rtd",,BC$2,"."&amp;$A$43&amp;$AU$1&amp;"C"&amp;$A63))</f>
        <v>115</v>
      </c>
      <c r="BD63" s="7">
        <f>-IF(RTD("tos.rtd",,BD$2,"."&amp;$A$43&amp;$AU$1&amp;"P"&amp;$A63)="N/A",0,RTD("tos.rtd",,BD$2,"."&amp;$A$43&amp;$AU$1&amp;"P"&amp;$A63))</f>
        <v>-1556</v>
      </c>
      <c r="BE63" s="6">
        <f>IF(RTD("tos.rtd",,BE$2,"."&amp;$A$43&amp;$AW$1&amp;"C"&amp;$A63)="N/A",0,RTD("tos.rtd",,BE$2,"."&amp;$A$43&amp;$AW$1&amp;"C"&amp;$A63))</f>
        <v>0</v>
      </c>
      <c r="BF63" s="7">
        <f>-IF(RTD("tos.rtd",,BF$2,"."&amp;$A$43&amp;$AW$1&amp;"P"&amp;$A63)="N/A",0,RTD("tos.rtd",,BF$2,"."&amp;$A$43&amp;$AW$1&amp;"P"&amp;$A63))</f>
        <v>0</v>
      </c>
      <c r="BG63" s="32">
        <f ca="1">+Hoja2!Y64</f>
        <v>-1858</v>
      </c>
      <c r="BH63" s="7">
        <f t="shared" ca="1" si="277"/>
        <v>-47393</v>
      </c>
      <c r="BI63" s="8" t="str">
        <f t="shared" ca="1" si="295"/>
        <v/>
      </c>
      <c r="BJ63" s="83" t="e">
        <f ca="1">IF($BP$1=1,DX63,IF(RTD("tos.rtd",,BJ$43,"."&amp;$A$43&amp;$AS$42&amp;"C"&amp;$A63)="N/A",0,RTD("tos.rtd",,BJ$43,"."&amp;$A$43&amp;$AS$42&amp;"C"&amp;$A63)))</f>
        <v>#NUM!</v>
      </c>
      <c r="BK63" s="83" t="e">
        <f ca="1">IF($BP$1=1,DY63,-IF(RTD("tos.rtd",,BK$43,"."&amp;$A$43&amp;$AS$42&amp;"P"&amp;$A63)="N/A",0,RTD("tos.rtd",,BK$43,"."&amp;$A$43&amp;$AS$42&amp;"P"&amp;$A63)))</f>
        <v>#NUM!</v>
      </c>
      <c r="BL63" s="83">
        <f ca="1">IF($BP$1=1,DZ63,IF(RTD("tos.rtd",,BL$2,"."&amp;$A$43&amp;$AU$1&amp;"C"&amp;$A63)="N/A",0,RTD("tos.rtd",,BL$2,"."&amp;$A$43&amp;$AU$1&amp;"C"&amp;$A63)))</f>
        <v>1.7606297143654821E-2</v>
      </c>
      <c r="BM63" s="83">
        <f ca="1">IF($BP$1=1,EA63,-IF(RTD("tos.rtd",,BM$2,"."&amp;$A$43&amp;$AU$1&amp;"P"&amp;$A63)="N/A",0,RTD("tos.rtd",,BM$2,"."&amp;$A$43&amp;$AU$1&amp;"P"&amp;$A63)))</f>
        <v>-1.228628710746002E-2</v>
      </c>
      <c r="BN63" s="83">
        <f ca="1">IF($BP$1=1,EB63,IF(RTD("tos.rtd",,BN$2,"."&amp;$A$43&amp;$AW$1&amp;"C"&amp;$A63)="N/A",0,RTD("tos.rtd",,BN$2,"."&amp;$A$43&amp;$AW$1&amp;"C"&amp;$A63)))</f>
        <v>1.7606297143654821E-2</v>
      </c>
      <c r="BO63" s="83">
        <f ca="1">IF($BP$1=1,EC63,-IF(RTD("tos.rtd",,BO$2,"."&amp;$A$43&amp;$AW$1&amp;"P"&amp;$A63)="N/A",0,RTD("tos.rtd",,BO$2,"."&amp;$A$43&amp;$AW$1&amp;"P"&amp;$A63)))</f>
        <v>-1.7606297143654821E-2</v>
      </c>
      <c r="BQ63" s="83" t="e">
        <f t="shared" ca="1" si="278"/>
        <v>#NUM!</v>
      </c>
      <c r="BR63" s="3" t="e">
        <f t="shared" ca="1" si="279"/>
        <v>#NUM!</v>
      </c>
      <c r="BS63" s="83">
        <f t="shared" ca="1" si="280"/>
        <v>1992466.452758302</v>
      </c>
      <c r="BT63" s="3" t="str">
        <f t="shared" ca="1" si="281"/>
        <v/>
      </c>
      <c r="BU63" s="83">
        <f t="shared" ca="1" si="282"/>
        <v>0</v>
      </c>
      <c r="BV63" s="83"/>
      <c r="BX63" s="83" t="e">
        <f t="shared" ca="1" si="283"/>
        <v>#NUM!</v>
      </c>
      <c r="BY63" s="83" t="e">
        <f t="shared" ca="1" si="296"/>
        <v>#NUM!</v>
      </c>
      <c r="BZ63" s="83">
        <f t="shared" ca="1" si="284"/>
        <v>-4207970.1848804047</v>
      </c>
      <c r="CA63" s="83" t="str">
        <f t="shared" ca="1" si="296"/>
        <v/>
      </c>
      <c r="CB63" s="83">
        <f t="shared" ca="1" si="285"/>
        <v>0</v>
      </c>
      <c r="CC63" s="83" t="str">
        <f t="shared" ca="1" si="296"/>
        <v/>
      </c>
      <c r="CD63" s="83">
        <f>IF(RTD("tos.rtd",,CD$43,"."&amp;$A$43&amp;$AS$42&amp;"C"&amp;$A63)="N/A",0,RTD("tos.rtd",,CD$43,"."&amp;$A$43&amp;$AS$42&amp;"C"&amp;$A63))</f>
        <v>1</v>
      </c>
      <c r="CE63" s="83">
        <f>-IF(RTD("tos.rtd",,CE$43,"."&amp;$A$43&amp;$AS$42&amp;"P"&amp;$A63)="N/A",0,RTD("tos.rtd",,CE$43,"."&amp;$A$43&amp;$AS$42&amp;"P"&amp;$A63))</f>
        <v>0</v>
      </c>
      <c r="CF63" s="83">
        <f>IF(RTD("tos.rtd",,CF$2,"."&amp;$A$43&amp;$AU$1&amp;"C"&amp;$A63)="N/A",0,RTD("tos.rtd",,CF$2,"."&amp;$A$43&amp;$AU$1&amp;"C"&amp;$A63))</f>
        <v>1</v>
      </c>
      <c r="CG63" s="83">
        <f>-IF(RTD("tos.rtd",,CG$2,"."&amp;$A$43&amp;$AU$1&amp;"P"&amp;$A63)="N/A",0,RTD("tos.rtd",,CG$2,"."&amp;$A$43&amp;$AU$1&amp;"P"&amp;$A63))</f>
        <v>0.3</v>
      </c>
      <c r="CH63" s="83">
        <f>IF(RTD("tos.rtd",,CH$2,"."&amp;$A$43&amp;$AW$1&amp;"C"&amp;$A63)="N/A",0,RTD("tos.rtd",,CH$2,"."&amp;$A$43&amp;$AW$1&amp;"C"&amp;$A63))</f>
        <v>0</v>
      </c>
      <c r="CI63" s="83">
        <f>-IF(RTD("tos.rtd",,CI$2,"."&amp;$A$43&amp;$AW$1&amp;"P"&amp;$A63)="N/A",0,RTD("tos.rtd",,CI$2,"."&amp;$A$43&amp;$AW$1&amp;"P"&amp;$A63))</f>
        <v>0</v>
      </c>
      <c r="CK63" s="83">
        <f t="shared" si="286"/>
        <v>177300</v>
      </c>
      <c r="CL63" s="83"/>
      <c r="CM63" s="83">
        <f t="shared" si="287"/>
        <v>106360</v>
      </c>
      <c r="CN63" s="83"/>
      <c r="CO63" s="83">
        <f t="shared" si="288"/>
        <v>0</v>
      </c>
      <c r="CP63" s="83">
        <f t="shared" si="235"/>
        <v>283660</v>
      </c>
      <c r="CQ63" s="83">
        <f t="shared" si="249"/>
        <v>-44094</v>
      </c>
      <c r="CR63" s="83"/>
      <c r="CS63" s="83">
        <f t="shared" si="250"/>
        <v>-1441</v>
      </c>
      <c r="CT63" s="83"/>
      <c r="CU63" s="83">
        <f t="shared" si="251"/>
        <v>0</v>
      </c>
      <c r="CV63" s="83"/>
      <c r="CW63" s="83" t="e">
        <f t="shared" ca="1" si="252"/>
        <v>#NUM!</v>
      </c>
      <c r="CY63" s="83" t="e">
        <f t="shared" ca="1" si="253"/>
        <v>#NUM!</v>
      </c>
      <c r="CZ63" s="70" t="e">
        <f t="shared" ca="1" si="297"/>
        <v>#NUM!</v>
      </c>
      <c r="DA63" s="83">
        <f>IF(RTD("tos.rtd",,DA$43,"."&amp;$A$43&amp;$AS$42&amp;"C"&amp;$A63)="N/A",0,RTD("tos.rtd",,DA$43,"."&amp;$A$43&amp;$AS$42&amp;"C"&amp;$A63))</f>
        <v>4.0999999999999996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4.0999999999999996</v>
      </c>
      <c r="DD63" s="83">
        <f>IF(RTD("tos.rtd",,DD$43,"."&amp;$A$43&amp;$AS$42&amp;"P"&amp;$A63)="N/A",0,RTD("tos.rtd",,DD$43,"."&amp;$A$43&amp;$AS$42&amp;"P"&amp;$A63))</f>
        <v>0.01</v>
      </c>
      <c r="DE63" s="83">
        <f>IF(RTD("tos.rtd",,DE$43,"."&amp;$A$43&amp;$AS$42&amp;"C"&amp;$A63)="N/A",0,RTD("tos.rtd",,DE$43,"."&amp;$A$43&amp;$AS$42&amp;"C"&amp;$A63))</f>
        <v>3.77</v>
      </c>
      <c r="DF63" s="83">
        <f>IF(RTD("tos.rtd",,DF$43,"."&amp;$A$43&amp;$AS$42&amp;"P"&amp;$A63)="N/A",0,RTD("tos.rtd",,DF$43,"."&amp;$A$43&amp;$AS$42&amp;"P"&amp;$A63))</f>
        <v>0</v>
      </c>
      <c r="DG63" s="86">
        <f t="shared" si="289"/>
        <v>-12.170000000000016</v>
      </c>
      <c r="DH63" s="83">
        <f t="shared" si="254"/>
        <v>52</v>
      </c>
      <c r="DI63" s="83">
        <f t="shared" si="255"/>
        <v>-539</v>
      </c>
      <c r="DJ63" s="83">
        <f t="shared" si="256"/>
        <v>52</v>
      </c>
      <c r="DK63" s="83">
        <f t="shared" si="257"/>
        <v>-539</v>
      </c>
      <c r="DL63" s="83">
        <f t="shared" si="258"/>
        <v>-487</v>
      </c>
      <c r="DM63" s="83">
        <f t="shared" si="259"/>
        <v>-487</v>
      </c>
      <c r="DN63" s="64" t="str">
        <f t="shared" si="260"/>
        <v>BUY</v>
      </c>
      <c r="DO63" s="64" t="str">
        <f t="shared" si="261"/>
        <v>BUY</v>
      </c>
      <c r="DP63" s="83">
        <f t="shared" si="262"/>
        <v>207.81</v>
      </c>
      <c r="DQ63" s="83">
        <f t="shared" si="263"/>
        <v>207.81</v>
      </c>
      <c r="DR63" s="83" t="e">
        <f t="shared" ca="1" si="264"/>
        <v>#NUM!</v>
      </c>
      <c r="DS63" s="83">
        <f t="shared" si="265"/>
        <v>52</v>
      </c>
      <c r="DT63" s="83">
        <f t="shared" si="290"/>
        <v>52</v>
      </c>
      <c r="DU63" s="83">
        <f t="shared" si="291"/>
        <v>-539</v>
      </c>
      <c r="DV63" s="83">
        <f t="shared" si="266"/>
        <v>66</v>
      </c>
      <c r="DW63" s="83">
        <f t="shared" si="267"/>
        <v>-980</v>
      </c>
      <c r="DX63" s="83" t="e">
        <f t="shared" ca="1" si="365"/>
        <v>#NUM!</v>
      </c>
      <c r="DY63" s="83" t="e">
        <f t="shared" ca="1" si="366"/>
        <v>#NUM!</v>
      </c>
      <c r="DZ63" s="83">
        <f t="shared" ca="1" si="367"/>
        <v>1.7606297143654821E-2</v>
      </c>
      <c r="EA63" s="83">
        <f t="shared" ca="1" si="368"/>
        <v>-1.228628710746002E-2</v>
      </c>
      <c r="EB63" s="83">
        <f t="shared" ca="1" si="369"/>
        <v>1.7606297143654821E-2</v>
      </c>
      <c r="EC63" s="83">
        <f t="shared" ca="1" si="370"/>
        <v>-1.7606297143654821E-2</v>
      </c>
      <c r="ED63" s="63">
        <f t="shared" si="292"/>
        <v>-914</v>
      </c>
      <c r="EE63" s="84">
        <f t="shared" si="268"/>
        <v>0.25</v>
      </c>
      <c r="EF63" s="84">
        <f t="shared" si="269"/>
        <v>1.2235</v>
      </c>
      <c r="EG63" s="84">
        <f t="shared" si="270"/>
        <v>0.25</v>
      </c>
      <c r="EH63" s="84">
        <f t="shared" si="271"/>
        <v>0.43330000000000002</v>
      </c>
      <c r="EI63" s="84">
        <f t="shared" si="272"/>
        <v>0.25</v>
      </c>
      <c r="EJ63" s="84">
        <f t="shared" si="273"/>
        <v>0.25</v>
      </c>
      <c r="EK63" s="63" t="e">
        <f t="shared" ca="1" si="293"/>
        <v>#NUM!</v>
      </c>
      <c r="EL63" s="83" t="str">
        <f>RTD("tos.rtd",,EL$43,"."&amp;$A$43&amp;$AS$42&amp;"C"&amp;$A63)</f>
        <v>--</v>
      </c>
      <c r="EM63" s="83" t="str">
        <f>RTD("tos.rtd",,EM$43,"."&amp;$A$43&amp;$AS$42&amp;"P"&amp;$A63)</f>
        <v>122.35%</v>
      </c>
      <c r="EN63" s="83" t="str">
        <f>RTD("tos.rtd",,EN$2,"."&amp;$A$43&amp;$AU$1&amp;"C"&amp;$A63)</f>
        <v>--</v>
      </c>
      <c r="EO63" s="83" t="str">
        <f>RTD("tos.rtd",,EO$2,"."&amp;$A$43&amp;$AU$1&amp;"P"&amp;$A63)</f>
        <v>43.33%</v>
      </c>
      <c r="EP63" s="83" t="str">
        <f>RTD("tos.rtd",,EP$2,"."&amp;$A$43&amp;$AW$1&amp;"C"&amp;$A63)</f>
        <v>N/A</v>
      </c>
      <c r="EQ63" s="83" t="str">
        <f>RTD("tos.rtd",,EQ$2,"."&amp;$A$43&amp;$AW$1&amp;"P"&amp;$A63)</f>
        <v>N/A</v>
      </c>
      <c r="ES63" s="63" t="str">
        <f t="shared" si="274"/>
        <v>484,-914.00</v>
      </c>
      <c r="ET63" s="63" t="str">
        <f t="shared" ca="1" si="275"/>
        <v>484,00.00</v>
      </c>
      <c r="EU63" s="68">
        <v>565.49</v>
      </c>
      <c r="EV63" s="68" t="s">
        <v>523</v>
      </c>
      <c r="EW63" s="68">
        <v>489.01</v>
      </c>
      <c r="EX63" s="68" t="s">
        <v>524</v>
      </c>
      <c r="EY63" s="68">
        <v>5663.94</v>
      </c>
      <c r="EZ63" s="68" t="s">
        <v>525</v>
      </c>
      <c r="FA63" s="68">
        <v>20063.564999999999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94"/>
        <v>483</v>
      </c>
      <c r="B64" s="3">
        <f t="shared" si="241"/>
        <v>5854</v>
      </c>
      <c r="C64" s="3">
        <f t="shared" si="242"/>
        <v>2543</v>
      </c>
      <c r="D64" s="3">
        <f t="shared" si="243"/>
        <v>0</v>
      </c>
      <c r="E64" s="3">
        <f t="shared" si="244"/>
        <v>8397</v>
      </c>
      <c r="F64" s="34">
        <f t="shared" si="298"/>
        <v>19928.361751012755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573</v>
      </c>
      <c r="AN64" s="12">
        <v>-36</v>
      </c>
      <c r="AO64" s="12">
        <v>483</v>
      </c>
      <c r="AP64" s="12">
        <v>3081</v>
      </c>
      <c r="AQ64" s="12">
        <v>-32955</v>
      </c>
      <c r="AR64" s="12"/>
      <c r="AS64" s="6">
        <f>IF(RTD("tos.rtd",,AS$43,"."&amp;$A$43&amp;$AS$42&amp;"C"&amp;$A64)="N/A",0,RTD("tos.rtd",,AS$43,"."&amp;$A$43&amp;$AS$42&amp;"C"&amp;$A64))</f>
        <v>1801</v>
      </c>
      <c r="AT64" s="7">
        <f>-IF(RTD("tos.rtd",,AT$43,"."&amp;$A$43&amp;$AS$42&amp;"P"&amp;$A64)="N/A",0,RTD("tos.rtd",,AT$43,"."&amp;$A$43&amp;$AS$42&amp;"P"&amp;$A64))</f>
        <v>-4053</v>
      </c>
      <c r="AU64" s="6">
        <f>IF(RTD("tos.rtd",,AU$2,"."&amp;$A$43&amp;$AU$1&amp;"C"&amp;$A64)="N/A",0,RTD("tos.rtd",,AU$2,"."&amp;$A$43&amp;$AU$1&amp;"C"&amp;$A64))</f>
        <v>687</v>
      </c>
      <c r="AV64" s="7">
        <f>-IF(RTD("tos.rtd",,AV$2,"."&amp;$A$43&amp;$AU$1&amp;"P"&amp;$A64)="N/A",0,RTD("tos.rtd",,AV$2,"."&amp;$A$43&amp;$AU$1&amp;"P"&amp;$A64))</f>
        <v>-1856</v>
      </c>
      <c r="AW64" s="6">
        <f>IF(RTD("tos.rtd",,AW$2,"."&amp;$A$43&amp;$AW$1&amp;"C"&amp;$A64)="N/A",0,RTD("tos.rtd",,AW$2,"."&amp;$A$43&amp;$AW$1&amp;"C"&amp;$A64))</f>
        <v>0</v>
      </c>
      <c r="AX64" s="7">
        <f>-IF(RTD("tos.rtd",,AX$2,"."&amp;$A$43&amp;$AW$1&amp;"P"&amp;$A64)="N/A",0,RTD("tos.rtd",,AX$2,"."&amp;$A$43&amp;$AW$1&amp;"P"&amp;$A64))</f>
        <v>0</v>
      </c>
      <c r="AY64" s="7">
        <f t="shared" si="276"/>
        <v>-3421</v>
      </c>
      <c r="AZ64" s="8">
        <f t="shared" si="245"/>
        <v>483</v>
      </c>
      <c r="BA64" s="6">
        <f>IF(RTD("tos.rtd",,BA$43,"."&amp;$A$43&amp;$AS$42&amp;"C"&amp;$A64)="N/A",0,RTD("tos.rtd",,BA$43,"."&amp;$A$43&amp;$AS$42&amp;"C"&amp;$A64))</f>
        <v>3086</v>
      </c>
      <c r="BB64" s="7">
        <f>-IF(RTD("tos.rtd",,BB$43,"."&amp;$A$43&amp;$AS$42&amp;"P"&amp;$A64)="N/A",0,RTD("tos.rtd",,BB$43,"."&amp;$A$43&amp;$AS$42&amp;"P"&amp;$A64))</f>
        <v>-33256</v>
      </c>
      <c r="BC64" s="6">
        <f>IF(RTD("tos.rtd",,BC$2,"."&amp;$A$43&amp;$AU$1&amp;"C"&amp;$A64)="N/A",0,RTD("tos.rtd",,BC$2,"."&amp;$A$43&amp;$AU$1&amp;"C"&amp;$A64))</f>
        <v>121</v>
      </c>
      <c r="BD64" s="7">
        <f>-IF(RTD("tos.rtd",,BD$2,"."&amp;$A$43&amp;$AU$1&amp;"P"&amp;$A64)="N/A",0,RTD("tos.rtd",,BD$2,"."&amp;$A$43&amp;$AU$1&amp;"P"&amp;$A64))</f>
        <v>-2102</v>
      </c>
      <c r="BE64" s="6">
        <f>IF(RTD("tos.rtd",,BE$2,"."&amp;$A$43&amp;$AW$1&amp;"C"&amp;$A64)="N/A",0,RTD("tos.rtd",,BE$2,"."&amp;$A$43&amp;$AW$1&amp;"C"&amp;$A64))</f>
        <v>0</v>
      </c>
      <c r="BF64" s="7">
        <f>-IF(RTD("tos.rtd",,BF$2,"."&amp;$A$43&amp;$AW$1&amp;"P"&amp;$A64)="N/A",0,RTD("tos.rtd",,BF$2,"."&amp;$A$43&amp;$AW$1&amp;"P"&amp;$A64))</f>
        <v>0</v>
      </c>
      <c r="BG64" s="32">
        <f ca="1">+Hoja2!Y65</f>
        <v>-364</v>
      </c>
      <c r="BH64" s="7">
        <f t="shared" ca="1" si="277"/>
        <v>-32515</v>
      </c>
      <c r="BI64" s="8" t="str">
        <f t="shared" ca="1" si="295"/>
        <v/>
      </c>
      <c r="BJ64" s="83" t="e">
        <f ca="1">IF($BP$1=1,DX64,IF(RTD("tos.rtd",,BJ$43,"."&amp;$A$43&amp;$AS$42&amp;"C"&amp;$A64)="N/A",0,RTD("tos.rtd",,BJ$43,"."&amp;$A$43&amp;$AS$42&amp;"C"&amp;$A64)))</f>
        <v>#NUM!</v>
      </c>
      <c r="BK64" s="83" t="e">
        <f ca="1">IF($BP$1=1,DY64,-IF(RTD("tos.rtd",,BK$43,"."&amp;$A$43&amp;$AS$42&amp;"P"&amp;$A64)="N/A",0,RTD("tos.rtd",,BK$43,"."&amp;$A$43&amp;$AS$42&amp;"P"&amp;$A64)))</f>
        <v>#NUM!</v>
      </c>
      <c r="BL64" s="83">
        <f ca="1">IF($BP$1=1,DZ64,IF(RTD("tos.rtd",,BL$2,"."&amp;$A$43&amp;$AU$1&amp;"C"&amp;$A64)="N/A",0,RTD("tos.rtd",,BL$2,"."&amp;$A$43&amp;$AU$1&amp;"C"&amp;$A64)))</f>
        <v>1.6763956927333425E-2</v>
      </c>
      <c r="BM64" s="83">
        <f ca="1">IF($BP$1=1,EA64,-IF(RTD("tos.rtd",,BM$2,"."&amp;$A$43&amp;$AU$1&amp;"P"&amp;$A64)="N/A",0,RTD("tos.rtd",,BM$2,"."&amp;$A$43&amp;$AU$1&amp;"P"&amp;$A64)))</f>
        <v>-1.2137903776211042E-2</v>
      </c>
      <c r="BN64" s="83">
        <f ca="1">IF($BP$1=1,EB64,IF(RTD("tos.rtd",,BN$2,"."&amp;$A$43&amp;$AW$1&amp;"C"&amp;$A64)="N/A",0,RTD("tos.rtd",,BN$2,"."&amp;$A$43&amp;$AW$1&amp;"C"&amp;$A64)))</f>
        <v>1.6763956927333425E-2</v>
      </c>
      <c r="BO64" s="83">
        <f ca="1">IF($BP$1=1,EC64,-IF(RTD("tos.rtd",,BO$2,"."&amp;$A$43&amp;$AW$1&amp;"P"&amp;$A64)="N/A",0,RTD("tos.rtd",,BO$2,"."&amp;$A$43&amp;$AW$1&amp;"P"&amp;$A64)))</f>
        <v>-1.6763956927333425E-2</v>
      </c>
      <c r="BQ64" s="83" t="e">
        <f t="shared" ca="1" si="278"/>
        <v>#NUM!</v>
      </c>
      <c r="BR64" s="3" t="e">
        <f t="shared" ca="1" si="279"/>
        <v>#NUM!</v>
      </c>
      <c r="BS64" s="83">
        <f t="shared" ca="1" si="280"/>
        <v>-2710766.715650198</v>
      </c>
      <c r="BT64" s="3" t="str">
        <f t="shared" ca="1" si="281"/>
        <v>Cruce -</v>
      </c>
      <c r="BU64" s="83">
        <f t="shared" ca="1" si="282"/>
        <v>0</v>
      </c>
      <c r="BV64" s="83"/>
      <c r="BX64" s="83" t="e">
        <f t="shared" ca="1" si="283"/>
        <v>#NUM!</v>
      </c>
      <c r="BY64" s="83" t="e">
        <f t="shared" ca="1" si="296"/>
        <v>#NUM!</v>
      </c>
      <c r="BZ64" s="83">
        <f t="shared" ca="1" si="284"/>
        <v>-5781754.0269876393</v>
      </c>
      <c r="CA64" s="83" t="str">
        <f t="shared" ca="1" si="296"/>
        <v/>
      </c>
      <c r="CB64" s="83">
        <f t="shared" ca="1" si="285"/>
        <v>0</v>
      </c>
      <c r="CC64" s="83" t="str">
        <f t="shared" ca="1" si="296"/>
        <v/>
      </c>
      <c r="CD64" s="83">
        <f>IF(RTD("tos.rtd",,CD$43,"."&amp;$A$43&amp;$AS$42&amp;"C"&amp;$A64)="N/A",0,RTD("tos.rtd",,CD$43,"."&amp;$A$43&amp;$AS$42&amp;"C"&amp;$A64))</f>
        <v>1</v>
      </c>
      <c r="CE64" s="83">
        <f>-IF(RTD("tos.rtd",,CE$43,"."&amp;$A$43&amp;$AS$42&amp;"P"&amp;$A64)="N/A",0,RTD("tos.rtd",,CE$43,"."&amp;$A$43&amp;$AS$42&amp;"P"&amp;$A64))</f>
        <v>0</v>
      </c>
      <c r="CF64" s="83">
        <f>IF(RTD("tos.rtd",,CF$2,"."&amp;$A$43&amp;$AU$1&amp;"C"&amp;$A64)="N/A",0,RTD("tos.rtd",,CF$2,"."&amp;$A$43&amp;$AU$1&amp;"C"&amp;$A64))</f>
        <v>1</v>
      </c>
      <c r="CG64" s="83">
        <f>-IF(RTD("tos.rtd",,CG$2,"."&amp;$A$43&amp;$AU$1&amp;"P"&amp;$A64)="N/A",0,RTD("tos.rtd",,CG$2,"."&amp;$A$43&amp;$AU$1&amp;"P"&amp;$A64))</f>
        <v>0.28000000000000003</v>
      </c>
      <c r="CH64" s="83">
        <f>IF(RTD("tos.rtd",,CH$2,"."&amp;$A$43&amp;$AW$1&amp;"C"&amp;$A64)="N/A",0,RTD("tos.rtd",,CH$2,"."&amp;$A$43&amp;$AW$1&amp;"C"&amp;$A64))</f>
        <v>0</v>
      </c>
      <c r="CI64" s="83">
        <f>-IF(RTD("tos.rtd",,CI$2,"."&amp;$A$43&amp;$AW$1&amp;"P"&amp;$A64)="N/A",0,RTD("tos.rtd",,CI$2,"."&amp;$A$43&amp;$AW$1&amp;"P"&amp;$A64))</f>
        <v>0</v>
      </c>
      <c r="CK64" s="83">
        <f t="shared" si="286"/>
        <v>180100</v>
      </c>
      <c r="CL64" s="83"/>
      <c r="CM64" s="83">
        <f t="shared" si="287"/>
        <v>16731.999999999993</v>
      </c>
      <c r="CN64" s="83"/>
      <c r="CO64" s="83">
        <f t="shared" si="288"/>
        <v>0</v>
      </c>
      <c r="CP64" s="83">
        <f t="shared" si="235"/>
        <v>196832</v>
      </c>
      <c r="CQ64" s="83">
        <f t="shared" si="249"/>
        <v>-30170</v>
      </c>
      <c r="CR64" s="83"/>
      <c r="CS64" s="83">
        <f t="shared" si="250"/>
        <v>-1981</v>
      </c>
      <c r="CT64" s="83"/>
      <c r="CU64" s="83">
        <f t="shared" si="251"/>
        <v>0</v>
      </c>
      <c r="CV64" s="83"/>
      <c r="CW64" s="83" t="e">
        <f t="shared" ca="1" si="252"/>
        <v>#NUM!</v>
      </c>
      <c r="CY64" s="83" t="e">
        <f t="shared" ca="1" si="253"/>
        <v>#NUM!</v>
      </c>
      <c r="CZ64" s="70" t="e">
        <f t="shared" ca="1" si="297"/>
        <v>#NUM!</v>
      </c>
      <c r="DA64" s="83">
        <f>IF(RTD("tos.rtd",,DA$43,"."&amp;$A$43&amp;$AS$42&amp;"C"&amp;$A64)="N/A",0,RTD("tos.rtd",,DA$43,"."&amp;$A$43&amp;$AS$42&amp;"C"&amp;$A64))</f>
        <v>5.15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5.0999999999999996</v>
      </c>
      <c r="DD64" s="83">
        <f>IF(RTD("tos.rtd",,DD$43,"."&amp;$A$43&amp;$AS$42&amp;"P"&amp;$A64)="N/A",0,RTD("tos.rtd",,DD$43,"."&amp;$A$43&amp;$AS$42&amp;"P"&amp;$A64))</f>
        <v>0.01</v>
      </c>
      <c r="DE64" s="83">
        <f>IF(RTD("tos.rtd",,DE$43,"."&amp;$A$43&amp;$AS$42&amp;"C"&amp;$A64)="N/A",0,RTD("tos.rtd",,DE$43,"."&amp;$A$43&amp;$AS$42&amp;"C"&amp;$A64))</f>
        <v>4.78</v>
      </c>
      <c r="DF64" s="83">
        <f>IF(RTD("tos.rtd",,DF$43,"."&amp;$A$43&amp;$AS$42&amp;"P"&amp;$A64)="N/A",0,RTD("tos.rtd",,DF$43,"."&amp;$A$43&amp;$AS$42&amp;"P"&amp;$A64))</f>
        <v>0</v>
      </c>
      <c r="DG64" s="86">
        <f t="shared" si="289"/>
        <v>-13.170000000000016</v>
      </c>
      <c r="DH64" s="83">
        <f t="shared" si="254"/>
        <v>5.7812500000000124</v>
      </c>
      <c r="DI64" s="83">
        <f t="shared" si="255"/>
        <v>-301</v>
      </c>
      <c r="DJ64" s="83">
        <f t="shared" si="256"/>
        <v>5</v>
      </c>
      <c r="DK64" s="83">
        <f t="shared" si="257"/>
        <v>-301</v>
      </c>
      <c r="DL64" s="83">
        <f t="shared" si="258"/>
        <v>-295.21875</v>
      </c>
      <c r="DM64" s="83">
        <f t="shared" si="259"/>
        <v>-296</v>
      </c>
      <c r="DN64" s="64" t="str">
        <f t="shared" si="260"/>
        <v>BUY</v>
      </c>
      <c r="DO64" s="64" t="str">
        <f t="shared" si="261"/>
        <v>BUY</v>
      </c>
      <c r="DP64" s="83">
        <f t="shared" si="262"/>
        <v>26.763437500000066</v>
      </c>
      <c r="DQ64" s="83">
        <f t="shared" si="263"/>
        <v>22.74</v>
      </c>
      <c r="DR64" s="83" t="e">
        <f t="shared" ca="1" si="264"/>
        <v>#NUM!</v>
      </c>
      <c r="DS64" s="83">
        <f t="shared" si="265"/>
        <v>5</v>
      </c>
      <c r="DT64" s="83">
        <f t="shared" si="290"/>
        <v>5</v>
      </c>
      <c r="DU64" s="83">
        <f t="shared" si="291"/>
        <v>-301</v>
      </c>
      <c r="DV64" s="83">
        <f t="shared" si="266"/>
        <v>578</v>
      </c>
      <c r="DW64" s="83">
        <f t="shared" si="267"/>
        <v>-337</v>
      </c>
      <c r="DX64" s="83" t="e">
        <f t="shared" ca="1" si="365"/>
        <v>#NUM!</v>
      </c>
      <c r="DY64" s="83" t="e">
        <f t="shared" ca="1" si="366"/>
        <v>#NUM!</v>
      </c>
      <c r="DZ64" s="83">
        <f t="shared" ca="1" si="367"/>
        <v>1.6763956927333425E-2</v>
      </c>
      <c r="EA64" s="83">
        <f t="shared" ca="1" si="368"/>
        <v>-1.2137903776211042E-2</v>
      </c>
      <c r="EB64" s="83">
        <f t="shared" ca="1" si="369"/>
        <v>1.6763956927333425E-2</v>
      </c>
      <c r="EC64" s="83">
        <f t="shared" ca="1" si="370"/>
        <v>-1.6763956927333425E-2</v>
      </c>
      <c r="ED64" s="63">
        <f t="shared" si="292"/>
        <v>241</v>
      </c>
      <c r="EE64" s="84">
        <f t="shared" si="268"/>
        <v>0.25</v>
      </c>
      <c r="EF64" s="84">
        <f t="shared" si="269"/>
        <v>1.3148</v>
      </c>
      <c r="EG64" s="84">
        <f t="shared" si="270"/>
        <v>0.25</v>
      </c>
      <c r="EH64" s="84">
        <f t="shared" si="271"/>
        <v>0.43059999999999998</v>
      </c>
      <c r="EI64" s="84">
        <f t="shared" si="272"/>
        <v>0.25</v>
      </c>
      <c r="EJ64" s="84">
        <f t="shared" si="273"/>
        <v>0.25</v>
      </c>
      <c r="EK64" s="63" t="e">
        <f t="shared" ca="1" si="293"/>
        <v>#NUM!</v>
      </c>
      <c r="EL64" s="83" t="str">
        <f>RTD("tos.rtd",,EL$43,"."&amp;$A$43&amp;$AS$42&amp;"C"&amp;$A64)</f>
        <v>--</v>
      </c>
      <c r="EM64" s="83" t="str">
        <f>RTD("tos.rtd",,EM$43,"."&amp;$A$43&amp;$AS$42&amp;"P"&amp;$A64)</f>
        <v>131.48%</v>
      </c>
      <c r="EN64" s="83" t="str">
        <f>RTD("tos.rtd",,EN$2,"."&amp;$A$43&amp;$AU$1&amp;"C"&amp;$A64)</f>
        <v>--</v>
      </c>
      <c r="EO64" s="83" t="str">
        <f>RTD("tos.rtd",,EO$2,"."&amp;$A$43&amp;$AU$1&amp;"P"&amp;$A64)</f>
        <v>43.06%</v>
      </c>
      <c r="EP64" s="83" t="str">
        <f>RTD("tos.rtd",,EP$2,"."&amp;$A$43&amp;$AW$1&amp;"C"&amp;$A64)</f>
        <v>N/A</v>
      </c>
      <c r="EQ64" s="83" t="str">
        <f>RTD("tos.rtd",,EQ$2,"."&amp;$A$43&amp;$AW$1&amp;"P"&amp;$A64)</f>
        <v>N/A</v>
      </c>
      <c r="ES64" s="63" t="str">
        <f t="shared" si="274"/>
        <v>483,241.00</v>
      </c>
      <c r="ET64" s="63" t="str">
        <f t="shared" ca="1" si="275"/>
        <v>483,00.00</v>
      </c>
      <c r="EU64" s="68">
        <v>565.47</v>
      </c>
      <c r="EV64" s="68" t="s">
        <v>531</v>
      </c>
      <c r="EW64" s="68">
        <v>488.99</v>
      </c>
      <c r="EX64" s="68" t="s">
        <v>532</v>
      </c>
      <c r="EY64" s="68">
        <v>5663.94</v>
      </c>
      <c r="EZ64" s="68" t="s">
        <v>533</v>
      </c>
      <c r="FA64" s="68">
        <v>20063.564999999999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94"/>
        <v>482</v>
      </c>
      <c r="B65" s="3">
        <f t="shared" ref="B65:B69" si="371">+IF($A$1="ABS",AS65-AT65,AS65+AT65)</f>
        <v>7177</v>
      </c>
      <c r="C65" s="3">
        <f t="shared" si="242"/>
        <v>1225</v>
      </c>
      <c r="D65" s="3">
        <f t="shared" ref="D65:D69" si="372">+IF($A$1="ABS",AW65-AX65,AW65+AX65)</f>
        <v>0</v>
      </c>
      <c r="E65" s="3">
        <f t="shared" ref="E65:E69" si="373">SUM(B65:D65)</f>
        <v>8402</v>
      </c>
      <c r="F65" s="4">
        <f t="shared" ref="F65:F69" si="374">+$F$44/$A$44*A65</f>
        <v>19887.102202874012</v>
      </c>
      <c r="AM65" s="1">
        <v>-314</v>
      </c>
      <c r="AN65" s="1">
        <v>-1026</v>
      </c>
      <c r="AO65" s="1">
        <v>482</v>
      </c>
      <c r="AP65" s="1">
        <v>1041</v>
      </c>
      <c r="AQ65" s="1">
        <v>-15684</v>
      </c>
      <c r="AS65" s="6">
        <f>IF(RTD("tos.rtd",,AS$43,"."&amp;$A$43&amp;$AS$42&amp;"C"&amp;$A65)="N/A",0,RTD("tos.rtd",,AS$43,"."&amp;$A$43&amp;$AS$42&amp;"C"&amp;$A65))</f>
        <v>2461</v>
      </c>
      <c r="AT65" s="7">
        <f>-IF(RTD("tos.rtd",,AT$43,"."&amp;$A$43&amp;$AS$42&amp;"P"&amp;$A65)="N/A",0,RTD("tos.rtd",,AT$43,"."&amp;$A$43&amp;$AS$42&amp;"P"&amp;$A65))</f>
        <v>-4716</v>
      </c>
      <c r="AU65" s="6">
        <f>IF(RTD("tos.rtd",,AU$2,"."&amp;$A$43&amp;$AU$1&amp;"C"&amp;$A65)="N/A",0,RTD("tos.rtd",,AU$2,"."&amp;$A$43&amp;$AU$1&amp;"C"&amp;$A65))</f>
        <v>578</v>
      </c>
      <c r="AV65" s="7">
        <f>-IF(RTD("tos.rtd",,AV$2,"."&amp;$A$43&amp;$AU$1&amp;"P"&amp;$A65)="N/A",0,RTD("tos.rtd",,AV$2,"."&amp;$A$43&amp;$AU$1&amp;"P"&amp;$A65))</f>
        <v>-647</v>
      </c>
      <c r="AW65" s="6">
        <f>IF(RTD("tos.rtd",,AW$2,"."&amp;$A$43&amp;$AW$1&amp;"C"&amp;$A65)="N/A",0,RTD("tos.rtd",,AW$2,"."&amp;$A$43&amp;$AW$1&amp;"C"&amp;$A65))</f>
        <v>0</v>
      </c>
      <c r="AX65" s="7">
        <f>-IF(RTD("tos.rtd",,AX$2,"."&amp;$A$43&amp;$AW$1&amp;"P"&amp;$A65)="N/A",0,RTD("tos.rtd",,AX$2,"."&amp;$A$43&amp;$AW$1&amp;"P"&amp;$A65))</f>
        <v>0</v>
      </c>
      <c r="AY65" s="7">
        <f t="shared" ref="AY65:AY69" si="375">SUM(AS65:AX65)</f>
        <v>-2324</v>
      </c>
      <c r="AZ65" s="8">
        <f t="shared" si="245"/>
        <v>482</v>
      </c>
      <c r="BA65" s="6">
        <f>IF(RTD("tos.rtd",,BA$43,"."&amp;$A$43&amp;$AS$42&amp;"C"&amp;$A65)="N/A",0,RTD("tos.rtd",,BA$43,"."&amp;$A$43&amp;$AS$42&amp;"C"&amp;$A65))</f>
        <v>1244</v>
      </c>
      <c r="BB65" s="7">
        <f>-IF(RTD("tos.rtd",,BB$43,"."&amp;$A$43&amp;$AS$42&amp;"P"&amp;$A65)="N/A",0,RTD("tos.rtd",,BB$43,"."&amp;$A$43&amp;$AS$42&amp;"P"&amp;$A65))</f>
        <v>-16319</v>
      </c>
      <c r="BC65" s="6">
        <f>IF(RTD("tos.rtd",,BC$2,"."&amp;$A$43&amp;$AU$1&amp;"C"&amp;$A65)="N/A",0,RTD("tos.rtd",,BC$2,"."&amp;$A$43&amp;$AU$1&amp;"C"&amp;$A65))</f>
        <v>282</v>
      </c>
      <c r="BD65" s="7">
        <f>-IF(RTD("tos.rtd",,BD$2,"."&amp;$A$43&amp;$AU$1&amp;"P"&amp;$A65)="N/A",0,RTD("tos.rtd",,BD$2,"."&amp;$A$43&amp;$AU$1&amp;"P"&amp;$A65))</f>
        <v>-677</v>
      </c>
      <c r="BE65" s="6">
        <f>IF(RTD("tos.rtd",,BE$2,"."&amp;$A$43&amp;$AW$1&amp;"C"&amp;$A65)="N/A",0,RTD("tos.rtd",,BE$2,"."&amp;$A$43&amp;$AW$1&amp;"C"&amp;$A65))</f>
        <v>0</v>
      </c>
      <c r="BF65" s="7">
        <f>-IF(RTD("tos.rtd",,BF$2,"."&amp;$A$43&amp;$AW$1&amp;"P"&amp;$A65)="N/A",0,RTD("tos.rtd",,BF$2,"."&amp;$A$43&amp;$AW$1&amp;"P"&amp;$A65))</f>
        <v>0</v>
      </c>
      <c r="BG65" s="32">
        <f ca="1">+Hoja2!Y66</f>
        <v>-14</v>
      </c>
      <c r="BH65" s="7">
        <f t="shared" ca="1" si="277"/>
        <v>-15484</v>
      </c>
      <c r="BI65" s="8" t="str">
        <f t="shared" ca="1" si="295"/>
        <v/>
      </c>
      <c r="BJ65" s="83" t="e">
        <f ca="1">IF($BP$1=1,DX65,IF(RTD("tos.rtd",,BJ$43,"."&amp;$A$43&amp;$AS$42&amp;"C"&amp;$A65)="N/A",0,RTD("tos.rtd",,BJ$43,"."&amp;$A$43&amp;$AS$42&amp;"C"&amp;$A65)))</f>
        <v>#NUM!</v>
      </c>
      <c r="BK65" s="83" t="e">
        <f ca="1">IF($BP$1=1,DY65,-IF(RTD("tos.rtd",,BK$43,"."&amp;$A$43&amp;$AS$42&amp;"P"&amp;$A65)="N/A",0,RTD("tos.rtd",,BK$43,"."&amp;$A$43&amp;$AS$42&amp;"P"&amp;$A65)))</f>
        <v>#NUM!</v>
      </c>
      <c r="BL65" s="83">
        <f ca="1">IF($BP$1=1,DZ65,IF(RTD("tos.rtd",,BL$2,"."&amp;$A$43&amp;$AU$1&amp;"C"&amp;$A65)="N/A",0,RTD("tos.rtd",,BL$2,"."&amp;$A$43&amp;$AU$1&amp;"C"&amp;$A65)))</f>
        <v>1.5900753340214086E-2</v>
      </c>
      <c r="BM65" s="83">
        <f ca="1">IF($BP$1=1,EA65,-IF(RTD("tos.rtd",,BM$2,"."&amp;$A$43&amp;$AU$1&amp;"P"&amp;$A65)="N/A",0,RTD("tos.rtd",,BM$2,"."&amp;$A$43&amp;$AU$1&amp;"P"&amp;$A65)))</f>
        <v>-1.1968822002286602E-2</v>
      </c>
      <c r="BN65" s="83">
        <f ca="1">IF($BP$1=1,EB65,IF(RTD("tos.rtd",,BN$2,"."&amp;$A$43&amp;$AW$1&amp;"C"&amp;$A65)="N/A",0,RTD("tos.rtd",,BN$2,"."&amp;$A$43&amp;$AW$1&amp;"C"&amp;$A65)))</f>
        <v>1.5900753340214086E-2</v>
      </c>
      <c r="BO65" s="83">
        <f ca="1">IF($BP$1=1,EC65,-IF(RTD("tos.rtd",,BO$2,"."&amp;$A$43&amp;$AW$1&amp;"P"&amp;$A65)="N/A",0,RTD("tos.rtd",,BO$2,"."&amp;$A$43&amp;$AW$1&amp;"P"&amp;$A65)))</f>
        <v>-1.5900753340214086E-2</v>
      </c>
      <c r="BQ65" s="83" t="e">
        <f t="shared" ref="BQ65:BQ69" ca="1" si="376">+$A$44*$A$44*AS65*BJ65-$A$44*$A$44*AT65*BK65</f>
        <v>#NUM!</v>
      </c>
      <c r="BR65" s="3" t="e">
        <f t="shared" ca="1" si="279"/>
        <v>#NUM!</v>
      </c>
      <c r="BS65" s="83">
        <f t="shared" ref="BS65:BS69" ca="1" si="377">+$A$44*$A$44*AU65*BL65-$A$44*$A$44*AV65*BM65</f>
        <v>356181.84877753095</v>
      </c>
      <c r="BT65" s="3" t="str">
        <f t="shared" ca="1" si="281"/>
        <v>Cruce +</v>
      </c>
      <c r="BU65" s="83">
        <f t="shared" ref="BU65:BU69" ca="1" si="378">+$A$44*$A$44*AW65*BN65-$A$44*$A$44*AX65*BO65</f>
        <v>0</v>
      </c>
      <c r="BV65" s="83"/>
      <c r="BX65" s="83" t="e">
        <f t="shared" ref="BX65:BX69" ca="1" si="379">+$A$44*$A$44*BA65*BJ65-$A$44*$A$44*BB65*BK65</f>
        <v>#NUM!</v>
      </c>
      <c r="BY65" s="83" t="e">
        <f t="shared" ca="1" si="296"/>
        <v>#NUM!</v>
      </c>
      <c r="BZ65" s="83">
        <f t="shared" ref="BZ65:BZ69" ca="1" si="380">+$A$44*$A$44*BC65*BL65-$A$44*$A$44*BD65*BM65</f>
        <v>-890912.78778621554</v>
      </c>
      <c r="CA65" s="83" t="str">
        <f t="shared" ca="1" si="296"/>
        <v/>
      </c>
      <c r="CB65" s="83">
        <f t="shared" ref="CB65:CB69" ca="1" si="381">+$A$44*$A$44*BE65*BN65-$A$44*$A$44*BF65*BO65</f>
        <v>0</v>
      </c>
      <c r="CC65" s="83" t="str">
        <f t="shared" ca="1" si="296"/>
        <v/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</v>
      </c>
      <c r="CF65" s="83">
        <f>IF(RTD("tos.rtd",,CF$2,"."&amp;$A$43&amp;$AU$1&amp;"C"&amp;$A65)="N/A",0,RTD("tos.rtd",,CF$2,"."&amp;$A$43&amp;$AU$1&amp;"C"&amp;$A65))</f>
        <v>1</v>
      </c>
      <c r="CG65" s="83">
        <f>-IF(RTD("tos.rtd",,CG$2,"."&amp;$A$43&amp;$AU$1&amp;"P"&amp;$A65)="N/A",0,RTD("tos.rtd",,CG$2,"."&amp;$A$43&amp;$AU$1&amp;"P"&amp;$A65))</f>
        <v>0.27</v>
      </c>
      <c r="CH65" s="83">
        <f>IF(RTD("tos.rtd",,CH$2,"."&amp;$A$43&amp;$AW$1&amp;"C"&amp;$A65)="N/A",0,RTD("tos.rtd",,CH$2,"."&amp;$A$43&amp;$AW$1&amp;"C"&amp;$A65))</f>
        <v>0</v>
      </c>
      <c r="CI65" s="83">
        <f>-IF(RTD("tos.rtd",,CI$2,"."&amp;$A$43&amp;$AW$1&amp;"P"&amp;$A65)="N/A",0,RTD("tos.rtd",,CI$2,"."&amp;$A$43&amp;$AW$1&amp;"P"&amp;$A65))</f>
        <v>0</v>
      </c>
      <c r="CK65" s="83">
        <f t="shared" ref="CK65:CK69" si="382">+AS65*CD65*100+AT65*CE65*100</f>
        <v>246100</v>
      </c>
      <c r="CL65" s="83"/>
      <c r="CM65" s="83">
        <f t="shared" ref="CM65:CM69" si="383">+AU65*CF65*100+AV65*CG65*100</f>
        <v>40331</v>
      </c>
      <c r="CN65" s="83"/>
      <c r="CO65" s="83">
        <f t="shared" ref="CO65:CO69" si="384">+AW65*CH65*100+AX65*CI65*100</f>
        <v>0</v>
      </c>
      <c r="CP65" s="83">
        <f t="shared" ref="CP65:CP69" si="385">+CK65+CM65+CO65</f>
        <v>286431</v>
      </c>
      <c r="CQ65" s="83">
        <f t="shared" ref="CQ65:CQ69" si="386">+BA65+BB65</f>
        <v>-15075</v>
      </c>
      <c r="CR65" s="83"/>
      <c r="CS65" s="83">
        <f t="shared" ref="CS65:CS69" si="387">+BC65+BD65</f>
        <v>-395</v>
      </c>
      <c r="CT65" s="83"/>
      <c r="CU65" s="83">
        <f t="shared" ref="CU65:CU69" si="388">+BE65+BF65</f>
        <v>0</v>
      </c>
      <c r="CV65" s="83"/>
      <c r="CW65" s="83" t="e">
        <f t="shared" ref="CW65:CW69" ca="1" si="389">+BQ65+BS65+BU65</f>
        <v>#NUM!</v>
      </c>
      <c r="CY65" s="83" t="e">
        <f t="shared" ref="CY65:CY69" ca="1" si="390">+BX65+BZ65+CB65</f>
        <v>#NUM!</v>
      </c>
      <c r="CZ65" s="70" t="e">
        <f t="shared" ca="1" si="297"/>
        <v>#NUM!</v>
      </c>
      <c r="DA65" s="83">
        <f>IF(RTD("tos.rtd",,DA$43,"."&amp;$A$43&amp;$AS$42&amp;"C"&amp;$A65)="N/A",0,RTD("tos.rtd",,DA$43,"."&amp;$A$43&amp;$AS$42&amp;"C"&amp;$A65))</f>
        <v>5.92</v>
      </c>
      <c r="DB65" s="83">
        <f>IF(RTD("tos.rtd",,DB$43,"."&amp;$A$43&amp;$AS$42&amp;"P"&amp;$A65)="N/A",0,RTD("tos.rtd",,DB$43,"."&amp;$A$43&amp;$AS$42&amp;"P"&amp;$A65))</f>
        <v>0.02</v>
      </c>
      <c r="DC65" s="83">
        <f>IF(RTD("tos.rtd",,DC$43,"."&amp;$A$43&amp;$AS$42&amp;"C"&amp;$A65)="N/A",0,RTD("tos.rtd",,DC$43,"."&amp;$A$43&amp;$AS$42&amp;"C"&amp;$A65))</f>
        <v>6.11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5.78</v>
      </c>
      <c r="DF65" s="83">
        <f>IF(RTD("tos.rtd",,DF$43,"."&amp;$A$43&amp;$AS$42&amp;"P"&amp;$A65)="N/A",0,RTD("tos.rtd",,DF$43,"."&amp;$A$43&amp;$AS$42&amp;"P"&amp;$A65))</f>
        <v>0</v>
      </c>
      <c r="DG65" s="86">
        <f t="shared" si="289"/>
        <v>-14.170000000000016</v>
      </c>
      <c r="DH65" s="83">
        <f t="shared" ref="DH65:DH69" si="391">((DA65-DE65)/(DC65-DE65))*(BA65-AP65)</f>
        <v>86.121212121211911</v>
      </c>
      <c r="DI65" s="83">
        <f t="shared" ref="DI65:DI69" si="392">((DB65-DF65)/(DD65-DF65))*(BB65-AQ65)</f>
        <v>-1270</v>
      </c>
      <c r="DJ65" s="83">
        <f t="shared" ref="DJ65:DJ69" si="393">IF(DA65&gt;=(DE65+(DC65-DE65)*0.6),(BA65-AP65),IF(DA65&lt;=(DE65+(DC65-DE65)*0.4),-(BA65-AP65),0))</f>
        <v>0</v>
      </c>
      <c r="DK65" s="83">
        <f t="shared" si="257"/>
        <v>-635</v>
      </c>
      <c r="DL65" s="83">
        <f t="shared" si="258"/>
        <v>-1183.878787878788</v>
      </c>
      <c r="DM65" s="83">
        <f t="shared" si="259"/>
        <v>-635</v>
      </c>
      <c r="DN65" s="64" t="str">
        <f t="shared" si="260"/>
        <v>UNKNOWN</v>
      </c>
      <c r="DO65" s="64" t="str">
        <f t="shared" si="261"/>
        <v>BUY</v>
      </c>
      <c r="DP65" s="83">
        <f t="shared" si="262"/>
        <v>484.43757575757451</v>
      </c>
      <c r="DQ65" s="83">
        <f t="shared" si="263"/>
        <v>-12.700000000000001</v>
      </c>
      <c r="DR65" s="83" t="e">
        <f t="shared" ca="1" si="264"/>
        <v>#NUM!</v>
      </c>
      <c r="DS65" s="83">
        <f t="shared" si="265"/>
        <v>0</v>
      </c>
      <c r="DT65" s="83">
        <f t="shared" si="290"/>
        <v>203</v>
      </c>
      <c r="DU65" s="83">
        <f t="shared" si="291"/>
        <v>-635</v>
      </c>
      <c r="DV65" s="83">
        <f t="shared" si="266"/>
        <v>-314</v>
      </c>
      <c r="DW65" s="83">
        <f t="shared" si="267"/>
        <v>-1661</v>
      </c>
      <c r="DX65" s="83" t="e">
        <f t="shared" ref="DX65:DX69" ca="1" si="394">(EXP(-POWER((LN($A$44/$A65)+($EC$1+POWER($EE65,2)/2)*($EM$1/$DY$1))/($EE65*SQRT($EM$1/$DY$1)),2)/2)/SQRT(2*PI())/($A$44*$EE65*SQRT($EM$1/$DY$1)))</f>
        <v>#NUM!</v>
      </c>
      <c r="DY65" s="83" t="e">
        <f t="shared" ref="DY65:DY69" ca="1" si="395">-(EXP(-POWER((LN($A$44/$A65)+($EC$1+POWER($EF65,2)/2)*($EM$1/$DY$1))/($EF65*SQRT($EM$1/$DY$1)),2)/2)/SQRT(2*PI())/($A$44*$EF65*SQRT($EM$1/$DY$1)))</f>
        <v>#NUM!</v>
      </c>
      <c r="DZ65" s="83">
        <f t="shared" ref="DZ65:DZ69" ca="1" si="396">(EXP(-POWER((LN($A$44/$A65)+($EC$1+POWER($EG65,2)/2)*($EO$1/$DY$1))/($EG65*SQRT($EO$1/$DY$1)),2)/2)/SQRT(2*PI())/($A$44*$EG65*SQRT($EO$1/$DY$1)))</f>
        <v>1.5900753340214086E-2</v>
      </c>
      <c r="EA65" s="83">
        <f t="shared" ref="EA65:EA69" ca="1" si="397">-(EXP(-POWER((LN($A$44/$A65)+($EC$1+POWER($EH65,2)/2)*($EO$1/$DY$1))/($EH65*SQRT($EO$1/$DY$1)),2)/2)/SQRT(2*PI())/($A$44*$EH65*SQRT($EO$1/$DY$1)))</f>
        <v>-1.1968822002286602E-2</v>
      </c>
      <c r="EB65" s="83">
        <f t="shared" ref="EB65:EB69" ca="1" si="398">(EXP(-POWER((LN($A$44/$A65)+($EC$1+POWER($EI65,2)/2)*($EO$1/$DY$1))/($EI65*SQRT($EO$1/$DY$1)),2)/2)/SQRT(2*PI())/($A$44*$EI65*SQRT($EO$1/$DY$1)))</f>
        <v>1.5900753340214086E-2</v>
      </c>
      <c r="EC65" s="83">
        <f t="shared" ref="EC65:EC69" ca="1" si="399">-(EXP(-POWER((LN($A$44/$A65)+($EC$1+POWER($EJ65,2)/2)*($EO$1/$DY$1))/($EJ65*SQRT($EO$1/$DY$1)),2)/2)/SQRT(2*PI())/($A$44*$EJ65*SQRT($EO$1/$DY$1)))</f>
        <v>-1.5900753340214086E-2</v>
      </c>
      <c r="ED65" s="63">
        <f t="shared" si="292"/>
        <v>-1975</v>
      </c>
      <c r="EE65" s="84">
        <f t="shared" ref="EE65:EE69" si="400">IFERROR(VALUE(IF(OR(EL65="--",EL65="0.00%"),$EE$1,EL65)),$EE$1)</f>
        <v>0.25</v>
      </c>
      <c r="EF65" s="84">
        <f t="shared" ref="EF65:EF69" si="401">IFERROR(VALUE(IF(OR(EM65="--",EM65="0.00%"),$EE$1,EM65)),$EE$1)</f>
        <v>1.4056999999999999</v>
      </c>
      <c r="EG65" s="84">
        <f t="shared" ref="EG65:EG69" si="402">IFERROR(VALUE(IF(OR(EN65="--",EN65="0.00%"),$EE$1,EN65)),$EE$1)</f>
        <v>0.25</v>
      </c>
      <c r="EH65" s="84">
        <f t="shared" ref="EH65:EH69" si="403">IFERROR(VALUE(IF(OR(EO65="--",EO65="0.00%"),$EE$1,EO65)),$EE$1)</f>
        <v>0.42799999999999999</v>
      </c>
      <c r="EI65" s="84">
        <f t="shared" ref="EI65:EI69" si="404">IFERROR(VALUE(IF(OR(EP65="--",EP65="0.00%"),$EE$1,EP65)),$EE$1)</f>
        <v>0.25</v>
      </c>
      <c r="EJ65" s="84">
        <f t="shared" ref="EJ65:EJ69" si="405">IFERROR(VALUE(IF(OR(EQ65="--",EQ65="0.00%"),$EE$1,EQ65)),$EE$1)</f>
        <v>0.25</v>
      </c>
      <c r="EK65" s="63" t="e">
        <f t="shared" ca="1" si="293"/>
        <v>#NUM!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140.57%</v>
      </c>
      <c r="EN65" s="83" t="str">
        <f>RTD("tos.rtd",,EN$2,"."&amp;$A$43&amp;$AU$1&amp;"C"&amp;$A65)</f>
        <v>--</v>
      </c>
      <c r="EO65" s="83" t="str">
        <f>RTD("tos.rtd",,EO$2,"."&amp;$A$43&amp;$AU$1&amp;"P"&amp;$A65)</f>
        <v>42.80%</v>
      </c>
      <c r="EP65" s="83" t="str">
        <f>RTD("tos.rtd",,EP$2,"."&amp;$A$43&amp;$AW$1&amp;"C"&amp;$A65)</f>
        <v>N/A</v>
      </c>
      <c r="EQ65" s="83" t="str">
        <f>RTD("tos.rtd",,EQ$2,"."&amp;$A$43&amp;$AW$1&amp;"P"&amp;$A65)</f>
        <v>N/A</v>
      </c>
      <c r="ES65" s="63" t="str">
        <f t="shared" si="274"/>
        <v>482,-1975.00</v>
      </c>
      <c r="ET65" s="63" t="str">
        <f t="shared" ca="1" si="275"/>
        <v>482,00.00</v>
      </c>
      <c r="EU65" s="68">
        <v>565.52</v>
      </c>
      <c r="EV65" s="68" t="s">
        <v>539</v>
      </c>
      <c r="EW65" s="68">
        <v>489.08</v>
      </c>
      <c r="EX65" s="68" t="s">
        <v>540</v>
      </c>
      <c r="EY65" s="68">
        <v>5663.94</v>
      </c>
      <c r="EZ65" s="68" t="s">
        <v>541</v>
      </c>
      <c r="FA65" s="68">
        <v>20063.564999999999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94"/>
        <v>481</v>
      </c>
      <c r="B66" s="3">
        <f t="shared" si="371"/>
        <v>4539</v>
      </c>
      <c r="C66" s="3">
        <f t="shared" si="242"/>
        <v>1357</v>
      </c>
      <c r="D66" s="3">
        <f t="shared" si="372"/>
        <v>0</v>
      </c>
      <c r="E66" s="3">
        <f t="shared" si="373"/>
        <v>5896</v>
      </c>
      <c r="F66" s="4">
        <f t="shared" si="374"/>
        <v>19845.842654735272</v>
      </c>
      <c r="AM66" s="1">
        <v>155</v>
      </c>
      <c r="AN66" s="1">
        <v>-2401</v>
      </c>
      <c r="AO66" s="1">
        <v>481</v>
      </c>
      <c r="AP66" s="1">
        <v>555</v>
      </c>
      <c r="AQ66" s="1">
        <v>-9329</v>
      </c>
      <c r="AS66" s="6">
        <f>IF(RTD("tos.rtd",,AS$43,"."&amp;$A$43&amp;$AS$42&amp;"C"&amp;$A66)="N/A",0,RTD("tos.rtd",,AS$43,"."&amp;$A$43&amp;$AS$42&amp;"C"&amp;$A66))</f>
        <v>1987</v>
      </c>
      <c r="AT66" s="7">
        <f>-IF(RTD("tos.rtd",,AT$43,"."&amp;$A$43&amp;$AS$42&amp;"P"&amp;$A66)="N/A",0,RTD("tos.rtd",,AT$43,"."&amp;$A$43&amp;$AS$42&amp;"P"&amp;$A66))</f>
        <v>-2552</v>
      </c>
      <c r="AU66" s="6">
        <f>IF(RTD("tos.rtd",,AU$2,"."&amp;$A$43&amp;$AU$1&amp;"C"&amp;$A66)="N/A",0,RTD("tos.rtd",,AU$2,"."&amp;$A$43&amp;$AU$1&amp;"C"&amp;$A66))</f>
        <v>584</v>
      </c>
      <c r="AV66" s="7">
        <f>-IF(RTD("tos.rtd",,AV$2,"."&amp;$A$43&amp;$AU$1&amp;"P"&amp;$A66)="N/A",0,RTD("tos.rtd",,AV$2,"."&amp;$A$43&amp;$AU$1&amp;"P"&amp;$A66))</f>
        <v>-773</v>
      </c>
      <c r="AW66" s="6">
        <f>IF(RTD("tos.rtd",,AW$2,"."&amp;$A$43&amp;$AW$1&amp;"C"&amp;$A66)="N/A",0,RTD("tos.rtd",,AW$2,"."&amp;$A$43&amp;$AW$1&amp;"C"&amp;$A66))</f>
        <v>0</v>
      </c>
      <c r="AX66" s="7">
        <f>-IF(RTD("tos.rtd",,AX$2,"."&amp;$A$43&amp;$AW$1&amp;"P"&amp;$A66)="N/A",0,RTD("tos.rtd",,AX$2,"."&amp;$A$43&amp;$AW$1&amp;"P"&amp;$A66))</f>
        <v>0</v>
      </c>
      <c r="AY66" s="7">
        <f t="shared" si="375"/>
        <v>-754</v>
      </c>
      <c r="AZ66" s="8">
        <f t="shared" si="245"/>
        <v>481</v>
      </c>
      <c r="BA66" s="6">
        <f>IF(RTD("tos.rtd",,BA$43,"."&amp;$A$43&amp;$AS$42&amp;"C"&amp;$A66)="N/A",0,RTD("tos.rtd",,BA$43,"."&amp;$A$43&amp;$AS$42&amp;"C"&amp;$A66))</f>
        <v>559</v>
      </c>
      <c r="BB66" s="7">
        <f>-IF(RTD("tos.rtd",,BB$43,"."&amp;$A$43&amp;$AS$42&amp;"P"&amp;$A66)="N/A",0,RTD("tos.rtd",,BB$43,"."&amp;$A$43&amp;$AS$42&amp;"P"&amp;$A66))</f>
        <v>-9331</v>
      </c>
      <c r="BC66" s="6">
        <f>IF(RTD("tos.rtd",,BC$2,"."&amp;$A$43&amp;$AU$1&amp;"C"&amp;$A66)="N/A",0,RTD("tos.rtd",,BC$2,"."&amp;$A$43&amp;$AU$1&amp;"C"&amp;$A66))</f>
        <v>70</v>
      </c>
      <c r="BD66" s="7">
        <f>-IF(RTD("tos.rtd",,BD$2,"."&amp;$A$43&amp;$AU$1&amp;"P"&amp;$A66)="N/A",0,RTD("tos.rtd",,BD$2,"."&amp;$A$43&amp;$AU$1&amp;"P"&amp;$A66))</f>
        <v>-367</v>
      </c>
      <c r="BE66" s="6">
        <f>IF(RTD("tos.rtd",,BE$2,"."&amp;$A$43&amp;$AW$1&amp;"C"&amp;$A66)="N/A",0,RTD("tos.rtd",,BE$2,"."&amp;$A$43&amp;$AW$1&amp;"C"&amp;$A66))</f>
        <v>0</v>
      </c>
      <c r="BF66" s="7">
        <f>-IF(RTD("tos.rtd",,BF$2,"."&amp;$A$43&amp;$AW$1&amp;"P"&amp;$A66)="N/A",0,RTD("tos.rtd",,BF$2,"."&amp;$A$43&amp;$AW$1&amp;"P"&amp;$A66))</f>
        <v>0</v>
      </c>
      <c r="BG66" s="32">
        <f ca="1">+Hoja2!Y67</f>
        <v>-263</v>
      </c>
      <c r="BH66" s="7">
        <f t="shared" ca="1" si="277"/>
        <v>-9332</v>
      </c>
      <c r="BI66" s="8" t="str">
        <f t="shared" ca="1" si="295"/>
        <v/>
      </c>
      <c r="BJ66" s="83" t="e">
        <f ca="1">IF($BP$1=1,DX66,IF(RTD("tos.rtd",,BJ$43,"."&amp;$A$43&amp;$AS$42&amp;"C"&amp;$A66)="N/A",0,RTD("tos.rtd",,BJ$43,"."&amp;$A$43&amp;$AS$42&amp;"C"&amp;$A66)))</f>
        <v>#NUM!</v>
      </c>
      <c r="BK66" s="83" t="e">
        <f ca="1">IF($BP$1=1,DY66,-IF(RTD("tos.rtd",,BK$43,"."&amp;$A$43&amp;$AS$42&amp;"P"&amp;$A66)="N/A",0,RTD("tos.rtd",,BK$43,"."&amp;$A$43&amp;$AS$42&amp;"P"&amp;$A66)))</f>
        <v>#NUM!</v>
      </c>
      <c r="BL66" s="83">
        <f ca="1">IF($BP$1=1,DZ66,IF(RTD("tos.rtd",,BL$2,"."&amp;$A$43&amp;$AU$1&amp;"C"&amp;$A66)="N/A",0,RTD("tos.rtd",,BL$2,"."&amp;$A$43&amp;$AU$1&amp;"C"&amp;$A66)))</f>
        <v>1.5023849345600465E-2</v>
      </c>
      <c r="BM66" s="83">
        <f ca="1">IF($BP$1=1,EA66,-IF(RTD("tos.rtd",,BM$2,"."&amp;$A$43&amp;$AU$1&amp;"P"&amp;$A66)="N/A",0,RTD("tos.rtd",,BM$2,"."&amp;$A$43&amp;$AU$1&amp;"P"&amp;$A66)))</f>
        <v>-1.1779443650910918E-2</v>
      </c>
      <c r="BN66" s="83">
        <f ca="1">IF($BP$1=1,EB66,IF(RTD("tos.rtd",,BN$2,"."&amp;$A$43&amp;$AW$1&amp;"C"&amp;$A66)="N/A",0,RTD("tos.rtd",,BN$2,"."&amp;$A$43&amp;$AW$1&amp;"C"&amp;$A66)))</f>
        <v>1.5023849345600465E-2</v>
      </c>
      <c r="BO66" s="83">
        <f ca="1">IF($BP$1=1,EC66,-IF(RTD("tos.rtd",,BO$2,"."&amp;$A$43&amp;$AW$1&amp;"P"&amp;$A66)="N/A",0,RTD("tos.rtd",,BO$2,"."&amp;$A$43&amp;$AW$1&amp;"P"&amp;$A66)))</f>
        <v>-1.5023849345600465E-2</v>
      </c>
      <c r="BQ66" s="83" t="e">
        <f t="shared" ca="1" si="376"/>
        <v>#NUM!</v>
      </c>
      <c r="BR66" s="3" t="e">
        <f t="shared" ca="1" si="279"/>
        <v>#NUM!</v>
      </c>
      <c r="BS66" s="83">
        <f t="shared" ca="1" si="377"/>
        <v>-81630.386252797674</v>
      </c>
      <c r="BT66" s="3" t="str">
        <f t="shared" ca="1" si="281"/>
        <v>Cruce -</v>
      </c>
      <c r="BU66" s="83">
        <f t="shared" ca="1" si="378"/>
        <v>0</v>
      </c>
      <c r="BV66" s="83"/>
      <c r="BX66" s="83" t="e">
        <f t="shared" ca="1" si="379"/>
        <v>#NUM!</v>
      </c>
      <c r="BY66" s="83" t="e">
        <f t="shared" ca="1" si="296"/>
        <v>#NUM!</v>
      </c>
      <c r="BZ66" s="83">
        <f t="shared" ca="1" si="380"/>
        <v>-805365.16928192682</v>
      </c>
      <c r="CA66" s="83" t="str">
        <f t="shared" ca="1" si="296"/>
        <v/>
      </c>
      <c r="CB66" s="83">
        <f t="shared" ca="1" si="381"/>
        <v>0</v>
      </c>
      <c r="CC66" s="83" t="str">
        <f t="shared" ca="1" si="296"/>
        <v/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</v>
      </c>
      <c r="CF66" s="83">
        <f>IF(RTD("tos.rtd",,CF$2,"."&amp;$A$43&amp;$AU$1&amp;"C"&amp;$A66)="N/A",0,RTD("tos.rtd",,CF$2,"."&amp;$A$43&amp;$AU$1&amp;"C"&amp;$A66))</f>
        <v>1</v>
      </c>
      <c r="CG66" s="83">
        <f>-IF(RTD("tos.rtd",,CG$2,"."&amp;$A$43&amp;$AU$1&amp;"P"&amp;$A66)="N/A",0,RTD("tos.rtd",,CG$2,"."&amp;$A$43&amp;$AU$1&amp;"P"&amp;$A66))</f>
        <v>0.25</v>
      </c>
      <c r="CH66" s="83">
        <f>IF(RTD("tos.rtd",,CH$2,"."&amp;$A$43&amp;$AW$1&amp;"C"&amp;$A66)="N/A",0,RTD("tos.rtd",,CH$2,"."&amp;$A$43&amp;$AW$1&amp;"C"&amp;$A66))</f>
        <v>0</v>
      </c>
      <c r="CI66" s="83">
        <f>-IF(RTD("tos.rtd",,CI$2,"."&amp;$A$43&amp;$AW$1&amp;"P"&amp;$A66)="N/A",0,RTD("tos.rtd",,CI$2,"."&amp;$A$43&amp;$AW$1&amp;"P"&amp;$A66))</f>
        <v>0</v>
      </c>
      <c r="CK66" s="83">
        <f t="shared" si="382"/>
        <v>198700</v>
      </c>
      <c r="CL66" s="83"/>
      <c r="CM66" s="83">
        <f t="shared" si="383"/>
        <v>39075</v>
      </c>
      <c r="CN66" s="83"/>
      <c r="CO66" s="83">
        <f t="shared" si="384"/>
        <v>0</v>
      </c>
      <c r="CP66" s="83">
        <f t="shared" si="385"/>
        <v>237775</v>
      </c>
      <c r="CQ66" s="83">
        <f t="shared" si="386"/>
        <v>-8772</v>
      </c>
      <c r="CR66" s="83"/>
      <c r="CS66" s="83">
        <f t="shared" si="387"/>
        <v>-297</v>
      </c>
      <c r="CT66" s="83"/>
      <c r="CU66" s="83">
        <f t="shared" si="388"/>
        <v>0</v>
      </c>
      <c r="CV66" s="83"/>
      <c r="CW66" s="83" t="e">
        <f t="shared" ca="1" si="389"/>
        <v>#NUM!</v>
      </c>
      <c r="CY66" s="83" t="e">
        <f t="shared" ca="1" si="390"/>
        <v>#NUM!</v>
      </c>
      <c r="CZ66" s="70" t="e">
        <f t="shared" ca="1" si="297"/>
        <v>#NUM!</v>
      </c>
      <c r="DA66" s="83">
        <f>IF(RTD("tos.rtd",,DA$43,"."&amp;$A$43&amp;$AS$42&amp;"C"&amp;$A66)="N/A",0,RTD("tos.rtd",,DA$43,"."&amp;$A$43&amp;$AS$42&amp;"C"&amp;$A66))</f>
        <v>7.29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7.11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6.78</v>
      </c>
      <c r="DF66" s="83">
        <f>IF(RTD("tos.rtd",,DF$43,"."&amp;$A$43&amp;$AS$42&amp;"P"&amp;$A66)="N/A",0,RTD("tos.rtd",,DF$43,"."&amp;$A$43&amp;$AS$42&amp;"P"&amp;$A66))</f>
        <v>0</v>
      </c>
      <c r="DG66" s="86">
        <f t="shared" si="289"/>
        <v>-15.170000000000016</v>
      </c>
      <c r="DH66" s="83">
        <f t="shared" si="391"/>
        <v>6.1818181818181781</v>
      </c>
      <c r="DI66" s="83">
        <f t="shared" si="392"/>
        <v>-2</v>
      </c>
      <c r="DJ66" s="83">
        <f t="shared" si="393"/>
        <v>4</v>
      </c>
      <c r="DK66" s="83">
        <f t="shared" si="257"/>
        <v>-2</v>
      </c>
      <c r="DL66" s="83">
        <f t="shared" si="258"/>
        <v>4.1818181818181781</v>
      </c>
      <c r="DM66" s="83">
        <f t="shared" si="259"/>
        <v>2</v>
      </c>
      <c r="DN66" s="64" t="str">
        <f t="shared" si="260"/>
        <v>BUY</v>
      </c>
      <c r="DO66" s="64" t="str">
        <f t="shared" si="261"/>
        <v>BUY</v>
      </c>
      <c r="DP66" s="83">
        <f t="shared" si="262"/>
        <v>45.045454545454518</v>
      </c>
      <c r="DQ66" s="83">
        <f t="shared" si="263"/>
        <v>29.14</v>
      </c>
      <c r="DR66" s="83" t="e">
        <f t="shared" ca="1" si="264"/>
        <v>#NUM!</v>
      </c>
      <c r="DS66" s="83">
        <f t="shared" si="265"/>
        <v>4</v>
      </c>
      <c r="DT66" s="83">
        <f t="shared" si="290"/>
        <v>4</v>
      </c>
      <c r="DU66" s="83">
        <f t="shared" si="291"/>
        <v>-2</v>
      </c>
      <c r="DV66" s="83">
        <f t="shared" si="266"/>
        <v>159</v>
      </c>
      <c r="DW66" s="83">
        <f t="shared" si="267"/>
        <v>-2403</v>
      </c>
      <c r="DX66" s="83" t="e">
        <f t="shared" ca="1" si="394"/>
        <v>#NUM!</v>
      </c>
      <c r="DY66" s="83" t="e">
        <f t="shared" ca="1" si="395"/>
        <v>#NUM!</v>
      </c>
      <c r="DZ66" s="83">
        <f t="shared" ca="1" si="396"/>
        <v>1.5023849345600465E-2</v>
      </c>
      <c r="EA66" s="83">
        <f t="shared" ca="1" si="397"/>
        <v>-1.1779443650910918E-2</v>
      </c>
      <c r="EB66" s="83">
        <f t="shared" ca="1" si="398"/>
        <v>1.5023849345600465E-2</v>
      </c>
      <c r="EC66" s="83">
        <f t="shared" ca="1" si="399"/>
        <v>-1.5023849345600465E-2</v>
      </c>
      <c r="ED66" s="63">
        <f t="shared" si="292"/>
        <v>-2244</v>
      </c>
      <c r="EE66" s="84">
        <f t="shared" si="400"/>
        <v>0.25</v>
      </c>
      <c r="EF66" s="84">
        <f t="shared" si="401"/>
        <v>1.4963</v>
      </c>
      <c r="EG66" s="84">
        <f t="shared" si="402"/>
        <v>0.25</v>
      </c>
      <c r="EH66" s="84">
        <f t="shared" si="403"/>
        <v>0.42549999999999999</v>
      </c>
      <c r="EI66" s="84">
        <f t="shared" si="404"/>
        <v>0.25</v>
      </c>
      <c r="EJ66" s="84">
        <f t="shared" si="405"/>
        <v>0.25</v>
      </c>
      <c r="EK66" s="63" t="e">
        <f t="shared" ca="1" si="293"/>
        <v>#NUM!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149.63%</v>
      </c>
      <c r="EN66" s="83" t="str">
        <f>RTD("tos.rtd",,EN$2,"."&amp;$A$43&amp;$AU$1&amp;"C"&amp;$A66)</f>
        <v>--</v>
      </c>
      <c r="EO66" s="83" t="str">
        <f>RTD("tos.rtd",,EO$2,"."&amp;$A$43&amp;$AU$1&amp;"P"&amp;$A66)</f>
        <v>42.55%</v>
      </c>
      <c r="EP66" s="83" t="str">
        <f>RTD("tos.rtd",,EP$2,"."&amp;$A$43&amp;$AW$1&amp;"C"&amp;$A66)</f>
        <v>N/A</v>
      </c>
      <c r="EQ66" s="83" t="str">
        <f>RTD("tos.rtd",,EQ$2,"."&amp;$A$43&amp;$AW$1&amp;"P"&amp;$A66)</f>
        <v>N/A</v>
      </c>
      <c r="ES66" s="63" t="str">
        <f t="shared" si="274"/>
        <v>481,-2244.00</v>
      </c>
      <c r="ET66" s="63" t="str">
        <f t="shared" ca="1" si="275"/>
        <v>481,00.00</v>
      </c>
      <c r="EU66" s="68">
        <v>565.57000000000005</v>
      </c>
      <c r="EV66" s="68" t="s">
        <v>547</v>
      </c>
      <c r="EW66" s="68">
        <v>489.15</v>
      </c>
      <c r="EX66" s="68" t="s">
        <v>548</v>
      </c>
      <c r="EY66" s="68">
        <v>5663.94</v>
      </c>
      <c r="EZ66" s="68" t="s">
        <v>549</v>
      </c>
      <c r="FA66" s="68">
        <v>20063.564999999999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94"/>
        <v>480</v>
      </c>
      <c r="B67" s="3">
        <f t="shared" si="371"/>
        <v>14750</v>
      </c>
      <c r="C67" s="3">
        <f t="shared" si="242"/>
        <v>56953</v>
      </c>
      <c r="D67" s="3">
        <f t="shared" si="372"/>
        <v>127747</v>
      </c>
      <c r="E67" s="3">
        <f t="shared" si="373"/>
        <v>199450</v>
      </c>
      <c r="F67" s="4">
        <f t="shared" si="374"/>
        <v>19804.583106596529</v>
      </c>
      <c r="AM67" s="1">
        <v>152</v>
      </c>
      <c r="AN67" s="1">
        <v>4118</v>
      </c>
      <c r="AO67" s="1">
        <v>480</v>
      </c>
      <c r="AP67" s="1">
        <v>2119</v>
      </c>
      <c r="AQ67" s="1">
        <v>-29055</v>
      </c>
      <c r="AS67" s="6">
        <f>IF(RTD("tos.rtd",,AS$43,"."&amp;$A$43&amp;$AS$42&amp;"C"&amp;$A67)="N/A",0,RTD("tos.rtd",,AS$43,"."&amp;$A$43&amp;$AS$42&amp;"C"&amp;$A67))</f>
        <v>3923</v>
      </c>
      <c r="AT67" s="7">
        <f>-IF(RTD("tos.rtd",,AT$43,"."&amp;$A$43&amp;$AS$42&amp;"P"&amp;$A67)="N/A",0,RTD("tos.rtd",,AT$43,"."&amp;$A$43&amp;$AS$42&amp;"P"&amp;$A67))</f>
        <v>-10827</v>
      </c>
      <c r="AU67" s="6">
        <f>IF(RTD("tos.rtd",,AU$2,"."&amp;$A$43&amp;$AU$1&amp;"C"&amp;$A67)="N/A",0,RTD("tos.rtd",,AU$2,"."&amp;$A$43&amp;$AU$1&amp;"C"&amp;$A67))</f>
        <v>29641</v>
      </c>
      <c r="AV67" s="7">
        <f>-IF(RTD("tos.rtd",,AV$2,"."&amp;$A$43&amp;$AU$1&amp;"P"&amp;$A67)="N/A",0,RTD("tos.rtd",,AV$2,"."&amp;$A$43&amp;$AU$1&amp;"P"&amp;$A67))</f>
        <v>-27312</v>
      </c>
      <c r="AW67" s="6">
        <f>IF(RTD("tos.rtd",,AW$2,"."&amp;$A$43&amp;$AW$1&amp;"C"&amp;$A67)="N/A",0,RTD("tos.rtd",,AW$2,"."&amp;$A$43&amp;$AW$1&amp;"C"&amp;$A67))</f>
        <v>46441</v>
      </c>
      <c r="AX67" s="7">
        <f>-IF(RTD("tos.rtd",,AX$2,"."&amp;$A$43&amp;$AW$1&amp;"P"&amp;$A67)="N/A",0,RTD("tos.rtd",,AX$2,"."&amp;$A$43&amp;$AW$1&amp;"P"&amp;$A67))</f>
        <v>-81306</v>
      </c>
      <c r="AY67" s="7">
        <f t="shared" si="375"/>
        <v>-39440</v>
      </c>
      <c r="AZ67" s="8">
        <f t="shared" si="245"/>
        <v>480</v>
      </c>
      <c r="BA67" s="6">
        <f>IF(RTD("tos.rtd",,BA$43,"."&amp;$A$43&amp;$AS$42&amp;"C"&amp;$A67)="N/A",0,RTD("tos.rtd",,BA$43,"."&amp;$A$43&amp;$AS$42&amp;"C"&amp;$A67))</f>
        <v>2151</v>
      </c>
      <c r="BB67" s="7">
        <f>-IF(RTD("tos.rtd",,BB$43,"."&amp;$A$43&amp;$AS$42&amp;"P"&amp;$A67)="N/A",0,RTD("tos.rtd",,BB$43,"."&amp;$A$43&amp;$AS$42&amp;"P"&amp;$A67))</f>
        <v>-29076</v>
      </c>
      <c r="BC67" s="6">
        <f>IF(RTD("tos.rtd",,BC$2,"."&amp;$A$43&amp;$AU$1&amp;"C"&amp;$A67)="N/A",0,RTD("tos.rtd",,BC$2,"."&amp;$A$43&amp;$AU$1&amp;"C"&amp;$A67))</f>
        <v>2188</v>
      </c>
      <c r="BD67" s="7">
        <f>-IF(RTD("tos.rtd",,BD$2,"."&amp;$A$43&amp;$AU$1&amp;"P"&amp;$A67)="N/A",0,RTD("tos.rtd",,BD$2,"."&amp;$A$43&amp;$AU$1&amp;"P"&amp;$A67))</f>
        <v>-12274</v>
      </c>
      <c r="BE67" s="6">
        <f>IF(RTD("tos.rtd",,BE$2,"."&amp;$A$43&amp;$AW$1&amp;"C"&amp;$A67)="N/A",0,RTD("tos.rtd",,BE$2,"."&amp;$A$43&amp;$AW$1&amp;"C"&amp;$A67))</f>
        <v>235</v>
      </c>
      <c r="BF67" s="7">
        <f>-IF(RTD("tos.rtd",,BF$2,"."&amp;$A$43&amp;$AW$1&amp;"P"&amp;$A67)="N/A",0,RTD("tos.rtd",,BF$2,"."&amp;$A$43&amp;$AW$1&amp;"P"&amp;$A67))</f>
        <v>-4755</v>
      </c>
      <c r="BG67" s="32">
        <f ca="1">+Hoja2!Y68</f>
        <v>-11807</v>
      </c>
      <c r="BH67" s="7">
        <f t="shared" ca="1" si="277"/>
        <v>-53338</v>
      </c>
      <c r="BI67" s="8" t="str">
        <f t="shared" ca="1" si="295"/>
        <v/>
      </c>
      <c r="BJ67" s="83" t="e">
        <f ca="1">IF($BP$1=1,DX67,IF(RTD("tos.rtd",,BJ$43,"."&amp;$A$43&amp;$AS$42&amp;"C"&amp;$A67)="N/A",0,RTD("tos.rtd",,BJ$43,"."&amp;$A$43&amp;$AS$42&amp;"C"&amp;$A67)))</f>
        <v>#NUM!</v>
      </c>
      <c r="BK67" s="83" t="e">
        <f ca="1">IF($BP$1=1,DY67,-IF(RTD("tos.rtd",,BK$43,"."&amp;$A$43&amp;$AS$42&amp;"P"&amp;$A67)="N/A",0,RTD("tos.rtd",,BK$43,"."&amp;$A$43&amp;$AS$42&amp;"P"&amp;$A67)))</f>
        <v>#NUM!</v>
      </c>
      <c r="BL67" s="83">
        <f ca="1">IF($BP$1=1,DZ67,IF(RTD("tos.rtd",,BL$2,"."&amp;$A$43&amp;$AU$1&amp;"C"&amp;$A67)="N/A",0,RTD("tos.rtd",,BL$2,"."&amp;$A$43&amp;$AU$1&amp;"C"&amp;$A67)))</f>
        <v>1.4140237878830559E-2</v>
      </c>
      <c r="BM67" s="83">
        <f ca="1">IF($BP$1=1,EA67,-IF(RTD("tos.rtd",,BM$2,"."&amp;$A$43&amp;$AU$1&amp;"P"&amp;$A67)="N/A",0,RTD("tos.rtd",,BM$2,"."&amp;$A$43&amp;$AU$1&amp;"P"&amp;$A67)))</f>
        <v>-1.1572120958247631E-2</v>
      </c>
      <c r="BN67" s="83">
        <f ca="1">IF($BP$1=1,EB67,IF(RTD("tos.rtd",,BN$2,"."&amp;$A$43&amp;$AW$1&amp;"C"&amp;$A67)="N/A",0,RTD("tos.rtd",,BN$2,"."&amp;$A$43&amp;$AW$1&amp;"C"&amp;$A67)))</f>
        <v>1.0500333912279516E-2</v>
      </c>
      <c r="BO67" s="83">
        <f ca="1">IF($BP$1=1,EC67,-IF(RTD("tos.rtd",,BO$2,"."&amp;$A$43&amp;$AW$1&amp;"P"&amp;$A67)="N/A",0,RTD("tos.rtd",,BO$2,"."&amp;$A$43&amp;$AW$1&amp;"P"&amp;$A67)))</f>
        <v>-1.3744213014788819E-2</v>
      </c>
      <c r="BQ67" s="83" t="e">
        <f t="shared" ca="1" si="376"/>
        <v>#NUM!</v>
      </c>
      <c r="BR67" s="3" t="e">
        <f t="shared" ca="1" si="279"/>
        <v>#NUM!</v>
      </c>
      <c r="BS67" s="83">
        <f t="shared" ca="1" si="377"/>
        <v>25374998.127112895</v>
      </c>
      <c r="BT67" s="3" t="str">
        <f t="shared" ca="1" si="281"/>
        <v>Cruce +</v>
      </c>
      <c r="BU67" s="83">
        <f t="shared" ca="1" si="378"/>
        <v>-155057192.17566317</v>
      </c>
      <c r="BV67" s="83"/>
      <c r="BX67" s="83" t="e">
        <f t="shared" ca="1" si="379"/>
        <v>#NUM!</v>
      </c>
      <c r="BY67" s="83" t="e">
        <f t="shared" ca="1" si="296"/>
        <v>#NUM!</v>
      </c>
      <c r="BZ67" s="83">
        <f t="shared" ca="1" si="380"/>
        <v>-27350469.78152211</v>
      </c>
      <c r="CA67" s="83" t="str">
        <f t="shared" ca="1" si="296"/>
        <v/>
      </c>
      <c r="CB67" s="83">
        <f t="shared" ca="1" si="381"/>
        <v>-15481607.103281271</v>
      </c>
      <c r="CC67" s="83" t="str">
        <f t="shared" ca="1" si="296"/>
        <v/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</v>
      </c>
      <c r="CF67" s="83">
        <f>IF(RTD("tos.rtd",,CF$2,"."&amp;$A$43&amp;$AU$1&amp;"C"&amp;$A67)="N/A",0,RTD("tos.rtd",,CF$2,"."&amp;$A$43&amp;$AU$1&amp;"C"&amp;$A67))</f>
        <v>1</v>
      </c>
      <c r="CG67" s="83">
        <f>-IF(RTD("tos.rtd",,CG$2,"."&amp;$A$43&amp;$AU$1&amp;"P"&amp;$A67)="N/A",0,RTD("tos.rtd",,CG$2,"."&amp;$A$43&amp;$AU$1&amp;"P"&amp;$A67))</f>
        <v>0.24</v>
      </c>
      <c r="CH67" s="83">
        <f>IF(RTD("tos.rtd",,CH$2,"."&amp;$A$43&amp;$AW$1&amp;"C"&amp;$A67)="N/A",0,RTD("tos.rtd",,CH$2,"."&amp;$A$43&amp;$AW$1&amp;"C"&amp;$A67))</f>
        <v>0.77</v>
      </c>
      <c r="CI67" s="83">
        <f>-IF(RTD("tos.rtd",,CI$2,"."&amp;$A$43&amp;$AW$1&amp;"P"&amp;$A67)="N/A",0,RTD("tos.rtd",,CI$2,"."&amp;$A$43&amp;$AW$1&amp;"P"&amp;$A67))</f>
        <v>0.34</v>
      </c>
      <c r="CK67" s="83">
        <f t="shared" si="382"/>
        <v>392300</v>
      </c>
      <c r="CL67" s="83"/>
      <c r="CM67" s="83">
        <f t="shared" si="383"/>
        <v>2308612</v>
      </c>
      <c r="CN67" s="83"/>
      <c r="CO67" s="83">
        <f t="shared" si="384"/>
        <v>811553</v>
      </c>
      <c r="CP67" s="83">
        <f t="shared" si="385"/>
        <v>3512465</v>
      </c>
      <c r="CQ67" s="83">
        <f t="shared" si="386"/>
        <v>-26925</v>
      </c>
      <c r="CR67" s="83"/>
      <c r="CS67" s="83">
        <f t="shared" si="387"/>
        <v>-10086</v>
      </c>
      <c r="CT67" s="83"/>
      <c r="CU67" s="83">
        <f t="shared" si="388"/>
        <v>-4520</v>
      </c>
      <c r="CV67" s="83"/>
      <c r="CW67" s="83" t="e">
        <f t="shared" ca="1" si="389"/>
        <v>#NUM!</v>
      </c>
      <c r="CY67" s="83" t="e">
        <f t="shared" ca="1" si="390"/>
        <v>#NUM!</v>
      </c>
      <c r="CZ67" s="70" t="e">
        <f t="shared" ca="1" si="297"/>
        <v>#NUM!</v>
      </c>
      <c r="DA67" s="83">
        <f>IF(RTD("tos.rtd",,DA$43,"."&amp;$A$43&amp;$AS$42&amp;"C"&amp;$A67)="N/A",0,RTD("tos.rtd",,DA$43,"."&amp;$A$43&amp;$AS$42&amp;"C"&amp;$A67))</f>
        <v>8.01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8.11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7.78</v>
      </c>
      <c r="DF67" s="83">
        <f>IF(RTD("tos.rtd",,DF$43,"."&amp;$A$43&amp;$AS$42&amp;"P"&amp;$A67)="N/A",0,RTD("tos.rtd",,DF$43,"."&amp;$A$43&amp;$AS$42&amp;"P"&amp;$A67))</f>
        <v>0</v>
      </c>
      <c r="DG67" s="86">
        <f t="shared" si="289"/>
        <v>-16.170000000000016</v>
      </c>
      <c r="DH67" s="83">
        <f t="shared" si="391"/>
        <v>22.303030303030315</v>
      </c>
      <c r="DI67" s="83">
        <f t="shared" si="392"/>
        <v>-21</v>
      </c>
      <c r="DJ67" s="83">
        <f t="shared" si="393"/>
        <v>32</v>
      </c>
      <c r="DK67" s="83">
        <f t="shared" si="257"/>
        <v>-21</v>
      </c>
      <c r="DL67" s="83">
        <f t="shared" si="258"/>
        <v>1.3030303030303152</v>
      </c>
      <c r="DM67" s="83">
        <f t="shared" si="259"/>
        <v>11</v>
      </c>
      <c r="DN67" s="64" t="str">
        <f t="shared" si="260"/>
        <v>BUY</v>
      </c>
      <c r="DO67" s="64" t="str">
        <f t="shared" si="261"/>
        <v>BUY</v>
      </c>
      <c r="DP67" s="83">
        <f t="shared" si="262"/>
        <v>178.43727272727281</v>
      </c>
      <c r="DQ67" s="83">
        <f t="shared" si="263"/>
        <v>256.11</v>
      </c>
      <c r="DR67" s="83" t="e">
        <f t="shared" ca="1" si="264"/>
        <v>#NUM!</v>
      </c>
      <c r="DS67" s="83">
        <f t="shared" si="265"/>
        <v>32</v>
      </c>
      <c r="DT67" s="83">
        <f t="shared" si="290"/>
        <v>32</v>
      </c>
      <c r="DU67" s="83">
        <f t="shared" si="291"/>
        <v>-21</v>
      </c>
      <c r="DV67" s="83">
        <f t="shared" si="266"/>
        <v>184</v>
      </c>
      <c r="DW67" s="83">
        <f t="shared" si="267"/>
        <v>4097</v>
      </c>
      <c r="DX67" s="83" t="e">
        <f t="shared" ca="1" si="394"/>
        <v>#NUM!</v>
      </c>
      <c r="DY67" s="83" t="e">
        <f t="shared" ca="1" si="395"/>
        <v>#NUM!</v>
      </c>
      <c r="DZ67" s="83">
        <f t="shared" ca="1" si="396"/>
        <v>1.4140237878830559E-2</v>
      </c>
      <c r="EA67" s="83">
        <f t="shared" ca="1" si="397"/>
        <v>-1.1572120958247631E-2</v>
      </c>
      <c r="EB67" s="83">
        <f t="shared" ca="1" si="398"/>
        <v>1.0500333912279516E-2</v>
      </c>
      <c r="EC67" s="83">
        <f t="shared" ca="1" si="399"/>
        <v>-1.3744213014788819E-2</v>
      </c>
      <c r="ED67" s="63">
        <f t="shared" si="292"/>
        <v>4281</v>
      </c>
      <c r="EE67" s="84">
        <f t="shared" si="400"/>
        <v>0.25</v>
      </c>
      <c r="EF67" s="84">
        <f t="shared" si="401"/>
        <v>1.5866</v>
      </c>
      <c r="EG67" s="84">
        <f t="shared" si="402"/>
        <v>0.25</v>
      </c>
      <c r="EH67" s="84">
        <f t="shared" si="403"/>
        <v>0.42299999999999999</v>
      </c>
      <c r="EI67" s="84">
        <f t="shared" si="404"/>
        <v>0.15759999999999999</v>
      </c>
      <c r="EJ67" s="84">
        <f t="shared" si="405"/>
        <v>0.29899999999999999</v>
      </c>
      <c r="EK67" s="63" t="e">
        <f t="shared" ca="1" si="293"/>
        <v>#NUM!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158.66%</v>
      </c>
      <c r="EN67" s="83" t="str">
        <f>RTD("tos.rtd",,EN$2,"."&amp;$A$43&amp;$AU$1&amp;"C"&amp;$A67)</f>
        <v>--</v>
      </c>
      <c r="EO67" s="83" t="str">
        <f>RTD("tos.rtd",,EO$2,"."&amp;$A$43&amp;$AU$1&amp;"P"&amp;$A67)</f>
        <v>42.30%</v>
      </c>
      <c r="EP67" s="83" t="str">
        <f>RTD("tos.rtd",,EP$2,"."&amp;$A$43&amp;$AW$1&amp;"C"&amp;$A67)</f>
        <v>15.76%</v>
      </c>
      <c r="EQ67" s="83" t="str">
        <f>RTD("tos.rtd",,EQ$2,"."&amp;$A$43&amp;$AW$1&amp;"P"&amp;$A67)</f>
        <v>29.90%</v>
      </c>
      <c r="ES67" s="63" t="str">
        <f t="shared" si="274"/>
        <v>480,4281.00</v>
      </c>
      <c r="ET67" s="63" t="str">
        <f t="shared" ca="1" si="275"/>
        <v>480,00.00</v>
      </c>
      <c r="EU67" s="68">
        <v>565.54</v>
      </c>
      <c r="EV67" s="68" t="s">
        <v>555</v>
      </c>
      <c r="EW67" s="68">
        <v>489.18</v>
      </c>
      <c r="EX67" s="68" t="s">
        <v>556</v>
      </c>
      <c r="EY67" s="68">
        <v>5663.94</v>
      </c>
      <c r="EZ67" s="68" t="s">
        <v>557</v>
      </c>
      <c r="FA67" s="68">
        <v>20063.564999999999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94"/>
        <v>479</v>
      </c>
      <c r="B68" s="3">
        <f t="shared" si="371"/>
        <v>3840</v>
      </c>
      <c r="C68" s="3">
        <f t="shared" si="242"/>
        <v>1301</v>
      </c>
      <c r="D68" s="3">
        <f t="shared" si="372"/>
        <v>0</v>
      </c>
      <c r="E68" s="3">
        <f t="shared" si="373"/>
        <v>5141</v>
      </c>
      <c r="F68" s="4">
        <f t="shared" si="374"/>
        <v>19763.323558457785</v>
      </c>
      <c r="AM68" s="1">
        <v>162</v>
      </c>
      <c r="AN68" s="1">
        <v>754</v>
      </c>
      <c r="AO68" s="1">
        <v>479</v>
      </c>
      <c r="AP68" s="1">
        <v>425</v>
      </c>
      <c r="AQ68" s="1">
        <v>-6470</v>
      </c>
      <c r="AS68" s="6">
        <f>IF(RTD("tos.rtd",,AS$43,"."&amp;$A$43&amp;$AS$42&amp;"C"&amp;$A68)="N/A",0,RTD("tos.rtd",,AS$43,"."&amp;$A$43&amp;$AS$42&amp;"C"&amp;$A68))</f>
        <v>792</v>
      </c>
      <c r="AT68" s="7">
        <f>-IF(RTD("tos.rtd",,AT$43,"."&amp;$A$43&amp;$AS$42&amp;"P"&amp;$A68)="N/A",0,RTD("tos.rtd",,AT$43,"."&amp;$A$43&amp;$AS$42&amp;"P"&amp;$A68))</f>
        <v>-3048</v>
      </c>
      <c r="AU68" s="6">
        <f>IF(RTD("tos.rtd",,AU$2,"."&amp;$A$43&amp;$AU$1&amp;"C"&amp;$A68)="N/A",0,RTD("tos.rtd",,AU$2,"."&amp;$A$43&amp;$AU$1&amp;"C"&amp;$A68))</f>
        <v>207</v>
      </c>
      <c r="AV68" s="7">
        <f>-IF(RTD("tos.rtd",,AV$2,"."&amp;$A$43&amp;$AU$1&amp;"P"&amp;$A68)="N/A",0,RTD("tos.rtd",,AV$2,"."&amp;$A$43&amp;$AU$1&amp;"P"&amp;$A68))</f>
        <v>-1094</v>
      </c>
      <c r="AW68" s="6">
        <f>IF(RTD("tos.rtd",,AW$2,"."&amp;$A$43&amp;$AW$1&amp;"C"&amp;$A68)="N/A",0,RTD("tos.rtd",,AW$2,"."&amp;$A$43&amp;$AW$1&amp;"C"&amp;$A68))</f>
        <v>0</v>
      </c>
      <c r="AX68" s="7">
        <f>-IF(RTD("tos.rtd",,AX$2,"."&amp;$A$43&amp;$AW$1&amp;"P"&amp;$A68)="N/A",0,RTD("tos.rtd",,AX$2,"."&amp;$A$43&amp;$AW$1&amp;"P"&amp;$A68))</f>
        <v>0</v>
      </c>
      <c r="AY68" s="7">
        <f t="shared" si="375"/>
        <v>-3143</v>
      </c>
      <c r="AZ68" s="8">
        <f t="shared" si="245"/>
        <v>479</v>
      </c>
      <c r="BA68" s="6">
        <f>IF(RTD("tos.rtd",,BA$43,"."&amp;$A$43&amp;$AS$42&amp;"C"&amp;$A68)="N/A",0,RTD("tos.rtd",,BA$43,"."&amp;$A$43&amp;$AS$42&amp;"C"&amp;$A68))</f>
        <v>427</v>
      </c>
      <c r="BB68" s="7">
        <f>-IF(RTD("tos.rtd",,BB$43,"."&amp;$A$43&amp;$AS$42&amp;"P"&amp;$A68)="N/A",0,RTD("tos.rtd",,BB$43,"."&amp;$A$43&amp;$AS$42&amp;"P"&amp;$A68))</f>
        <v>-6476</v>
      </c>
      <c r="BC68" s="6">
        <f>IF(RTD("tos.rtd",,BC$2,"."&amp;$A$43&amp;$AU$1&amp;"C"&amp;$A68)="N/A",0,RTD("tos.rtd",,BC$2,"."&amp;$A$43&amp;$AU$1&amp;"C"&amp;$A68))</f>
        <v>62</v>
      </c>
      <c r="BD68" s="7">
        <f>-IF(RTD("tos.rtd",,BD$2,"."&amp;$A$43&amp;$AU$1&amp;"P"&amp;$A68)="N/A",0,RTD("tos.rtd",,BD$2,"."&amp;$A$43&amp;$AU$1&amp;"P"&amp;$A68))</f>
        <v>-1096</v>
      </c>
      <c r="BE68" s="6">
        <f>IF(RTD("tos.rtd",,BE$2,"."&amp;$A$43&amp;$AW$1&amp;"C"&amp;$A68)="N/A",0,RTD("tos.rtd",,BE$2,"."&amp;$A$43&amp;$AW$1&amp;"C"&amp;$A68))</f>
        <v>0</v>
      </c>
      <c r="BF68" s="7">
        <f>-IF(RTD("tos.rtd",,BF$2,"."&amp;$A$43&amp;$AW$1&amp;"P"&amp;$A68)="N/A",0,RTD("tos.rtd",,BF$2,"."&amp;$A$43&amp;$AW$1&amp;"P"&amp;$A68))</f>
        <v>0</v>
      </c>
      <c r="BG68" s="32">
        <f ca="1">+Hoja2!Y69</f>
        <v>-87</v>
      </c>
      <c r="BH68" s="7">
        <f t="shared" ca="1" si="277"/>
        <v>-7170</v>
      </c>
      <c r="BI68" s="8" t="str">
        <f t="shared" ca="1" si="295"/>
        <v/>
      </c>
      <c r="BJ68" s="83" t="e">
        <f ca="1">IF($BP$1=1,DX68,IF(RTD("tos.rtd",,BJ$43,"."&amp;$A$43&amp;$AS$42&amp;"C"&amp;$A68)="N/A",0,RTD("tos.rtd",,BJ$43,"."&amp;$A$43&amp;$AS$42&amp;"C"&amp;$A68)))</f>
        <v>#NUM!</v>
      </c>
      <c r="BK68" s="83" t="e">
        <f ca="1">IF($BP$1=1,DY68,-IF(RTD("tos.rtd",,BK$43,"."&amp;$A$43&amp;$AS$42&amp;"P"&amp;$A68)="N/A",0,RTD("tos.rtd",,BK$43,"."&amp;$A$43&amp;$AS$42&amp;"P"&amp;$A68)))</f>
        <v>#NUM!</v>
      </c>
      <c r="BL68" s="83">
        <f ca="1">IF($BP$1=1,DZ68,IF(RTD("tos.rtd",,BL$2,"."&amp;$A$43&amp;$AU$1&amp;"C"&amp;$A68)="N/A",0,RTD("tos.rtd",,BL$2,"."&amp;$A$43&amp;$AU$1&amp;"C"&amp;$A68)))</f>
        <v>1.3256648151225117E-2</v>
      </c>
      <c r="BM68" s="83">
        <f ca="1">IF($BP$1=1,EA68,-IF(RTD("tos.rtd",,BM$2,"."&amp;$A$43&amp;$AU$1&amp;"P"&amp;$A68)="N/A",0,RTD("tos.rtd",,BM$2,"."&amp;$A$43&amp;$AU$1&amp;"P"&amp;$A68)))</f>
        <v>-1.1339001492445353E-2</v>
      </c>
      <c r="BN68" s="83">
        <f ca="1">IF($BP$1=1,EB68,IF(RTD("tos.rtd",,BN$2,"."&amp;$A$43&amp;$AW$1&amp;"C"&amp;$A68)="N/A",0,RTD("tos.rtd",,BN$2,"."&amp;$A$43&amp;$AW$1&amp;"C"&amp;$A68)))</f>
        <v>1.3256648151225117E-2</v>
      </c>
      <c r="BO68" s="83">
        <f ca="1">IF($BP$1=1,EC68,-IF(RTD("tos.rtd",,BO$2,"."&amp;$A$43&amp;$AW$1&amp;"P"&amp;$A68)="N/A",0,RTD("tos.rtd",,BO$2,"."&amp;$A$43&amp;$AW$1&amp;"P"&amp;$A68)))</f>
        <v>-1.3256648151225117E-2</v>
      </c>
      <c r="BQ68" s="83" t="e">
        <f t="shared" ca="1" si="376"/>
        <v>#NUM!</v>
      </c>
      <c r="BR68" s="3" t="e">
        <f t="shared" ca="1" si="279"/>
        <v>#NUM!</v>
      </c>
      <c r="BS68" s="83">
        <f t="shared" ca="1" si="377"/>
        <v>-2378326.4389957832</v>
      </c>
      <c r="BT68" s="3" t="str">
        <f t="shared" ca="1" si="281"/>
        <v>Cruce -</v>
      </c>
      <c r="BU68" s="83">
        <f t="shared" ca="1" si="378"/>
        <v>0</v>
      </c>
      <c r="BV68" s="83"/>
      <c r="BX68" s="83" t="e">
        <f t="shared" ca="1" si="379"/>
        <v>#NUM!</v>
      </c>
      <c r="BY68" s="83" t="e">
        <f t="shared" ca="1" si="296"/>
        <v>#NUM!</v>
      </c>
      <c r="BZ68" s="83">
        <f t="shared" ca="1" si="380"/>
        <v>-2857129.028347739</v>
      </c>
      <c r="CA68" s="83" t="str">
        <f t="shared" ca="1" si="296"/>
        <v/>
      </c>
      <c r="CB68" s="83">
        <f t="shared" ca="1" si="381"/>
        <v>0</v>
      </c>
      <c r="CC68" s="83" t="str">
        <f t="shared" ca="1" si="296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1</v>
      </c>
      <c r="CG68" s="83">
        <f>-IF(RTD("tos.rtd",,CG$2,"."&amp;$A$43&amp;$AU$1&amp;"P"&amp;$A68)="N/A",0,RTD("tos.rtd",,CG$2,"."&amp;$A$43&amp;$AU$1&amp;"P"&amp;$A68))</f>
        <v>0.22</v>
      </c>
      <c r="CH68" s="83">
        <f>IF(RTD("tos.rtd",,CH$2,"."&amp;$A$43&amp;$AW$1&amp;"C"&amp;$A68)="N/A",0,RTD("tos.rtd",,CH$2,"."&amp;$A$43&amp;$AW$1&amp;"C"&amp;$A68))</f>
        <v>0</v>
      </c>
      <c r="CI68" s="83">
        <f>-IF(RTD("tos.rtd",,CI$2,"."&amp;$A$43&amp;$AW$1&amp;"P"&amp;$A68)="N/A",0,RTD("tos.rtd",,CI$2,"."&amp;$A$43&amp;$AW$1&amp;"P"&amp;$A68))</f>
        <v>0</v>
      </c>
      <c r="CK68" s="83">
        <f t="shared" si="382"/>
        <v>79200</v>
      </c>
      <c r="CL68" s="83"/>
      <c r="CM68" s="83">
        <f t="shared" si="383"/>
        <v>-3368</v>
      </c>
      <c r="CN68" s="83"/>
      <c r="CO68" s="83">
        <f t="shared" si="384"/>
        <v>0</v>
      </c>
      <c r="CP68" s="83">
        <f t="shared" si="385"/>
        <v>75832</v>
      </c>
      <c r="CQ68" s="83">
        <f t="shared" si="386"/>
        <v>-6049</v>
      </c>
      <c r="CR68" s="83"/>
      <c r="CS68" s="83">
        <f t="shared" si="387"/>
        <v>-1034</v>
      </c>
      <c r="CT68" s="83"/>
      <c r="CU68" s="83">
        <f t="shared" si="388"/>
        <v>0</v>
      </c>
      <c r="CV68" s="83"/>
      <c r="CW68" s="83" t="e">
        <f t="shared" ca="1" si="389"/>
        <v>#NUM!</v>
      </c>
      <c r="CY68" s="83" t="e">
        <f t="shared" ca="1" si="390"/>
        <v>#NUM!</v>
      </c>
      <c r="CZ68" s="70" t="e">
        <f t="shared" ca="1" si="297"/>
        <v>#NUM!</v>
      </c>
      <c r="DA68" s="83">
        <f>IF(RTD("tos.rtd",,DA$43,"."&amp;$A$43&amp;$AS$42&amp;"C"&amp;$A68)="N/A",0,RTD("tos.rtd",,DA$43,"."&amp;$A$43&amp;$AS$42&amp;"C"&amp;$A68))</f>
        <v>9.1199999999999992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9.11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8.77</v>
      </c>
      <c r="DF68" s="83">
        <f>IF(RTD("tos.rtd",,DF$43,"."&amp;$A$43&amp;$AS$42&amp;"P"&amp;$A68)="N/A",0,RTD("tos.rtd",,DF$43,"."&amp;$A$43&amp;$AS$42&amp;"P"&amp;$A68))</f>
        <v>0</v>
      </c>
      <c r="DG68" s="86">
        <f t="shared" si="289"/>
        <v>-17.170000000000016</v>
      </c>
      <c r="DH68" s="83">
        <f t="shared" si="391"/>
        <v>2.0588235294117636</v>
      </c>
      <c r="DI68" s="83">
        <f t="shared" si="392"/>
        <v>-6</v>
      </c>
      <c r="DJ68" s="83">
        <f t="shared" si="393"/>
        <v>2</v>
      </c>
      <c r="DK68" s="83">
        <f t="shared" si="257"/>
        <v>-6</v>
      </c>
      <c r="DL68" s="83">
        <f t="shared" si="258"/>
        <v>-3.9411764705882364</v>
      </c>
      <c r="DM68" s="83">
        <f t="shared" si="259"/>
        <v>-4</v>
      </c>
      <c r="DN68" s="64" t="str">
        <f t="shared" si="260"/>
        <v>BUY</v>
      </c>
      <c r="DO68" s="64" t="str">
        <f t="shared" si="261"/>
        <v>BUY</v>
      </c>
      <c r="DP68" s="83">
        <f t="shared" si="262"/>
        <v>18.716470588235286</v>
      </c>
      <c r="DQ68" s="83">
        <f t="shared" si="263"/>
        <v>18.18</v>
      </c>
      <c r="DR68" s="83" t="e">
        <f t="shared" ca="1" si="264"/>
        <v>#NUM!</v>
      </c>
      <c r="DS68" s="83">
        <f t="shared" si="265"/>
        <v>2</v>
      </c>
      <c r="DT68" s="83">
        <f t="shared" si="290"/>
        <v>2</v>
      </c>
      <c r="DU68" s="83">
        <f t="shared" si="291"/>
        <v>-6</v>
      </c>
      <c r="DV68" s="83">
        <f t="shared" si="266"/>
        <v>164</v>
      </c>
      <c r="DW68" s="83">
        <f t="shared" si="267"/>
        <v>748</v>
      </c>
      <c r="DX68" s="83" t="e">
        <f t="shared" ca="1" si="394"/>
        <v>#NUM!</v>
      </c>
      <c r="DY68" s="83" t="e">
        <f t="shared" ca="1" si="395"/>
        <v>#NUM!</v>
      </c>
      <c r="DZ68" s="83">
        <f t="shared" ca="1" si="396"/>
        <v>1.3256648151225117E-2</v>
      </c>
      <c r="EA68" s="83">
        <f t="shared" ca="1" si="397"/>
        <v>-1.1339001492445353E-2</v>
      </c>
      <c r="EB68" s="83">
        <f t="shared" ca="1" si="398"/>
        <v>1.3256648151225117E-2</v>
      </c>
      <c r="EC68" s="83">
        <f t="shared" ca="1" si="399"/>
        <v>-1.3256648151225117E-2</v>
      </c>
      <c r="ED68" s="63">
        <f t="shared" si="292"/>
        <v>912</v>
      </c>
      <c r="EE68" s="84">
        <f t="shared" si="400"/>
        <v>0.25</v>
      </c>
      <c r="EF68" s="84">
        <f t="shared" si="401"/>
        <v>1.6766000000000001</v>
      </c>
      <c r="EG68" s="84">
        <f t="shared" si="402"/>
        <v>0.25</v>
      </c>
      <c r="EH68" s="84">
        <f t="shared" si="403"/>
        <v>0.42099999999999999</v>
      </c>
      <c r="EI68" s="84">
        <f t="shared" si="404"/>
        <v>0.25</v>
      </c>
      <c r="EJ68" s="84">
        <f t="shared" si="405"/>
        <v>0.25</v>
      </c>
      <c r="EK68" s="63" t="e">
        <f t="shared" ca="1" si="293"/>
        <v>#NUM!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167.66%</v>
      </c>
      <c r="EN68" s="83" t="str">
        <f>RTD("tos.rtd",,EN$2,"."&amp;$A$43&amp;$AU$1&amp;"C"&amp;$A68)</f>
        <v>--</v>
      </c>
      <c r="EO68" s="83" t="str">
        <f>RTD("tos.rtd",,EO$2,"."&amp;$A$43&amp;$AU$1&amp;"P"&amp;$A68)</f>
        <v>42.10%</v>
      </c>
      <c r="EP68" s="83" t="str">
        <f>RTD("tos.rtd",,EP$2,"."&amp;$A$43&amp;$AW$1&amp;"C"&amp;$A68)</f>
        <v>N/A</v>
      </c>
      <c r="EQ68" s="83" t="str">
        <f>RTD("tos.rtd",,EQ$2,"."&amp;$A$43&amp;$AW$1&amp;"P"&amp;$A68)</f>
        <v>N/A</v>
      </c>
      <c r="ES68" s="63" t="str">
        <f t="shared" si="274"/>
        <v>479,912.00</v>
      </c>
      <c r="ET68" s="63" t="str">
        <f t="shared" ca="1" si="275"/>
        <v>479,00.00</v>
      </c>
      <c r="EU68" s="68">
        <v>565.61</v>
      </c>
      <c r="EV68" s="68" t="s">
        <v>563</v>
      </c>
      <c r="EW68" s="68">
        <v>489.21</v>
      </c>
      <c r="EX68" s="68" t="s">
        <v>564</v>
      </c>
      <c r="EY68" s="68">
        <v>5663.94</v>
      </c>
      <c r="EZ68" s="68" t="s">
        <v>565</v>
      </c>
      <c r="FA68" s="68">
        <v>20063.564999999999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94"/>
        <v>478</v>
      </c>
      <c r="B69" s="3">
        <f t="shared" si="371"/>
        <v>4311</v>
      </c>
      <c r="C69" s="3">
        <f t="shared" si="242"/>
        <v>1299</v>
      </c>
      <c r="D69" s="3">
        <f t="shared" si="372"/>
        <v>0</v>
      </c>
      <c r="E69" s="3">
        <f t="shared" si="373"/>
        <v>5610</v>
      </c>
      <c r="F69" s="4">
        <f t="shared" si="374"/>
        <v>19722.064010319042</v>
      </c>
      <c r="AM69" s="1">
        <v>55</v>
      </c>
      <c r="AN69" s="1">
        <v>387</v>
      </c>
      <c r="AO69" s="1">
        <v>478</v>
      </c>
      <c r="AP69" s="1">
        <v>383</v>
      </c>
      <c r="AQ69" s="1">
        <v>-5658</v>
      </c>
      <c r="AS69" s="6">
        <f>IF(RTD("tos.rtd",,AS$43,"."&amp;$A$43&amp;$AS$42&amp;"C"&amp;$A69)="N/A",0,RTD("tos.rtd",,AS$43,"."&amp;$A$43&amp;$AS$42&amp;"C"&amp;$A69))</f>
        <v>1013</v>
      </c>
      <c r="AT69" s="7">
        <f>-IF(RTD("tos.rtd",,AT$43,"."&amp;$A$43&amp;$AS$42&amp;"P"&amp;$A69)="N/A",0,RTD("tos.rtd",,AT$43,"."&amp;$A$43&amp;$AS$42&amp;"P"&amp;$A69))</f>
        <v>-3298</v>
      </c>
      <c r="AU69" s="6">
        <f>IF(RTD("tos.rtd",,AU$2,"."&amp;$A$43&amp;$AU$1&amp;"C"&amp;$A69)="N/A",0,RTD("tos.rtd",,AU$2,"."&amp;$A$43&amp;$AU$1&amp;"C"&amp;$A69))</f>
        <v>428</v>
      </c>
      <c r="AV69" s="7">
        <f>-IF(RTD("tos.rtd",,AV$2,"."&amp;$A$43&amp;$AU$1&amp;"P"&amp;$A69)="N/A",0,RTD("tos.rtd",,AV$2,"."&amp;$A$43&amp;$AU$1&amp;"P"&amp;$A69))</f>
        <v>-871</v>
      </c>
      <c r="AW69" s="6">
        <f>IF(RTD("tos.rtd",,AW$2,"."&amp;$A$43&amp;$AW$1&amp;"C"&amp;$A69)="N/A",0,RTD("tos.rtd",,AW$2,"."&amp;$A$43&amp;$AW$1&amp;"C"&amp;$A69))</f>
        <v>0</v>
      </c>
      <c r="AX69" s="7">
        <f>-IF(RTD("tos.rtd",,AX$2,"."&amp;$A$43&amp;$AW$1&amp;"P"&amp;$A69)="N/A",0,RTD("tos.rtd",,AX$2,"."&amp;$A$43&amp;$AW$1&amp;"P"&amp;$A69))</f>
        <v>0</v>
      </c>
      <c r="AY69" s="7">
        <f t="shared" si="375"/>
        <v>-2728</v>
      </c>
      <c r="AZ69" s="8">
        <f t="shared" si="245"/>
        <v>478</v>
      </c>
      <c r="BA69" s="6">
        <f>IF(RTD("tos.rtd",,BA$43,"."&amp;$A$43&amp;$AS$42&amp;"C"&amp;$A69)="N/A",0,RTD("tos.rtd",,BA$43,"."&amp;$A$43&amp;$AS$42&amp;"C"&amp;$A69))</f>
        <v>458</v>
      </c>
      <c r="BB69" s="7">
        <f>-IF(RTD("tos.rtd",,BB$43,"."&amp;$A$43&amp;$AS$42&amp;"P"&amp;$A69)="N/A",0,RTD("tos.rtd",,BB$43,"."&amp;$A$43&amp;$AS$42&amp;"P"&amp;$A69))</f>
        <v>-5660</v>
      </c>
      <c r="BC69" s="6">
        <f>IF(RTD("tos.rtd",,BC$2,"."&amp;$A$43&amp;$AU$1&amp;"C"&amp;$A69)="N/A",0,RTD("tos.rtd",,BC$2,"."&amp;$A$43&amp;$AU$1&amp;"C"&amp;$A69))</f>
        <v>62</v>
      </c>
      <c r="BD69" s="7">
        <f>-IF(RTD("tos.rtd",,BD$2,"."&amp;$A$43&amp;$AU$1&amp;"P"&amp;$A69)="N/A",0,RTD("tos.rtd",,BD$2,"."&amp;$A$43&amp;$AU$1&amp;"P"&amp;$A69))</f>
        <v>-1870</v>
      </c>
      <c r="BE69" s="6">
        <f>IF(RTD("tos.rtd",,BE$2,"."&amp;$A$43&amp;$AW$1&amp;"C"&amp;$A69)="N/A",0,RTD("tos.rtd",,BE$2,"."&amp;$A$43&amp;$AW$1&amp;"C"&amp;$A69))</f>
        <v>0</v>
      </c>
      <c r="BF69" s="7">
        <f>-IF(RTD("tos.rtd",,BF$2,"."&amp;$A$43&amp;$AW$1&amp;"P"&amp;$A69)="N/A",0,RTD("tos.rtd",,BF$2,"."&amp;$A$43&amp;$AW$1&amp;"P"&amp;$A69))</f>
        <v>0</v>
      </c>
      <c r="BG69" s="32">
        <f ca="1">+Hoja2!Y70</f>
        <v>-181</v>
      </c>
      <c r="BH69" s="7">
        <f t="shared" ca="1" si="277"/>
        <v>-7191</v>
      </c>
      <c r="BI69" s="8" t="str">
        <f t="shared" ca="1" si="295"/>
        <v/>
      </c>
      <c r="BJ69" s="83" t="e">
        <f ca="1">IF($BP$1=1,DX69,IF(RTD("tos.rtd",,BJ$43,"."&amp;$A$43&amp;$AS$42&amp;"C"&amp;$A69)="N/A",0,RTD("tos.rtd",,BJ$43,"."&amp;$A$43&amp;$AS$42&amp;"C"&amp;$A69)))</f>
        <v>#NUM!</v>
      </c>
      <c r="BK69" s="83" t="e">
        <f ca="1">IF($BP$1=1,DY69,-IF(RTD("tos.rtd",,BK$43,"."&amp;$A$43&amp;$AS$42&amp;"P"&amp;$A69)="N/A",0,RTD("tos.rtd",,BK$43,"."&amp;$A$43&amp;$AS$42&amp;"P"&amp;$A69)))</f>
        <v>#NUM!</v>
      </c>
      <c r="BL69" s="83">
        <f ca="1">IF($BP$1=1,DZ69,IF(RTD("tos.rtd",,BL$2,"."&amp;$A$43&amp;$AU$1&amp;"C"&amp;$A69)="N/A",0,RTD("tos.rtd",,BL$2,"."&amp;$A$43&amp;$AU$1&amp;"C"&amp;$A69)))</f>
        <v>1.2379460676964427E-2</v>
      </c>
      <c r="BM69" s="83">
        <f ca="1">IF($BP$1=1,EA69,-IF(RTD("tos.rtd",,BM$2,"."&amp;$A$43&amp;$AU$1&amp;"P"&amp;$A69)="N/A",0,RTD("tos.rtd",,BM$2,"."&amp;$A$43&amp;$AU$1&amp;"P"&amp;$A69)))</f>
        <v>-1.1091699815336319E-2</v>
      </c>
      <c r="BN69" s="83">
        <f ca="1">IF($BP$1=1,EB69,IF(RTD("tos.rtd",,BN$2,"."&amp;$A$43&amp;$AW$1&amp;"C"&amp;$A69)="N/A",0,RTD("tos.rtd",,BN$2,"."&amp;$A$43&amp;$AW$1&amp;"C"&amp;$A69)))</f>
        <v>1.2379460676964427E-2</v>
      </c>
      <c r="BO69" s="83">
        <f ca="1">IF($BP$1=1,EC69,-IF(RTD("tos.rtd",,BO$2,"."&amp;$A$43&amp;$AW$1&amp;"P"&amp;$A69)="N/A",0,RTD("tos.rtd",,BO$2,"."&amp;$A$43&amp;$AW$1&amp;"P"&amp;$A69)))</f>
        <v>-1.2379460676964427E-2</v>
      </c>
      <c r="BQ69" s="83" t="e">
        <f t="shared" ca="1" si="376"/>
        <v>#NUM!</v>
      </c>
      <c r="BR69" s="3" t="e">
        <f t="shared" ca="1" si="279"/>
        <v>#NUM!</v>
      </c>
      <c r="BS69" s="83">
        <f t="shared" ca="1" si="377"/>
        <v>-1073971.1078190038</v>
      </c>
      <c r="BT69" s="3" t="str">
        <f t="shared" ca="1" si="281"/>
        <v/>
      </c>
      <c r="BU69" s="83">
        <f t="shared" ca="1" si="378"/>
        <v>0</v>
      </c>
      <c r="BV69" s="83"/>
      <c r="BX69" s="83" t="e">
        <f t="shared" ca="1" si="379"/>
        <v>#NUM!</v>
      </c>
      <c r="BY69" s="83" t="e">
        <f t="shared" ca="1" si="296"/>
        <v>#NUM!</v>
      </c>
      <c r="BZ69" s="83">
        <f t="shared" ca="1" si="380"/>
        <v>-4917280.7825675663</v>
      </c>
      <c r="CA69" s="83" t="str">
        <f t="shared" ca="1" si="296"/>
        <v/>
      </c>
      <c r="CB69" s="83">
        <f t="shared" ca="1" si="381"/>
        <v>0</v>
      </c>
      <c r="CC69" s="83" t="str">
        <f t="shared" ca="1" si="296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1</v>
      </c>
      <c r="CG69" s="83">
        <f>-IF(RTD("tos.rtd",,CG$2,"."&amp;$A$43&amp;$AU$1&amp;"P"&amp;$A69)="N/A",0,RTD("tos.rtd",,CG$2,"."&amp;$A$43&amp;$AU$1&amp;"P"&amp;$A69))</f>
        <v>0.21</v>
      </c>
      <c r="CH69" s="83">
        <f>IF(RTD("tos.rtd",,CH$2,"."&amp;$A$43&amp;$AW$1&amp;"C"&amp;$A69)="N/A",0,RTD("tos.rtd",,CH$2,"."&amp;$A$43&amp;$AW$1&amp;"C"&amp;$A69))</f>
        <v>0</v>
      </c>
      <c r="CI69" s="83">
        <f>-IF(RTD("tos.rtd",,CI$2,"."&amp;$A$43&amp;$AW$1&amp;"P"&amp;$A69)="N/A",0,RTD("tos.rtd",,CI$2,"."&amp;$A$43&amp;$AW$1&amp;"P"&amp;$A69))</f>
        <v>0</v>
      </c>
      <c r="CK69" s="83">
        <f t="shared" si="382"/>
        <v>101300</v>
      </c>
      <c r="CL69" s="83"/>
      <c r="CM69" s="83">
        <f t="shared" si="383"/>
        <v>24509</v>
      </c>
      <c r="CN69" s="83"/>
      <c r="CO69" s="83">
        <f t="shared" si="384"/>
        <v>0</v>
      </c>
      <c r="CP69" s="83">
        <f t="shared" si="385"/>
        <v>125809</v>
      </c>
      <c r="CQ69" s="83">
        <f t="shared" si="386"/>
        <v>-5202</v>
      </c>
      <c r="CR69" s="83"/>
      <c r="CS69" s="83">
        <f t="shared" si="387"/>
        <v>-1808</v>
      </c>
      <c r="CT69" s="83"/>
      <c r="CU69" s="83">
        <f t="shared" si="388"/>
        <v>0</v>
      </c>
      <c r="CV69" s="83"/>
      <c r="CW69" s="83" t="e">
        <f t="shared" ca="1" si="389"/>
        <v>#NUM!</v>
      </c>
      <c r="CY69" s="83" t="e">
        <f t="shared" ca="1" si="390"/>
        <v>#NUM!</v>
      </c>
      <c r="CZ69" s="70" t="e">
        <f t="shared" ca="1" si="297"/>
        <v>#NUM!</v>
      </c>
      <c r="DA69" s="83">
        <f>IF(RTD("tos.rtd",,DA$43,"."&amp;$A$43&amp;$AS$42&amp;"C"&amp;$A69)="N/A",0,RTD("tos.rtd",,DA$43,"."&amp;$A$43&amp;$AS$42&amp;"C"&amp;$A69))</f>
        <v>10.3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10.119999999999999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9.7799999999999994</v>
      </c>
      <c r="DF69" s="83">
        <f>IF(RTD("tos.rtd",,DF$43,"."&amp;$A$43&amp;$AS$42&amp;"P"&amp;$A69)="N/A",0,RTD("tos.rtd",,DF$43,"."&amp;$A$43&amp;$AS$42&amp;"P"&amp;$A69))</f>
        <v>0</v>
      </c>
      <c r="DG69" s="86">
        <f t="shared" si="289"/>
        <v>-18.170000000000016</v>
      </c>
      <c r="DH69" s="83">
        <f t="shared" si="391"/>
        <v>114.70588235294152</v>
      </c>
      <c r="DI69" s="83">
        <f t="shared" si="392"/>
        <v>-2</v>
      </c>
      <c r="DJ69" s="83">
        <f t="shared" si="393"/>
        <v>75</v>
      </c>
      <c r="DK69" s="83">
        <f t="shared" si="257"/>
        <v>-2</v>
      </c>
      <c r="DL69" s="83">
        <f t="shared" si="258"/>
        <v>112.70588235294152</v>
      </c>
      <c r="DM69" s="83">
        <f t="shared" si="259"/>
        <v>73</v>
      </c>
      <c r="DN69" s="64" t="str">
        <f t="shared" si="260"/>
        <v>BUY</v>
      </c>
      <c r="DO69" s="64" t="str">
        <f t="shared" si="261"/>
        <v>BUY</v>
      </c>
      <c r="DP69" s="83">
        <f t="shared" si="262"/>
        <v>1181.4505882352978</v>
      </c>
      <c r="DQ69" s="83">
        <f t="shared" si="263"/>
        <v>772.48</v>
      </c>
      <c r="DR69" s="83" t="e">
        <f t="shared" ca="1" si="264"/>
        <v>#NUM!</v>
      </c>
      <c r="DS69" s="83">
        <f t="shared" si="265"/>
        <v>75</v>
      </c>
      <c r="DT69" s="83">
        <f t="shared" si="290"/>
        <v>75</v>
      </c>
      <c r="DU69" s="83">
        <f t="shared" si="291"/>
        <v>-2</v>
      </c>
      <c r="DV69" s="83">
        <f t="shared" si="266"/>
        <v>130</v>
      </c>
      <c r="DW69" s="83">
        <f t="shared" si="267"/>
        <v>385</v>
      </c>
      <c r="DX69" s="83" t="e">
        <f t="shared" ca="1" si="394"/>
        <v>#NUM!</v>
      </c>
      <c r="DY69" s="83" t="e">
        <f t="shared" ca="1" si="395"/>
        <v>#NUM!</v>
      </c>
      <c r="DZ69" s="83">
        <f t="shared" ca="1" si="396"/>
        <v>1.2379460676964427E-2</v>
      </c>
      <c r="EA69" s="83">
        <f t="shared" ca="1" si="397"/>
        <v>-1.1091699815336319E-2</v>
      </c>
      <c r="EB69" s="83">
        <f t="shared" ca="1" si="398"/>
        <v>1.2379460676964427E-2</v>
      </c>
      <c r="EC69" s="83">
        <f t="shared" ca="1" si="399"/>
        <v>-1.2379460676964427E-2</v>
      </c>
      <c r="ED69" s="63">
        <f t="shared" si="292"/>
        <v>515</v>
      </c>
      <c r="EE69" s="84">
        <f t="shared" si="400"/>
        <v>0.25</v>
      </c>
      <c r="EF69" s="84">
        <f t="shared" si="401"/>
        <v>1.7664</v>
      </c>
      <c r="EG69" s="84">
        <f t="shared" si="402"/>
        <v>0.25</v>
      </c>
      <c r="EH69" s="84">
        <f t="shared" si="403"/>
        <v>0.41889999999999999</v>
      </c>
      <c r="EI69" s="84">
        <f t="shared" si="404"/>
        <v>0.25</v>
      </c>
      <c r="EJ69" s="84">
        <f t="shared" si="405"/>
        <v>0.25</v>
      </c>
      <c r="EK69" s="63" t="e">
        <f t="shared" ca="1" si="293"/>
        <v>#NUM!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176.64%</v>
      </c>
      <c r="EN69" s="83" t="str">
        <f>RTD("tos.rtd",,EN$2,"."&amp;$A$43&amp;$AU$1&amp;"C"&amp;$A69)</f>
        <v>--</v>
      </c>
      <c r="EO69" s="83" t="str">
        <f>RTD("tos.rtd",,EO$2,"."&amp;$A$43&amp;$AU$1&amp;"P"&amp;$A69)</f>
        <v>41.89%</v>
      </c>
      <c r="EP69" s="83" t="str">
        <f>RTD("tos.rtd",,EP$2,"."&amp;$A$43&amp;$AW$1&amp;"C"&amp;$A69)</f>
        <v>N/A</v>
      </c>
      <c r="EQ69" s="83" t="str">
        <f>RTD("tos.rtd",,EQ$2,"."&amp;$A$43&amp;$AW$1&amp;"P"&amp;$A69)</f>
        <v>N/A</v>
      </c>
      <c r="ES69" s="63" t="str">
        <f t="shared" si="274"/>
        <v>478,515.00</v>
      </c>
      <c r="ET69" s="63" t="str">
        <f t="shared" ca="1" si="275"/>
        <v>478,00.00</v>
      </c>
      <c r="EU69" s="68">
        <v>565.54</v>
      </c>
      <c r="EV69" s="68" t="s">
        <v>571</v>
      </c>
      <c r="EW69" s="68">
        <v>489.12</v>
      </c>
      <c r="EX69" s="68" t="s">
        <v>572</v>
      </c>
      <c r="EY69" s="68">
        <v>5663.94</v>
      </c>
      <c r="EZ69" s="68" t="s">
        <v>573</v>
      </c>
      <c r="FA69" s="68">
        <v>20063.564999999999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94"/>
        <v>477</v>
      </c>
      <c r="B70" s="3">
        <f t="shared" si="241"/>
        <v>3081</v>
      </c>
      <c r="C70" s="3">
        <f t="shared" si="242"/>
        <v>1853</v>
      </c>
      <c r="D70" s="3">
        <f t="shared" si="243"/>
        <v>0</v>
      </c>
      <c r="E70" s="3">
        <f t="shared" si="244"/>
        <v>4934</v>
      </c>
      <c r="F70" s="4">
        <f t="shared" si="298"/>
        <v>19680.804462180298</v>
      </c>
      <c r="AM70" s="1">
        <v>3</v>
      </c>
      <c r="AN70" s="1">
        <v>-193</v>
      </c>
      <c r="AO70" s="1">
        <v>477</v>
      </c>
      <c r="AP70" s="1">
        <v>158</v>
      </c>
      <c r="AQ70" s="1">
        <v>-3205</v>
      </c>
      <c r="AS70" s="6">
        <f>IF(RTD("tos.rtd",,AS$43,"."&amp;$A$43&amp;$AS$42&amp;"C"&amp;$A70)="N/A",0,RTD("tos.rtd",,AS$43,"."&amp;$A$43&amp;$AS$42&amp;"C"&amp;$A70))</f>
        <v>926</v>
      </c>
      <c r="AT70" s="7">
        <f>-IF(RTD("tos.rtd",,AT$43,"."&amp;$A$43&amp;$AS$42&amp;"P"&amp;$A70)="N/A",0,RTD("tos.rtd",,AT$43,"."&amp;$A$43&amp;$AS$42&amp;"P"&amp;$A70))</f>
        <v>-2155</v>
      </c>
      <c r="AU70" s="6">
        <f>IF(RTD("tos.rtd",,AU$2,"."&amp;$A$43&amp;$AU$1&amp;"C"&amp;$A70)="N/A",0,RTD("tos.rtd",,AU$2,"."&amp;$A$43&amp;$AU$1&amp;"C"&amp;$A70))</f>
        <v>101</v>
      </c>
      <c r="AV70" s="7">
        <f>-IF(RTD("tos.rtd",,AV$2,"."&amp;$A$43&amp;$AU$1&amp;"P"&amp;$A70)="N/A",0,RTD("tos.rtd",,AV$2,"."&amp;$A$43&amp;$AU$1&amp;"P"&amp;$A70))</f>
        <v>-1752</v>
      </c>
      <c r="AW70" s="6">
        <f>IF(RTD("tos.rtd",,AW$2,"."&amp;$A$43&amp;$AW$1&amp;"C"&amp;$A70)="N/A",0,RTD("tos.rtd",,AW$2,"."&amp;$A$43&amp;$AW$1&amp;"C"&amp;$A70))</f>
        <v>0</v>
      </c>
      <c r="AX70" s="7">
        <f>-IF(RTD("tos.rtd",,AX$2,"."&amp;$A$43&amp;$AW$1&amp;"P"&amp;$A70)="N/A",0,RTD("tos.rtd",,AX$2,"."&amp;$A$43&amp;$AW$1&amp;"P"&amp;$A70))</f>
        <v>0</v>
      </c>
      <c r="AY70" s="7">
        <f t="shared" si="276"/>
        <v>-2880</v>
      </c>
      <c r="AZ70" s="8">
        <f t="shared" si="245"/>
        <v>477</v>
      </c>
      <c r="BA70" s="6">
        <f>IF(RTD("tos.rtd",,BA$43,"."&amp;$A$43&amp;$AS$42&amp;"C"&amp;$A70)="N/A",0,RTD("tos.rtd",,BA$43,"."&amp;$A$43&amp;$AS$42&amp;"C"&amp;$A70))</f>
        <v>162</v>
      </c>
      <c r="BB70" s="7">
        <f>-IF(RTD("tos.rtd",,BB$43,"."&amp;$A$43&amp;$AS$42&amp;"P"&amp;$A70)="N/A",0,RTD("tos.rtd",,BB$43,"."&amp;$A$43&amp;$AS$42&amp;"P"&amp;$A70))</f>
        <v>-3207</v>
      </c>
      <c r="BC70" s="6">
        <f>IF(RTD("tos.rtd",,BC$2,"."&amp;$A$43&amp;$AU$1&amp;"C"&amp;$A70)="N/A",0,RTD("tos.rtd",,BC$2,"."&amp;$A$43&amp;$AU$1&amp;"C"&amp;$A70))</f>
        <v>113</v>
      </c>
      <c r="BD70" s="7">
        <f>-IF(RTD("tos.rtd",,BD$2,"."&amp;$A$43&amp;$AU$1&amp;"P"&amp;$A70)="N/A",0,RTD("tos.rtd",,BD$2,"."&amp;$A$43&amp;$AU$1&amp;"P"&amp;$A70))</f>
        <v>-2327</v>
      </c>
      <c r="BE70" s="6">
        <f>IF(RTD("tos.rtd",,BE$2,"."&amp;$A$43&amp;$AW$1&amp;"C"&amp;$A70)="N/A",0,RTD("tos.rtd",,BE$2,"."&amp;$A$43&amp;$AW$1&amp;"C"&amp;$A70))</f>
        <v>0</v>
      </c>
      <c r="BF70" s="7">
        <f>-IF(RTD("tos.rtd",,BF$2,"."&amp;$A$43&amp;$AW$1&amp;"P"&amp;$A70)="N/A",0,RTD("tos.rtd",,BF$2,"."&amp;$A$43&amp;$AW$1&amp;"P"&amp;$A70))</f>
        <v>0</v>
      </c>
      <c r="BG70" s="32">
        <f ca="1">+Hoja2!Y71</f>
        <v>-372</v>
      </c>
      <c r="BH70" s="7">
        <f t="shared" ca="1" si="277"/>
        <v>-5631</v>
      </c>
      <c r="BI70" s="8" t="str">
        <f t="shared" ca="1" si="295"/>
        <v/>
      </c>
      <c r="BJ70" s="83" t="e">
        <f ca="1">IF($BP$1=1,DX70,IF(RTD("tos.rtd",,BJ$43,"."&amp;$A$43&amp;$AS$42&amp;"C"&amp;$A70)="N/A",0,RTD("tos.rtd",,BJ$43,"."&amp;$A$43&amp;$AS$42&amp;"C"&amp;$A70)))</f>
        <v>#NUM!</v>
      </c>
      <c r="BK70" s="83" t="e">
        <f ca="1">IF($BP$1=1,DY70,-IF(RTD("tos.rtd",,BK$43,"."&amp;$A$43&amp;$AS$42&amp;"P"&amp;$A70)="N/A",0,RTD("tos.rtd",,BK$43,"."&amp;$A$43&amp;$AS$42&amp;"P"&amp;$A70)))</f>
        <v>#NUM!</v>
      </c>
      <c r="BL70" s="83">
        <f ca="1">IF($BP$1=1,DZ70,IF(RTD("tos.rtd",,BL$2,"."&amp;$A$43&amp;$AU$1&amp;"C"&amp;$A70)="N/A",0,RTD("tos.rtd",,BL$2,"."&amp;$A$43&amp;$AU$1&amp;"C"&amp;$A70)))</f>
        <v>1.1514632514405201E-2</v>
      </c>
      <c r="BM70" s="83">
        <f ca="1">IF($BP$1=1,EA70,-IF(RTD("tos.rtd",,BM$2,"."&amp;$A$43&amp;$AU$1&amp;"P"&amp;$A70)="N/A",0,RTD("tos.rtd",,BM$2,"."&amp;$A$43&amp;$AU$1&amp;"P"&amp;$A70)))</f>
        <v>-1.0825161205690012E-2</v>
      </c>
      <c r="BN70" s="83">
        <f ca="1">IF($BP$1=1,EB70,IF(RTD("tos.rtd",,BN$2,"."&amp;$A$43&amp;$AW$1&amp;"C"&amp;$A70)="N/A",0,RTD("tos.rtd",,BN$2,"."&amp;$A$43&amp;$AW$1&amp;"C"&amp;$A70)))</f>
        <v>1.1514632514405201E-2</v>
      </c>
      <c r="BO70" s="83">
        <f ca="1">IF($BP$1=1,EC70,-IF(RTD("tos.rtd",,BO$2,"."&amp;$A$43&amp;$AW$1&amp;"P"&amp;$A70)="N/A",0,RTD("tos.rtd",,BO$2,"."&amp;$A$43&amp;$AW$1&amp;"P"&amp;$A70)))</f>
        <v>-1.1514632514405201E-2</v>
      </c>
      <c r="BQ70" s="83" t="e">
        <f t="shared" ca="1" si="278"/>
        <v>#NUM!</v>
      </c>
      <c r="BR70" s="3" t="e">
        <f t="shared" ca="1" si="279"/>
        <v>#NUM!</v>
      </c>
      <c r="BS70" s="83">
        <f t="shared" ca="1" si="280"/>
        <v>-4382752.9247758184</v>
      </c>
      <c r="BT70" s="3" t="str">
        <f t="shared" ca="1" si="281"/>
        <v/>
      </c>
      <c r="BU70" s="83">
        <f t="shared" ca="1" si="282"/>
        <v>0</v>
      </c>
      <c r="BV70" s="83"/>
      <c r="BX70" s="83" t="e">
        <f t="shared" ca="1" si="283"/>
        <v>#NUM!</v>
      </c>
      <c r="BY70" s="83" t="e">
        <f t="shared" ca="1" si="296"/>
        <v>#NUM!</v>
      </c>
      <c r="BZ70" s="83">
        <f t="shared" ca="1" si="284"/>
        <v>-5881104.7310059052</v>
      </c>
      <c r="CA70" s="83" t="str">
        <f t="shared" ca="1" si="296"/>
        <v/>
      </c>
      <c r="CB70" s="83">
        <f t="shared" ca="1" si="285"/>
        <v>0</v>
      </c>
      <c r="CC70" s="83" t="str">
        <f t="shared" ca="1" si="296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1</v>
      </c>
      <c r="CG70" s="83">
        <f>-IF(RTD("tos.rtd",,CG$2,"."&amp;$A$43&amp;$AU$1&amp;"P"&amp;$A70)="N/A",0,RTD("tos.rtd",,CG$2,"."&amp;$A$43&amp;$AU$1&amp;"P"&amp;$A70))</f>
        <v>0.2</v>
      </c>
      <c r="CH70" s="83">
        <f>IF(RTD("tos.rtd",,CH$2,"."&amp;$A$43&amp;$AW$1&amp;"C"&amp;$A70)="N/A",0,RTD("tos.rtd",,CH$2,"."&amp;$A$43&amp;$AW$1&amp;"C"&amp;$A70))</f>
        <v>0</v>
      </c>
      <c r="CI70" s="83">
        <f>-IF(RTD("tos.rtd",,CI$2,"."&amp;$A$43&amp;$AW$1&amp;"P"&amp;$A70)="N/A",0,RTD("tos.rtd",,CI$2,"."&amp;$A$43&amp;$AW$1&amp;"P"&amp;$A70))</f>
        <v>0</v>
      </c>
      <c r="CK70" s="83">
        <f t="shared" si="286"/>
        <v>92600</v>
      </c>
      <c r="CL70" s="83"/>
      <c r="CM70" s="83">
        <f t="shared" si="287"/>
        <v>-24940</v>
      </c>
      <c r="CN70" s="83"/>
      <c r="CO70" s="83">
        <f t="shared" si="288"/>
        <v>0</v>
      </c>
      <c r="CP70" s="83">
        <f t="shared" si="235"/>
        <v>67660</v>
      </c>
      <c r="CQ70" s="83">
        <f t="shared" si="249"/>
        <v>-3045</v>
      </c>
      <c r="CR70" s="83"/>
      <c r="CS70" s="83">
        <f t="shared" si="250"/>
        <v>-2214</v>
      </c>
      <c r="CT70" s="83"/>
      <c r="CU70" s="83">
        <f t="shared" si="251"/>
        <v>0</v>
      </c>
      <c r="CV70" s="83"/>
      <c r="CW70" s="83" t="e">
        <f t="shared" ca="1" si="252"/>
        <v>#NUM!</v>
      </c>
      <c r="CY70" s="83" t="e">
        <f t="shared" ca="1" si="253"/>
        <v>#NUM!</v>
      </c>
      <c r="CZ70" s="70" t="e">
        <f t="shared" ca="1" si="297"/>
        <v>#NUM!</v>
      </c>
      <c r="DA70" s="83">
        <f>IF(RTD("tos.rtd",,DA$43,"."&amp;$A$43&amp;$AS$42&amp;"C"&amp;$A70)="N/A",0,RTD("tos.rtd",,DA$43,"."&amp;$A$43&amp;$AS$42&amp;"C"&amp;$A70))</f>
        <v>10.91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11.12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10.77</v>
      </c>
      <c r="DF70" s="83">
        <f>IF(RTD("tos.rtd",,DF$43,"."&amp;$A$43&amp;$AS$42&amp;"P"&amp;$A70)="N/A",0,RTD("tos.rtd",,DF$43,"."&amp;$A$43&amp;$AS$42&amp;"P"&amp;$A70))</f>
        <v>0</v>
      </c>
      <c r="DG70" s="86">
        <f t="shared" si="289"/>
        <v>-19.170000000000016</v>
      </c>
      <c r="DH70" s="83">
        <f t="shared" si="254"/>
        <v>1.6000000000000081</v>
      </c>
      <c r="DI70" s="83">
        <f t="shared" si="255"/>
        <v>-2</v>
      </c>
      <c r="DJ70" s="83">
        <f t="shared" si="256"/>
        <v>-4</v>
      </c>
      <c r="DK70" s="83">
        <f t="shared" si="257"/>
        <v>-2</v>
      </c>
      <c r="DL70" s="83">
        <f t="shared" si="258"/>
        <v>-0.39999999999999192</v>
      </c>
      <c r="DM70" s="83">
        <f t="shared" si="259"/>
        <v>-6</v>
      </c>
      <c r="DN70" s="64" t="str">
        <f t="shared" si="260"/>
        <v>SELL</v>
      </c>
      <c r="DO70" s="64" t="str">
        <f t="shared" si="261"/>
        <v>BUY</v>
      </c>
      <c r="DP70" s="83">
        <f t="shared" si="262"/>
        <v>17.436000000000089</v>
      </c>
      <c r="DQ70" s="83">
        <f t="shared" si="263"/>
        <v>-43.660000000000004</v>
      </c>
      <c r="DR70" s="83" t="e">
        <f t="shared" ca="1" si="264"/>
        <v>#NUM!</v>
      </c>
      <c r="DS70" s="83">
        <f t="shared" si="265"/>
        <v>-4</v>
      </c>
      <c r="DT70" s="83">
        <f t="shared" si="290"/>
        <v>4</v>
      </c>
      <c r="DU70" s="83">
        <f t="shared" si="291"/>
        <v>-2</v>
      </c>
      <c r="DV70" s="83">
        <f t="shared" si="266"/>
        <v>-1</v>
      </c>
      <c r="DW70" s="83">
        <f t="shared" si="267"/>
        <v>-195</v>
      </c>
      <c r="DX70" s="83" t="e">
        <f t="shared" ref="DX70:DX79" ca="1" si="406">(EXP(-POWER((LN($A$44/$A70)+($EC$1+POWER($EE70,2)/2)*($EM$1/$DY$1))/($EE70*SQRT($EM$1/$DY$1)),2)/2)/SQRT(2*PI())/($A$44*$EE70*SQRT($EM$1/$DY$1)))</f>
        <v>#NUM!</v>
      </c>
      <c r="DY70" s="83" t="e">
        <f t="shared" ref="DY70:DY79" ca="1" si="407">-(EXP(-POWER((LN($A$44/$A70)+($EC$1+POWER($EF70,2)/2)*($EM$1/$DY$1))/($EF70*SQRT($EM$1/$DY$1)),2)/2)/SQRT(2*PI())/($A$44*$EF70*SQRT($EM$1/$DY$1)))</f>
        <v>#NUM!</v>
      </c>
      <c r="DZ70" s="83">
        <f t="shared" ref="DZ70:DZ79" ca="1" si="408">(EXP(-POWER((LN($A$44/$A70)+($EC$1+POWER($EG70,2)/2)*($EO$1/$DY$1))/($EG70*SQRT($EO$1/$DY$1)),2)/2)/SQRT(2*PI())/($A$44*$EG70*SQRT($EO$1/$DY$1)))</f>
        <v>1.1514632514405201E-2</v>
      </c>
      <c r="EA70" s="83">
        <f t="shared" ref="EA70:EA79" ca="1" si="409">-(EXP(-POWER((LN($A$44/$A70)+($EC$1+POWER($EH70,2)/2)*($EO$1/$DY$1))/($EH70*SQRT($EO$1/$DY$1)),2)/2)/SQRT(2*PI())/($A$44*$EH70*SQRT($EO$1/$DY$1)))</f>
        <v>-1.0825161205690012E-2</v>
      </c>
      <c r="EB70" s="83">
        <f t="shared" ref="EB70:EB79" ca="1" si="410">(EXP(-POWER((LN($A$44/$A70)+($EC$1+POWER($EI70,2)/2)*($EO$1/$DY$1))/($EI70*SQRT($EO$1/$DY$1)),2)/2)/SQRT(2*PI())/($A$44*$EI70*SQRT($EO$1/$DY$1)))</f>
        <v>1.1514632514405201E-2</v>
      </c>
      <c r="EC70" s="83">
        <f t="shared" ref="EC70:EC79" ca="1" si="411">-(EXP(-POWER((LN($A$44/$A70)+($EC$1+POWER($EJ70,2)/2)*($EO$1/$DY$1))/($EJ70*SQRT($EO$1/$DY$1)),2)/2)/SQRT(2*PI())/($A$44*$EJ70*SQRT($EO$1/$DY$1)))</f>
        <v>-1.1514632514405201E-2</v>
      </c>
      <c r="ED70" s="63">
        <f t="shared" si="292"/>
        <v>-196</v>
      </c>
      <c r="EE70" s="84">
        <f t="shared" si="268"/>
        <v>0.25</v>
      </c>
      <c r="EF70" s="84">
        <f t="shared" si="269"/>
        <v>1.8559000000000001</v>
      </c>
      <c r="EG70" s="84">
        <f t="shared" si="270"/>
        <v>0.25</v>
      </c>
      <c r="EH70" s="84">
        <f t="shared" si="271"/>
        <v>0.41710000000000003</v>
      </c>
      <c r="EI70" s="84">
        <f t="shared" si="272"/>
        <v>0.25</v>
      </c>
      <c r="EJ70" s="84">
        <f t="shared" si="273"/>
        <v>0.25</v>
      </c>
      <c r="EK70" s="63" t="e">
        <f t="shared" ca="1" si="293"/>
        <v>#NUM!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185.59%</v>
      </c>
      <c r="EN70" s="83" t="str">
        <f>RTD("tos.rtd",,EN$2,"."&amp;$A$43&amp;$AU$1&amp;"C"&amp;$A70)</f>
        <v>--</v>
      </c>
      <c r="EO70" s="83" t="str">
        <f>RTD("tos.rtd",,EO$2,"."&amp;$A$43&amp;$AU$1&amp;"P"&amp;$A70)</f>
        <v>41.71%</v>
      </c>
      <c r="EP70" s="83" t="str">
        <f>RTD("tos.rtd",,EP$2,"."&amp;$A$43&amp;$AW$1&amp;"C"&amp;$A70)</f>
        <v>N/A</v>
      </c>
      <c r="EQ70" s="83" t="str">
        <f>RTD("tos.rtd",,EQ$2,"."&amp;$A$43&amp;$AW$1&amp;"P"&amp;$A70)</f>
        <v>N/A</v>
      </c>
      <c r="ES70" s="63" t="str">
        <f t="shared" si="274"/>
        <v>477,-196.00</v>
      </c>
      <c r="ET70" s="63" t="str">
        <f t="shared" ca="1" si="275"/>
        <v>477,00.00</v>
      </c>
      <c r="EU70" s="68">
        <v>565.58000000000004</v>
      </c>
      <c r="EV70" s="68" t="s">
        <v>579</v>
      </c>
      <c r="EW70" s="68">
        <v>489.18</v>
      </c>
      <c r="EX70" s="68" t="s">
        <v>580</v>
      </c>
      <c r="EY70" s="68">
        <v>5663.94</v>
      </c>
      <c r="EZ70" s="68" t="s">
        <v>581</v>
      </c>
      <c r="FA70" s="68">
        <v>20063.564999999999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94"/>
        <v>476</v>
      </c>
      <c r="B71" s="3">
        <f t="shared" si="241"/>
        <v>3774</v>
      </c>
      <c r="C71" s="3">
        <f t="shared" si="242"/>
        <v>854</v>
      </c>
      <c r="D71" s="3">
        <f t="shared" si="243"/>
        <v>0</v>
      </c>
      <c r="E71" s="3">
        <f t="shared" si="244"/>
        <v>4628</v>
      </c>
      <c r="F71" s="4">
        <f t="shared" si="298"/>
        <v>19639.544914041555</v>
      </c>
      <c r="AM71" s="1">
        <v>65</v>
      </c>
      <c r="AN71" s="1">
        <v>-520</v>
      </c>
      <c r="AO71" s="1">
        <v>476</v>
      </c>
      <c r="AP71" s="1">
        <v>112</v>
      </c>
      <c r="AQ71" s="1">
        <v>-2702</v>
      </c>
      <c r="AS71" s="6">
        <f>IF(RTD("tos.rtd",,AS$43,"."&amp;$A$43&amp;$AS$42&amp;"C"&amp;$A71)="N/A",0,RTD("tos.rtd",,AS$43,"."&amp;$A$43&amp;$AS$42&amp;"C"&amp;$A71))</f>
        <v>718</v>
      </c>
      <c r="AT71" s="7">
        <f>-IF(RTD("tos.rtd",,AT$43,"."&amp;$A$43&amp;$AS$42&amp;"P"&amp;$A71)="N/A",0,RTD("tos.rtd",,AT$43,"."&amp;$A$43&amp;$AS$42&amp;"P"&amp;$A71))</f>
        <v>-3056</v>
      </c>
      <c r="AU71" s="6">
        <f>IF(RTD("tos.rtd",,AU$2,"."&amp;$A$43&amp;$AU$1&amp;"C"&amp;$A71)="N/A",0,RTD("tos.rtd",,AU$2,"."&amp;$A$43&amp;$AU$1&amp;"C"&amp;$A71))</f>
        <v>148</v>
      </c>
      <c r="AV71" s="7">
        <f>-IF(RTD("tos.rtd",,AV$2,"."&amp;$A$43&amp;$AU$1&amp;"P"&amp;$A71)="N/A",0,RTD("tos.rtd",,AV$2,"."&amp;$A$43&amp;$AU$1&amp;"P"&amp;$A71))</f>
        <v>-706</v>
      </c>
      <c r="AW71" s="6">
        <f>IF(RTD("tos.rtd",,AW$2,"."&amp;$A$43&amp;$AW$1&amp;"C"&amp;$A71)="N/A",0,RTD("tos.rtd",,AW$2,"."&amp;$A$43&amp;$AW$1&amp;"C"&amp;$A71))</f>
        <v>0</v>
      </c>
      <c r="AX71" s="7">
        <f>-IF(RTD("tos.rtd",,AX$2,"."&amp;$A$43&amp;$AW$1&amp;"P"&amp;$A71)="N/A",0,RTD("tos.rtd",,AX$2,"."&amp;$A$43&amp;$AW$1&amp;"P"&amp;$A71))</f>
        <v>0</v>
      </c>
      <c r="AY71" s="7">
        <f t="shared" si="276"/>
        <v>-2896</v>
      </c>
      <c r="AZ71" s="8">
        <f t="shared" si="245"/>
        <v>476</v>
      </c>
      <c r="BA71" s="6">
        <f>IF(RTD("tos.rtd",,BA$43,"."&amp;$A$43&amp;$AS$42&amp;"C"&amp;$A71)="N/A",0,RTD("tos.rtd",,BA$43,"."&amp;$A$43&amp;$AS$42&amp;"C"&amp;$A71))</f>
        <v>148</v>
      </c>
      <c r="BB71" s="7">
        <f>-IF(RTD("tos.rtd",,BB$43,"."&amp;$A$43&amp;$AS$42&amp;"P"&amp;$A71)="N/A",0,RTD("tos.rtd",,BB$43,"."&amp;$A$43&amp;$AS$42&amp;"P"&amp;$A71))</f>
        <v>-2702</v>
      </c>
      <c r="BC71" s="6">
        <f>IF(RTD("tos.rtd",,BC$2,"."&amp;$A$43&amp;$AU$1&amp;"C"&amp;$A71)="N/A",0,RTD("tos.rtd",,BC$2,"."&amp;$A$43&amp;$AU$1&amp;"C"&amp;$A71))</f>
        <v>63</v>
      </c>
      <c r="BD71" s="7">
        <f>-IF(RTD("tos.rtd",,BD$2,"."&amp;$A$43&amp;$AU$1&amp;"P"&amp;$A71)="N/A",0,RTD("tos.rtd",,BD$2,"."&amp;$A$43&amp;$AU$1&amp;"P"&amp;$A71))</f>
        <v>-1741</v>
      </c>
      <c r="BE71" s="6">
        <f>IF(RTD("tos.rtd",,BE$2,"."&amp;$A$43&amp;$AW$1&amp;"C"&amp;$A71)="N/A",0,RTD("tos.rtd",,BE$2,"."&amp;$A$43&amp;$AW$1&amp;"C"&amp;$A71))</f>
        <v>0</v>
      </c>
      <c r="BF71" s="7">
        <f>-IF(RTD("tos.rtd",,BF$2,"."&amp;$A$43&amp;$AW$1&amp;"P"&amp;$A71)="N/A",0,RTD("tos.rtd",,BF$2,"."&amp;$A$43&amp;$AW$1&amp;"P"&amp;$A71))</f>
        <v>0</v>
      </c>
      <c r="BG71" s="32">
        <f ca="1">+Hoja2!Y72</f>
        <v>-348</v>
      </c>
      <c r="BH71" s="7">
        <f t="shared" ca="1" si="277"/>
        <v>-4580</v>
      </c>
      <c r="BI71" s="8" t="str">
        <f t="shared" ca="1" si="295"/>
        <v/>
      </c>
      <c r="BJ71" s="83" t="e">
        <f ca="1">IF($BP$1=1,DX71,IF(RTD("tos.rtd",,BJ$43,"."&amp;$A$43&amp;$AS$42&amp;"C"&amp;$A71)="N/A",0,RTD("tos.rtd",,BJ$43,"."&amp;$A$43&amp;$AS$42&amp;"C"&amp;$A71)))</f>
        <v>#NUM!</v>
      </c>
      <c r="BK71" s="83" t="e">
        <f ca="1">IF($BP$1=1,DY71,-IF(RTD("tos.rtd",,BK$43,"."&amp;$A$43&amp;$AS$42&amp;"P"&amp;$A71)="N/A",0,RTD("tos.rtd",,BK$43,"."&amp;$A$43&amp;$AS$42&amp;"P"&amp;$A71)))</f>
        <v>#NUM!</v>
      </c>
      <c r="BL71" s="83">
        <f ca="1">IF($BP$1=1,DZ71,IF(RTD("tos.rtd",,BL$2,"."&amp;$A$43&amp;$AU$1&amp;"C"&amp;$A71)="N/A",0,RTD("tos.rtd",,BL$2,"."&amp;$A$43&amp;$AU$1&amp;"C"&amp;$A71)))</f>
        <v>1.0667633893993405E-2</v>
      </c>
      <c r="BM71" s="83">
        <f ca="1">IF($BP$1=1,EA71,-IF(RTD("tos.rtd",,BM$2,"."&amp;$A$43&amp;$AU$1&amp;"P"&amp;$A71)="N/A",0,RTD("tos.rtd",,BM$2,"."&amp;$A$43&amp;$AU$1&amp;"P"&amp;$A71)))</f>
        <v>-1.0545000290742231E-2</v>
      </c>
      <c r="BN71" s="83">
        <f ca="1">IF($BP$1=1,EB71,IF(RTD("tos.rtd",,BN$2,"."&amp;$A$43&amp;$AW$1&amp;"C"&amp;$A71)="N/A",0,RTD("tos.rtd",,BN$2,"."&amp;$A$43&amp;$AW$1&amp;"C"&amp;$A71)))</f>
        <v>1.0667633893993405E-2</v>
      </c>
      <c r="BO71" s="83">
        <f ca="1">IF($BP$1=1,EC71,-IF(RTD("tos.rtd",,BO$2,"."&amp;$A$43&amp;$AW$1&amp;"P"&amp;$A71)="N/A",0,RTD("tos.rtd",,BO$2,"."&amp;$A$43&amp;$AW$1&amp;"P"&amp;$A71)))</f>
        <v>-1.0667633893993405E-2</v>
      </c>
      <c r="BQ71" s="83" t="e">
        <f t="shared" ca="1" si="278"/>
        <v>#NUM!</v>
      </c>
      <c r="BR71" s="3" t="e">
        <f t="shared" ca="1" si="279"/>
        <v>#NUM!</v>
      </c>
      <c r="BS71" s="83">
        <f t="shared" ca="1" si="280"/>
        <v>-1444109.5161349075</v>
      </c>
      <c r="BT71" s="3" t="str">
        <f t="shared" ca="1" si="281"/>
        <v/>
      </c>
      <c r="BU71" s="83">
        <f t="shared" ca="1" si="282"/>
        <v>0</v>
      </c>
      <c r="BV71" s="83"/>
      <c r="BX71" s="83" t="e">
        <f t="shared" ca="1" si="283"/>
        <v>#NUM!</v>
      </c>
      <c r="BY71" s="83" t="e">
        <f t="shared" ca="1" si="296"/>
        <v>#NUM!</v>
      </c>
      <c r="BZ71" s="83">
        <f t="shared" ca="1" si="284"/>
        <v>-4354215.2034829557</v>
      </c>
      <c r="CA71" s="83" t="str">
        <f t="shared" ca="1" si="296"/>
        <v/>
      </c>
      <c r="CB71" s="83">
        <f t="shared" ca="1" si="285"/>
        <v>0</v>
      </c>
      <c r="CC71" s="83" t="str">
        <f t="shared" ca="1" si="296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1</v>
      </c>
      <c r="CG71" s="83">
        <f>-IF(RTD("tos.rtd",,CG$2,"."&amp;$A$43&amp;$AU$1&amp;"P"&amp;$A71)="N/A",0,RTD("tos.rtd",,CG$2,"."&amp;$A$43&amp;$AU$1&amp;"P"&amp;$A71))</f>
        <v>0.18</v>
      </c>
      <c r="CH71" s="83">
        <f>IF(RTD("tos.rtd",,CH$2,"."&amp;$A$43&amp;$AW$1&amp;"C"&amp;$A71)="N/A",0,RTD("tos.rtd",,CH$2,"."&amp;$A$43&amp;$AW$1&amp;"C"&amp;$A71))</f>
        <v>0</v>
      </c>
      <c r="CI71" s="83">
        <f>-IF(RTD("tos.rtd",,CI$2,"."&amp;$A$43&amp;$AW$1&amp;"P"&amp;$A71)="N/A",0,RTD("tos.rtd",,CI$2,"."&amp;$A$43&amp;$AW$1&amp;"P"&amp;$A71))</f>
        <v>0</v>
      </c>
      <c r="CK71" s="83">
        <f t="shared" si="286"/>
        <v>71800</v>
      </c>
      <c r="CL71" s="83"/>
      <c r="CM71" s="83">
        <f t="shared" si="287"/>
        <v>2092</v>
      </c>
      <c r="CN71" s="83"/>
      <c r="CO71" s="83">
        <f t="shared" si="288"/>
        <v>0</v>
      </c>
      <c r="CP71" s="83">
        <f t="shared" si="235"/>
        <v>73892</v>
      </c>
      <c r="CQ71" s="83">
        <f t="shared" si="249"/>
        <v>-2554</v>
      </c>
      <c r="CR71" s="83"/>
      <c r="CS71" s="83">
        <f t="shared" si="250"/>
        <v>-1678</v>
      </c>
      <c r="CT71" s="83"/>
      <c r="CU71" s="83">
        <f t="shared" si="251"/>
        <v>0</v>
      </c>
      <c r="CV71" s="83"/>
      <c r="CW71" s="83" t="e">
        <f t="shared" ca="1" si="252"/>
        <v>#NUM!</v>
      </c>
      <c r="CY71" s="83" t="e">
        <f t="shared" ca="1" si="253"/>
        <v>#NUM!</v>
      </c>
      <c r="CZ71" s="70" t="e">
        <f t="shared" ca="1" si="297"/>
        <v>#NUM!</v>
      </c>
      <c r="DA71" s="83">
        <f>IF(RTD("tos.rtd",,DA$43,"."&amp;$A$43&amp;$AS$42&amp;"C"&amp;$A71)="N/A",0,RTD("tos.rtd",,DA$43,"."&amp;$A$43&amp;$AS$42&amp;"C"&amp;$A71))</f>
        <v>12.03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12.12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11.78</v>
      </c>
      <c r="DF71" s="83">
        <f>IF(RTD("tos.rtd",,DF$43,"."&amp;$A$43&amp;$AS$42&amp;"P"&amp;$A71)="N/A",0,RTD("tos.rtd",,DF$43,"."&amp;$A$43&amp;$AS$42&amp;"P"&amp;$A71))</f>
        <v>0</v>
      </c>
      <c r="DG71" s="86">
        <f t="shared" si="289"/>
        <v>-20.170000000000016</v>
      </c>
      <c r="DH71" s="83">
        <f t="shared" si="254"/>
        <v>26.470588235294127</v>
      </c>
      <c r="DI71" s="83">
        <f t="shared" si="255"/>
        <v>0</v>
      </c>
      <c r="DJ71" s="83">
        <f t="shared" si="256"/>
        <v>36</v>
      </c>
      <c r="DK71" s="83">
        <f t="shared" si="257"/>
        <v>0</v>
      </c>
      <c r="DL71" s="83">
        <f t="shared" si="258"/>
        <v>26.470588235294127</v>
      </c>
      <c r="DM71" s="83">
        <f t="shared" si="259"/>
        <v>36</v>
      </c>
      <c r="DN71" s="64" t="str">
        <f t="shared" si="260"/>
        <v>BUY</v>
      </c>
      <c r="DO71" s="64" t="str">
        <f t="shared" si="261"/>
        <v>UNKNOWN</v>
      </c>
      <c r="DP71" s="83">
        <f t="shared" si="262"/>
        <v>318.44117647058835</v>
      </c>
      <c r="DQ71" s="83">
        <f t="shared" si="263"/>
        <v>433.08</v>
      </c>
      <c r="DR71" s="83" t="e">
        <f t="shared" ca="1" si="264"/>
        <v>#NUM!</v>
      </c>
      <c r="DS71" s="83">
        <f t="shared" si="265"/>
        <v>36</v>
      </c>
      <c r="DT71" s="83">
        <f t="shared" si="290"/>
        <v>36</v>
      </c>
      <c r="DU71" s="83">
        <f t="shared" si="291"/>
        <v>0</v>
      </c>
      <c r="DV71" s="83">
        <f t="shared" si="266"/>
        <v>101</v>
      </c>
      <c r="DW71" s="83">
        <f t="shared" si="267"/>
        <v>-520</v>
      </c>
      <c r="DX71" s="83" t="e">
        <f t="shared" ca="1" si="406"/>
        <v>#NUM!</v>
      </c>
      <c r="DY71" s="83" t="e">
        <f t="shared" ca="1" si="407"/>
        <v>#NUM!</v>
      </c>
      <c r="DZ71" s="83">
        <f t="shared" ca="1" si="408"/>
        <v>1.0667633893993405E-2</v>
      </c>
      <c r="EA71" s="83">
        <f t="shared" ca="1" si="409"/>
        <v>-1.0545000290742231E-2</v>
      </c>
      <c r="EB71" s="83">
        <f t="shared" ca="1" si="410"/>
        <v>1.0667633893993405E-2</v>
      </c>
      <c r="EC71" s="83">
        <f t="shared" ca="1" si="411"/>
        <v>-1.0667633893993405E-2</v>
      </c>
      <c r="ED71" s="63">
        <f t="shared" si="292"/>
        <v>-419</v>
      </c>
      <c r="EE71" s="84">
        <f t="shared" si="268"/>
        <v>0.25</v>
      </c>
      <c r="EF71" s="84">
        <f t="shared" si="269"/>
        <v>1.9454</v>
      </c>
      <c r="EG71" s="84">
        <f t="shared" si="270"/>
        <v>0.25</v>
      </c>
      <c r="EH71" s="84">
        <f t="shared" si="271"/>
        <v>0.4153</v>
      </c>
      <c r="EI71" s="84">
        <f t="shared" si="272"/>
        <v>0.25</v>
      </c>
      <c r="EJ71" s="84">
        <f t="shared" si="273"/>
        <v>0.25</v>
      </c>
      <c r="EK71" s="63" t="e">
        <f t="shared" ca="1" si="293"/>
        <v>#NUM!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194.54%</v>
      </c>
      <c r="EN71" s="83" t="str">
        <f>RTD("tos.rtd",,EN$2,"."&amp;$A$43&amp;$AU$1&amp;"C"&amp;$A71)</f>
        <v>--</v>
      </c>
      <c r="EO71" s="83" t="str">
        <f>RTD("tos.rtd",,EO$2,"."&amp;$A$43&amp;$AU$1&amp;"P"&amp;$A71)</f>
        <v>41.53%</v>
      </c>
      <c r="EP71" s="83" t="str">
        <f>RTD("tos.rtd",,EP$2,"."&amp;$A$43&amp;$AW$1&amp;"C"&amp;$A71)</f>
        <v>N/A</v>
      </c>
      <c r="EQ71" s="83" t="str">
        <f>RTD("tos.rtd",,EQ$2,"."&amp;$A$43&amp;$AW$1&amp;"P"&amp;$A71)</f>
        <v>N/A</v>
      </c>
      <c r="ES71" s="63" t="str">
        <f t="shared" si="274"/>
        <v>476,-419.00</v>
      </c>
      <c r="ET71" s="63" t="str">
        <f t="shared" ca="1" si="275"/>
        <v>476,00.00</v>
      </c>
      <c r="EU71" s="68">
        <v>565.54</v>
      </c>
      <c r="EV71" s="68" t="s">
        <v>587</v>
      </c>
      <c r="EW71" s="68">
        <v>489.16</v>
      </c>
      <c r="EX71" s="68" t="s">
        <v>588</v>
      </c>
      <c r="EY71" s="68">
        <v>5663.94</v>
      </c>
      <c r="EZ71" s="68" t="s">
        <v>589</v>
      </c>
      <c r="FA71" s="68">
        <v>20063.564999999999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94"/>
        <v>475</v>
      </c>
      <c r="B72" s="3">
        <f t="shared" si="241"/>
        <v>10563</v>
      </c>
      <c r="C72" s="3">
        <f t="shared" ref="C72:C79" si="412">+IF($A$1="ABS",AU72-AV72,AU72+AV72)</f>
        <v>49928</v>
      </c>
      <c r="D72" s="3">
        <f t="shared" si="243"/>
        <v>18058</v>
      </c>
      <c r="E72" s="3">
        <f t="shared" si="244"/>
        <v>78549</v>
      </c>
      <c r="F72" s="4">
        <f t="shared" si="298"/>
        <v>19598.285365902815</v>
      </c>
      <c r="AM72" s="1">
        <v>-13</v>
      </c>
      <c r="AN72" s="1">
        <v>-1555</v>
      </c>
      <c r="AO72" s="1">
        <v>475</v>
      </c>
      <c r="AP72" s="1">
        <v>476</v>
      </c>
      <c r="AQ72" s="1">
        <v>-5469</v>
      </c>
      <c r="AS72" s="6">
        <f>IF(RTD("tos.rtd",,AS$43,"."&amp;$A$43&amp;$AS$42&amp;"C"&amp;$A72)="N/A",0,RTD("tos.rtd",,AS$43,"."&amp;$A$43&amp;$AS$42&amp;"C"&amp;$A72))</f>
        <v>3656</v>
      </c>
      <c r="AT72" s="7">
        <f>-IF(RTD("tos.rtd",,AT$43,"."&amp;$A$43&amp;$AS$42&amp;"P"&amp;$A72)="N/A",0,RTD("tos.rtd",,AT$43,"."&amp;$A$43&amp;$AS$42&amp;"P"&amp;$A72))</f>
        <v>-6907</v>
      </c>
      <c r="AU72" s="6">
        <f>IF(RTD("tos.rtd",,AU$2,"."&amp;$A$43&amp;$AU$1&amp;"C"&amp;$A72)="N/A",0,RTD("tos.rtd",,AU$2,"."&amp;$A$43&amp;$AU$1&amp;"C"&amp;$A72))</f>
        <v>28347</v>
      </c>
      <c r="AV72" s="7">
        <f>-IF(RTD("tos.rtd",,AV$2,"."&amp;$A$43&amp;$AU$1&amp;"P"&amp;$A72)="N/A",0,RTD("tos.rtd",,AV$2,"."&amp;$A$43&amp;$AU$1&amp;"P"&amp;$A72))</f>
        <v>-21581</v>
      </c>
      <c r="AW72" s="6">
        <f>IF(RTD("tos.rtd",,AW$2,"."&amp;$A$43&amp;$AW$1&amp;"C"&amp;$A72)="N/A",0,RTD("tos.rtd",,AW$2,"."&amp;$A$43&amp;$AW$1&amp;"C"&amp;$A72))</f>
        <v>12097</v>
      </c>
      <c r="AX72" s="7">
        <f>-IF(RTD("tos.rtd",,AX$2,"."&amp;$A$43&amp;$AW$1&amp;"P"&amp;$A72)="N/A",0,RTD("tos.rtd",,AX$2,"."&amp;$A$43&amp;$AW$1&amp;"P"&amp;$A72))</f>
        <v>-5961</v>
      </c>
      <c r="AY72" s="7">
        <f t="shared" si="276"/>
        <v>9651</v>
      </c>
      <c r="AZ72" s="8">
        <f t="shared" si="245"/>
        <v>475</v>
      </c>
      <c r="BA72" s="6">
        <f>IF(RTD("tos.rtd",,BA$43,"."&amp;$A$43&amp;$AS$42&amp;"C"&amp;$A72)="N/A",0,RTD("tos.rtd",,BA$43,"."&amp;$A$43&amp;$AS$42&amp;"C"&amp;$A72))</f>
        <v>481</v>
      </c>
      <c r="BB72" s="7">
        <f>-IF(RTD("tos.rtd",,BB$43,"."&amp;$A$43&amp;$AS$42&amp;"P"&amp;$A72)="N/A",0,RTD("tos.rtd",,BB$43,"."&amp;$A$43&amp;$AS$42&amp;"P"&amp;$A72))</f>
        <v>-5526</v>
      </c>
      <c r="BC72" s="6">
        <f>IF(RTD("tos.rtd",,BC$2,"."&amp;$A$43&amp;$AU$1&amp;"C"&amp;$A72)="N/A",0,RTD("tos.rtd",,BC$2,"."&amp;$A$43&amp;$AU$1&amp;"C"&amp;$A72))</f>
        <v>2178</v>
      </c>
      <c r="BD72" s="7">
        <f>-IF(RTD("tos.rtd",,BD$2,"."&amp;$A$43&amp;$AU$1&amp;"P"&amp;$A72)="N/A",0,RTD("tos.rtd",,BD$2,"."&amp;$A$43&amp;$AU$1&amp;"P"&amp;$A72))</f>
        <v>-12613</v>
      </c>
      <c r="BE72" s="6">
        <f>IF(RTD("tos.rtd",,BE$2,"."&amp;$A$43&amp;$AW$1&amp;"C"&amp;$A72)="N/A",0,RTD("tos.rtd",,BE$2,"."&amp;$A$43&amp;$AW$1&amp;"C"&amp;$A72))</f>
        <v>50</v>
      </c>
      <c r="BF72" s="7">
        <f>-IF(RTD("tos.rtd",,BF$2,"."&amp;$A$43&amp;$AW$1&amp;"P"&amp;$A72)="N/A",0,RTD("tos.rtd",,BF$2,"."&amp;$A$43&amp;$AW$1&amp;"P"&amp;$A72))</f>
        <v>-1028</v>
      </c>
      <c r="BG72" s="32">
        <f ca="1">+Hoja2!Y73</f>
        <v>-14454</v>
      </c>
      <c r="BH72" s="7">
        <f t="shared" ca="1" si="277"/>
        <v>-30912</v>
      </c>
      <c r="BI72" s="8" t="str">
        <f t="shared" ca="1" si="295"/>
        <v/>
      </c>
      <c r="BJ72" s="83" t="e">
        <f ca="1">IF($BP$1=1,DX72,IF(RTD("tos.rtd",,BJ$43,"."&amp;$A$43&amp;$AS$42&amp;"C"&amp;$A72)="N/A",0,RTD("tos.rtd",,BJ$43,"."&amp;$A$43&amp;$AS$42&amp;"C"&amp;$A72)))</f>
        <v>#NUM!</v>
      </c>
      <c r="BK72" s="83" t="e">
        <f ca="1">IF($BP$1=1,DY72,-IF(RTD("tos.rtd",,BK$43,"."&amp;$A$43&amp;$AS$42&amp;"P"&amp;$A72)="N/A",0,RTD("tos.rtd",,BK$43,"."&amp;$A$43&amp;$AS$42&amp;"P"&amp;$A72)))</f>
        <v>#NUM!</v>
      </c>
      <c r="BL72" s="83">
        <f ca="1">IF($BP$1=1,DZ72,IF(RTD("tos.rtd",,BL$2,"."&amp;$A$43&amp;$AU$1&amp;"C"&amp;$A72)="N/A",0,RTD("tos.rtd",,BL$2,"."&amp;$A$43&amp;$AU$1&amp;"C"&amp;$A72)))</f>
        <v>9.8433970638079019E-3</v>
      </c>
      <c r="BM72" s="83">
        <f ca="1">IF($BP$1=1,EA72,-IF(RTD("tos.rtd",,BM$2,"."&amp;$A$43&amp;$AU$1&amp;"P"&amp;$A72)="N/A",0,RTD("tos.rtd",,BM$2,"."&amp;$A$43&amp;$AU$1&amp;"P"&amp;$A72)))</f>
        <v>-1.0248334374919201E-2</v>
      </c>
      <c r="BN72" s="83">
        <f ca="1">IF($BP$1=1,EB72,IF(RTD("tos.rtd",,BN$2,"."&amp;$A$43&amp;$AW$1&amp;"C"&amp;$A72)="N/A",0,RTD("tos.rtd",,BN$2,"."&amp;$A$43&amp;$AW$1&amp;"C"&amp;$A72)))</f>
        <v>3.2681735794624404E-3</v>
      </c>
      <c r="BO72" s="83">
        <f ca="1">IF($BP$1=1,EC72,-IF(RTD("tos.rtd",,BO$2,"."&amp;$A$43&amp;$AW$1&amp;"P"&amp;$A72)="N/A",0,RTD("tos.rtd",,BO$2,"."&amp;$A$43&amp;$AW$1&amp;"P"&amp;$A72)))</f>
        <v>-1.0676236955160099E-2</v>
      </c>
      <c r="BQ72" s="83" t="e">
        <f t="shared" ca="1" si="278"/>
        <v>#NUM!</v>
      </c>
      <c r="BR72" s="3" t="e">
        <f t="shared" ca="1" si="279"/>
        <v>#NUM!</v>
      </c>
      <c r="BS72" s="83">
        <f t="shared" ca="1" si="280"/>
        <v>14244607.430431977</v>
      </c>
      <c r="BT72" s="3" t="str">
        <f t="shared" ca="1" si="281"/>
        <v>Cruce +</v>
      </c>
      <c r="BU72" s="83">
        <f t="shared" ca="1" si="282"/>
        <v>-5934515.9837106131</v>
      </c>
      <c r="BV72" s="83"/>
      <c r="BX72" s="83" t="e">
        <f t="shared" ca="1" si="283"/>
        <v>#NUM!</v>
      </c>
      <c r="BY72" s="83" t="e">
        <f t="shared" ca="1" si="296"/>
        <v>#NUM!</v>
      </c>
      <c r="BZ72" s="83">
        <f t="shared" ca="1" si="284"/>
        <v>-26544448.990198091</v>
      </c>
      <c r="CA72" s="83" t="str">
        <f t="shared" ca="1" si="296"/>
        <v/>
      </c>
      <c r="CB72" s="83">
        <f t="shared" ca="1" si="285"/>
        <v>-2661690.2724529617</v>
      </c>
      <c r="CC72" s="83" t="str">
        <f t="shared" ca="1" si="296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1</v>
      </c>
      <c r="CG72" s="83">
        <f>-IF(RTD("tos.rtd",,CG$2,"."&amp;$A$43&amp;$AU$1&amp;"P"&amp;$A72)="N/A",0,RTD("tos.rtd",,CG$2,"."&amp;$A$43&amp;$AU$1&amp;"P"&amp;$A72))</f>
        <v>0.17</v>
      </c>
      <c r="CH72" s="83">
        <f>IF(RTD("tos.rtd",,CH$2,"."&amp;$A$43&amp;$AW$1&amp;"C"&amp;$A72)="N/A",0,RTD("tos.rtd",,CH$2,"."&amp;$A$43&amp;$AW$1&amp;"C"&amp;$A72))</f>
        <v>0.84</v>
      </c>
      <c r="CI72" s="83">
        <f>-IF(RTD("tos.rtd",,CI$2,"."&amp;$A$43&amp;$AW$1&amp;"P"&amp;$A72)="N/A",0,RTD("tos.rtd",,CI$2,"."&amp;$A$43&amp;$AW$1&amp;"P"&amp;$A72))</f>
        <v>0.3</v>
      </c>
      <c r="CK72" s="83">
        <f t="shared" si="286"/>
        <v>365600</v>
      </c>
      <c r="CL72" s="83"/>
      <c r="CM72" s="83">
        <f t="shared" si="287"/>
        <v>2467823</v>
      </c>
      <c r="CN72" s="83"/>
      <c r="CO72" s="83">
        <f t="shared" si="288"/>
        <v>837318</v>
      </c>
      <c r="CP72" s="83">
        <f t="shared" si="235"/>
        <v>3670741</v>
      </c>
      <c r="CQ72" s="83">
        <f t="shared" si="249"/>
        <v>-5045</v>
      </c>
      <c r="CR72" s="83"/>
      <c r="CS72" s="83">
        <f t="shared" si="250"/>
        <v>-10435</v>
      </c>
      <c r="CT72" s="83"/>
      <c r="CU72" s="83">
        <f t="shared" si="251"/>
        <v>-978</v>
      </c>
      <c r="CV72" s="83"/>
      <c r="CW72" s="83" t="e">
        <f t="shared" ca="1" si="252"/>
        <v>#NUM!</v>
      </c>
      <c r="CY72" s="83" t="e">
        <f t="shared" ca="1" si="253"/>
        <v>#NUM!</v>
      </c>
      <c r="CZ72" s="70" t="e">
        <f t="shared" ca="1" si="297"/>
        <v>#NUM!</v>
      </c>
      <c r="DA72" s="83">
        <f>IF(RTD("tos.rtd",,DA$43,"."&amp;$A$43&amp;$AS$42&amp;"C"&amp;$A72)="N/A",0,RTD("tos.rtd",,DA$43,"."&amp;$A$43&amp;$AS$42&amp;"C"&amp;$A72))</f>
        <v>12.77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13.12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12.78</v>
      </c>
      <c r="DF72" s="83">
        <f>IF(RTD("tos.rtd",,DF$43,"."&amp;$A$43&amp;$AS$42&amp;"P"&amp;$A72)="N/A",0,RTD("tos.rtd",,DF$43,"."&amp;$A$43&amp;$AS$42&amp;"P"&amp;$A72))</f>
        <v>0</v>
      </c>
      <c r="DG72" s="86">
        <f t="shared" si="289"/>
        <v>-21.170000000000016</v>
      </c>
      <c r="DH72" s="83">
        <f t="shared" si="254"/>
        <v>-0.14705882352940869</v>
      </c>
      <c r="DI72" s="83">
        <f t="shared" si="255"/>
        <v>-57</v>
      </c>
      <c r="DJ72" s="83">
        <f t="shared" si="256"/>
        <v>-5</v>
      </c>
      <c r="DK72" s="83">
        <f t="shared" si="257"/>
        <v>-57</v>
      </c>
      <c r="DL72" s="83">
        <f t="shared" si="258"/>
        <v>-57.147058823529406</v>
      </c>
      <c r="DM72" s="83">
        <f t="shared" si="259"/>
        <v>-62</v>
      </c>
      <c r="DN72" s="64" t="str">
        <f t="shared" si="260"/>
        <v>SELL</v>
      </c>
      <c r="DO72" s="64" t="str">
        <f t="shared" si="261"/>
        <v>BUY</v>
      </c>
      <c r="DP72" s="83">
        <f t="shared" si="262"/>
        <v>-2.447941176470549</v>
      </c>
      <c r="DQ72" s="83">
        <f t="shared" si="263"/>
        <v>-64.419999999999987</v>
      </c>
      <c r="DR72" s="83" t="e">
        <f t="shared" ca="1" si="264"/>
        <v>#NUM!</v>
      </c>
      <c r="DS72" s="83">
        <f t="shared" si="265"/>
        <v>-5</v>
      </c>
      <c r="DT72" s="83">
        <f t="shared" si="290"/>
        <v>5</v>
      </c>
      <c r="DU72" s="83">
        <f t="shared" si="291"/>
        <v>-57</v>
      </c>
      <c r="DV72" s="83">
        <f t="shared" si="266"/>
        <v>-18</v>
      </c>
      <c r="DW72" s="83">
        <f t="shared" si="267"/>
        <v>-1612</v>
      </c>
      <c r="DX72" s="83" t="e">
        <f t="shared" ca="1" si="406"/>
        <v>#NUM!</v>
      </c>
      <c r="DY72" s="83" t="e">
        <f t="shared" ca="1" si="407"/>
        <v>#NUM!</v>
      </c>
      <c r="DZ72" s="83">
        <f t="shared" ca="1" si="408"/>
        <v>9.8433970638079019E-3</v>
      </c>
      <c r="EA72" s="83">
        <f t="shared" ca="1" si="409"/>
        <v>-1.0248334374919201E-2</v>
      </c>
      <c r="EB72" s="83">
        <f t="shared" ca="1" si="410"/>
        <v>3.2681735794624404E-3</v>
      </c>
      <c r="EC72" s="83">
        <f t="shared" ca="1" si="411"/>
        <v>-1.0676236955160099E-2</v>
      </c>
      <c r="ED72" s="63">
        <f t="shared" si="292"/>
        <v>-1630</v>
      </c>
      <c r="EE72" s="84">
        <f t="shared" si="268"/>
        <v>0.25</v>
      </c>
      <c r="EF72" s="84">
        <f t="shared" si="269"/>
        <v>2.0346000000000002</v>
      </c>
      <c r="EG72" s="84">
        <f t="shared" si="270"/>
        <v>0.25</v>
      </c>
      <c r="EH72" s="84">
        <f t="shared" si="271"/>
        <v>0.41389999999999999</v>
      </c>
      <c r="EI72" s="84">
        <f t="shared" si="272"/>
        <v>0.14660000000000001</v>
      </c>
      <c r="EJ72" s="84">
        <f t="shared" si="273"/>
        <v>0.30259999999999998</v>
      </c>
      <c r="EK72" s="63" t="e">
        <f t="shared" ca="1" si="293"/>
        <v>#NUM!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203.46%</v>
      </c>
      <c r="EN72" s="83" t="str">
        <f>RTD("tos.rtd",,EN$2,"."&amp;$A$43&amp;$AU$1&amp;"C"&amp;$A72)</f>
        <v>--</v>
      </c>
      <c r="EO72" s="83" t="str">
        <f>RTD("tos.rtd",,EO$2,"."&amp;$A$43&amp;$AU$1&amp;"P"&amp;$A72)</f>
        <v>41.39%</v>
      </c>
      <c r="EP72" s="83" t="str">
        <f>RTD("tos.rtd",,EP$2,"."&amp;$A$43&amp;$AW$1&amp;"C"&amp;$A72)</f>
        <v>14.66%</v>
      </c>
      <c r="EQ72" s="83" t="str">
        <f>RTD("tos.rtd",,EQ$2,"."&amp;$A$43&amp;$AW$1&amp;"P"&amp;$A72)</f>
        <v>30.26%</v>
      </c>
      <c r="ES72" s="63" t="str">
        <f t="shared" si="274"/>
        <v>475,-1630.00</v>
      </c>
      <c r="ET72" s="63" t="str">
        <f t="shared" ca="1" si="275"/>
        <v>475,00.00</v>
      </c>
      <c r="EU72" s="68">
        <v>565.49</v>
      </c>
      <c r="EV72" s="68" t="s">
        <v>595</v>
      </c>
      <c r="EW72" s="68">
        <v>489.08</v>
      </c>
      <c r="EX72" s="68" t="s">
        <v>596</v>
      </c>
      <c r="EY72" s="68">
        <v>5663.94</v>
      </c>
      <c r="EZ72" s="68" t="s">
        <v>597</v>
      </c>
      <c r="FA72" s="68">
        <v>20063.564999999999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94"/>
        <v>474</v>
      </c>
      <c r="B73" s="3">
        <f t="shared" si="241"/>
        <v>2963</v>
      </c>
      <c r="C73" s="3">
        <f t="shared" si="412"/>
        <v>484</v>
      </c>
      <c r="D73" s="3">
        <f t="shared" si="243"/>
        <v>0</v>
      </c>
      <c r="E73" s="3">
        <f t="shared" si="244"/>
        <v>3447</v>
      </c>
      <c r="F73" s="4">
        <f t="shared" si="298"/>
        <v>19557.025817764072</v>
      </c>
      <c r="AM73" s="1">
        <v>-11</v>
      </c>
      <c r="AN73" s="1">
        <v>-413</v>
      </c>
      <c r="AO73" s="1">
        <v>474</v>
      </c>
      <c r="AP73" s="1">
        <v>71</v>
      </c>
      <c r="AQ73" s="1">
        <v>-3127</v>
      </c>
      <c r="AS73" s="6">
        <f>IF(RTD("tos.rtd",,AS$43,"."&amp;$A$43&amp;$AS$42&amp;"C"&amp;$A73)="N/A",0,RTD("tos.rtd",,AS$43,"."&amp;$A$43&amp;$AS$42&amp;"C"&amp;$A73))</f>
        <v>448</v>
      </c>
      <c r="AT73" s="7">
        <f>-IF(RTD("tos.rtd",,AT$43,"."&amp;$A$43&amp;$AS$42&amp;"P"&amp;$A73)="N/A",0,RTD("tos.rtd",,AT$43,"."&amp;$A$43&amp;$AS$42&amp;"P"&amp;$A73))</f>
        <v>-2515</v>
      </c>
      <c r="AU73" s="6">
        <f>IF(RTD("tos.rtd",,AU$2,"."&amp;$A$43&amp;$AU$1&amp;"C"&amp;$A73)="N/A",0,RTD("tos.rtd",,AU$2,"."&amp;$A$43&amp;$AU$1&amp;"C"&amp;$A73))</f>
        <v>96</v>
      </c>
      <c r="AV73" s="7">
        <f>-IF(RTD("tos.rtd",,AV$2,"."&amp;$A$43&amp;$AU$1&amp;"P"&amp;$A73)="N/A",0,RTD("tos.rtd",,AV$2,"."&amp;$A$43&amp;$AU$1&amp;"P"&amp;$A73))</f>
        <v>-388</v>
      </c>
      <c r="AW73" s="6">
        <f>IF(RTD("tos.rtd",,AW$2,"."&amp;$A$43&amp;$AW$1&amp;"C"&amp;$A73)="N/A",0,RTD("tos.rtd",,AW$2,"."&amp;$A$43&amp;$AW$1&amp;"C"&amp;$A73))</f>
        <v>0</v>
      </c>
      <c r="AX73" s="7">
        <f>-IF(RTD("tos.rtd",,AX$2,"."&amp;$A$43&amp;$AW$1&amp;"P"&amp;$A73)="N/A",0,RTD("tos.rtd",,AX$2,"."&amp;$A$43&amp;$AW$1&amp;"P"&amp;$A73))</f>
        <v>0</v>
      </c>
      <c r="AY73" s="7">
        <f t="shared" si="276"/>
        <v>-2359</v>
      </c>
      <c r="AZ73" s="8">
        <f t="shared" si="245"/>
        <v>474</v>
      </c>
      <c r="BA73" s="6">
        <f>IF(RTD("tos.rtd",,BA$43,"."&amp;$A$43&amp;$AS$42&amp;"C"&amp;$A73)="N/A",0,RTD("tos.rtd",,BA$43,"."&amp;$A$43&amp;$AS$42&amp;"C"&amp;$A73))</f>
        <v>71</v>
      </c>
      <c r="BB73" s="7">
        <f>-IF(RTD("tos.rtd",,BB$43,"."&amp;$A$43&amp;$AS$42&amp;"P"&amp;$A73)="N/A",0,RTD("tos.rtd",,BB$43,"."&amp;$A$43&amp;$AS$42&amp;"P"&amp;$A73))</f>
        <v>-3131</v>
      </c>
      <c r="BC73" s="6">
        <f>IF(RTD("tos.rtd",,BC$2,"."&amp;$A$43&amp;$AU$1&amp;"C"&amp;$A73)="N/A",0,RTD("tos.rtd",,BC$2,"."&amp;$A$43&amp;$AU$1&amp;"C"&amp;$A73))</f>
        <v>18</v>
      </c>
      <c r="BD73" s="7">
        <f>-IF(RTD("tos.rtd",,BD$2,"."&amp;$A$43&amp;$AU$1&amp;"P"&amp;$A73)="N/A",0,RTD("tos.rtd",,BD$2,"."&amp;$A$43&amp;$AU$1&amp;"P"&amp;$A73))</f>
        <v>-4010</v>
      </c>
      <c r="BE73" s="6">
        <f>IF(RTD("tos.rtd",,BE$2,"."&amp;$A$43&amp;$AW$1&amp;"C"&amp;$A73)="N/A",0,RTD("tos.rtd",,BE$2,"."&amp;$A$43&amp;$AW$1&amp;"C"&amp;$A73))</f>
        <v>0</v>
      </c>
      <c r="BF73" s="7">
        <f>-IF(RTD("tos.rtd",,BF$2,"."&amp;$A$43&amp;$AW$1&amp;"P"&amp;$A73)="N/A",0,RTD("tos.rtd",,BF$2,"."&amp;$A$43&amp;$AW$1&amp;"P"&amp;$A73))</f>
        <v>0</v>
      </c>
      <c r="BG73" s="32">
        <f ca="1">+Hoja2!Y74</f>
        <v>-231</v>
      </c>
      <c r="BH73" s="7">
        <f t="shared" ca="1" si="277"/>
        <v>-7283</v>
      </c>
      <c r="BI73" s="8" t="str">
        <f t="shared" ca="1" si="295"/>
        <v/>
      </c>
      <c r="BJ73" s="83" t="e">
        <f ca="1">IF($BP$1=1,DX73,IF(RTD("tos.rtd",,BJ$43,"."&amp;$A$43&amp;$AS$42&amp;"C"&amp;$A73)="N/A",0,RTD("tos.rtd",,BJ$43,"."&amp;$A$43&amp;$AS$42&amp;"C"&amp;$A73)))</f>
        <v>#NUM!</v>
      </c>
      <c r="BK73" s="83" t="e">
        <f ca="1">IF($BP$1=1,DY73,-IF(RTD("tos.rtd",,BK$43,"."&amp;$A$43&amp;$AS$42&amp;"P"&amp;$A73)="N/A",0,RTD("tos.rtd",,BK$43,"."&amp;$A$43&amp;$AS$42&amp;"P"&amp;$A73)))</f>
        <v>#NUM!</v>
      </c>
      <c r="BL73" s="83">
        <f ca="1">IF($BP$1=1,DZ73,IF(RTD("tos.rtd",,BL$2,"."&amp;$A$43&amp;$AU$1&amp;"C"&amp;$A73)="N/A",0,RTD("tos.rtd",,BL$2,"."&amp;$A$43&amp;$AU$1&amp;"C"&amp;$A73)))</f>
        <v>9.046277832887091E-3</v>
      </c>
      <c r="BM73" s="83">
        <f ca="1">IF($BP$1=1,EA73,-IF(RTD("tos.rtd",,BM$2,"."&amp;$A$43&amp;$AU$1&amp;"P"&amp;$A73)="N/A",0,RTD("tos.rtd",,BM$2,"."&amp;$A$43&amp;$AU$1&amp;"P"&amp;$A73)))</f>
        <v>-9.9457232756220929E-3</v>
      </c>
      <c r="BN73" s="83">
        <f ca="1">IF($BP$1=1,EB73,IF(RTD("tos.rtd",,BN$2,"."&amp;$A$43&amp;$AW$1&amp;"C"&amp;$A73)="N/A",0,RTD("tos.rtd",,BN$2,"."&amp;$A$43&amp;$AW$1&amp;"C"&amp;$A73)))</f>
        <v>9.046277832887091E-3</v>
      </c>
      <c r="BO73" s="83">
        <f ca="1">IF($BP$1=1,EC73,-IF(RTD("tos.rtd",,BO$2,"."&amp;$A$43&amp;$AW$1&amp;"P"&amp;$A73)="N/A",0,RTD("tos.rtd",,BO$2,"."&amp;$A$43&amp;$AW$1&amp;"P"&amp;$A73)))</f>
        <v>-9.046277832887091E-3</v>
      </c>
      <c r="BQ73" s="83" t="e">
        <f t="shared" ca="1" si="278"/>
        <v>#NUM!</v>
      </c>
      <c r="BR73" s="3" t="e">
        <f t="shared" ca="1" si="279"/>
        <v>#NUM!</v>
      </c>
      <c r="BS73" s="83">
        <f t="shared" ca="1" si="280"/>
        <v>-736214.74987865391</v>
      </c>
      <c r="BT73" s="3" t="str">
        <f t="shared" ca="1" si="281"/>
        <v>Cruce -</v>
      </c>
      <c r="BU73" s="83">
        <f t="shared" ca="1" si="282"/>
        <v>0</v>
      </c>
      <c r="BV73" s="83"/>
      <c r="BX73" s="83" t="e">
        <f t="shared" ca="1" si="283"/>
        <v>#NUM!</v>
      </c>
      <c r="BY73" s="83" t="e">
        <f t="shared" ca="1" si="296"/>
        <v>#NUM!</v>
      </c>
      <c r="BZ73" s="83">
        <f t="shared" ca="1" si="284"/>
        <v>-9778336.2238007933</v>
      </c>
      <c r="CA73" s="83" t="str">
        <f t="shared" ca="1" si="296"/>
        <v/>
      </c>
      <c r="CB73" s="83">
        <f t="shared" ca="1" si="285"/>
        <v>0</v>
      </c>
      <c r="CC73" s="83" t="str">
        <f t="shared" ca="1" si="296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1</v>
      </c>
      <c r="CG73" s="83">
        <f>-IF(RTD("tos.rtd",,CG$2,"."&amp;$A$43&amp;$AU$1&amp;"P"&amp;$A73)="N/A",0,RTD("tos.rtd",,CG$2,"."&amp;$A$43&amp;$AU$1&amp;"P"&amp;$A73))</f>
        <v>0.16</v>
      </c>
      <c r="CH73" s="83">
        <f>IF(RTD("tos.rtd",,CH$2,"."&amp;$A$43&amp;$AW$1&amp;"C"&amp;$A73)="N/A",0,RTD("tos.rtd",,CH$2,"."&amp;$A$43&amp;$AW$1&amp;"C"&amp;$A73))</f>
        <v>0</v>
      </c>
      <c r="CI73" s="83">
        <f>-IF(RTD("tos.rtd",,CI$2,"."&amp;$A$43&amp;$AW$1&amp;"P"&amp;$A73)="N/A",0,RTD("tos.rtd",,CI$2,"."&amp;$A$43&amp;$AW$1&amp;"P"&amp;$A73))</f>
        <v>0</v>
      </c>
      <c r="CK73" s="83">
        <f t="shared" si="286"/>
        <v>44800</v>
      </c>
      <c r="CL73" s="83"/>
      <c r="CM73" s="83">
        <f t="shared" si="287"/>
        <v>3392</v>
      </c>
      <c r="CN73" s="83"/>
      <c r="CO73" s="83">
        <f t="shared" si="288"/>
        <v>0</v>
      </c>
      <c r="CP73" s="83">
        <f t="shared" si="235"/>
        <v>48192</v>
      </c>
      <c r="CQ73" s="83">
        <f t="shared" si="249"/>
        <v>-3060</v>
      </c>
      <c r="CR73" s="83"/>
      <c r="CS73" s="83">
        <f t="shared" si="250"/>
        <v>-3992</v>
      </c>
      <c r="CT73" s="83"/>
      <c r="CU73" s="83">
        <f t="shared" si="251"/>
        <v>0</v>
      </c>
      <c r="CV73" s="83"/>
      <c r="CW73" s="83" t="e">
        <f t="shared" ca="1" si="252"/>
        <v>#NUM!</v>
      </c>
      <c r="CY73" s="83" t="e">
        <f t="shared" ca="1" si="253"/>
        <v>#NUM!</v>
      </c>
      <c r="CZ73" s="70" t="e">
        <f t="shared" ca="1" si="297"/>
        <v>#NUM!</v>
      </c>
      <c r="DA73" s="83">
        <f>IF(RTD("tos.rtd",,DA$43,"."&amp;$A$43&amp;$AS$42&amp;"C"&amp;$A73)="N/A",0,RTD("tos.rtd",,DA$43,"."&amp;$A$43&amp;$AS$42&amp;"C"&amp;$A73))</f>
        <v>14.1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14.12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13.77</v>
      </c>
      <c r="DF73" s="83">
        <f>IF(RTD("tos.rtd",,DF$43,"."&amp;$A$43&amp;$AS$42&amp;"P"&amp;$A73)="N/A",0,RTD("tos.rtd",,DF$43,"."&amp;$A$43&amp;$AS$42&amp;"P"&amp;$A73))</f>
        <v>0</v>
      </c>
      <c r="DG73" s="86">
        <f t="shared" si="289"/>
        <v>-22.170000000000016</v>
      </c>
      <c r="DH73" s="83">
        <f t="shared" si="254"/>
        <v>0</v>
      </c>
      <c r="DI73" s="83">
        <f t="shared" si="255"/>
        <v>-4</v>
      </c>
      <c r="DJ73" s="83">
        <f t="shared" si="256"/>
        <v>0</v>
      </c>
      <c r="DK73" s="83">
        <f t="shared" si="257"/>
        <v>-4</v>
      </c>
      <c r="DL73" s="83">
        <f t="shared" si="258"/>
        <v>-4</v>
      </c>
      <c r="DM73" s="83">
        <f t="shared" si="259"/>
        <v>-4</v>
      </c>
      <c r="DN73" s="64" t="str">
        <f t="shared" si="260"/>
        <v>UNKNOWN</v>
      </c>
      <c r="DO73" s="64" t="str">
        <f t="shared" si="261"/>
        <v>BUY</v>
      </c>
      <c r="DP73" s="83">
        <f t="shared" si="262"/>
        <v>-0.04</v>
      </c>
      <c r="DQ73" s="83">
        <f t="shared" si="263"/>
        <v>-0.04</v>
      </c>
      <c r="DR73" s="83" t="e">
        <f t="shared" ca="1" si="264"/>
        <v>#NUM!</v>
      </c>
      <c r="DS73" s="83">
        <f t="shared" si="265"/>
        <v>0</v>
      </c>
      <c r="DT73" s="83">
        <f t="shared" si="290"/>
        <v>0</v>
      </c>
      <c r="DU73" s="83">
        <f t="shared" si="291"/>
        <v>-4</v>
      </c>
      <c r="DV73" s="83">
        <f t="shared" si="266"/>
        <v>-11</v>
      </c>
      <c r="DW73" s="83">
        <f t="shared" si="267"/>
        <v>-417</v>
      </c>
      <c r="DX73" s="83" t="e">
        <f t="shared" ca="1" si="406"/>
        <v>#NUM!</v>
      </c>
      <c r="DY73" s="83" t="e">
        <f t="shared" ca="1" si="407"/>
        <v>#NUM!</v>
      </c>
      <c r="DZ73" s="83">
        <f t="shared" ca="1" si="408"/>
        <v>9.046277832887091E-3</v>
      </c>
      <c r="EA73" s="83">
        <f t="shared" ca="1" si="409"/>
        <v>-9.9457232756220929E-3</v>
      </c>
      <c r="EB73" s="83">
        <f t="shared" ca="1" si="410"/>
        <v>9.046277832887091E-3</v>
      </c>
      <c r="EC73" s="83">
        <f t="shared" ca="1" si="411"/>
        <v>-9.046277832887091E-3</v>
      </c>
      <c r="ED73" s="63">
        <f t="shared" si="292"/>
        <v>-428</v>
      </c>
      <c r="EE73" s="84">
        <f t="shared" si="268"/>
        <v>0.25</v>
      </c>
      <c r="EF73" s="84">
        <f t="shared" si="269"/>
        <v>2.1236999999999999</v>
      </c>
      <c r="EG73" s="84">
        <f t="shared" si="270"/>
        <v>0.25</v>
      </c>
      <c r="EH73" s="84">
        <f t="shared" si="271"/>
        <v>0.41189999999999999</v>
      </c>
      <c r="EI73" s="84">
        <f t="shared" si="272"/>
        <v>0.25</v>
      </c>
      <c r="EJ73" s="84">
        <f t="shared" si="273"/>
        <v>0.25</v>
      </c>
      <c r="EK73" s="63" t="e">
        <f t="shared" ca="1" si="293"/>
        <v>#NUM!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212.37%</v>
      </c>
      <c r="EN73" s="83" t="str">
        <f>RTD("tos.rtd",,EN$2,"."&amp;$A$43&amp;$AU$1&amp;"C"&amp;$A73)</f>
        <v>--</v>
      </c>
      <c r="EO73" s="83" t="str">
        <f>RTD("tos.rtd",,EO$2,"."&amp;$A$43&amp;$AU$1&amp;"P"&amp;$A73)</f>
        <v>41.19%</v>
      </c>
      <c r="EP73" s="83" t="str">
        <f>RTD("tos.rtd",,EP$2,"."&amp;$A$43&amp;$AW$1&amp;"C"&amp;$A73)</f>
        <v>N/A</v>
      </c>
      <c r="EQ73" s="83" t="str">
        <f>RTD("tos.rtd",,EQ$2,"."&amp;$A$43&amp;$AW$1&amp;"P"&amp;$A73)</f>
        <v>N/A</v>
      </c>
      <c r="ES73" s="63" t="str">
        <f t="shared" si="274"/>
        <v>474,-428.00</v>
      </c>
      <c r="ET73" s="63" t="str">
        <f t="shared" ca="1" si="275"/>
        <v>474,00.00</v>
      </c>
      <c r="EU73" s="68">
        <v>565.47</v>
      </c>
      <c r="EV73" s="68" t="s">
        <v>603</v>
      </c>
      <c r="EW73" s="68">
        <v>489.07</v>
      </c>
      <c r="EX73" s="68" t="s">
        <v>604</v>
      </c>
      <c r="EY73" s="68">
        <v>5663.94</v>
      </c>
      <c r="EZ73" s="68" t="s">
        <v>605</v>
      </c>
      <c r="FA73" s="68">
        <v>20063.564999999999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94"/>
        <v>473</v>
      </c>
      <c r="B74" s="3">
        <f t="shared" si="241"/>
        <v>4997</v>
      </c>
      <c r="C74" s="3">
        <f t="shared" si="412"/>
        <v>1090</v>
      </c>
      <c r="D74" s="3">
        <f t="shared" si="243"/>
        <v>0</v>
      </c>
      <c r="E74" s="3">
        <f>SUM(B74:D74)</f>
        <v>6087</v>
      </c>
      <c r="F74" s="4">
        <f>+$F$44/$A$44*A74</f>
        <v>19515.766269625328</v>
      </c>
      <c r="AM74" s="1">
        <v>6</v>
      </c>
      <c r="AN74" s="1">
        <v>-109</v>
      </c>
      <c r="AO74" s="1">
        <v>473</v>
      </c>
      <c r="AP74" s="1">
        <v>191</v>
      </c>
      <c r="AQ74" s="1">
        <v>-2787</v>
      </c>
      <c r="AS74" s="6">
        <f>IF(RTD("tos.rtd",,AS$43,"."&amp;$A$43&amp;$AS$42&amp;"C"&amp;$A74)="N/A",0,RTD("tos.rtd",,AS$43,"."&amp;$A$43&amp;$AS$42&amp;"C"&amp;$A74))</f>
        <v>1362</v>
      </c>
      <c r="AT74" s="7">
        <f>-IF(RTD("tos.rtd",,AT$43,"."&amp;$A$43&amp;$AS$42&amp;"P"&amp;$A74)="N/A",0,RTD("tos.rtd",,AT$43,"."&amp;$A$43&amp;$AS$42&amp;"P"&amp;$A74))</f>
        <v>-3635</v>
      </c>
      <c r="AU74" s="6">
        <f>IF(RTD("tos.rtd",,AU$2,"."&amp;$A$43&amp;$AU$1&amp;"C"&amp;$A74)="N/A",0,RTD("tos.rtd",,AU$2,"."&amp;$A$43&amp;$AU$1&amp;"C"&amp;$A74))</f>
        <v>21</v>
      </c>
      <c r="AV74" s="7">
        <f>-IF(RTD("tos.rtd",,AV$2,"."&amp;$A$43&amp;$AU$1&amp;"P"&amp;$A74)="N/A",0,RTD("tos.rtd",,AV$2,"."&amp;$A$43&amp;$AU$1&amp;"P"&amp;$A74))</f>
        <v>-1069</v>
      </c>
      <c r="AW74" s="6">
        <f>IF(RTD("tos.rtd",,AW$2,"."&amp;$A$43&amp;$AW$1&amp;"C"&amp;$A74)="N/A",0,RTD("tos.rtd",,AW$2,"."&amp;$A$43&amp;$AW$1&amp;"C"&amp;$A74))</f>
        <v>0</v>
      </c>
      <c r="AX74" s="7">
        <f>-IF(RTD("tos.rtd",,AX$2,"."&amp;$A$43&amp;$AW$1&amp;"P"&amp;$A74)="N/A",0,RTD("tos.rtd",,AX$2,"."&amp;$A$43&amp;$AW$1&amp;"P"&amp;$A74))</f>
        <v>0</v>
      </c>
      <c r="AY74" s="7">
        <f>SUM(AS74:AX74)</f>
        <v>-3321</v>
      </c>
      <c r="AZ74" s="8">
        <f t="shared" si="245"/>
        <v>473</v>
      </c>
      <c r="BA74" s="6">
        <f>IF(RTD("tos.rtd",,BA$43,"."&amp;$A$43&amp;$AS$42&amp;"C"&amp;$A74)="N/A",0,RTD("tos.rtd",,BA$43,"."&amp;$A$43&amp;$AS$42&amp;"C"&amp;$A74))</f>
        <v>198</v>
      </c>
      <c r="BB74" s="7">
        <f>-IF(RTD("tos.rtd",,BB$43,"."&amp;$A$43&amp;$AS$42&amp;"P"&amp;$A74)="N/A",0,RTD("tos.rtd",,BB$43,"."&amp;$A$43&amp;$AS$42&amp;"P"&amp;$A74))</f>
        <v>-2788</v>
      </c>
      <c r="BC74" s="6">
        <f>IF(RTD("tos.rtd",,BC$2,"."&amp;$A$43&amp;$AU$1&amp;"C"&amp;$A74)="N/A",0,RTD("tos.rtd",,BC$2,"."&amp;$A$43&amp;$AU$1&amp;"C"&amp;$A74))</f>
        <v>45</v>
      </c>
      <c r="BD74" s="7">
        <f>-IF(RTD("tos.rtd",,BD$2,"."&amp;$A$43&amp;$AU$1&amp;"P"&amp;$A74)="N/A",0,RTD("tos.rtd",,BD$2,"."&amp;$A$43&amp;$AU$1&amp;"P"&amp;$A74))</f>
        <v>-1917</v>
      </c>
      <c r="BE74" s="6">
        <f>IF(RTD("tos.rtd",,BE$2,"."&amp;$A$43&amp;$AW$1&amp;"C"&amp;$A74)="N/A",0,RTD("tos.rtd",,BE$2,"."&amp;$A$43&amp;$AW$1&amp;"C"&amp;$A74))</f>
        <v>0</v>
      </c>
      <c r="BF74" s="7">
        <f>-IF(RTD("tos.rtd",,BF$2,"."&amp;$A$43&amp;$AW$1&amp;"P"&amp;$A74)="N/A",0,RTD("tos.rtd",,BF$2,"."&amp;$A$43&amp;$AW$1&amp;"P"&amp;$A74))</f>
        <v>0</v>
      </c>
      <c r="BG74" s="32">
        <f ca="1">+Hoja2!Y75</f>
        <v>-158</v>
      </c>
      <c r="BH74" s="7">
        <f t="shared" ca="1" si="277"/>
        <v>-4620</v>
      </c>
      <c r="BI74" s="8" t="str">
        <f t="shared" ca="1" si="295"/>
        <v/>
      </c>
      <c r="BJ74" s="83" t="e">
        <f ca="1">IF($BP$1=1,DX74,IF(RTD("tos.rtd",,BJ$43,"."&amp;$A$43&amp;$AS$42&amp;"C"&amp;$A74)="N/A",0,RTD("tos.rtd",,BJ$43,"."&amp;$A$43&amp;$AS$42&amp;"C"&amp;$A74)))</f>
        <v>#NUM!</v>
      </c>
      <c r="BK74" s="83" t="e">
        <f ca="1">IF($BP$1=1,DY74,-IF(RTD("tos.rtd",,BK$43,"."&amp;$A$43&amp;$AS$42&amp;"P"&amp;$A74)="N/A",0,RTD("tos.rtd",,BK$43,"."&amp;$A$43&amp;$AS$42&amp;"P"&amp;$A74)))</f>
        <v>#NUM!</v>
      </c>
      <c r="BL74" s="83">
        <f ca="1">IF($BP$1=1,DZ74,IF(RTD("tos.rtd",,BL$2,"."&amp;$A$43&amp;$AU$1&amp;"C"&amp;$A74)="N/A",0,RTD("tos.rtd",,BL$2,"."&amp;$A$43&amp;$AU$1&amp;"C"&amp;$A74)))</f>
        <v>8.2800299438005633E-3</v>
      </c>
      <c r="BM74" s="83">
        <f ca="1">IF($BP$1=1,EA74,-IF(RTD("tos.rtd",,BM$2,"."&amp;$A$43&amp;$AU$1&amp;"P"&amp;$A74)="N/A",0,RTD("tos.rtd",,BM$2,"."&amp;$A$43&amp;$AU$1&amp;"P"&amp;$A74)))</f>
        <v>-9.627024254953459E-3</v>
      </c>
      <c r="BN74" s="83">
        <f ca="1">IF($BP$1=1,EB74,IF(RTD("tos.rtd",,BN$2,"."&amp;$A$43&amp;$AW$1&amp;"C"&amp;$A74)="N/A",0,RTD("tos.rtd",,BN$2,"."&amp;$A$43&amp;$AW$1&amp;"C"&amp;$A74)))</f>
        <v>8.2800299438005633E-3</v>
      </c>
      <c r="BO74" s="83">
        <f ca="1">IF($BP$1=1,EC74,-IF(RTD("tos.rtd",,BO$2,"."&amp;$A$43&amp;$AW$1&amp;"P"&amp;$A74)="N/A",0,RTD("tos.rtd",,BO$2,"."&amp;$A$43&amp;$AW$1&amp;"P"&amp;$A74)))</f>
        <v>-8.2800299438005633E-3</v>
      </c>
      <c r="BQ74" s="83" t="e">
        <f t="shared" ca="1" si="278"/>
        <v>#NUM!</v>
      </c>
      <c r="BR74" s="3" t="e">
        <f t="shared" ca="1" si="279"/>
        <v>#NUM!</v>
      </c>
      <c r="BS74" s="83">
        <f t="shared" ca="1" si="280"/>
        <v>-2490750.8123940183</v>
      </c>
      <c r="BT74" s="3" t="str">
        <f t="shared" ca="1" si="281"/>
        <v/>
      </c>
      <c r="BU74" s="83">
        <f t="shared" ca="1" si="282"/>
        <v>0</v>
      </c>
      <c r="BV74" s="83"/>
      <c r="BX74" s="83" t="e">
        <f t="shared" ca="1" si="283"/>
        <v>#NUM!</v>
      </c>
      <c r="BY74" s="83" t="e">
        <f t="shared" ca="1" si="296"/>
        <v>#NUM!</v>
      </c>
      <c r="BZ74" s="83">
        <f t="shared" ca="1" si="284"/>
        <v>-4451610.6784051927</v>
      </c>
      <c r="CA74" s="83" t="str">
        <f t="shared" ca="1" si="296"/>
        <v/>
      </c>
      <c r="CB74" s="83">
        <f t="shared" ca="1" si="285"/>
        <v>0</v>
      </c>
      <c r="CC74" s="83" t="str">
        <f t="shared" ca="1" si="296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1</v>
      </c>
      <c r="CG74" s="83">
        <f>-IF(RTD("tos.rtd",,CG$2,"."&amp;$A$43&amp;$AU$1&amp;"P"&amp;$A74)="N/A",0,RTD("tos.rtd",,CG$2,"."&amp;$A$43&amp;$AU$1&amp;"P"&amp;$A74))</f>
        <v>0.15</v>
      </c>
      <c r="CH74" s="83">
        <f>IF(RTD("tos.rtd",,CH$2,"."&amp;$A$43&amp;$AW$1&amp;"C"&amp;$A74)="N/A",0,RTD("tos.rtd",,CH$2,"."&amp;$A$43&amp;$AW$1&amp;"C"&amp;$A74))</f>
        <v>0</v>
      </c>
      <c r="CI74" s="83">
        <f>-IF(RTD("tos.rtd",,CI$2,"."&amp;$A$43&amp;$AW$1&amp;"P"&amp;$A74)="N/A",0,RTD("tos.rtd",,CI$2,"."&amp;$A$43&amp;$AW$1&amp;"P"&amp;$A74))</f>
        <v>0</v>
      </c>
      <c r="CK74" s="83">
        <f t="shared" si="286"/>
        <v>136200</v>
      </c>
      <c r="CL74" s="83"/>
      <c r="CM74" s="83">
        <f t="shared" si="287"/>
        <v>-13935</v>
      </c>
      <c r="CN74" s="83"/>
      <c r="CO74" s="83">
        <f t="shared" si="288"/>
        <v>0</v>
      </c>
      <c r="CP74" s="83">
        <f t="shared" si="235"/>
        <v>122265</v>
      </c>
      <c r="CQ74" s="83">
        <f t="shared" si="249"/>
        <v>-2590</v>
      </c>
      <c r="CR74" s="83"/>
      <c r="CS74" s="83">
        <f t="shared" si="250"/>
        <v>-1872</v>
      </c>
      <c r="CT74" s="83"/>
      <c r="CU74" s="83">
        <f t="shared" si="251"/>
        <v>0</v>
      </c>
      <c r="CV74" s="83"/>
      <c r="CW74" s="83" t="e">
        <f ca="1">+BQ74+BS74+BU74</f>
        <v>#NUM!</v>
      </c>
      <c r="CY74" s="83" t="e">
        <f t="shared" ca="1" si="253"/>
        <v>#NUM!</v>
      </c>
      <c r="CZ74" s="70" t="e">
        <f t="shared" ca="1" si="297"/>
        <v>#NUM!</v>
      </c>
      <c r="DA74" s="83">
        <f>IF(RTD("tos.rtd",,DA$43,"."&amp;$A$43&amp;$AS$42&amp;"C"&amp;$A74)="N/A",0,RTD("tos.rtd",,DA$43,"."&amp;$A$43&amp;$AS$42&amp;"C"&amp;$A74))</f>
        <v>15.07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15.12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14.77</v>
      </c>
      <c r="DF74" s="83">
        <f>IF(RTD("tos.rtd",,DF$43,"."&amp;$A$43&amp;$AS$42&amp;"P"&amp;$A74)="N/A",0,RTD("tos.rtd",,DF$43,"."&amp;$A$43&amp;$AS$42&amp;"P"&amp;$A74))</f>
        <v>0</v>
      </c>
      <c r="DG74" s="86">
        <f t="shared" si="289"/>
        <v>-23.170000000000016</v>
      </c>
      <c r="DH74" s="83">
        <f t="shared" si="254"/>
        <v>6.0000000000000204</v>
      </c>
      <c r="DI74" s="83">
        <f t="shared" si="255"/>
        <v>-1</v>
      </c>
      <c r="DJ74" s="83">
        <f t="shared" si="256"/>
        <v>7</v>
      </c>
      <c r="DK74" s="83">
        <f t="shared" si="257"/>
        <v>-1</v>
      </c>
      <c r="DL74" s="83">
        <f t="shared" si="258"/>
        <v>5.0000000000000204</v>
      </c>
      <c r="DM74" s="83">
        <f t="shared" si="259"/>
        <v>6</v>
      </c>
      <c r="DN74" s="64" t="str">
        <f t="shared" si="260"/>
        <v>BUY</v>
      </c>
      <c r="DO74" s="64" t="str">
        <f t="shared" si="261"/>
        <v>BUY</v>
      </c>
      <c r="DP74" s="83">
        <f t="shared" si="262"/>
        <v>90.410000000000309</v>
      </c>
      <c r="DQ74" s="83">
        <f t="shared" si="263"/>
        <v>105.48</v>
      </c>
      <c r="DR74" s="83" t="e">
        <f t="shared" ca="1" si="264"/>
        <v>#NUM!</v>
      </c>
      <c r="DS74" s="83">
        <f t="shared" si="265"/>
        <v>7</v>
      </c>
      <c r="DT74" s="83">
        <f t="shared" si="290"/>
        <v>7</v>
      </c>
      <c r="DU74" s="83">
        <f t="shared" si="291"/>
        <v>-1</v>
      </c>
      <c r="DV74" s="83">
        <f t="shared" si="266"/>
        <v>13</v>
      </c>
      <c r="DW74" s="83">
        <f t="shared" si="267"/>
        <v>-110</v>
      </c>
      <c r="DX74" s="83" t="e">
        <f t="shared" ca="1" si="406"/>
        <v>#NUM!</v>
      </c>
      <c r="DY74" s="83" t="e">
        <f t="shared" ca="1" si="407"/>
        <v>#NUM!</v>
      </c>
      <c r="DZ74" s="83">
        <f t="shared" ca="1" si="408"/>
        <v>8.2800299438005633E-3</v>
      </c>
      <c r="EA74" s="83">
        <f t="shared" ca="1" si="409"/>
        <v>-9.627024254953459E-3</v>
      </c>
      <c r="EB74" s="83">
        <f t="shared" ca="1" si="410"/>
        <v>8.2800299438005633E-3</v>
      </c>
      <c r="EC74" s="83">
        <f t="shared" ca="1" si="411"/>
        <v>-8.2800299438005633E-3</v>
      </c>
      <c r="ED74" s="63">
        <f t="shared" si="292"/>
        <v>-97</v>
      </c>
      <c r="EE74" s="84">
        <f t="shared" si="268"/>
        <v>0.25</v>
      </c>
      <c r="EF74" s="84">
        <f t="shared" si="269"/>
        <v>2.2126999999999999</v>
      </c>
      <c r="EG74" s="84">
        <f t="shared" si="270"/>
        <v>0.25</v>
      </c>
      <c r="EH74" s="84">
        <f t="shared" si="271"/>
        <v>0.41070000000000001</v>
      </c>
      <c r="EI74" s="84">
        <f t="shared" si="272"/>
        <v>0.25</v>
      </c>
      <c r="EJ74" s="84">
        <f t="shared" si="273"/>
        <v>0.25</v>
      </c>
      <c r="EK74" s="63" t="e">
        <f t="shared" ca="1" si="293"/>
        <v>#NUM!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221.27%</v>
      </c>
      <c r="EN74" s="83" t="str">
        <f>RTD("tos.rtd",,EN$2,"."&amp;$A$43&amp;$AU$1&amp;"C"&amp;$A74)</f>
        <v>--</v>
      </c>
      <c r="EO74" s="83" t="str">
        <f>RTD("tos.rtd",,EO$2,"."&amp;$A$43&amp;$AU$1&amp;"P"&amp;$A74)</f>
        <v>41.07%</v>
      </c>
      <c r="EP74" s="83" t="str">
        <f>RTD("tos.rtd",,EP$2,"."&amp;$A$43&amp;$AW$1&amp;"C"&amp;$A74)</f>
        <v>N/A</v>
      </c>
      <c r="EQ74" s="83" t="str">
        <f>RTD("tos.rtd",,EQ$2,"."&amp;$A$43&amp;$AW$1&amp;"P"&amp;$A74)</f>
        <v>N/A</v>
      </c>
      <c r="ES74" s="63" t="str">
        <f t="shared" si="274"/>
        <v>473,-97.00</v>
      </c>
      <c r="ET74" s="63" t="str">
        <f t="shared" ca="1" si="275"/>
        <v>473,00.00</v>
      </c>
      <c r="EU74" s="68">
        <v>565.54</v>
      </c>
      <c r="EV74" s="68" t="s">
        <v>611</v>
      </c>
      <c r="EW74" s="68">
        <v>489.15</v>
      </c>
      <c r="EX74" s="68" t="s">
        <v>612</v>
      </c>
      <c r="EY74" s="68">
        <v>5663.94</v>
      </c>
      <c r="EZ74" s="68" t="s">
        <v>613</v>
      </c>
      <c r="FA74" s="68">
        <v>20063.564999999999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94"/>
        <v>472</v>
      </c>
      <c r="B75" s="3">
        <f t="shared" si="241"/>
        <v>3303</v>
      </c>
      <c r="C75" s="3">
        <f t="shared" si="412"/>
        <v>1373</v>
      </c>
      <c r="D75" s="3">
        <f t="shared" si="243"/>
        <v>0</v>
      </c>
      <c r="E75" s="3">
        <f t="shared" si="244"/>
        <v>4676</v>
      </c>
      <c r="F75" s="4">
        <f t="shared" si="298"/>
        <v>19474.506721486585</v>
      </c>
      <c r="AM75" s="1">
        <v>191</v>
      </c>
      <c r="AN75" s="1">
        <v>49</v>
      </c>
      <c r="AO75" s="1">
        <v>472</v>
      </c>
      <c r="AP75" s="1">
        <v>289</v>
      </c>
      <c r="AQ75" s="1">
        <v>-601</v>
      </c>
      <c r="AS75" s="6">
        <f>IF(RTD("tos.rtd",,AS$43,"."&amp;$A$43&amp;$AS$42&amp;"C"&amp;$A75)="N/A",0,RTD("tos.rtd",,AS$43,"."&amp;$A$43&amp;$AS$42&amp;"C"&amp;$A75))</f>
        <v>1137</v>
      </c>
      <c r="AT75" s="7">
        <f>-IF(RTD("tos.rtd",,AT$43,"."&amp;$A$43&amp;$AS$42&amp;"P"&amp;$A75)="N/A",0,RTD("tos.rtd",,AT$43,"."&amp;$A$43&amp;$AS$42&amp;"P"&amp;$A75))</f>
        <v>-2166</v>
      </c>
      <c r="AU75" s="6">
        <f>IF(RTD("tos.rtd",,AU$2,"."&amp;$A$43&amp;$AU$1&amp;"C"&amp;$A75)="N/A",0,RTD("tos.rtd",,AU$2,"."&amp;$A$43&amp;$AU$1&amp;"C"&amp;$A75))</f>
        <v>122</v>
      </c>
      <c r="AV75" s="7">
        <f>-IF(RTD("tos.rtd",,AV$2,"."&amp;$A$43&amp;$AU$1&amp;"P"&amp;$A75)="N/A",0,RTD("tos.rtd",,AV$2,"."&amp;$A$43&amp;$AU$1&amp;"P"&amp;$A75))</f>
        <v>-1251</v>
      </c>
      <c r="AW75" s="6">
        <f>IF(RTD("tos.rtd",,AW$2,"."&amp;$A$43&amp;$AW$1&amp;"C"&amp;$A75)="N/A",0,RTD("tos.rtd",,AW$2,"."&amp;$A$43&amp;$AW$1&amp;"C"&amp;$A75))</f>
        <v>0</v>
      </c>
      <c r="AX75" s="7">
        <f>-IF(RTD("tos.rtd",,AX$2,"."&amp;$A$43&amp;$AW$1&amp;"P"&amp;$A75)="N/A",0,RTD("tos.rtd",,AX$2,"."&amp;$A$43&amp;$AW$1&amp;"P"&amp;$A75))</f>
        <v>0</v>
      </c>
      <c r="AY75" s="7">
        <f t="shared" si="276"/>
        <v>-2158</v>
      </c>
      <c r="AZ75" s="8">
        <f t="shared" si="245"/>
        <v>472</v>
      </c>
      <c r="BA75" s="6">
        <f>IF(RTD("tos.rtd",,BA$43,"."&amp;$A$43&amp;$AS$42&amp;"C"&amp;$A75)="N/A",0,RTD("tos.rtd",,BA$43,"."&amp;$A$43&amp;$AS$42&amp;"C"&amp;$A75))</f>
        <v>291</v>
      </c>
      <c r="BB75" s="7">
        <f>-IF(RTD("tos.rtd",,BB$43,"."&amp;$A$43&amp;$AS$42&amp;"P"&amp;$A75)="N/A",0,RTD("tos.rtd",,BB$43,"."&amp;$A$43&amp;$AS$42&amp;"P"&amp;$A75))</f>
        <v>-601</v>
      </c>
      <c r="BC75" s="6">
        <f>IF(RTD("tos.rtd",,BC$2,"."&amp;$A$43&amp;$AU$1&amp;"C"&amp;$A75)="N/A",0,RTD("tos.rtd",,BC$2,"."&amp;$A$43&amp;$AU$1&amp;"C"&amp;$A75))</f>
        <v>18</v>
      </c>
      <c r="BD75" s="7">
        <f>-IF(RTD("tos.rtd",,BD$2,"."&amp;$A$43&amp;$AU$1&amp;"P"&amp;$A75)="N/A",0,RTD("tos.rtd",,BD$2,"."&amp;$A$43&amp;$AU$1&amp;"P"&amp;$A75))</f>
        <v>-487</v>
      </c>
      <c r="BE75" s="6">
        <f>IF(RTD("tos.rtd",,BE$2,"."&amp;$A$43&amp;$AW$1&amp;"C"&amp;$A75)="N/A",0,RTD("tos.rtd",,BE$2,"."&amp;$A$43&amp;$AW$1&amp;"C"&amp;$A75))</f>
        <v>0</v>
      </c>
      <c r="BF75" s="7">
        <f>-IF(RTD("tos.rtd",,BF$2,"."&amp;$A$43&amp;$AW$1&amp;"P"&amp;$A75)="N/A",0,RTD("tos.rtd",,BF$2,"."&amp;$A$43&amp;$AW$1&amp;"P"&amp;$A75))</f>
        <v>0</v>
      </c>
      <c r="BG75" s="32">
        <f ca="1">+Hoja2!Y76</f>
        <v>-817</v>
      </c>
      <c r="BH75" s="7">
        <f t="shared" ca="1" si="277"/>
        <v>-1596</v>
      </c>
      <c r="BI75" s="8" t="str">
        <f t="shared" ca="1" si="295"/>
        <v/>
      </c>
      <c r="BJ75" s="83" t="e">
        <f ca="1">IF($BP$1=1,DX75,IF(RTD("tos.rtd",,BJ$43,"."&amp;$A$43&amp;$AS$42&amp;"C"&amp;$A75)="N/A",0,RTD("tos.rtd",,BJ$43,"."&amp;$A$43&amp;$AS$42&amp;"C"&amp;$A75)))</f>
        <v>#NUM!</v>
      </c>
      <c r="BK75" s="83" t="e">
        <f ca="1">IF($BP$1=1,DY75,-IF(RTD("tos.rtd",,BK$43,"."&amp;$A$43&amp;$AS$42&amp;"P"&amp;$A75)="N/A",0,RTD("tos.rtd",,BK$43,"."&amp;$A$43&amp;$AS$42&amp;"P"&amp;$A75)))</f>
        <v>#NUM!</v>
      </c>
      <c r="BL75" s="83">
        <f ca="1">IF($BP$1=1,DZ75,IF(RTD("tos.rtd",,BL$2,"."&amp;$A$43&amp;$AU$1&amp;"C"&amp;$A75)="N/A",0,RTD("tos.rtd",,BL$2,"."&amp;$A$43&amp;$AU$1&amp;"C"&amp;$A75)))</f>
        <v>7.547792070801751E-3</v>
      </c>
      <c r="BM75" s="83">
        <f ca="1">IF($BP$1=1,EA75,-IF(RTD("tos.rtd",,BM$2,"."&amp;$A$43&amp;$AU$1&amp;"P"&amp;$A75)="N/A",0,RTD("tos.rtd",,BM$2,"."&amp;$A$43&amp;$AU$1&amp;"P"&amp;$A75)))</f>
        <v>-9.3010997564001545E-3</v>
      </c>
      <c r="BN75" s="83">
        <f ca="1">IF($BP$1=1,EB75,IF(RTD("tos.rtd",,BN$2,"."&amp;$A$43&amp;$AW$1&amp;"C"&amp;$A75)="N/A",0,RTD("tos.rtd",,BN$2,"."&amp;$A$43&amp;$AW$1&amp;"C"&amp;$A75)))</f>
        <v>7.547792070801751E-3</v>
      </c>
      <c r="BO75" s="83">
        <f ca="1">IF($BP$1=1,EC75,-IF(RTD("tos.rtd",,BO$2,"."&amp;$A$43&amp;$AW$1&amp;"P"&amp;$A75)="N/A",0,RTD("tos.rtd",,BO$2,"."&amp;$A$43&amp;$AW$1&amp;"P"&amp;$A75)))</f>
        <v>-7.547792070801751E-3</v>
      </c>
      <c r="BQ75" s="83" t="e">
        <f t="shared" ca="1" si="278"/>
        <v>#NUM!</v>
      </c>
      <c r="BR75" s="3" t="e">
        <f t="shared" ca="1" si="279"/>
        <v>#NUM!</v>
      </c>
      <c r="BS75" s="83">
        <f t="shared" ca="1" si="280"/>
        <v>-2637830.6086740708</v>
      </c>
      <c r="BT75" s="3" t="str">
        <f t="shared" ca="1" si="281"/>
        <v/>
      </c>
      <c r="BU75" s="83">
        <f t="shared" ca="1" si="282"/>
        <v>0</v>
      </c>
      <c r="BV75" s="83"/>
      <c r="BX75" s="83" t="e">
        <f t="shared" ca="1" si="283"/>
        <v>#NUM!</v>
      </c>
      <c r="BY75" s="83" t="e">
        <f t="shared" ca="1" si="296"/>
        <v>#NUM!</v>
      </c>
      <c r="BZ75" s="83">
        <f t="shared" ca="1" si="284"/>
        <v>-1081680.1233826887</v>
      </c>
      <c r="CA75" s="83" t="str">
        <f t="shared" ca="1" si="296"/>
        <v/>
      </c>
      <c r="CB75" s="83">
        <f t="shared" ca="1" si="285"/>
        <v>0</v>
      </c>
      <c r="CC75" s="83" t="str">
        <f t="shared" ca="1" si="296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1</v>
      </c>
      <c r="CG75" s="83">
        <f>-IF(RTD("tos.rtd",,CG$2,"."&amp;$A$43&amp;$AU$1&amp;"P"&amp;$A75)="N/A",0,RTD("tos.rtd",,CG$2,"."&amp;$A$43&amp;$AU$1&amp;"P"&amp;$A75))</f>
        <v>0.14000000000000001</v>
      </c>
      <c r="CH75" s="83">
        <f>IF(RTD("tos.rtd",,CH$2,"."&amp;$A$43&amp;$AW$1&amp;"C"&amp;$A75)="N/A",0,RTD("tos.rtd",,CH$2,"."&amp;$A$43&amp;$AW$1&amp;"C"&amp;$A75))</f>
        <v>0</v>
      </c>
      <c r="CI75" s="83">
        <f>-IF(RTD("tos.rtd",,CI$2,"."&amp;$A$43&amp;$AW$1&amp;"P"&amp;$A75)="N/A",0,RTD("tos.rtd",,CI$2,"."&amp;$A$43&amp;$AW$1&amp;"P"&amp;$A75))</f>
        <v>0</v>
      </c>
      <c r="CK75" s="83">
        <f t="shared" si="286"/>
        <v>113700</v>
      </c>
      <c r="CL75" s="83"/>
      <c r="CM75" s="83">
        <f t="shared" si="287"/>
        <v>-5314</v>
      </c>
      <c r="CN75" s="83"/>
      <c r="CO75" s="83">
        <f t="shared" si="288"/>
        <v>0</v>
      </c>
      <c r="CP75" s="83">
        <f t="shared" si="235"/>
        <v>108386</v>
      </c>
      <c r="CQ75" s="83">
        <f t="shared" si="249"/>
        <v>-310</v>
      </c>
      <c r="CR75" s="83"/>
      <c r="CS75" s="83">
        <f t="shared" si="250"/>
        <v>-469</v>
      </c>
      <c r="CT75" s="83"/>
      <c r="CU75" s="83">
        <f t="shared" si="251"/>
        <v>0</v>
      </c>
      <c r="CV75" s="83"/>
      <c r="CW75" s="83" t="e">
        <f t="shared" ca="1" si="252"/>
        <v>#NUM!</v>
      </c>
      <c r="CY75" s="83" t="e">
        <f t="shared" ca="1" si="253"/>
        <v>#NUM!</v>
      </c>
      <c r="CZ75" s="70" t="e">
        <f t="shared" ca="1" si="297"/>
        <v>#NUM!</v>
      </c>
      <c r="DA75" s="83">
        <f>IF(RTD("tos.rtd",,DA$43,"."&amp;$A$43&amp;$AS$42&amp;"C"&amp;$A75)="N/A",0,RTD("tos.rtd",,DA$43,"."&amp;$A$43&amp;$AS$42&amp;"C"&amp;$A75))</f>
        <v>16.43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16.12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15.77</v>
      </c>
      <c r="DF75" s="83">
        <f>IF(RTD("tos.rtd",,DF$43,"."&amp;$A$43&amp;$AS$42&amp;"P"&amp;$A75)="N/A",0,RTD("tos.rtd",,DF$43,"."&amp;$A$43&amp;$AS$42&amp;"P"&amp;$A75))</f>
        <v>0</v>
      </c>
      <c r="DG75" s="86">
        <f t="shared" si="289"/>
        <v>-24.170000000000016</v>
      </c>
      <c r="DH75" s="83">
        <f t="shared" si="254"/>
        <v>3.7714285714285571</v>
      </c>
      <c r="DI75" s="83">
        <f t="shared" si="255"/>
        <v>0</v>
      </c>
      <c r="DJ75" s="83">
        <f t="shared" si="256"/>
        <v>2</v>
      </c>
      <c r="DK75" s="83">
        <f t="shared" si="257"/>
        <v>0</v>
      </c>
      <c r="DL75" s="83">
        <f t="shared" si="258"/>
        <v>3.7714285714285571</v>
      </c>
      <c r="DM75" s="83">
        <f t="shared" si="259"/>
        <v>2</v>
      </c>
      <c r="DN75" s="64" t="str">
        <f t="shared" si="260"/>
        <v>BUY</v>
      </c>
      <c r="DO75" s="64" t="str">
        <f t="shared" si="261"/>
        <v>UNKNOWN</v>
      </c>
      <c r="DP75" s="83">
        <f t="shared" si="262"/>
        <v>61.96457142857119</v>
      </c>
      <c r="DQ75" s="83">
        <f t="shared" si="263"/>
        <v>32.86</v>
      </c>
      <c r="DR75" s="83" t="e">
        <f t="shared" ca="1" si="264"/>
        <v>#NUM!</v>
      </c>
      <c r="DS75" s="83">
        <f t="shared" si="265"/>
        <v>2</v>
      </c>
      <c r="DT75" s="83">
        <f t="shared" si="290"/>
        <v>2</v>
      </c>
      <c r="DU75" s="83">
        <f t="shared" si="291"/>
        <v>0</v>
      </c>
      <c r="DV75" s="83">
        <f t="shared" si="266"/>
        <v>193</v>
      </c>
      <c r="DW75" s="83">
        <f t="shared" si="267"/>
        <v>49</v>
      </c>
      <c r="DX75" s="83" t="e">
        <f t="shared" ca="1" si="406"/>
        <v>#NUM!</v>
      </c>
      <c r="DY75" s="83" t="e">
        <f t="shared" ca="1" si="407"/>
        <v>#NUM!</v>
      </c>
      <c r="DZ75" s="83">
        <f t="shared" ca="1" si="408"/>
        <v>7.547792070801751E-3</v>
      </c>
      <c r="EA75" s="83">
        <f t="shared" ca="1" si="409"/>
        <v>-9.3010997564001545E-3</v>
      </c>
      <c r="EB75" s="83">
        <f t="shared" ca="1" si="410"/>
        <v>7.547792070801751E-3</v>
      </c>
      <c r="EC75" s="83">
        <f t="shared" ca="1" si="411"/>
        <v>-7.547792070801751E-3</v>
      </c>
      <c r="ED75" s="63">
        <f t="shared" si="292"/>
        <v>242</v>
      </c>
      <c r="EE75" s="84">
        <f t="shared" si="268"/>
        <v>0.25</v>
      </c>
      <c r="EF75" s="84">
        <f t="shared" si="269"/>
        <v>2.3016000000000001</v>
      </c>
      <c r="EG75" s="84">
        <f t="shared" si="270"/>
        <v>0.25</v>
      </c>
      <c r="EH75" s="84">
        <f t="shared" si="271"/>
        <v>0.40939999999999999</v>
      </c>
      <c r="EI75" s="84">
        <f t="shared" si="272"/>
        <v>0.25</v>
      </c>
      <c r="EJ75" s="84">
        <f t="shared" si="273"/>
        <v>0.25</v>
      </c>
      <c r="EK75" s="63" t="e">
        <f t="shared" ca="1" si="293"/>
        <v>#NUM!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230.16%</v>
      </c>
      <c r="EN75" s="83" t="str">
        <f>RTD("tos.rtd",,EN$2,"."&amp;$A$43&amp;$AU$1&amp;"C"&amp;$A75)</f>
        <v>--</v>
      </c>
      <c r="EO75" s="83" t="str">
        <f>RTD("tos.rtd",,EO$2,"."&amp;$A$43&amp;$AU$1&amp;"P"&amp;$A75)</f>
        <v>40.94%</v>
      </c>
      <c r="EP75" s="83" t="str">
        <f>RTD("tos.rtd",,EP$2,"."&amp;$A$43&amp;$AW$1&amp;"C"&amp;$A75)</f>
        <v>N/A</v>
      </c>
      <c r="EQ75" s="83" t="str">
        <f>RTD("tos.rtd",,EQ$2,"."&amp;$A$43&amp;$AW$1&amp;"P"&amp;$A75)</f>
        <v>N/A</v>
      </c>
      <c r="ES75" s="63" t="str">
        <f t="shared" si="274"/>
        <v>472,242.00</v>
      </c>
      <c r="ET75" s="63" t="str">
        <f t="shared" ca="1" si="275"/>
        <v>472,00.00</v>
      </c>
      <c r="EU75" s="68">
        <v>565.57000000000005</v>
      </c>
      <c r="EV75" s="68" t="s">
        <v>619</v>
      </c>
      <c r="EW75" s="68">
        <v>489.15</v>
      </c>
      <c r="EX75" s="68" t="s">
        <v>620</v>
      </c>
      <c r="EY75" s="68">
        <v>5663.94</v>
      </c>
      <c r="EZ75" s="68" t="s">
        <v>621</v>
      </c>
      <c r="FA75" s="68">
        <v>20063.564999999999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94"/>
        <v>471</v>
      </c>
      <c r="B76" s="3">
        <f t="shared" si="241"/>
        <v>3579</v>
      </c>
      <c r="C76" s="3">
        <f t="shared" si="412"/>
        <v>1039</v>
      </c>
      <c r="D76" s="3">
        <f t="shared" si="243"/>
        <v>0</v>
      </c>
      <c r="E76" s="3">
        <f t="shared" si="244"/>
        <v>4618</v>
      </c>
      <c r="F76" s="4">
        <f t="shared" si="298"/>
        <v>19433.247173347841</v>
      </c>
      <c r="AM76" s="1">
        <v>195</v>
      </c>
      <c r="AN76" s="1">
        <v>1210</v>
      </c>
      <c r="AO76" s="1">
        <v>471</v>
      </c>
      <c r="AP76" s="1">
        <v>244</v>
      </c>
      <c r="AQ76" s="1">
        <v>-2303</v>
      </c>
      <c r="AS76" s="6">
        <f>IF(RTD("tos.rtd",,AS$43,"."&amp;$A$43&amp;$AS$42&amp;"C"&amp;$A76)="N/A",0,RTD("tos.rtd",,AS$43,"."&amp;$A$43&amp;$AS$42&amp;"C"&amp;$A76))</f>
        <v>1098</v>
      </c>
      <c r="AT76" s="7">
        <f>-IF(RTD("tos.rtd",,AT$43,"."&amp;$A$43&amp;$AS$42&amp;"P"&amp;$A76)="N/A",0,RTD("tos.rtd",,AT$43,"."&amp;$A$43&amp;$AS$42&amp;"P"&amp;$A76))</f>
        <v>-2481</v>
      </c>
      <c r="AU76" s="6">
        <f>IF(RTD("tos.rtd",,AU$2,"."&amp;$A$43&amp;$AU$1&amp;"C"&amp;$A76)="N/A",0,RTD("tos.rtd",,AU$2,"."&amp;$A$43&amp;$AU$1&amp;"C"&amp;$A76))</f>
        <v>45</v>
      </c>
      <c r="AV76" s="7">
        <f>-IF(RTD("tos.rtd",,AV$2,"."&amp;$A$43&amp;$AU$1&amp;"P"&amp;$A76)="N/A",0,RTD("tos.rtd",,AV$2,"."&amp;$A$43&amp;$AU$1&amp;"P"&amp;$A76))</f>
        <v>-994</v>
      </c>
      <c r="AW76" s="6">
        <f>IF(RTD("tos.rtd",,AW$2,"."&amp;$A$43&amp;$AW$1&amp;"C"&amp;$A76)="N/A",0,RTD("tos.rtd",,AW$2,"."&amp;$A$43&amp;$AW$1&amp;"C"&amp;$A76))</f>
        <v>0</v>
      </c>
      <c r="AX76" s="7">
        <f>-IF(RTD("tos.rtd",,AX$2,"."&amp;$A$43&amp;$AW$1&amp;"P"&amp;$A76)="N/A",0,RTD("tos.rtd",,AX$2,"."&amp;$A$43&amp;$AW$1&amp;"P"&amp;$A76))</f>
        <v>0</v>
      </c>
      <c r="AY76" s="7">
        <f t="shared" si="276"/>
        <v>-2332</v>
      </c>
      <c r="AZ76" s="8">
        <f t="shared" si="245"/>
        <v>471</v>
      </c>
      <c r="BA76" s="6">
        <f>IF(RTD("tos.rtd",,BA$43,"."&amp;$A$43&amp;$AS$42&amp;"C"&amp;$A76)="N/A",0,RTD("tos.rtd",,BA$43,"."&amp;$A$43&amp;$AS$42&amp;"C"&amp;$A76))</f>
        <v>244</v>
      </c>
      <c r="BB76" s="7">
        <f>-IF(RTD("tos.rtd",,BB$43,"."&amp;$A$43&amp;$AS$42&amp;"P"&amp;$A76)="N/A",0,RTD("tos.rtd",,BB$43,"."&amp;$A$43&amp;$AS$42&amp;"P"&amp;$A76))</f>
        <v>-2303</v>
      </c>
      <c r="BC76" s="6">
        <f>IF(RTD("tos.rtd",,BC$2,"."&amp;$A$43&amp;$AU$1&amp;"C"&amp;$A76)="N/A",0,RTD("tos.rtd",,BC$2,"."&amp;$A$43&amp;$AU$1&amp;"C"&amp;$A76))</f>
        <v>19</v>
      </c>
      <c r="BD76" s="7">
        <f>-IF(RTD("tos.rtd",,BD$2,"."&amp;$A$43&amp;$AU$1&amp;"P"&amp;$A76)="N/A",0,RTD("tos.rtd",,BD$2,"."&amp;$A$43&amp;$AU$1&amp;"P"&amp;$A76))</f>
        <v>-906</v>
      </c>
      <c r="BE76" s="6">
        <f>IF(RTD("tos.rtd",,BE$2,"."&amp;$A$43&amp;$AW$1&amp;"C"&amp;$A76)="N/A",0,RTD("tos.rtd",,BE$2,"."&amp;$A$43&amp;$AW$1&amp;"C"&amp;$A76))</f>
        <v>0</v>
      </c>
      <c r="BF76" s="7">
        <f>-IF(RTD("tos.rtd",,BF$2,"."&amp;$A$43&amp;$AW$1&amp;"P"&amp;$A76)="N/A",0,RTD("tos.rtd",,BF$2,"."&amp;$A$43&amp;$AW$1&amp;"P"&amp;$A76))</f>
        <v>0</v>
      </c>
      <c r="BG76" s="32">
        <f ca="1">+Hoja2!Y77</f>
        <v>-173</v>
      </c>
      <c r="BH76" s="7">
        <f t="shared" ca="1" si="277"/>
        <v>-3119</v>
      </c>
      <c r="BI76" s="8" t="str">
        <f t="shared" ca="1" si="295"/>
        <v/>
      </c>
      <c r="BJ76" s="83" t="e">
        <f ca="1">IF($BP$1=1,DX76,IF(RTD("tos.rtd",,BJ$43,"."&amp;$A$43&amp;$AS$42&amp;"C"&amp;$A76)="N/A",0,RTD("tos.rtd",,BJ$43,"."&amp;$A$43&amp;$AS$42&amp;"C"&amp;$A76)))</f>
        <v>#NUM!</v>
      </c>
      <c r="BK76" s="83" t="e">
        <f ca="1">IF($BP$1=1,DY76,-IF(RTD("tos.rtd",,BK$43,"."&amp;$A$43&amp;$AS$42&amp;"P"&amp;$A76)="N/A",0,RTD("tos.rtd",,BK$43,"."&amp;$A$43&amp;$AS$42&amp;"P"&amp;$A76)))</f>
        <v>#NUM!</v>
      </c>
      <c r="BL76" s="83">
        <f ca="1">IF($BP$1=1,DZ76,IF(RTD("tos.rtd",,BL$2,"."&amp;$A$43&amp;$AU$1&amp;"C"&amp;$A76)="N/A",0,RTD("tos.rtd",,BL$2,"."&amp;$A$43&amp;$AU$1&amp;"C"&amp;$A76)))</f>
        <v>6.8520869287219156E-3</v>
      </c>
      <c r="BM76" s="83">
        <f ca="1">IF($BP$1=1,EA76,-IF(RTD("tos.rtd",,BM$2,"."&amp;$A$43&amp;$AU$1&amp;"P"&amp;$A76)="N/A",0,RTD("tos.rtd",,BM$2,"."&amp;$A$43&amp;$AU$1&amp;"P"&amp;$A76)))</f>
        <v>-8.9679309210558555E-3</v>
      </c>
      <c r="BN76" s="83">
        <f ca="1">IF($BP$1=1,EB76,IF(RTD("tos.rtd",,BN$2,"."&amp;$A$43&amp;$AW$1&amp;"C"&amp;$A76)="N/A",0,RTD("tos.rtd",,BN$2,"."&amp;$A$43&amp;$AW$1&amp;"C"&amp;$A76)))</f>
        <v>6.8520869287219156E-3</v>
      </c>
      <c r="BO76" s="83">
        <f ca="1">IF($BP$1=1,EC76,-IF(RTD("tos.rtd",,BO$2,"."&amp;$A$43&amp;$AW$1&amp;"P"&amp;$A76)="N/A",0,RTD("tos.rtd",,BO$2,"."&amp;$A$43&amp;$AW$1&amp;"P"&amp;$A76)))</f>
        <v>-6.8520869287219156E-3</v>
      </c>
      <c r="BQ76" s="83" t="e">
        <f t="shared" ca="1" si="278"/>
        <v>#NUM!</v>
      </c>
      <c r="BR76" s="3" t="e">
        <f t="shared" ca="1" si="279"/>
        <v>#NUM!</v>
      </c>
      <c r="BS76" s="83">
        <f t="shared" ca="1" si="280"/>
        <v>-2118610.9580591349</v>
      </c>
      <c r="BT76" s="3" t="str">
        <f t="shared" ca="1" si="281"/>
        <v/>
      </c>
      <c r="BU76" s="83">
        <f t="shared" ca="1" si="282"/>
        <v>0</v>
      </c>
      <c r="BV76" s="83"/>
      <c r="BX76" s="83" t="e">
        <f t="shared" ca="1" si="283"/>
        <v>#NUM!</v>
      </c>
      <c r="BY76" s="83" t="e">
        <f t="shared" ca="1" si="296"/>
        <v>#NUM!</v>
      </c>
      <c r="BZ76" s="83">
        <f t="shared" ca="1" si="284"/>
        <v>-1968186.3004088893</v>
      </c>
      <c r="CA76" s="83" t="str">
        <f t="shared" ca="1" si="296"/>
        <v/>
      </c>
      <c r="CB76" s="83">
        <f t="shared" ca="1" si="285"/>
        <v>0</v>
      </c>
      <c r="CC76" s="83" t="str">
        <f t="shared" ca="1" si="296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1</v>
      </c>
      <c r="CG76" s="83">
        <f>-IF(RTD("tos.rtd",,CG$2,"."&amp;$A$43&amp;$AU$1&amp;"P"&amp;$A76)="N/A",0,RTD("tos.rtd",,CG$2,"."&amp;$A$43&amp;$AU$1&amp;"P"&amp;$A76))</f>
        <v>0.13</v>
      </c>
      <c r="CH76" s="83">
        <f>IF(RTD("tos.rtd",,CH$2,"."&amp;$A$43&amp;$AW$1&amp;"C"&amp;$A76)="N/A",0,RTD("tos.rtd",,CH$2,"."&amp;$A$43&amp;$AW$1&amp;"C"&amp;$A76))</f>
        <v>0</v>
      </c>
      <c r="CI76" s="83">
        <f>-IF(RTD("tos.rtd",,CI$2,"."&amp;$A$43&amp;$AW$1&amp;"P"&amp;$A76)="N/A",0,RTD("tos.rtd",,CI$2,"."&amp;$A$43&amp;$AW$1&amp;"P"&amp;$A76))</f>
        <v>0</v>
      </c>
      <c r="CK76" s="83">
        <f t="shared" si="286"/>
        <v>109800</v>
      </c>
      <c r="CL76" s="83"/>
      <c r="CM76" s="83">
        <f t="shared" si="287"/>
        <v>-8422</v>
      </c>
      <c r="CN76" s="83"/>
      <c r="CO76" s="83">
        <f t="shared" si="288"/>
        <v>0</v>
      </c>
      <c r="CP76" s="83">
        <f t="shared" si="235"/>
        <v>101378</v>
      </c>
      <c r="CQ76" s="83">
        <f t="shared" si="249"/>
        <v>-2059</v>
      </c>
      <c r="CR76" s="83"/>
      <c r="CS76" s="83">
        <f t="shared" si="250"/>
        <v>-887</v>
      </c>
      <c r="CT76" s="83"/>
      <c r="CU76" s="83">
        <f t="shared" si="251"/>
        <v>0</v>
      </c>
      <c r="CV76" s="83"/>
      <c r="CW76" s="83" t="e">
        <f t="shared" ca="1" si="252"/>
        <v>#NUM!</v>
      </c>
      <c r="CY76" s="83" t="e">
        <f t="shared" ca="1" si="253"/>
        <v>#NUM!</v>
      </c>
      <c r="CZ76" s="70" t="e">
        <f t="shared" ca="1" si="297"/>
        <v>#NUM!</v>
      </c>
      <c r="DA76" s="83">
        <f>IF(RTD("tos.rtd",,DA$43,"."&amp;$A$43&amp;$AS$42&amp;"C"&amp;$A76)="N/A",0,RTD("tos.rtd",,DA$43,"."&amp;$A$43&amp;$AS$42&amp;"C"&amp;$A76))</f>
        <v>17.32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17.12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16.77</v>
      </c>
      <c r="DF76" s="83">
        <f>IF(RTD("tos.rtd",,DF$43,"."&amp;$A$43&amp;$AS$42&amp;"P"&amp;$A76)="N/A",0,RTD("tos.rtd",,DF$43,"."&amp;$A$43&amp;$AS$42&amp;"P"&amp;$A76))</f>
        <v>0</v>
      </c>
      <c r="DG76" s="86">
        <f t="shared" si="289"/>
        <v>-25.170000000000016</v>
      </c>
      <c r="DH76" s="83">
        <f t="shared" si="254"/>
        <v>0</v>
      </c>
      <c r="DI76" s="83">
        <f t="shared" si="255"/>
        <v>0</v>
      </c>
      <c r="DJ76" s="83">
        <f t="shared" si="256"/>
        <v>0</v>
      </c>
      <c r="DK76" s="83">
        <f t="shared" si="257"/>
        <v>0</v>
      </c>
      <c r="DL76" s="83">
        <f t="shared" si="258"/>
        <v>0</v>
      </c>
      <c r="DM76" s="83">
        <f t="shared" si="259"/>
        <v>0</v>
      </c>
      <c r="DN76" s="64" t="str">
        <f t="shared" si="260"/>
        <v>UNKNOWN</v>
      </c>
      <c r="DO76" s="64" t="str">
        <f t="shared" si="261"/>
        <v>UNKNOWN</v>
      </c>
      <c r="DP76" s="83">
        <f t="shared" si="262"/>
        <v>0</v>
      </c>
      <c r="DQ76" s="83">
        <f t="shared" si="263"/>
        <v>0</v>
      </c>
      <c r="DR76" s="83" t="e">
        <f t="shared" ca="1" si="264"/>
        <v>#NUM!</v>
      </c>
      <c r="DS76" s="83">
        <f t="shared" si="265"/>
        <v>0</v>
      </c>
      <c r="DT76" s="83">
        <f t="shared" si="290"/>
        <v>0</v>
      </c>
      <c r="DU76" s="83">
        <f t="shared" si="291"/>
        <v>0</v>
      </c>
      <c r="DV76" s="83">
        <f t="shared" si="266"/>
        <v>195</v>
      </c>
      <c r="DW76" s="83">
        <f t="shared" si="267"/>
        <v>1210</v>
      </c>
      <c r="DX76" s="83" t="e">
        <f t="shared" ca="1" si="406"/>
        <v>#NUM!</v>
      </c>
      <c r="DY76" s="83" t="e">
        <f t="shared" ca="1" si="407"/>
        <v>#NUM!</v>
      </c>
      <c r="DZ76" s="83">
        <f t="shared" ca="1" si="408"/>
        <v>6.8520869287219156E-3</v>
      </c>
      <c r="EA76" s="83">
        <f t="shared" ca="1" si="409"/>
        <v>-8.9679309210558555E-3</v>
      </c>
      <c r="EB76" s="83">
        <f t="shared" ca="1" si="410"/>
        <v>6.8520869287219156E-3</v>
      </c>
      <c r="EC76" s="83">
        <f t="shared" ca="1" si="411"/>
        <v>-6.8520869287219156E-3</v>
      </c>
      <c r="ED76" s="63">
        <f t="shared" si="292"/>
        <v>1405</v>
      </c>
      <c r="EE76" s="84">
        <f t="shared" si="268"/>
        <v>0.25</v>
      </c>
      <c r="EF76" s="84">
        <f t="shared" si="269"/>
        <v>2.3904000000000001</v>
      </c>
      <c r="EG76" s="84">
        <f t="shared" si="270"/>
        <v>0.25</v>
      </c>
      <c r="EH76" s="84">
        <f t="shared" si="271"/>
        <v>0.4083</v>
      </c>
      <c r="EI76" s="84">
        <f t="shared" si="272"/>
        <v>0.25</v>
      </c>
      <c r="EJ76" s="84">
        <f t="shared" si="273"/>
        <v>0.25</v>
      </c>
      <c r="EK76" s="63" t="e">
        <f t="shared" ca="1" si="293"/>
        <v>#NUM!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239.04%</v>
      </c>
      <c r="EN76" s="83" t="str">
        <f>RTD("tos.rtd",,EN$2,"."&amp;$A$43&amp;$AU$1&amp;"C"&amp;$A76)</f>
        <v>--</v>
      </c>
      <c r="EO76" s="83" t="str">
        <f>RTD("tos.rtd",,EO$2,"."&amp;$A$43&amp;$AU$1&amp;"P"&amp;$A76)</f>
        <v>40.83%</v>
      </c>
      <c r="EP76" s="83" t="str">
        <f>RTD("tos.rtd",,EP$2,"."&amp;$A$43&amp;$AW$1&amp;"C"&amp;$A76)</f>
        <v>N/A</v>
      </c>
      <c r="EQ76" s="83" t="str">
        <f>RTD("tos.rtd",,EQ$2,"."&amp;$A$43&amp;$AW$1&amp;"P"&amp;$A76)</f>
        <v>N/A</v>
      </c>
      <c r="ES76" s="63" t="str">
        <f t="shared" si="274"/>
        <v>471,1405.00</v>
      </c>
      <c r="ET76" s="63" t="str">
        <f t="shared" ca="1" si="275"/>
        <v>471,00.00</v>
      </c>
      <c r="EU76" s="68">
        <v>565.54</v>
      </c>
      <c r="EV76" s="68" t="s">
        <v>627</v>
      </c>
      <c r="EW76" s="68">
        <v>489.17</v>
      </c>
      <c r="EX76" s="68" t="s">
        <v>628</v>
      </c>
      <c r="EY76" s="68">
        <v>5663.94</v>
      </c>
      <c r="EZ76" s="68" t="s">
        <v>629</v>
      </c>
      <c r="FA76" s="68">
        <v>20063.564999999999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94"/>
        <v>470</v>
      </c>
      <c r="B77" s="3">
        <f t="shared" si="241"/>
        <v>14148</v>
      </c>
      <c r="C77" s="3">
        <f t="shared" si="412"/>
        <v>65170</v>
      </c>
      <c r="D77" s="3">
        <f t="shared" si="243"/>
        <v>103752</v>
      </c>
      <c r="E77" s="3">
        <f t="shared" si="244"/>
        <v>183070</v>
      </c>
      <c r="F77" s="4">
        <f t="shared" si="298"/>
        <v>19391.987625209098</v>
      </c>
      <c r="AM77" s="1">
        <v>-145</v>
      </c>
      <c r="AN77" s="1">
        <v>-4594</v>
      </c>
      <c r="AO77" s="1">
        <v>470</v>
      </c>
      <c r="AP77" s="1">
        <v>493</v>
      </c>
      <c r="AQ77" s="1">
        <v>-6582</v>
      </c>
      <c r="AS77" s="6">
        <f>IF(RTD("tos.rtd",,AS$43,"."&amp;$A$43&amp;$AS$42&amp;"C"&amp;$A77)="N/A",0,RTD("tos.rtd",,AS$43,"."&amp;$A$43&amp;$AS$42&amp;"C"&amp;$A77))</f>
        <v>3191</v>
      </c>
      <c r="AT77" s="7">
        <f>-IF(RTD("tos.rtd",,AT$43,"."&amp;$A$43&amp;$AS$42&amp;"P"&amp;$A77)="N/A",0,RTD("tos.rtd",,AT$43,"."&amp;$A$43&amp;$AS$42&amp;"P"&amp;$A77))</f>
        <v>-10957</v>
      </c>
      <c r="AU77" s="6">
        <f>IF(RTD("tos.rtd",,AU$2,"."&amp;$A$43&amp;$AU$1&amp;"C"&amp;$A77)="N/A",0,RTD("tos.rtd",,AU$2,"."&amp;$A$43&amp;$AU$1&amp;"C"&amp;$A77))</f>
        <v>34931</v>
      </c>
      <c r="AV77" s="7">
        <f>-IF(RTD("tos.rtd",,AV$2,"."&amp;$A$43&amp;$AU$1&amp;"P"&amp;$A77)="N/A",0,RTD("tos.rtd",,AV$2,"."&amp;$A$43&amp;$AU$1&amp;"P"&amp;$A77))</f>
        <v>-30239</v>
      </c>
      <c r="AW77" s="6">
        <f>IF(RTD("tos.rtd",,AW$2,"."&amp;$A$43&amp;$AW$1&amp;"C"&amp;$A77)="N/A",0,RTD("tos.rtd",,AW$2,"."&amp;$A$43&amp;$AW$1&amp;"C"&amp;$A77))</f>
        <v>36282</v>
      </c>
      <c r="AX77" s="7">
        <f>-IF(RTD("tos.rtd",,AX$2,"."&amp;$A$43&amp;$AW$1&amp;"P"&amp;$A77)="N/A",0,RTD("tos.rtd",,AX$2,"."&amp;$A$43&amp;$AW$1&amp;"P"&amp;$A77))</f>
        <v>-67470</v>
      </c>
      <c r="AY77" s="7">
        <f t="shared" si="276"/>
        <v>-34262</v>
      </c>
      <c r="AZ77" s="8">
        <f t="shared" si="245"/>
        <v>470</v>
      </c>
      <c r="BA77" s="6">
        <f>IF(RTD("tos.rtd",,BA$43,"."&amp;$A$43&amp;$AS$42&amp;"C"&amp;$A77)="N/A",0,RTD("tos.rtd",,BA$43,"."&amp;$A$43&amp;$AS$42&amp;"C"&amp;$A77))</f>
        <v>494</v>
      </c>
      <c r="BB77" s="7">
        <f>-IF(RTD("tos.rtd",,BB$43,"."&amp;$A$43&amp;$AS$42&amp;"P"&amp;$A77)="N/A",0,RTD("tos.rtd",,BB$43,"."&amp;$A$43&amp;$AS$42&amp;"P"&amp;$A77))</f>
        <v>-6582</v>
      </c>
      <c r="BC77" s="6">
        <f>IF(RTD("tos.rtd",,BC$2,"."&amp;$A$43&amp;$AU$1&amp;"C"&amp;$A77)="N/A",0,RTD("tos.rtd",,BC$2,"."&amp;$A$43&amp;$AU$1&amp;"C"&amp;$A77))</f>
        <v>430</v>
      </c>
      <c r="BD77" s="7">
        <f>-IF(RTD("tos.rtd",,BD$2,"."&amp;$A$43&amp;$AU$1&amp;"P"&amp;$A77)="N/A",0,RTD("tos.rtd",,BD$2,"."&amp;$A$43&amp;$AU$1&amp;"P"&amp;$A77))</f>
        <v>-6592</v>
      </c>
      <c r="BE77" s="6">
        <f>IF(RTD("tos.rtd",,BE$2,"."&amp;$A$43&amp;$AW$1&amp;"C"&amp;$A77)="N/A",0,RTD("tos.rtd",,BE$2,"."&amp;$A$43&amp;$AW$1&amp;"C"&amp;$A77))</f>
        <v>417</v>
      </c>
      <c r="BF77" s="7">
        <f>-IF(RTD("tos.rtd",,BF$2,"."&amp;$A$43&amp;$AW$1&amp;"P"&amp;$A77)="N/A",0,RTD("tos.rtd",,BF$2,"."&amp;$A$43&amp;$AW$1&amp;"P"&amp;$A77))</f>
        <v>-4935</v>
      </c>
      <c r="BG77" s="32">
        <f ca="1">+Hoja2!Y78</f>
        <v>-9832</v>
      </c>
      <c r="BH77" s="7">
        <f t="shared" ca="1" si="277"/>
        <v>-26600</v>
      </c>
      <c r="BI77" s="8" t="str">
        <f t="shared" ca="1" si="295"/>
        <v/>
      </c>
      <c r="BJ77" s="83" t="e">
        <f ca="1">IF($BP$1=1,DX77,IF(RTD("tos.rtd",,BJ$43,"."&amp;$A$43&amp;$AS$42&amp;"C"&amp;$A77)="N/A",0,RTD("tos.rtd",,BJ$43,"."&amp;$A$43&amp;$AS$42&amp;"C"&amp;$A77)))</f>
        <v>#NUM!</v>
      </c>
      <c r="BK77" s="83" t="e">
        <f ca="1">IF($BP$1=1,DY77,-IF(RTD("tos.rtd",,BK$43,"."&amp;$A$43&amp;$AS$42&amp;"P"&amp;$A77)="N/A",0,RTD("tos.rtd",,BK$43,"."&amp;$A$43&amp;$AS$42&amp;"P"&amp;$A77)))</f>
        <v>#NUM!</v>
      </c>
      <c r="BL77" s="83">
        <f ca="1">IF($BP$1=1,DZ77,IF(RTD("tos.rtd",,BL$2,"."&amp;$A$43&amp;$AU$1&amp;"C"&amp;$A77)="N/A",0,RTD("tos.rtd",,BL$2,"."&amp;$A$43&amp;$AU$1&amp;"C"&amp;$A77)))</f>
        <v>6.1948316995418676E-3</v>
      </c>
      <c r="BM77" s="83">
        <f ca="1">IF($BP$1=1,EA77,-IF(RTD("tos.rtd",,BM$2,"."&amp;$A$43&amp;$AU$1&amp;"P"&amp;$A77)="N/A",0,RTD("tos.rtd",,BM$2,"."&amp;$A$43&amp;$AU$1&amp;"P"&amp;$A77)))</f>
        <v>-8.6297890101917959E-3</v>
      </c>
      <c r="BN77" s="83">
        <f ca="1">IF($BP$1=1,EB77,IF(RTD("tos.rtd",,BN$2,"."&amp;$A$43&amp;$AW$1&amp;"C"&amp;$A77)="N/A",0,RTD("tos.rtd",,BN$2,"."&amp;$A$43&amp;$AW$1&amp;"C"&amp;$A77)))</f>
        <v>2.3048380528824578E-4</v>
      </c>
      <c r="BO77" s="83">
        <f ca="1">IF($BP$1=1,EC77,-IF(RTD("tos.rtd",,BO$2,"."&amp;$A$43&amp;$AW$1&amp;"P"&amp;$A77)="N/A",0,RTD("tos.rtd",,BO$2,"."&amp;$A$43&amp;$AW$1&amp;"P"&amp;$A77)))</f>
        <v>-7.8528790524404514E-3</v>
      </c>
      <c r="BQ77" s="83" t="e">
        <f t="shared" ca="1" si="278"/>
        <v>#NUM!</v>
      </c>
      <c r="BR77" s="3" t="e">
        <f t="shared" ca="1" si="279"/>
        <v>#NUM!</v>
      </c>
      <c r="BS77" s="83">
        <f t="shared" ca="1" si="280"/>
        <v>-10971102.532079145</v>
      </c>
      <c r="BT77" s="3" t="str">
        <f t="shared" ca="1" si="281"/>
        <v/>
      </c>
      <c r="BU77" s="83">
        <f t="shared" ca="1" si="282"/>
        <v>-128378248.25423937</v>
      </c>
      <c r="BV77" s="83"/>
      <c r="BX77" s="83" t="e">
        <f t="shared" ca="1" si="283"/>
        <v>#NUM!</v>
      </c>
      <c r="BY77" s="83" t="e">
        <f t="shared" ca="1" si="296"/>
        <v>#NUM!</v>
      </c>
      <c r="BZ77" s="83">
        <f t="shared" ca="1" si="284"/>
        <v>-13349066.162932443</v>
      </c>
      <c r="CA77" s="83" t="str">
        <f t="shared" ca="1" si="296"/>
        <v/>
      </c>
      <c r="CB77" s="83">
        <f t="shared" ca="1" si="285"/>
        <v>-9516969.1107059624</v>
      </c>
      <c r="CC77" s="83" t="str">
        <f t="shared" ca="1" si="296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1</v>
      </c>
      <c r="CG77" s="83">
        <f>-IF(RTD("tos.rtd",,CG$2,"."&amp;$A$43&amp;$AU$1&amp;"P"&amp;$A77)="N/A",0,RTD("tos.rtd",,CG$2,"."&amp;$A$43&amp;$AU$1&amp;"P"&amp;$A77))</f>
        <v>0.12</v>
      </c>
      <c r="CH77" s="83">
        <f>IF(RTD("tos.rtd",,CH$2,"."&amp;$A$43&amp;$AW$1&amp;"C"&amp;$A77)="N/A",0,RTD("tos.rtd",,CH$2,"."&amp;$A$43&amp;$AW$1&amp;"C"&amp;$A77))</f>
        <v>0.92</v>
      </c>
      <c r="CI77" s="83">
        <f>-IF(RTD("tos.rtd",,CI$2,"."&amp;$A$43&amp;$AW$1&amp;"P"&amp;$A77)="N/A",0,RTD("tos.rtd",,CI$2,"."&amp;$A$43&amp;$AW$1&amp;"P"&amp;$A77))</f>
        <v>0.27</v>
      </c>
      <c r="CK77" s="83">
        <f t="shared" si="286"/>
        <v>319100</v>
      </c>
      <c r="CL77" s="83"/>
      <c r="CM77" s="83">
        <f t="shared" si="287"/>
        <v>3130232</v>
      </c>
      <c r="CN77" s="83"/>
      <c r="CO77" s="83">
        <f t="shared" si="288"/>
        <v>1516253.9999999998</v>
      </c>
      <c r="CP77" s="83">
        <f t="shared" si="235"/>
        <v>4965586</v>
      </c>
      <c r="CQ77" s="83">
        <f t="shared" si="249"/>
        <v>-6088</v>
      </c>
      <c r="CR77" s="83"/>
      <c r="CS77" s="83">
        <f t="shared" si="250"/>
        <v>-6162</v>
      </c>
      <c r="CT77" s="83"/>
      <c r="CU77" s="83">
        <f t="shared" si="251"/>
        <v>-4518</v>
      </c>
      <c r="CV77" s="83"/>
      <c r="CW77" s="83" t="e">
        <f t="shared" ca="1" si="252"/>
        <v>#NUM!</v>
      </c>
      <c r="CY77" s="83" t="e">
        <f t="shared" ca="1" si="253"/>
        <v>#NUM!</v>
      </c>
      <c r="CZ77" s="70" t="e">
        <f t="shared" ca="1" si="297"/>
        <v>#NUM!</v>
      </c>
      <c r="DA77" s="83">
        <f>IF(RTD("tos.rtd",,DA$43,"."&amp;$A$43&amp;$AS$42&amp;"C"&amp;$A77)="N/A",0,RTD("tos.rtd",,DA$43,"."&amp;$A$43&amp;$AS$42&amp;"C"&amp;$A77))</f>
        <v>18.18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18.12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17.77</v>
      </c>
      <c r="DF77" s="83">
        <f>IF(RTD("tos.rtd",,DF$43,"."&amp;$A$43&amp;$AS$42&amp;"P"&amp;$A77)="N/A",0,RTD("tos.rtd",,DF$43,"."&amp;$A$43&amp;$AS$42&amp;"P"&amp;$A77))</f>
        <v>0</v>
      </c>
      <c r="DG77" s="86">
        <f t="shared" si="289"/>
        <v>-26.170000000000016</v>
      </c>
      <c r="DH77" s="83">
        <f t="shared" si="254"/>
        <v>1.171428571428567</v>
      </c>
      <c r="DI77" s="83">
        <f t="shared" si="255"/>
        <v>0</v>
      </c>
      <c r="DJ77" s="83">
        <f t="shared" si="256"/>
        <v>1</v>
      </c>
      <c r="DK77" s="83">
        <f t="shared" si="257"/>
        <v>0</v>
      </c>
      <c r="DL77" s="83">
        <f t="shared" si="258"/>
        <v>1.171428571428567</v>
      </c>
      <c r="DM77" s="83">
        <f t="shared" si="259"/>
        <v>1</v>
      </c>
      <c r="DN77" s="64" t="str">
        <f t="shared" si="260"/>
        <v>BUY</v>
      </c>
      <c r="DO77" s="64" t="str">
        <f t="shared" si="261"/>
        <v>UNKNOWN</v>
      </c>
      <c r="DP77" s="83">
        <f t="shared" si="262"/>
        <v>21.296571428571347</v>
      </c>
      <c r="DQ77" s="83">
        <f t="shared" si="263"/>
        <v>18.18</v>
      </c>
      <c r="DR77" s="83" t="e">
        <f t="shared" ca="1" si="264"/>
        <v>#NUM!</v>
      </c>
      <c r="DS77" s="83">
        <f t="shared" si="265"/>
        <v>1</v>
      </c>
      <c r="DT77" s="83">
        <f t="shared" si="290"/>
        <v>1</v>
      </c>
      <c r="DU77" s="83">
        <f t="shared" si="291"/>
        <v>0</v>
      </c>
      <c r="DV77" s="83">
        <f t="shared" si="266"/>
        <v>-144</v>
      </c>
      <c r="DW77" s="83">
        <f t="shared" si="267"/>
        <v>-4594</v>
      </c>
      <c r="DX77" s="83" t="e">
        <f t="shared" ca="1" si="406"/>
        <v>#NUM!</v>
      </c>
      <c r="DY77" s="83" t="e">
        <f t="shared" ca="1" si="407"/>
        <v>#NUM!</v>
      </c>
      <c r="DZ77" s="83">
        <f t="shared" ca="1" si="408"/>
        <v>6.1948316995418676E-3</v>
      </c>
      <c r="EA77" s="83">
        <f t="shared" ca="1" si="409"/>
        <v>-8.6297890101917959E-3</v>
      </c>
      <c r="EB77" s="83">
        <f t="shared" ca="1" si="410"/>
        <v>2.3048380528824578E-4</v>
      </c>
      <c r="EC77" s="83">
        <f t="shared" ca="1" si="411"/>
        <v>-7.8528790524404514E-3</v>
      </c>
      <c r="ED77" s="63">
        <f t="shared" si="292"/>
        <v>-4738</v>
      </c>
      <c r="EE77" s="84">
        <f t="shared" si="268"/>
        <v>0.25</v>
      </c>
      <c r="EF77" s="84">
        <f t="shared" si="269"/>
        <v>2.4792000000000001</v>
      </c>
      <c r="EG77" s="84">
        <f t="shared" si="270"/>
        <v>0.25</v>
      </c>
      <c r="EH77" s="84">
        <f t="shared" si="271"/>
        <v>0.40710000000000002</v>
      </c>
      <c r="EI77" s="84">
        <f t="shared" si="272"/>
        <v>0.1245</v>
      </c>
      <c r="EJ77" s="84">
        <f t="shared" si="273"/>
        <v>0.30680000000000002</v>
      </c>
      <c r="EK77" s="63" t="e">
        <f t="shared" ca="1" si="293"/>
        <v>#NUM!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247.92%</v>
      </c>
      <c r="EN77" s="83" t="str">
        <f>RTD("tos.rtd",,EN$2,"."&amp;$A$43&amp;$AU$1&amp;"C"&amp;$A77)</f>
        <v>--</v>
      </c>
      <c r="EO77" s="83" t="str">
        <f>RTD("tos.rtd",,EO$2,"."&amp;$A$43&amp;$AU$1&amp;"P"&amp;$A77)</f>
        <v>40.71%</v>
      </c>
      <c r="EP77" s="83" t="str">
        <f>RTD("tos.rtd",,EP$2,"."&amp;$A$43&amp;$AW$1&amp;"C"&amp;$A77)</f>
        <v>12.45%</v>
      </c>
      <c r="EQ77" s="83" t="str">
        <f>RTD("tos.rtd",,EQ$2,"."&amp;$A$43&amp;$AW$1&amp;"P"&amp;$A77)</f>
        <v>30.68%</v>
      </c>
      <c r="ES77" s="63" t="str">
        <f t="shared" si="274"/>
        <v>470,-4738.00</v>
      </c>
      <c r="ET77" s="63" t="str">
        <f t="shared" ca="1" si="275"/>
        <v>470,00.00</v>
      </c>
      <c r="EU77" s="68">
        <v>565.58000000000004</v>
      </c>
      <c r="EV77" s="68" t="s">
        <v>635</v>
      </c>
      <c r="EW77" s="68">
        <v>489.19</v>
      </c>
      <c r="EX77" s="68" t="s">
        <v>636</v>
      </c>
      <c r="EY77" s="68">
        <v>5663.94</v>
      </c>
      <c r="EZ77" s="68" t="s">
        <v>637</v>
      </c>
      <c r="FA77" s="68">
        <v>20063.564999999999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94"/>
        <v>469</v>
      </c>
      <c r="B78" s="3">
        <f t="shared" si="241"/>
        <v>3118</v>
      </c>
      <c r="C78" s="3">
        <f t="shared" si="412"/>
        <v>2935</v>
      </c>
      <c r="D78" s="3">
        <f t="shared" si="243"/>
        <v>0</v>
      </c>
      <c r="E78" s="3">
        <f t="shared" si="244"/>
        <v>6053</v>
      </c>
      <c r="F78" s="4">
        <f t="shared" si="298"/>
        <v>19350.728077070358</v>
      </c>
      <c r="AM78" s="1">
        <v>-67</v>
      </c>
      <c r="AN78" s="1">
        <v>274</v>
      </c>
      <c r="AO78" s="1">
        <v>469</v>
      </c>
      <c r="AP78" s="1">
        <v>150</v>
      </c>
      <c r="AQ78" s="1">
        <v>-2200</v>
      </c>
      <c r="AS78" s="6">
        <f>IF(RTD("tos.rtd",,AS$43,"."&amp;$A$43&amp;$AS$42&amp;"C"&amp;$A78)="N/A",0,RTD("tos.rtd",,AS$43,"."&amp;$A$43&amp;$AS$42&amp;"C"&amp;$A78))</f>
        <v>665</v>
      </c>
      <c r="AT78" s="7">
        <f>-IF(RTD("tos.rtd",,AT$43,"."&amp;$A$43&amp;$AS$42&amp;"P"&amp;$A78)="N/A",0,RTD("tos.rtd",,AT$43,"."&amp;$A$43&amp;$AS$42&amp;"P"&amp;$A78))</f>
        <v>-2453</v>
      </c>
      <c r="AU78" s="6">
        <f>IF(RTD("tos.rtd",,AU$2,"."&amp;$A$43&amp;$AU$1&amp;"C"&amp;$A78)="N/A",0,RTD("tos.rtd",,AU$2,"."&amp;$A$43&amp;$AU$1&amp;"C"&amp;$A78))</f>
        <v>967</v>
      </c>
      <c r="AV78" s="7">
        <f>-IF(RTD("tos.rtd",,AV$2,"."&amp;$A$43&amp;$AU$1&amp;"P"&amp;$A78)="N/A",0,RTD("tos.rtd",,AV$2,"."&amp;$A$43&amp;$AU$1&amp;"P"&amp;$A78))</f>
        <v>-1968</v>
      </c>
      <c r="AW78" s="6">
        <f>IF(RTD("tos.rtd",,AW$2,"."&amp;$A$43&amp;$AW$1&amp;"C"&amp;$A78)="N/A",0,RTD("tos.rtd",,AW$2,"."&amp;$A$43&amp;$AW$1&amp;"C"&amp;$A78))</f>
        <v>0</v>
      </c>
      <c r="AX78" s="7">
        <f>-IF(RTD("tos.rtd",,AX$2,"."&amp;$A$43&amp;$AW$1&amp;"P"&amp;$A78)="N/A",0,RTD("tos.rtd",,AX$2,"."&amp;$A$43&amp;$AW$1&amp;"P"&amp;$A78))</f>
        <v>0</v>
      </c>
      <c r="AY78" s="7">
        <f t="shared" si="276"/>
        <v>-2789</v>
      </c>
      <c r="AZ78" s="8">
        <f t="shared" si="245"/>
        <v>469</v>
      </c>
      <c r="BA78" s="6">
        <f>IF(RTD("tos.rtd",,BA$43,"."&amp;$A$43&amp;$AS$42&amp;"C"&amp;$A78)="N/A",0,RTD("tos.rtd",,BA$43,"."&amp;$A$43&amp;$AS$42&amp;"C"&amp;$A78))</f>
        <v>155</v>
      </c>
      <c r="BB78" s="7">
        <f>-IF(RTD("tos.rtd",,BB$43,"."&amp;$A$43&amp;$AS$42&amp;"P"&amp;$A78)="N/A",0,RTD("tos.rtd",,BB$43,"."&amp;$A$43&amp;$AS$42&amp;"P"&amp;$A78))</f>
        <v>-2200</v>
      </c>
      <c r="BC78" s="6">
        <f>IF(RTD("tos.rtd",,BC$2,"."&amp;$A$43&amp;$AU$1&amp;"C"&amp;$A78)="N/A",0,RTD("tos.rtd",,BC$2,"."&amp;$A$43&amp;$AU$1&amp;"C"&amp;$A78))</f>
        <v>168</v>
      </c>
      <c r="BD78" s="7">
        <f>-IF(RTD("tos.rtd",,BD$2,"."&amp;$A$43&amp;$AU$1&amp;"P"&amp;$A78)="N/A",0,RTD("tos.rtd",,BD$2,"."&amp;$A$43&amp;$AU$1&amp;"P"&amp;$A78))</f>
        <v>-2335</v>
      </c>
      <c r="BE78" s="6">
        <f>IF(RTD("tos.rtd",,BE$2,"."&amp;$A$43&amp;$AW$1&amp;"C"&amp;$A78)="N/A",0,RTD("tos.rtd",,BE$2,"."&amp;$A$43&amp;$AW$1&amp;"C"&amp;$A78))</f>
        <v>0</v>
      </c>
      <c r="BF78" s="7">
        <f>-IF(RTD("tos.rtd",,BF$2,"."&amp;$A$43&amp;$AW$1&amp;"P"&amp;$A78)="N/A",0,RTD("tos.rtd",,BF$2,"."&amp;$A$43&amp;$AW$1&amp;"P"&amp;$A78))</f>
        <v>0</v>
      </c>
      <c r="BG78" s="32">
        <f ca="1">+Hoja2!Y79</f>
        <v>-194</v>
      </c>
      <c r="BH78" s="7">
        <f t="shared" ca="1" si="277"/>
        <v>-4406</v>
      </c>
      <c r="BI78" s="8" t="str">
        <f t="shared" ca="1" si="295"/>
        <v/>
      </c>
      <c r="BJ78" s="83" t="e">
        <f ca="1">IF($BP$1=1,DX78,IF(RTD("tos.rtd",,BJ$43,"."&amp;$A$43&amp;$AS$42&amp;"C"&amp;$A78)="N/A",0,RTD("tos.rtd",,BJ$43,"."&amp;$A$43&amp;$AS$42&amp;"C"&amp;$A78)))</f>
        <v>#NUM!</v>
      </c>
      <c r="BK78" s="83" t="e">
        <f ca="1">IF($BP$1=1,DY78,-IF(RTD("tos.rtd",,BK$43,"."&amp;$A$43&amp;$AS$42&amp;"P"&amp;$A78)="N/A",0,RTD("tos.rtd",,BK$43,"."&amp;$A$43&amp;$AS$42&amp;"P"&amp;$A78)))</f>
        <v>#NUM!</v>
      </c>
      <c r="BL78" s="83">
        <f ca="1">IF($BP$1=1,DZ78,IF(RTD("tos.rtd",,BL$2,"."&amp;$A$43&amp;$AU$1&amp;"C"&amp;$A78)="N/A",0,RTD("tos.rtd",,BL$2,"."&amp;$A$43&amp;$AU$1&amp;"C"&amp;$A78)))</f>
        <v>5.5773587456501867E-3</v>
      </c>
      <c r="BM78" s="83">
        <f ca="1">IF($BP$1=1,EA78,-IF(RTD("tos.rtd",,BM$2,"."&amp;$A$43&amp;$AU$1&amp;"P"&amp;$A78)="N/A",0,RTD("tos.rtd",,BM$2,"."&amp;$A$43&amp;$AU$1&amp;"P"&amp;$A78)))</f>
        <v>-8.2880763465767206E-3</v>
      </c>
      <c r="BN78" s="83">
        <f ca="1">IF($BP$1=1,EB78,IF(RTD("tos.rtd",,BN$2,"."&amp;$A$43&amp;$AW$1&amp;"C"&amp;$A78)="N/A",0,RTD("tos.rtd",,BN$2,"."&amp;$A$43&amp;$AW$1&amp;"C"&amp;$A78)))</f>
        <v>5.5773587456501867E-3</v>
      </c>
      <c r="BO78" s="83">
        <f ca="1">IF($BP$1=1,EC78,-IF(RTD("tos.rtd",,BO$2,"."&amp;$A$43&amp;$AW$1&amp;"P"&amp;$A78)="N/A",0,RTD("tos.rtd",,BO$2,"."&amp;$A$43&amp;$AW$1&amp;"P"&amp;$A78)))</f>
        <v>-5.5773587456501867E-3</v>
      </c>
      <c r="BQ78" s="83" t="e">
        <f t="shared" ca="1" si="278"/>
        <v>#NUM!</v>
      </c>
      <c r="BR78" s="3" t="e">
        <f t="shared" ca="1" si="279"/>
        <v>#NUM!</v>
      </c>
      <c r="BS78" s="83">
        <f t="shared" ca="1" si="280"/>
        <v>-2687752.7187994509</v>
      </c>
      <c r="BT78" s="3" t="str">
        <f t="shared" ca="1" si="281"/>
        <v/>
      </c>
      <c r="BU78" s="83">
        <f t="shared" ca="1" si="282"/>
        <v>0</v>
      </c>
      <c r="BV78" s="83"/>
      <c r="BX78" s="83" t="e">
        <f t="shared" ca="1" si="283"/>
        <v>#NUM!</v>
      </c>
      <c r="BY78" s="83" t="e">
        <f t="shared" ca="1" si="296"/>
        <v>#NUM!</v>
      </c>
      <c r="BZ78" s="83">
        <f t="shared" ca="1" si="284"/>
        <v>-4533653.6520412127</v>
      </c>
      <c r="CA78" s="83" t="str">
        <f t="shared" ca="1" si="296"/>
        <v/>
      </c>
      <c r="CB78" s="83">
        <f t="shared" ca="1" si="285"/>
        <v>0</v>
      </c>
      <c r="CC78" s="83" t="str">
        <f t="shared" ca="1" si="296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1</v>
      </c>
      <c r="CG78" s="83">
        <f>-IF(RTD("tos.rtd",,CG$2,"."&amp;$A$43&amp;$AU$1&amp;"P"&amp;$A78)="N/A",0,RTD("tos.rtd",,CG$2,"."&amp;$A$43&amp;$AU$1&amp;"P"&amp;$A78))</f>
        <v>0.11</v>
      </c>
      <c r="CH78" s="83">
        <f>IF(RTD("tos.rtd",,CH$2,"."&amp;$A$43&amp;$AW$1&amp;"C"&amp;$A78)="N/A",0,RTD("tos.rtd",,CH$2,"."&amp;$A$43&amp;$AW$1&amp;"C"&amp;$A78))</f>
        <v>0</v>
      </c>
      <c r="CI78" s="83">
        <f>-IF(RTD("tos.rtd",,CI$2,"."&amp;$A$43&amp;$AW$1&amp;"P"&amp;$A78)="N/A",0,RTD("tos.rtd",,CI$2,"."&amp;$A$43&amp;$AW$1&amp;"P"&amp;$A78))</f>
        <v>0</v>
      </c>
      <c r="CK78" s="83">
        <f t="shared" si="286"/>
        <v>66500</v>
      </c>
      <c r="CL78" s="83"/>
      <c r="CM78" s="83">
        <f t="shared" si="287"/>
        <v>75052</v>
      </c>
      <c r="CN78" s="83"/>
      <c r="CO78" s="83">
        <f t="shared" si="288"/>
        <v>0</v>
      </c>
      <c r="CP78" s="83">
        <f t="shared" si="235"/>
        <v>141552</v>
      </c>
      <c r="CQ78" s="83">
        <f t="shared" si="249"/>
        <v>-2045</v>
      </c>
      <c r="CR78" s="83"/>
      <c r="CS78" s="83">
        <f t="shared" si="250"/>
        <v>-2167</v>
      </c>
      <c r="CT78" s="83"/>
      <c r="CU78" s="83">
        <f t="shared" si="251"/>
        <v>0</v>
      </c>
      <c r="CV78" s="83"/>
      <c r="CW78" s="83" t="e">
        <f t="shared" ca="1" si="252"/>
        <v>#NUM!</v>
      </c>
      <c r="CY78" s="83" t="e">
        <f t="shared" ca="1" si="253"/>
        <v>#NUM!</v>
      </c>
      <c r="CZ78" s="70" t="e">
        <f t="shared" ca="1" si="297"/>
        <v>#NUM!</v>
      </c>
      <c r="DA78" s="83">
        <f>IF(RTD("tos.rtd",,DA$43,"."&amp;$A$43&amp;$AS$42&amp;"C"&amp;$A78)="N/A",0,RTD("tos.rtd",,DA$43,"."&amp;$A$43&amp;$AS$42&amp;"C"&amp;$A78))</f>
        <v>19.16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19.12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18.77</v>
      </c>
      <c r="DF78" s="83">
        <f>IF(RTD("tos.rtd",,DF$43,"."&amp;$A$43&amp;$AS$42&amp;"P"&amp;$A78)="N/A",0,RTD("tos.rtd",,DF$43,"."&amp;$A$43&amp;$AS$42&amp;"P"&amp;$A78))</f>
        <v>0</v>
      </c>
      <c r="DG78" s="86">
        <f t="shared" si="289"/>
        <v>-27.170000000000016</v>
      </c>
      <c r="DH78" s="83">
        <f t="shared" si="254"/>
        <v>5.571428571428557</v>
      </c>
      <c r="DI78" s="83">
        <f t="shared" si="255"/>
        <v>0</v>
      </c>
      <c r="DJ78" s="83">
        <f t="shared" si="256"/>
        <v>5</v>
      </c>
      <c r="DK78" s="83">
        <f t="shared" si="257"/>
        <v>0</v>
      </c>
      <c r="DL78" s="83">
        <f t="shared" si="258"/>
        <v>5.571428571428557</v>
      </c>
      <c r="DM78" s="83">
        <f t="shared" si="259"/>
        <v>5</v>
      </c>
      <c r="DN78" s="64" t="str">
        <f t="shared" si="260"/>
        <v>BUY</v>
      </c>
      <c r="DO78" s="64" t="str">
        <f t="shared" si="261"/>
        <v>UNKNOWN</v>
      </c>
      <c r="DP78" s="83">
        <f t="shared" si="262"/>
        <v>106.74857142857115</v>
      </c>
      <c r="DQ78" s="83">
        <f t="shared" si="263"/>
        <v>95.8</v>
      </c>
      <c r="DR78" s="83" t="e">
        <f t="shared" ca="1" si="264"/>
        <v>#NUM!</v>
      </c>
      <c r="DS78" s="83">
        <f t="shared" si="265"/>
        <v>5</v>
      </c>
      <c r="DT78" s="83">
        <f t="shared" si="290"/>
        <v>5</v>
      </c>
      <c r="DU78" s="83">
        <f t="shared" si="291"/>
        <v>0</v>
      </c>
      <c r="DV78" s="83">
        <f t="shared" si="266"/>
        <v>-62</v>
      </c>
      <c r="DW78" s="83">
        <f t="shared" si="267"/>
        <v>274</v>
      </c>
      <c r="DX78" s="83" t="e">
        <f t="shared" ca="1" si="406"/>
        <v>#NUM!</v>
      </c>
      <c r="DY78" s="83" t="e">
        <f t="shared" ca="1" si="407"/>
        <v>#NUM!</v>
      </c>
      <c r="DZ78" s="83">
        <f t="shared" ca="1" si="408"/>
        <v>5.5773587456501867E-3</v>
      </c>
      <c r="EA78" s="83">
        <f t="shared" ca="1" si="409"/>
        <v>-8.2880763465767206E-3</v>
      </c>
      <c r="EB78" s="83">
        <f t="shared" ca="1" si="410"/>
        <v>5.5773587456501867E-3</v>
      </c>
      <c r="EC78" s="83">
        <f t="shared" ca="1" si="411"/>
        <v>-5.5773587456501867E-3</v>
      </c>
      <c r="ED78" s="63">
        <f t="shared" si="292"/>
        <v>212</v>
      </c>
      <c r="EE78" s="84">
        <f t="shared" si="268"/>
        <v>0.25</v>
      </c>
      <c r="EF78" s="84">
        <f t="shared" si="269"/>
        <v>2.5678999999999998</v>
      </c>
      <c r="EG78" s="84">
        <f t="shared" si="270"/>
        <v>0.25</v>
      </c>
      <c r="EH78" s="84">
        <f t="shared" si="271"/>
        <v>0.40629999999999999</v>
      </c>
      <c r="EI78" s="84">
        <f t="shared" si="272"/>
        <v>0.25</v>
      </c>
      <c r="EJ78" s="84">
        <f t="shared" si="273"/>
        <v>0.25</v>
      </c>
      <c r="EK78" s="63" t="e">
        <f t="shared" ca="1" si="293"/>
        <v>#NUM!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256.79%</v>
      </c>
      <c r="EN78" s="83" t="str">
        <f>RTD("tos.rtd",,EN$2,"."&amp;$A$43&amp;$AU$1&amp;"C"&amp;$A78)</f>
        <v>--</v>
      </c>
      <c r="EO78" s="83" t="str">
        <f>RTD("tos.rtd",,EO$2,"."&amp;$A$43&amp;$AU$1&amp;"P"&amp;$A78)</f>
        <v>40.63%</v>
      </c>
      <c r="EP78" s="83" t="str">
        <f>RTD("tos.rtd",,EP$2,"."&amp;$A$43&amp;$AW$1&amp;"C"&amp;$A78)</f>
        <v>N/A</v>
      </c>
      <c r="EQ78" s="83" t="str">
        <f>RTD("tos.rtd",,EQ$2,"."&amp;$A$43&amp;$AW$1&amp;"P"&amp;$A78)</f>
        <v>N/A</v>
      </c>
      <c r="ES78" s="63" t="str">
        <f t="shared" si="274"/>
        <v>469,212.00</v>
      </c>
      <c r="ET78" s="63" t="str">
        <f t="shared" ca="1" si="275"/>
        <v>469,00.00</v>
      </c>
      <c r="EU78" s="68">
        <v>565.58000000000004</v>
      </c>
      <c r="EV78" s="68" t="s">
        <v>643</v>
      </c>
      <c r="EW78" s="68">
        <v>489.24</v>
      </c>
      <c r="EX78" s="68" t="s">
        <v>644</v>
      </c>
      <c r="EY78" s="68">
        <v>5663.94</v>
      </c>
      <c r="EZ78" s="68" t="s">
        <v>645</v>
      </c>
      <c r="FA78" s="68">
        <v>20063.564999999999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94"/>
        <v>468</v>
      </c>
      <c r="B79" s="35">
        <f t="shared" si="241"/>
        <v>3195</v>
      </c>
      <c r="C79" s="35">
        <f t="shared" si="412"/>
        <v>3585</v>
      </c>
      <c r="D79" s="35">
        <f t="shared" si="243"/>
        <v>0</v>
      </c>
      <c r="E79" s="35">
        <f t="shared" si="244"/>
        <v>6780</v>
      </c>
      <c r="F79" s="11">
        <f t="shared" si="298"/>
        <v>19309.468528931615</v>
      </c>
      <c r="AM79" s="1">
        <v>68</v>
      </c>
      <c r="AN79" s="1">
        <v>-528</v>
      </c>
      <c r="AO79" s="1">
        <v>468</v>
      </c>
      <c r="AP79" s="1">
        <v>164</v>
      </c>
      <c r="AQ79" s="1">
        <v>-1290</v>
      </c>
      <c r="AS79" s="15">
        <f>IF(RTD("tos.rtd",,AS$43,"."&amp;$A$43&amp;$AS$42&amp;"C"&amp;$A79)="N/A",0,RTD("tos.rtd",,AS$43,"."&amp;$A$43&amp;$AS$42&amp;"C"&amp;$A79))</f>
        <v>980</v>
      </c>
      <c r="AT79" s="36">
        <f>-IF(RTD("tos.rtd",,AT$43,"."&amp;$A$43&amp;$AS$42&amp;"P"&amp;$A79)="N/A",0,RTD("tos.rtd",,AT$43,"."&amp;$A$43&amp;$AS$42&amp;"P"&amp;$A79))</f>
        <v>-2215</v>
      </c>
      <c r="AU79" s="15">
        <f>IF(RTD("tos.rtd",,AU$2,"."&amp;$A$43&amp;$AU$1&amp;"C"&amp;$A79)="N/A",0,RTD("tos.rtd",,AU$2,"."&amp;$A$43&amp;$AU$1&amp;"C"&amp;$A79))</f>
        <v>1737</v>
      </c>
      <c r="AV79" s="36">
        <f>-IF(RTD("tos.rtd",,AV$2,"."&amp;$A$43&amp;$AU$1&amp;"P"&amp;$A79)="N/A",0,RTD("tos.rtd",,AV$2,"."&amp;$A$43&amp;$AU$1&amp;"P"&amp;$A79))</f>
        <v>-1848</v>
      </c>
      <c r="AW79" s="15">
        <f>IF(RTD("tos.rtd",,AW$2,"."&amp;$A$43&amp;$AW$1&amp;"C"&amp;$A79)="N/A",0,RTD("tos.rtd",,AW$2,"."&amp;$A$43&amp;$AW$1&amp;"C"&amp;$A79))</f>
        <v>0</v>
      </c>
      <c r="AX79" s="36">
        <f>-IF(RTD("tos.rtd",,AX$2,"."&amp;$A$43&amp;$AW$1&amp;"P"&amp;$A79)="N/A",0,RTD("tos.rtd",,AX$2,"."&amp;$A$43&amp;$AW$1&amp;"P"&amp;$A79))</f>
        <v>0</v>
      </c>
      <c r="AY79" s="36">
        <f t="shared" si="276"/>
        <v>-1346</v>
      </c>
      <c r="AZ79" s="8">
        <f t="shared" si="245"/>
        <v>468</v>
      </c>
      <c r="BA79" s="15">
        <f>IF(RTD("tos.rtd",,BA$43,"."&amp;$A$43&amp;$AS$42&amp;"C"&amp;$A79)="N/A",0,RTD("tos.rtd",,BA$43,"."&amp;$A$43&amp;$AS$42&amp;"C"&amp;$A79))</f>
        <v>164</v>
      </c>
      <c r="BB79" s="36">
        <f>-IF(RTD("tos.rtd",,BB$43,"."&amp;$A$43&amp;$AS$42&amp;"P"&amp;$A79)="N/A",0,RTD("tos.rtd",,BB$43,"."&amp;$A$43&amp;$AS$42&amp;"P"&amp;$A79))</f>
        <v>-1290</v>
      </c>
      <c r="BC79" s="15">
        <f>IF(RTD("tos.rtd",,BC$2,"."&amp;$A$43&amp;$AU$1&amp;"C"&amp;$A79)="N/A",0,RTD("tos.rtd",,BC$2,"."&amp;$A$43&amp;$AU$1&amp;"C"&amp;$A79))</f>
        <v>29</v>
      </c>
      <c r="BD79" s="36">
        <f>-IF(RTD("tos.rtd",,BD$2,"."&amp;$A$43&amp;$AU$1&amp;"P"&amp;$A79)="N/A",0,RTD("tos.rtd",,BD$2,"."&amp;$A$43&amp;$AU$1&amp;"P"&amp;$A79))</f>
        <v>-1220</v>
      </c>
      <c r="BE79" s="15">
        <f>IF(RTD("tos.rtd",,BE$2,"."&amp;$A$43&amp;$AW$1&amp;"C"&amp;$A79)="N/A",0,RTD("tos.rtd",,BE$2,"."&amp;$A$43&amp;$AW$1&amp;"C"&amp;$A79))</f>
        <v>0</v>
      </c>
      <c r="BF79" s="36">
        <f>-IF(RTD("tos.rtd",,BF$2,"."&amp;$A$43&amp;$AW$1&amp;"P"&amp;$A79)="N/A",0,RTD("tos.rtd",,BF$2,"."&amp;$A$43&amp;$AW$1&amp;"P"&amp;$A79))</f>
        <v>0</v>
      </c>
      <c r="BG79" s="32">
        <f ca="1">+Hoja2!Y80</f>
        <v>-379</v>
      </c>
      <c r="BH79" s="36">
        <f t="shared" ca="1" si="277"/>
        <v>-2696</v>
      </c>
      <c r="BI79" s="8" t="str">
        <f t="shared" ca="1" si="295"/>
        <v/>
      </c>
      <c r="BJ79" s="83" t="e">
        <f ca="1">IF($BP$1=1,DX79,IF(RTD("tos.rtd",,BJ$43,"."&amp;$A$43&amp;$AS$42&amp;"C"&amp;$A79)="N/A",0,RTD("tos.rtd",,BJ$43,"."&amp;$A$43&amp;$AS$42&amp;"C"&amp;$A79)))</f>
        <v>#NUM!</v>
      </c>
      <c r="BK79" s="83" t="e">
        <f ca="1">IF($BP$1=1,DY79,-IF(RTD("tos.rtd",,BK$43,"."&amp;$A$43&amp;$AS$42&amp;"P"&amp;$A79)="N/A",0,RTD("tos.rtd",,BK$43,"."&amp;$A$43&amp;$AS$42&amp;"P"&amp;$A79)))</f>
        <v>#NUM!</v>
      </c>
      <c r="BL79" s="83">
        <f ca="1">IF($BP$1=1,DZ79,IF(RTD("tos.rtd",,BL$2,"."&amp;$A$43&amp;$AU$1&amp;"C"&amp;$A79)="N/A",0,RTD("tos.rtd",,BL$2,"."&amp;$A$43&amp;$AU$1&amp;"C"&amp;$A79)))</f>
        <v>5.000445386600277E-3</v>
      </c>
      <c r="BM79" s="83">
        <f ca="1">IF($BP$1=1,EA79,-IF(RTD("tos.rtd",,BM$2,"."&amp;$A$43&amp;$AU$1&amp;"P"&amp;$A79)="N/A",0,RTD("tos.rtd",,BM$2,"."&amp;$A$43&amp;$AU$1&amp;"P"&amp;$A79)))</f>
        <v>-7.944690159407462E-3</v>
      </c>
      <c r="BN79" s="83">
        <f ca="1">IF($BP$1=1,EB79,IF(RTD("tos.rtd",,BN$2,"."&amp;$A$43&amp;$AW$1&amp;"C"&amp;$A79)="N/A",0,RTD("tos.rtd",,BN$2,"."&amp;$A$43&amp;$AW$1&amp;"C"&amp;$A79)))</f>
        <v>5.000445386600277E-3</v>
      </c>
      <c r="BO79" s="83">
        <f ca="1">IF($BP$1=1,EC79,-IF(RTD("tos.rtd",,BO$2,"."&amp;$A$43&amp;$AW$1&amp;"P"&amp;$A79)="N/A",0,RTD("tos.rtd",,BO$2,"."&amp;$A$43&amp;$AW$1&amp;"P"&amp;$A79)))</f>
        <v>-5.000445386600277E-3</v>
      </c>
      <c r="BQ79" s="83" t="e">
        <f t="shared" ca="1" si="278"/>
        <v>#NUM!</v>
      </c>
      <c r="BR79" s="3" t="e">
        <f t="shared" ca="1" si="279"/>
        <v>#NUM!</v>
      </c>
      <c r="BS79" s="83">
        <f t="shared" ca="1" si="280"/>
        <v>-1476126.6666716151</v>
      </c>
      <c r="BT79" s="3" t="str">
        <f t="shared" ca="1" si="281"/>
        <v/>
      </c>
      <c r="BU79" s="83">
        <f t="shared" ca="1" si="282"/>
        <v>0</v>
      </c>
      <c r="BV79" s="83"/>
      <c r="BX79" s="83" t="e">
        <f t="shared" ca="1" si="283"/>
        <v>#NUM!</v>
      </c>
      <c r="BY79" s="83" t="e">
        <f t="shared" ca="1" si="296"/>
        <v>#NUM!</v>
      </c>
      <c r="BZ79" s="83">
        <f t="shared" ca="1" si="284"/>
        <v>-2350450.3612525845</v>
      </c>
      <c r="CA79" s="83" t="str">
        <f t="shared" ca="1" si="296"/>
        <v/>
      </c>
      <c r="CB79" s="83">
        <f t="shared" ca="1" si="285"/>
        <v>0</v>
      </c>
      <c r="CC79" s="83" t="str">
        <f t="shared" ca="1" si="296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1</v>
      </c>
      <c r="CG79" s="83">
        <f>-IF(RTD("tos.rtd",,CG$2,"."&amp;$A$43&amp;$AU$1&amp;"P"&amp;$A79)="N/A",0,RTD("tos.rtd",,CG$2,"."&amp;$A$43&amp;$AU$1&amp;"P"&amp;$A79))</f>
        <v>0.1</v>
      </c>
      <c r="CH79" s="83">
        <f>IF(RTD("tos.rtd",,CH$2,"."&amp;$A$43&amp;$AW$1&amp;"C"&amp;$A79)="N/A",0,RTD("tos.rtd",,CH$2,"."&amp;$A$43&amp;$AW$1&amp;"C"&amp;$A79))</f>
        <v>0</v>
      </c>
      <c r="CI79" s="83">
        <f>-IF(RTD("tos.rtd",,CI$2,"."&amp;$A$43&amp;$AW$1&amp;"P"&amp;$A79)="N/A",0,RTD("tos.rtd",,CI$2,"."&amp;$A$43&amp;$AW$1&amp;"P"&amp;$A79))</f>
        <v>0</v>
      </c>
      <c r="CK79" s="83">
        <f t="shared" si="286"/>
        <v>98000</v>
      </c>
      <c r="CL79" s="83"/>
      <c r="CM79" s="83">
        <f t="shared" si="287"/>
        <v>155220</v>
      </c>
      <c r="CN79" s="83"/>
      <c r="CO79" s="83">
        <f t="shared" si="288"/>
        <v>0</v>
      </c>
      <c r="CP79" s="83">
        <f t="shared" si="235"/>
        <v>253220</v>
      </c>
      <c r="CQ79" s="83">
        <f t="shared" si="249"/>
        <v>-1126</v>
      </c>
      <c r="CR79" s="83"/>
      <c r="CS79" s="83">
        <f t="shared" si="250"/>
        <v>-1191</v>
      </c>
      <c r="CT79" s="83"/>
      <c r="CU79" s="83">
        <f t="shared" si="251"/>
        <v>0</v>
      </c>
      <c r="CV79" s="83"/>
      <c r="CW79" s="83" t="e">
        <f t="shared" ca="1" si="252"/>
        <v>#NUM!</v>
      </c>
      <c r="CY79" s="83" t="e">
        <f t="shared" ca="1" si="253"/>
        <v>#NUM!</v>
      </c>
      <c r="CZ79" s="70" t="e">
        <f t="shared" ca="1" si="297"/>
        <v>#NUM!</v>
      </c>
      <c r="DA79" s="83">
        <f>IF(RTD("tos.rtd",,DA$43,"."&amp;$A$43&amp;$AS$42&amp;"C"&amp;$A79)="N/A",0,RTD("tos.rtd",,DA$43,"."&amp;$A$43&amp;$AS$42&amp;"C"&amp;$A79))</f>
        <v>20.149999999999999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20.12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19.77</v>
      </c>
      <c r="DF79" s="83">
        <f>IF(RTD("tos.rtd",,DF$43,"."&amp;$A$43&amp;$AS$42&amp;"P"&amp;$A79)="N/A",0,RTD("tos.rtd",,DF$43,"."&amp;$A$43&amp;$AS$42&amp;"P"&amp;$A79))</f>
        <v>0</v>
      </c>
      <c r="DG79" s="86">
        <f t="shared" si="289"/>
        <v>-28.170000000000016</v>
      </c>
      <c r="DH79" s="83">
        <f t="shared" si="254"/>
        <v>0</v>
      </c>
      <c r="DI79" s="83">
        <f t="shared" si="255"/>
        <v>0</v>
      </c>
      <c r="DJ79" s="83">
        <f t="shared" si="256"/>
        <v>0</v>
      </c>
      <c r="DK79" s="83">
        <f t="shared" si="257"/>
        <v>0</v>
      </c>
      <c r="DL79" s="83">
        <f t="shared" si="258"/>
        <v>0</v>
      </c>
      <c r="DM79" s="83">
        <f t="shared" si="259"/>
        <v>0</v>
      </c>
      <c r="DN79" s="64" t="str">
        <f t="shared" si="260"/>
        <v>UNKNOWN</v>
      </c>
      <c r="DO79" s="64" t="str">
        <f t="shared" si="261"/>
        <v>UNKNOWN</v>
      </c>
      <c r="DP79" s="83">
        <f t="shared" si="262"/>
        <v>0</v>
      </c>
      <c r="DQ79" s="83">
        <f t="shared" si="263"/>
        <v>0</v>
      </c>
      <c r="DR79" s="83" t="e">
        <f t="shared" ca="1" si="264"/>
        <v>#NUM!</v>
      </c>
      <c r="DS79" s="83">
        <f t="shared" si="265"/>
        <v>0</v>
      </c>
      <c r="DT79" s="83">
        <f t="shared" si="290"/>
        <v>0</v>
      </c>
      <c r="DU79" s="83">
        <f t="shared" si="291"/>
        <v>0</v>
      </c>
      <c r="DV79" s="83">
        <f t="shared" si="266"/>
        <v>68</v>
      </c>
      <c r="DW79" s="83">
        <f t="shared" si="267"/>
        <v>-528</v>
      </c>
      <c r="DX79" s="83" t="e">
        <f t="shared" ca="1" si="406"/>
        <v>#NUM!</v>
      </c>
      <c r="DY79" s="83" t="e">
        <f t="shared" ca="1" si="407"/>
        <v>#NUM!</v>
      </c>
      <c r="DZ79" s="83">
        <f t="shared" ca="1" si="408"/>
        <v>5.000445386600277E-3</v>
      </c>
      <c r="EA79" s="83">
        <f t="shared" ca="1" si="409"/>
        <v>-7.944690159407462E-3</v>
      </c>
      <c r="EB79" s="83">
        <f t="shared" ca="1" si="410"/>
        <v>5.000445386600277E-3</v>
      </c>
      <c r="EC79" s="83">
        <f t="shared" ca="1" si="411"/>
        <v>-5.000445386600277E-3</v>
      </c>
      <c r="ED79" s="63">
        <f t="shared" si="292"/>
        <v>-460</v>
      </c>
      <c r="EE79" s="84">
        <f t="shared" si="268"/>
        <v>0.25</v>
      </c>
      <c r="EF79" s="84">
        <f t="shared" si="269"/>
        <v>2.6564999999999999</v>
      </c>
      <c r="EG79" s="84">
        <f t="shared" si="270"/>
        <v>0.25</v>
      </c>
      <c r="EH79" s="84">
        <f t="shared" si="271"/>
        <v>0.40550000000000003</v>
      </c>
      <c r="EI79" s="84">
        <f t="shared" si="272"/>
        <v>0.25</v>
      </c>
      <c r="EJ79" s="84">
        <f t="shared" si="273"/>
        <v>0.25</v>
      </c>
      <c r="EK79" s="63" t="e">
        <f t="shared" ca="1" si="293"/>
        <v>#NUM!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265.65%</v>
      </c>
      <c r="EN79" s="83" t="str">
        <f>RTD("tos.rtd",,EN$2,"."&amp;$A$43&amp;$AU$1&amp;"C"&amp;$A79)</f>
        <v>--</v>
      </c>
      <c r="EO79" s="83" t="str">
        <f>RTD("tos.rtd",,EO$2,"."&amp;$A$43&amp;$AU$1&amp;"P"&amp;$A79)</f>
        <v>40.55%</v>
      </c>
      <c r="EP79" s="83" t="str">
        <f>RTD("tos.rtd",,EP$2,"."&amp;$A$43&amp;$AW$1&amp;"C"&amp;$A79)</f>
        <v>N/A</v>
      </c>
      <c r="EQ79" s="83" t="str">
        <f>RTD("tos.rtd",,EQ$2,"."&amp;$A$43&amp;$AW$1&amp;"P"&amp;$A79)</f>
        <v>N/A</v>
      </c>
      <c r="ES79" s="63" t="str">
        <f t="shared" si="274"/>
        <v>468,-460.00</v>
      </c>
      <c r="ET79" s="63" t="str">
        <f t="shared" ca="1" si="275"/>
        <v>468,00.00</v>
      </c>
      <c r="EU79" s="68">
        <v>565.58000000000004</v>
      </c>
      <c r="EV79" s="68" t="s">
        <v>651</v>
      </c>
      <c r="EW79" s="68">
        <v>489.2</v>
      </c>
      <c r="EX79" s="68" t="s">
        <v>652</v>
      </c>
      <c r="EY79" s="68">
        <v>5663.94</v>
      </c>
      <c r="EZ79" s="68" t="s">
        <v>653</v>
      </c>
      <c r="FA79" s="68">
        <v>20063.564999999999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-99862</v>
      </c>
      <c r="BI80" s="1">
        <f ca="1">IFERROR(IF(MIN(BH45:BH79)&lt;&gt;0,INDEX(A45:A79,MATCH(MIN(BH45:BH79),BH45:BH79,0)),""),"")</f>
        <v>485</v>
      </c>
      <c r="BJ80" s="42"/>
      <c r="BK80" s="42"/>
      <c r="BL80" s="42"/>
      <c r="BM80" s="42"/>
      <c r="BN80" s="42"/>
      <c r="BO80" s="42"/>
      <c r="BP80" s="64" t="e">
        <f ca="1">INDEX(BQ80:BU80,MATCH(MAX(BQ44:BU44),BQ44:BU44,0))</f>
        <v>#NUM!</v>
      </c>
      <c r="BQ80" s="42" t="e">
        <f ca="1">IF(AND(BQ44&gt;0,ABS(MAX(BQ45:BQ79))&gt;ABS(MIN(BQ45:BQ79))),IF(MAX(BQ45:BQ79)&lt;&gt;0,INDEX($A45:$A79,MATCH(MAX(BQ45:BQ79),BQ45:BQ79,0)),""),"")</f>
        <v>#NUM!</v>
      </c>
      <c r="BR80" s="42"/>
      <c r="BS80" s="42">
        <f ca="1">IF(AND(BS44&gt;0,ABS(MAX(BS45:BS79))&gt;ABS(MIN(BS45:BS79))),IF(MAX(BS45:BS79)&lt;&gt;0,INDEX($A45:$A79,MATCH(MAX(BS45:BS79),BS45:BS79,0)),""),"")</f>
        <v>500</v>
      </c>
      <c r="BT80" s="42"/>
      <c r="BU80" s="42">
        <f ca="1">IF(AND(BU44&gt;0,ABS(MAX(BU45:BU79))&gt;ABS(MIN(BU45:BU79))),IF(MAX(BU45:BU79)&lt;&gt;0,INDEX($A45:$A79,MATCH(MAX(BU45:BU79),BU45:BU79,0)),""),"")</f>
        <v>500</v>
      </c>
      <c r="BV80" s="42"/>
      <c r="BW80" s="64" t="e">
        <f ca="1">INDEX(BX80:CB80,MATCH(MAX(BX44:CB44),BX44:CB44,0))</f>
        <v>#NUM!</v>
      </c>
      <c r="BX80" s="42" t="e">
        <f ca="1">IF(AND(BX44&gt;0,ABS(MAX(BX45:BX79))&gt;ABS(MIN(BX45:BX79))),IF(MAX(BX45:BX79)&lt;&gt;0,INDEX($A45:$A79,MATCH(MAX(BX45:BX79),BX45:BX79,0)),""),"")</f>
        <v>#NUM!</v>
      </c>
      <c r="BY80" s="42" t="e">
        <f ca="1">INDEX($A$45:$A$79,MATCH("Cruce -",BY45:BY79,)+1)</f>
        <v>#N/A</v>
      </c>
      <c r="BZ80" s="42">
        <f ca="1">IF(AND(BZ44&gt;0,ABS(MAX(BZ45:BZ79))&gt;ABS(MIN(BZ45:BZ79))),IF(MAX(BZ45:BZ79)&lt;&gt;0,INDEX($A45:$A79,MATCH(MAX(BZ45:BZ79),BZ45:BZ79,0)),""),"")</f>
        <v>500</v>
      </c>
      <c r="CA80" s="42"/>
      <c r="CB80" s="42">
        <f ca="1">IF(AND(CB44&gt;0,ABS(MAX(CB45:CB79))&gt;ABS(MIN(CB45:CB79))),IF(MAX(CB45:CB79)&lt;&gt;0,INDEX($A45:$A79,MATCH(MAX(CB45:CB79),CB45:CB79,0)),""),"")</f>
        <v>495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490</v>
      </c>
      <c r="CK80" s="42">
        <f>IF(AND(CK44&gt;0,ABS(MAX(CK45:CK79))&gt;ABS(MIN(CK45:CK79))),IF(MAX(CK45:CK79)&lt;&gt;0,INDEX($A45:$A79,MATCH(MAX(CK45:CK79),CK45:CK79,0)),""),"")</f>
        <v>495</v>
      </c>
      <c r="CL80" s="42"/>
      <c r="CM80" s="42">
        <f>IF(AND(CM44&gt;0,ABS(MAX(CM45:CM79))&gt;ABS(MIN(CM45:CM79))),IF(MAX(CM45:CM79)&lt;&gt;0,INDEX($A45:$A79,MATCH(MAX(CM45:CM79),CM45:CM79,0)),""),"")</f>
        <v>490</v>
      </c>
      <c r="CN80" s="42"/>
      <c r="CO80" s="42">
        <f>IF(AND(CO44&gt;0,ABS(MAX(CO45:CO79))&gt;ABS(MIN(CO45:CO79))),IF(MAX(CO45:CO79)&lt;&gt;0,INDEX($A45:$A79,MATCH(MAX(CO45:CO79),CO45:CO79,0)),""),"")</f>
        <v>500</v>
      </c>
      <c r="CP80" s="42">
        <f>IF(ABS(MAX(CP45:CP79))&gt;ABS(MIN(CP45:CP79)),IF(MAX(CP45:CP79)&lt;&gt;0,INDEX($A45:$A79,MATCH(MAX(CP45:CP79),CP45:CP79,0)),""),"")</f>
        <v>490</v>
      </c>
      <c r="CQ80" s="42"/>
      <c r="CR80" s="42"/>
      <c r="CS80" s="42"/>
      <c r="CT80" s="42"/>
      <c r="CU80" s="42"/>
      <c r="CV80" s="42"/>
      <c r="CW80" s="42" t="e">
        <f ca="1">IF(ABS(MAX(CW45:CW79))&gt;ABS(MIN(CW45:CW79)),IF(MAX(CW45:CW79)&lt;&gt;0,INDEX($A45:$A79,MATCH(MAX(CW45:CW79),CW45:CW79,0)),""),"")</f>
        <v>#NUM!</v>
      </c>
      <c r="CY80" s="42" t="e">
        <f ca="1">IF(ABS(MAX(CY45:CY79))&gt;ABS(MIN(CY45:CY79)),IF(MAX(CY45:CY79)&lt;&gt;0,INDEX($A45:$A79,MATCH(MAX(CY45:CY79),CY45:CY79,0)),""),"")</f>
        <v>#NUM!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>
        <f t="shared" ref="DH80:DM80" si="413">IF(AND(DH44&gt;0,ABS(MAX(DH45:DH79))&gt;ABS(MIN(DH45:DH79))),IF(MAX(DH45:DH79)&lt;&gt;0,INDEX($A45:$A79,MATCH(MAX(DH45:DH79),DH45:DH79,0)),""),"")</f>
        <v>489</v>
      </c>
      <c r="DI80" s="42" t="str">
        <f t="shared" si="413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>
        <f t="shared" si="413"/>
        <v>489</v>
      </c>
      <c r="DM80" s="42">
        <f t="shared" si="413"/>
        <v>489</v>
      </c>
      <c r="DN80" s="64" t="str">
        <f>DJ80&amp;","&amp;DJ81&amp;","&amp;DK80&amp;","&amp;DK81</f>
        <v>,,,</v>
      </c>
      <c r="DP80" s="42">
        <f>IF(AND(DP44&gt;0,ABS(MAX(DP45:DP79))&gt;ABS(MIN(DP45:DP79))),IF(MAX(DP45:DP79)&lt;&gt;0,INDEX($A45:$A79,MATCH(MAX(DP45:DP79),DP45:DP79,0)),""),"")</f>
        <v>478</v>
      </c>
      <c r="DQ80" s="42">
        <f>IF(AND(DQ44&gt;0,ABS(MAX(DQ45:DQ79))&gt;ABS(MIN(DQ45:DQ79))),IF(MAX(DQ45:DQ79)&lt;&gt;0,INDEX($A45:$A79,MATCH(MAX(DQ45:DQ79),DQ45:DQ79,0)),""),"")</f>
        <v>500</v>
      </c>
      <c r="DR80" s="42" t="e">
        <f ca="1">IF(AND(DR44&gt;0,ABS(MAX(DR45:DR79))&gt;ABS(MIN(DR45:DR79))),IF(MAX(DR45:DR79)&lt;&gt;0,INDEX($A45:$A79,MATCH(MAX(DR45:DR79),DR45:DR79,0)),""),"")</f>
        <v>#NUM!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491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565.58000000000004</v>
      </c>
      <c r="EV80" s="68" t="s">
        <v>659</v>
      </c>
      <c r="EW80" s="68">
        <v>489.19</v>
      </c>
      <c r="EX80" s="68" t="s">
        <v>660</v>
      </c>
      <c r="EY80" s="68">
        <v>5663.94</v>
      </c>
      <c r="EZ80" s="68" t="s">
        <v>661</v>
      </c>
      <c r="FA80" s="68">
        <v>20063.564999999999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5726</v>
      </c>
      <c r="E81" s="82">
        <v>5650</v>
      </c>
      <c r="BP81" s="64" t="e">
        <f ca="1">INDEX(BQ81:BU81,MATCH(MIN(BQ44:BU44),BQ44:BU44,0))</f>
        <v>#NUM!</v>
      </c>
      <c r="BQ81" s="1" t="e">
        <f ca="1">IF(AND(BQ44&lt;0,ABS(MIN(BQ45:BQ79))&gt;ABS(MAX(BQ45:BQ79))),IF(MIN(BQ45:BQ79)&lt;&gt;0,INDEX($A45:$A79,MATCH(MIN(BQ45:BQ79),BQ45:BQ79,0)),""),"")</f>
        <v>#NUM!</v>
      </c>
      <c r="BS81" s="1" t="str">
        <f ca="1">IF(AND(BS44&lt;0,ABS(MIN(BS45:BS79))&gt;ABS(MAX(BS45:BS79))),IF(MIN(BS45:BS79)&lt;&gt;0,INDEX($A45:$A79,MATCH(MIN(BS45:BS79),BS45:BS79,0)),""),"")</f>
        <v/>
      </c>
      <c r="BU81" s="1" t="str">
        <f ca="1">IF(AND(BU44&lt;0,ABS(MIN(BU45:BU79))&gt;ABS(MAX(BU45:BU79))),IF(MIN(BU45:BU79)&lt;&gt;0,INDEX($A45:$A79,MATCH(MIN(BU45:BU79),BU45:BU79,0)),""),"")</f>
        <v/>
      </c>
      <c r="BW81" s="64" t="e">
        <f ca="1">INDEX(BX81:CB81,MATCH(MIN(BX44:CB44),BX44:CB44,0))</f>
        <v>#NUM!</v>
      </c>
      <c r="BX81" s="1" t="e">
        <f ca="1">IF(AND(BX44&lt;0,ABS(MIN(BX45:BX79))&gt;ABS(MAX(BX45:BX79))),IF(MIN(BX45:BX79)&lt;&gt;0,INDEX($A45:$A79,MATCH(MIN(BX45:BX79),BX45:BX79,0)),""),"")</f>
        <v>#NUM!</v>
      </c>
      <c r="BY81" s="1" t="e">
        <f ca="1">INDEX($A$45:$A$79,MATCH("Cruce -",BY45:BY79,)-1)</f>
        <v>#N/A</v>
      </c>
      <c r="BZ81" s="1" t="str">
        <f ca="1">IF(AND(BZ44&lt;0,ABS(MIN(BZ45:BZ79))&gt;ABS(MAX(BZ45:BZ79))),IF(MIN(BZ45:BZ79)&lt;&gt;0,INDEX($A45:$A79,MATCH(MIN(BZ45:BZ79),BZ45:BZ79,0)),""),"")</f>
        <v/>
      </c>
      <c r="CB81" s="1" t="str">
        <f ca="1">IF(AND(CB44&lt;0,ABS(MIN(CB45:CB79))&gt;ABS(MAX(CB45:CB79))),IF(MIN(CB45:CB79)&lt;&gt;0,INDEX($A45:$A79,MATCH(MIN(CB45:CB79),CB45:CB79,0)),""),"")</f>
        <v/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e">
        <f ca="1">IF(ABS(MIN(CW45:CW79))&gt;ABS(MAX(CW45:CW79)),IF(MIN(CW45:CW79)&lt;&gt;0,INDEX($A45:$A79,MATCH(MIN(CW45:CW79),CW45:CW79,0)),""),"")</f>
        <v>#NUM!</v>
      </c>
      <c r="CY81" s="1" t="e">
        <f ca="1">IF(ABS(MIN(CY45:CY79))&gt;ABS(MAX(CY45:CY79)),IF(MIN(CY45:CY79)&lt;&gt;0,INDEX($A45:$A79,MATCH(MIN(CY45:CY79),CY45:CY79,0)),""),"")</f>
        <v>#NUM!</v>
      </c>
      <c r="DH81" s="1" t="str">
        <f t="shared" ref="DH81:DM81" si="414">IF(AND(DH44&lt;0,ABS(MIN(DH45:DH79))&gt;ABS(MAX(DH45:DH79))),IF(MIN(DH45:DH79)&lt;&gt;0,INDEX($A45:$A79,MATCH(MIN(DH45:DH79),DH45:DH79,0)),""),"")</f>
        <v/>
      </c>
      <c r="DI81" s="1">
        <f t="shared" si="414"/>
        <v>482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 t="str">
        <f t="shared" si="414"/>
        <v/>
      </c>
      <c r="DM81" s="1" t="str">
        <f t="shared" si="414"/>
        <v/>
      </c>
      <c r="DN81" s="64" t="str">
        <f ca="1">BI42&amp;","&amp;BI80&amp;","&amp;ED80&amp;","&amp;ED81</f>
        <v>491,485,491,488</v>
      </c>
      <c r="DP81" s="1" t="str">
        <f>IF(AND(DP44&lt;0,ABS(MIN(DP45:DP79))&gt;ABS(MAX(DP45:DP79))),IF(MIN(DP45:DP79)&lt;&gt;0,INDEX($A45:$A79,MATCH(MIN(DP45:DP79),DP45:DP79,0)),""),"")</f>
        <v/>
      </c>
      <c r="DQ81" s="1" t="str">
        <f>IF(AND(DQ44&lt;0,ABS(MIN(DQ45:DQ79))&gt;ABS(MAX(DQ45:DQ79))),IF(MIN(DQ45:DQ79)&lt;&gt;0,INDEX($A45:$A79,MATCH(MIN(DQ45:DQ79),DQ45:DQ79,0)),""),"")</f>
        <v/>
      </c>
      <c r="DR81" s="1" t="e">
        <f ca="1">IF(AND(DR44&lt;0,ABS(MIN(DR45:DR79))&gt;ABS(MAX(DR45:DR79))),IF(MIN(DR45:DR79)&lt;&gt;0,INDEX($A45:$A79,MATCH(MIN(DR45:DR79),DR45:DR79,0)),""),"")</f>
        <v>#NUM!</v>
      </c>
      <c r="ED81" s="103">
        <f>IFERROR(IF(MIN(ED45:ED79)&lt;&gt;0,INDEX($A45:$A79,MATCH(MIN(ED45:ED79),ED45:ED79,0)),""),)</f>
        <v>488</v>
      </c>
      <c r="EU81" s="67">
        <v>565.58000000000004</v>
      </c>
      <c r="EV81" s="67" t="s">
        <v>667</v>
      </c>
      <c r="EW81" s="67">
        <v>489.17</v>
      </c>
      <c r="EX81" s="67" t="s">
        <v>668</v>
      </c>
      <c r="EY81" s="67">
        <v>5663.94</v>
      </c>
      <c r="EZ81" s="67" t="s">
        <v>669</v>
      </c>
      <c r="FA81" s="67">
        <v>20063.564999999999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9</v>
      </c>
      <c r="D82" s="45" t="s">
        <v>9</v>
      </c>
      <c r="E82" s="20">
        <f>RTD("tos.rtd", ,"MARK", A83)</f>
        <v>5659.91</v>
      </c>
      <c r="F82" s="20">
        <f>+[3]Sheet1!$AD$2</f>
        <v>5826.8235213891576</v>
      </c>
      <c r="AS82" s="22" t="str">
        <f>+B83</f>
        <v>250509</v>
      </c>
      <c r="AT82" s="22"/>
      <c r="AU82" s="22" t="str">
        <f>+C83</f>
        <v>250516</v>
      </c>
      <c r="AV82" s="22"/>
      <c r="AW82" s="22" t="str">
        <f>+D83</f>
        <v>250620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12</v>
      </c>
      <c r="BI82" s="1">
        <f ca="1">IFERROR(IF(MAX(BH85:BH130)&lt;&gt;0,INDEX(A85:A130,MATCH(MAX(BH85:BH130),BH85:BH130,0)),""),"")</f>
        <v>5700</v>
      </c>
      <c r="BJ82" s="22"/>
      <c r="BK82" s="22"/>
      <c r="BL82" s="22"/>
      <c r="BM82" s="22"/>
      <c r="BN82" s="22"/>
      <c r="BO82" s="22"/>
      <c r="BQ82" s="22" t="e">
        <f ca="1">IF(BR82&gt;BS82,IF(MAX(BQ85:BQ130)&lt;&gt;0,INDEX(A85:A130,MATCH(MAX(BQ85:BQ130),BQ85:BQ130,0)),A84),IF(MIN(BQ85:BQ130)&lt;&gt;0,INDEX(A85:A130,MATCH(MIN(BQ85:BQ130),BQ85:BQ130,0))))</f>
        <v>#NUM!</v>
      </c>
      <c r="BR82" s="22" t="e">
        <f ca="1">+MAX(BQ85:BQ130)</f>
        <v>#NUM!</v>
      </c>
      <c r="BS82" s="22" t="e">
        <f ca="1">ABS(MIN(BQ85:BQ130))</f>
        <v>#NUM!</v>
      </c>
      <c r="BT82" s="22"/>
      <c r="BU82" s="22"/>
      <c r="BV82" s="22"/>
      <c r="BX82" s="22" t="e">
        <f ca="1">IF(BY82&gt;BZ82,IF(MAX(BX85:BX130)&lt;&gt;0,INDEX(G85:G130,MATCH(MAX(BX85:BX130),BX85:BX130,0)),G84),IF(MIN(BX85:BX130)&lt;&gt;0,INDEX(G85:G130,MATCH(MIN(BX85:BX130),BX85:BX130,0))))</f>
        <v>#NUM!</v>
      </c>
      <c r="BY82" s="22" t="e">
        <f ca="1">+MAX(BX85:BX130)</f>
        <v>#NUM!</v>
      </c>
      <c r="BZ82" s="22" t="e">
        <f ca="1">ABS(MIN(BX85:BX130))</f>
        <v>#NUM!</v>
      </c>
      <c r="CA82" s="22"/>
      <c r="CB82" s="22"/>
      <c r="CC82" s="22" t="e">
        <f ca="1">+AVERAGE(BY131:BY132,CA131:CA132,CC131:CC132)</f>
        <v>#N/A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323362</v>
      </c>
      <c r="CM82" s="22">
        <f>ABS(MIN(CK85:CK130))</f>
        <v>178601</v>
      </c>
      <c r="CN82" s="22"/>
      <c r="CO82" s="22"/>
      <c r="CP82" s="22"/>
      <c r="CQ82" s="22" t="b">
        <f>IF(CR82&gt;CS82,IF(MAX(CQ85:CQ130)&lt;&gt;0,INDEX(G85:G130,MATCH(MAX(CQ85:CQ130),CQ85:CQ130,0)),G84),IF(MIN(CQ85:CQ130)&lt;&gt;0,INDEX(G85:G130,MATCH(MIN(CQ85:CQ130),CQ85:CQ130,0))))</f>
        <v>0</v>
      </c>
      <c r="CR82" s="22">
        <f>+MAX(CQ85:CQ130)</f>
        <v>0</v>
      </c>
      <c r="CS82" s="22">
        <f>ABS(MIN(CQ85:CQ130))</f>
        <v>0</v>
      </c>
      <c r="CT82" s="22"/>
      <c r="CU82" s="22"/>
      <c r="CV82" s="22"/>
      <c r="CW82" s="22" t="e">
        <f ca="1">IF(CX82&gt;CY82,IF(MAX(CW85:CW130)&lt;&gt;0,INDEX(M85:M130,MATCH(MAX(CW85:CW130),CW85:CW130,0)),M84),IF(MIN(CW85:CW130)&lt;&gt;0,INDEX(M85:M130,MATCH(MIN(CW85:CW130),CW85:CW130,0))))</f>
        <v>#NUM!</v>
      </c>
      <c r="CX82" s="61" t="e">
        <f ca="1">+MAX(CW85:CW130)</f>
        <v>#NUM!</v>
      </c>
      <c r="CY82" s="22" t="e">
        <f ca="1">ABS(MIN(CW85:CW130))</f>
        <v>#NUM!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565.58000000000004</v>
      </c>
      <c r="EV82" s="67" t="s">
        <v>675</v>
      </c>
      <c r="EW82" s="67">
        <v>489.12</v>
      </c>
      <c r="EX82" s="67" t="s">
        <v>676</v>
      </c>
      <c r="EY82" s="67">
        <v>5663.94</v>
      </c>
      <c r="EZ82" s="67" t="s">
        <v>677</v>
      </c>
      <c r="FA82" s="67">
        <v>20063.564999999999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250509</v>
      </c>
      <c r="C83" s="45" t="str">
        <f>+C2</f>
        <v>250516</v>
      </c>
      <c r="D83" s="45" t="str">
        <f>+D2</f>
        <v>250620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565.54999999999995</v>
      </c>
      <c r="EV83" s="67" t="s">
        <v>683</v>
      </c>
      <c r="EW83" s="67">
        <v>489.14</v>
      </c>
      <c r="EX83" s="67" t="s">
        <v>684</v>
      </c>
      <c r="EY83" s="67">
        <v>5663.94</v>
      </c>
      <c r="EZ83" s="67" t="s">
        <v>685</v>
      </c>
      <c r="FA83" s="67">
        <v>20063.564999999999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+E82</f>
        <v>5659.91</v>
      </c>
      <c r="B84" s="27">
        <f>+AS84/AT84</f>
        <v>-1.1399319596893254</v>
      </c>
      <c r="C84" s="27">
        <f>+AU84/AV84</f>
        <v>-0.88863622987570956</v>
      </c>
      <c r="D84" s="27">
        <f>+AW84/AX84</f>
        <v>-0.97785740833508394</v>
      </c>
      <c r="E84" s="28">
        <v>0</v>
      </c>
      <c r="F84" s="47">
        <f>RTD("tos.rtd", ,"MARK", F83)</f>
        <v>5750</v>
      </c>
      <c r="G84" s="47">
        <f>RTD("tos.rtd", ,"MARK", G83)</f>
        <v>571.44000000000005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561120</v>
      </c>
      <c r="AQ84" s="20">
        <v>-599922</v>
      </c>
      <c r="AR84" s="20"/>
      <c r="AS84" s="52">
        <f t="shared" ref="AS84:AX84" si="415">SUM(AS85:AS130)</f>
        <v>71036</v>
      </c>
      <c r="AT84" s="53">
        <f t="shared" si="415"/>
        <v>-62316</v>
      </c>
      <c r="AU84" s="52">
        <f t="shared" si="415"/>
        <v>166087</v>
      </c>
      <c r="AV84" s="53">
        <f t="shared" si="415"/>
        <v>-186901</v>
      </c>
      <c r="AW84" s="52">
        <f t="shared" si="415"/>
        <v>484102</v>
      </c>
      <c r="AX84" s="53">
        <f t="shared" si="415"/>
        <v>-495064</v>
      </c>
      <c r="AY84" s="53">
        <f>SUM(AY85:AY130)</f>
        <v>-23056</v>
      </c>
      <c r="AZ84" s="20">
        <v>0</v>
      </c>
      <c r="BA84" s="52">
        <f t="shared" ref="BA84:BF84" si="416">SUM(BA85:BA130)</f>
        <v>0</v>
      </c>
      <c r="BB84" s="53">
        <f t="shared" si="416"/>
        <v>0</v>
      </c>
      <c r="BC84" s="52">
        <f t="shared" si="416"/>
        <v>10</v>
      </c>
      <c r="BD84" s="53">
        <f t="shared" si="416"/>
        <v>-12</v>
      </c>
      <c r="BE84" s="52">
        <f t="shared" si="416"/>
        <v>0</v>
      </c>
      <c r="BF84" s="53">
        <f t="shared" si="416"/>
        <v>0</v>
      </c>
      <c r="BG84" s="53"/>
      <c r="BH84" s="53">
        <f ca="1">SUM(BH85:BH130)</f>
        <v>-2</v>
      </c>
      <c r="BI84" s="20"/>
      <c r="BJ84" s="73" t="e">
        <f t="shared" ref="BJ84:BU84" ca="1" si="417">SUM(BJ85:BJ130)</f>
        <v>#NUM!</v>
      </c>
      <c r="BK84" s="74" t="e">
        <f t="shared" ref="BK84" ca="1" si="418">SUM(BK85:BK130)</f>
        <v>#NUM!</v>
      </c>
      <c r="BL84" s="73">
        <f t="shared" ref="BL84" ca="1" si="419">SUM(BL85:BL130)</f>
        <v>5.4523056069173299E-2</v>
      </c>
      <c r="BM84" s="74">
        <f t="shared" ref="BM84" ca="1" si="420">SUM(BM85:BM130)</f>
        <v>-0.10460266246963033</v>
      </c>
      <c r="BN84" s="73">
        <f t="shared" ref="BN84" ca="1" si="421">SUM(BN85:BN130)</f>
        <v>7.8177947895181565E-2</v>
      </c>
      <c r="BO84" s="74">
        <f t="shared" ref="BO84" ca="1" si="422">SUM(BO85:BO130)</f>
        <v>-9.1541770241218318E-2</v>
      </c>
      <c r="BQ84" s="73" t="e">
        <f t="shared" ca="1" si="417"/>
        <v>#NUM!</v>
      </c>
      <c r="BR84" s="74"/>
      <c r="BS84" s="73">
        <f t="shared" ca="1" si="417"/>
        <v>-69686226.467196599</v>
      </c>
      <c r="BT84" s="74"/>
      <c r="BU84" s="73">
        <f t="shared" ca="1" si="417"/>
        <v>-65857581.745844774</v>
      </c>
      <c r="BV84" s="74"/>
      <c r="BX84" s="73" t="e">
        <f t="shared" ref="BX84" ca="1" si="423">SUM(BX85:BX130)</f>
        <v>#NUM!</v>
      </c>
      <c r="BY84" s="74"/>
      <c r="BZ84" s="73">
        <f t="shared" ref="BZ84" ca="1" si="424">SUM(BZ85:BZ130)</f>
        <v>-5965.2572935670269</v>
      </c>
      <c r="CA84" s="74"/>
      <c r="CB84" s="73">
        <f t="shared" ref="CB84" ca="1" si="425">SUM(CB85:CB130)</f>
        <v>0</v>
      </c>
      <c r="CC84" s="74"/>
      <c r="CD84" s="73">
        <f t="shared" ref="CD84:CI84" si="426">SUM(CD85:CD130)</f>
        <v>24.310000000000002</v>
      </c>
      <c r="CE84" s="74">
        <f t="shared" si="426"/>
        <v>20.000000000000004</v>
      </c>
      <c r="CF84" s="73">
        <f t="shared" si="426"/>
        <v>22.480000000000004</v>
      </c>
      <c r="CG84" s="74">
        <f t="shared" si="426"/>
        <v>24.13</v>
      </c>
      <c r="CH84" s="73">
        <f t="shared" si="426"/>
        <v>24.72</v>
      </c>
      <c r="CI84" s="74">
        <f t="shared" si="426"/>
        <v>21.509999999999998</v>
      </c>
      <c r="CK84" s="73">
        <f t="shared" ref="CK84" si="427">SUM(CK85:CK130)</f>
        <v>1290357</v>
      </c>
      <c r="CL84" s="74"/>
      <c r="CM84" s="73">
        <f t="shared" ref="CM84" si="428">SUM(CM85:CM130)</f>
        <v>-953322</v>
      </c>
      <c r="CN84" s="74"/>
      <c r="CO84" s="73">
        <f t="shared" ref="CO84" si="429">SUM(CO85:CO130)</f>
        <v>3585161</v>
      </c>
      <c r="CP84" s="74"/>
      <c r="CQ84" s="73">
        <f t="shared" ref="CQ84" si="430">SUM(CQ85:CQ130)</f>
        <v>0</v>
      </c>
      <c r="CR84" s="74"/>
      <c r="CS84" s="73">
        <f t="shared" ref="CS84" si="431">SUM(CS85:CS130)</f>
        <v>-2</v>
      </c>
      <c r="CT84" s="74">
        <f t="shared" ref="CT84:CU84" si="432">SUM(CT85:CT130)</f>
        <v>0</v>
      </c>
      <c r="CU84" s="73">
        <f t="shared" si="432"/>
        <v>0</v>
      </c>
      <c r="CV84" s="74"/>
      <c r="CW84" s="74" t="e">
        <f t="shared" ref="CW84" ca="1" si="433">SUM(CW85:CW130)</f>
        <v>#NUM!</v>
      </c>
      <c r="CY84" s="74" t="e">
        <f t="shared" ref="CY84" ca="1" si="434">SUM(CY85:CY130)</f>
        <v>#NUM!</v>
      </c>
      <c r="DA84" s="73">
        <f t="shared" ref="DA84:DB84" si="435">SUM(DA85:DA130)</f>
        <v>3086.53</v>
      </c>
      <c r="DB84" s="74">
        <f t="shared" si="435"/>
        <v>2159.7700000000041</v>
      </c>
      <c r="DC84" s="73">
        <f t="shared" ref="DC84:DF84" si="436">SUM(DC85:DC130)</f>
        <v>3094.3</v>
      </c>
      <c r="DD84" s="74">
        <f t="shared" si="436"/>
        <v>2326.6000000000035</v>
      </c>
      <c r="DE84" s="73">
        <f t="shared" si="436"/>
        <v>2882.6000000000008</v>
      </c>
      <c r="DF84" s="73">
        <f t="shared" si="436"/>
        <v>2194.6</v>
      </c>
      <c r="DH84" s="73" t="e">
        <f t="shared" ref="DH84:DM84" si="437">SUM(DH85:DH130)</f>
        <v>#DIV/0!</v>
      </c>
      <c r="DI84" s="74" t="e">
        <f t="shared" si="437"/>
        <v>#DIV/0!</v>
      </c>
      <c r="DJ84" s="73">
        <f t="shared" si="437"/>
        <v>-506111</v>
      </c>
      <c r="DK84" s="74">
        <f t="shared" si="437"/>
        <v>525870</v>
      </c>
      <c r="DL84" s="73" t="e">
        <f t="shared" si="437"/>
        <v>#DIV/0!</v>
      </c>
      <c r="DM84" s="73">
        <f t="shared" si="437"/>
        <v>19759</v>
      </c>
      <c r="DP84" s="73" t="e">
        <f t="shared" ref="DP84:DS84" si="438">SUM(DP85:DP130)</f>
        <v>#DIV/0!</v>
      </c>
      <c r="DQ84" s="74">
        <f t="shared" si="438"/>
        <v>-828937.80999999994</v>
      </c>
      <c r="DR84" s="73" t="e">
        <f t="shared" ca="1" si="438"/>
        <v>#NUM!</v>
      </c>
      <c r="DS84" s="74">
        <f t="shared" si="438"/>
        <v>27348.67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9">SUM(EE85:EE130)</f>
        <v>31.692</v>
      </c>
      <c r="EF84" s="74">
        <f t="shared" ref="EF84" si="440">SUM(EF85:EF130)</f>
        <v>48.866500000000009</v>
      </c>
      <c r="EG84" s="73">
        <f t="shared" ref="EG84" si="441">SUM(EG85:EG130)</f>
        <v>19.6313</v>
      </c>
      <c r="EH84" s="74">
        <f t="shared" ref="EH84" si="442">SUM(EH85:EH130)</f>
        <v>9.0456999999999983</v>
      </c>
      <c r="EI84" s="73">
        <f t="shared" ref="EI84" si="443">SUM(EI85:EI130)</f>
        <v>11.331000000000001</v>
      </c>
      <c r="EJ84" s="73">
        <f t="shared" ref="EJ84" si="444">SUM(EJ85:EJ130)</f>
        <v>7.1794000000000002</v>
      </c>
      <c r="EK84" s="63" t="e">
        <f ca="1">SUM(EK85:EK130)</f>
        <v>#NUM!</v>
      </c>
      <c r="EL84" s="73">
        <f t="shared" ref="EL84" si="445">SUM(EL85:EL130)</f>
        <v>0</v>
      </c>
      <c r="EM84" s="74">
        <f t="shared" ref="EM84" si="446">SUM(EM85:EM130)</f>
        <v>0</v>
      </c>
      <c r="EN84" s="73">
        <f t="shared" ref="EN84" si="447">SUM(EN85:EN130)</f>
        <v>0</v>
      </c>
      <c r="EO84" s="74">
        <f t="shared" ref="EO84" si="448">SUM(EO85:EO130)</f>
        <v>0</v>
      </c>
      <c r="EP84" s="73">
        <f t="shared" ref="EP84" si="449">SUM(EP85:EP130)</f>
        <v>0</v>
      </c>
      <c r="EQ84" s="73">
        <f t="shared" ref="EQ84" si="450">SUM(EQ85:EQ130)</f>
        <v>0</v>
      </c>
      <c r="EU84" s="67">
        <v>565.58000000000004</v>
      </c>
      <c r="EV84" s="67" t="s">
        <v>691</v>
      </c>
      <c r="EW84" s="67">
        <v>489.16</v>
      </c>
      <c r="EX84" s="67" t="s">
        <v>692</v>
      </c>
      <c r="EY84" s="67">
        <v>5663.94</v>
      </c>
      <c r="EZ84" s="67" t="s">
        <v>693</v>
      </c>
      <c r="FA84" s="67">
        <v>20063.564999999999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51">+IF($A$1="ABS",AS85-AT85,AS85+AT85)</f>
        <v>900</v>
      </c>
      <c r="C85" s="3">
        <f t="shared" ref="C85:C130" si="452">+IF($A$1="ABS",AU85-AV85,AU85+AV85)</f>
        <v>1077</v>
      </c>
      <c r="D85" s="3">
        <f t="shared" ref="D85:D130" si="453">+IF($A$1="ABS",AW85-AX85,AW85+AX85)</f>
        <v>2018</v>
      </c>
      <c r="E85" s="3">
        <f t="shared" ref="E85:E96" si="454">SUM(B85:D85)</f>
        <v>3995</v>
      </c>
      <c r="F85" s="4">
        <f>+$F$84/$A$84*A85</f>
        <v>5963.4340475378585</v>
      </c>
      <c r="G85" s="4">
        <f>+$G$84/$A$84*A85</f>
        <v>592.65126123913637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507</v>
      </c>
      <c r="AN85" s="20">
        <v>0</v>
      </c>
      <c r="AO85" s="20">
        <v>5870</v>
      </c>
      <c r="AP85" s="20">
        <v>1442</v>
      </c>
      <c r="AQ85" s="20">
        <v>0</v>
      </c>
      <c r="AR85" s="20"/>
      <c r="AS85" s="73">
        <f>IF(RTD("tos.rtd",,AS$83,"."&amp;$B$82&amp;$AS$82&amp;"C"&amp;$A85)="N/A",0,RTD("tos.rtd",,AS$83,"."&amp;$B$82&amp;$AS$82&amp;"C"&amp;$A85))</f>
        <v>899</v>
      </c>
      <c r="AT85" s="28">
        <f>-IF(RTD("tos.rtd",,AT$83,"."&amp;$B$82&amp;$AS$82&amp;"P"&amp;$A85)="N/A",0,RTD("tos.rtd",,AT$83,"."&amp;$B$82&amp;$AS$82&amp;"P"&amp;$A85))</f>
        <v>-1</v>
      </c>
      <c r="AU85" s="73">
        <f>IF(RTD("tos.rtd",,AU$83,"."&amp;$C$82&amp;$AU$82&amp;"C"&amp;$A85)="N/A",0,RTD("tos.rtd",,AU$83,"."&amp;$C$82&amp;$AU$82&amp;"C"&amp;$A85))</f>
        <v>464</v>
      </c>
      <c r="AV85" s="28">
        <f>-IF(RTD("tos.rtd",,AV$83,"."&amp;$C$82&amp;$AU$82&amp;"P"&amp;$A85)="N/A",0,RTD("tos.rtd",,AV$83,"."&amp;$C$82&amp;$AU$82&amp;"P"&amp;$A85))</f>
        <v>-613</v>
      </c>
      <c r="AW85" s="73">
        <f>IF(RTD("tos.rtd",,AW$83,"."&amp;$D$82&amp;$AW$82&amp;"C"&amp;$A85)="N/A",0,RTD("tos.rtd",,AW$83,"."&amp;$D$82&amp;$AW$82&amp;"C"&amp;$A85))</f>
        <v>355</v>
      </c>
      <c r="AX85" s="28">
        <f>-IF(RTD("tos.rtd",,AX$83,"."&amp;$D$82&amp;$AW$82&amp;"P"&amp;$A85)="N/A",0,RTD("tos.rtd",,AX$83,"."&amp;$D$82&amp;$AW$82&amp;"P"&amp;$A85))</f>
        <v>-1663</v>
      </c>
      <c r="AY85" s="78">
        <f>SUM(AS85:AX85)</f>
        <v>-559</v>
      </c>
      <c r="AZ85" s="8">
        <f t="shared" ref="AZ85:AZ130" si="455">+A85</f>
        <v>5870</v>
      </c>
      <c r="BA85" s="73">
        <f>IF(RTD("tos.rtd",,BA$83,"."&amp;$B$82&amp;$AS$82&amp;"C"&amp;$A85)="N/A",0,RTD("tos.rtd",,BA$83,"."&amp;$B$82&amp;$AS$82&amp;"C"&amp;$A85))</f>
        <v>0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0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0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0</v>
      </c>
      <c r="BH85" s="74">
        <f>SUM(BA85:BF85)</f>
        <v>0</v>
      </c>
      <c r="BI85" s="1"/>
      <c r="BJ85" s="3" t="e">
        <f ca="1">IF($BP$1=1,DX85,IF(RTD("tos.rtd",,BJ$83,"."&amp;$B$82&amp;$AS$82&amp;"C"&amp;$A85)="N/A",0,RTD("tos.rtd",,BJ$83,"."&amp;$B$82&amp;$AS$82&amp;"C"&amp;$A85)))</f>
        <v>#NUM!</v>
      </c>
      <c r="BK85" s="3" t="e">
        <f ca="1">IF($BP$1=1,DY85,-IF(RTD("tos.rtd",,BK$83,"."&amp;$B$82&amp;$AS$82&amp;"P"&amp;$A85)="N/A",0,RTD("tos.rtd",,BK$83,"."&amp;$B$82&amp;$AS$82&amp;"P"&amp;$A85)))</f>
        <v>#NUM!</v>
      </c>
      <c r="BL85" s="3">
        <f ca="1">IF($BP$1=1,DZ85,IF(RTD("tos.rtd",,BL$83,"."&amp;$C$82&amp;$AU$82&amp;"C"&amp;$A85)="N/A",0,RTD("tos.rtd",,BL$83,"."&amp;$C$82&amp;$AU$82&amp;"C"&amp;$A85)))</f>
        <v>1.2196148654345783E-3</v>
      </c>
      <c r="BM85" s="3">
        <f ca="1">IF($BP$1=1,EA85,-IF(RTD("tos.rtd",,BM$83,"."&amp;$C$82&amp;$AU$82&amp;"P"&amp;$A85)="N/A",0,RTD("tos.rtd",,BM$83,"."&amp;$C$82&amp;$AU$82&amp;"P"&amp;$A85)))</f>
        <v>-1.2164033299704485E-3</v>
      </c>
      <c r="BN85" s="3">
        <f ca="1">IF($BP$1=1,EB85,IF(RTD("tos.rtd",,BN$83,"."&amp;$D$82&amp;$AW$82&amp;"C"&amp;$A85)="N/A",0,RTD("tos.rtd",,BN$83,"."&amp;$D$82&amp;$AW$82&amp;"C"&amp;$A85)))</f>
        <v>1.0859989156657278E-3</v>
      </c>
      <c r="BO85" s="3">
        <f ca="1">IF($BP$1=1,EC85,-IF(RTD("tos.rtd",,BO$83,"."&amp;$D$82&amp;$AW$82&amp;"P"&amp;$A85)="N/A",0,RTD("tos.rtd",,BO$83,"."&amp;$D$82&amp;$AW$82&amp;"P"&amp;$A85)))</f>
        <v>-6.4367121392074468E-5</v>
      </c>
      <c r="BQ85" s="3" t="e">
        <f t="shared" ref="BQ85:BQ130" ca="1" si="456">+$A$44*$A$44*AS85*BJ85-$A$44*$A$44*AT85*BK85</f>
        <v>#NUM!</v>
      </c>
      <c r="BR85" s="3"/>
      <c r="BS85" s="3">
        <f t="shared" ref="BS85:BS130" ca="1" si="457">+$A$44*$A$44*AU85*BL85-$A$44*$A$44*AV85*BM85</f>
        <v>-44252.665115774842</v>
      </c>
      <c r="BT85" s="3"/>
      <c r="BU85" s="3">
        <f t="shared" ref="BU85:BU130" ca="1" si="458">+$A$44*$A$44*AW85*BN85-$A$44*$A$44*AX85*BO85</f>
        <v>68559.252582811372</v>
      </c>
      <c r="BV85" s="3"/>
      <c r="BX85" s="3" t="e">
        <f t="shared" ref="BX85:BX130" ca="1" si="459">+$A$44*$A$44*BA85*BJ85-$A$44*$A$44*BB85*BK85</f>
        <v>#NUM!</v>
      </c>
      <c r="BY85" s="3"/>
      <c r="BZ85" s="3">
        <f t="shared" ref="BZ85:BZ130" ca="1" si="460">+$A$44*$A$44*BC85*BL85-$A$44*$A$44*BD85*BM85</f>
        <v>0</v>
      </c>
      <c r="CA85" s="3"/>
      <c r="CB85" s="3">
        <f t="shared" ref="CB85:CB130" ca="1" si="461">+$A$44*$A$44*BE85*BN85-$A$44*$A$44*BF85*BO85</f>
        <v>0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0.98</v>
      </c>
      <c r="CF85" s="3">
        <f>IF(RTD("tos.rtd",,CF$83,"."&amp;$C$82&amp;$AU$82&amp;"C"&amp;$A85)="N/A",0,RTD("tos.rtd",,CF$83,"."&amp;$C$82&amp;$AU$82&amp;"C"&amp;$A85))</f>
        <v>0.11</v>
      </c>
      <c r="CG85" s="3">
        <f>-IF(RTD("tos.rtd",,CG$83,"."&amp;$C$82&amp;$AU$82&amp;"P"&amp;$A85)="N/A",0,RTD("tos.rtd",,CG$83,"."&amp;$C$82&amp;$AU$82&amp;"P"&amp;$A85))</f>
        <v>1</v>
      </c>
      <c r="CH85" s="3">
        <f>IF(RTD("tos.rtd",,CH$83,"."&amp;$D$82&amp;$AW$82&amp;"C"&amp;$A85)="N/A",0,RTD("tos.rtd",,CH$83,"."&amp;$D$82&amp;$AW$82&amp;"C"&amp;$A85))</f>
        <v>0.32</v>
      </c>
      <c r="CI85" s="3">
        <f>-IF(RTD("tos.rtd",,CI$83,"."&amp;$D$82&amp;$AW$82&amp;"P"&amp;$A85)="N/A",0,RTD("tos.rtd",,CI$83,"."&amp;$D$82&amp;$AW$82&amp;"P"&amp;$A85))</f>
        <v>0.86</v>
      </c>
      <c r="CK85" s="3">
        <f>+AS85*CD85*100+AT85*CE85*100</f>
        <v>-98</v>
      </c>
      <c r="CL85" s="3"/>
      <c r="CM85" s="3">
        <f>+AU85*CF85*100+AV85*CG85*100</f>
        <v>-56196</v>
      </c>
      <c r="CN85" s="3"/>
      <c r="CO85" s="3">
        <f>+AW85*CH85*100+AX85*CI85*100</f>
        <v>-131658</v>
      </c>
      <c r="CP85" s="3">
        <f t="shared" ref="CP85:CP130" si="462">+CK85+CM85+CO85</f>
        <v>-187952</v>
      </c>
      <c r="CQ85" s="3">
        <f t="shared" ref="CQ85:CQ130" si="463">+BA85+BB85</f>
        <v>0</v>
      </c>
      <c r="CR85" s="3"/>
      <c r="CS85" s="3">
        <f t="shared" ref="CS85:CS130" si="464">+BC85+BD85</f>
        <v>0</v>
      </c>
      <c r="CT85" s="3"/>
      <c r="CU85" s="3">
        <f t="shared" ref="CU85:CU130" si="465">+BE85+BF85</f>
        <v>0</v>
      </c>
      <c r="CV85" s="3"/>
      <c r="CW85" s="3" t="e">
        <f t="shared" ref="CW85:CW130" ca="1" si="466">+BQ85+BS85+BU85</f>
        <v>#NUM!</v>
      </c>
      <c r="CY85" s="3" t="e">
        <f t="shared" ref="CY85:CY130" ca="1" si="467">+BX85+BZ85+CB85</f>
        <v>#NUM!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215.75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217.1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204.4</v>
      </c>
      <c r="DG85" s="86">
        <f>+$A85-$A$84</f>
        <v>210.09000000000015</v>
      </c>
      <c r="DH85" s="3">
        <f t="shared" ref="DH85:DH130" si="468">((DA85-DE85)/(DC85-DE85))*(BA85-AP85)</f>
        <v>-865.19999999999993</v>
      </c>
      <c r="DI85" s="3">
        <f t="shared" ref="DI85:DI130" si="469">((DB85-DF85)/(DD85-DF85))*(BB85-AQ85)</f>
        <v>0</v>
      </c>
      <c r="DJ85" s="3">
        <f t="shared" ref="DJ85:DJ130" si="470">IF(DA85&gt;=(DE85+(DC85-DE85)*0.6),(BA85-AP85),IF(DA85&lt;=(DE85+(DC85-DE85)*0.4),-(BA85-AP85),0))</f>
        <v>-1442</v>
      </c>
      <c r="DK85" s="3">
        <f t="shared" ref="DK85:DK130" si="471">IF(DB85&lt;=(DF85+(DD85-DF85)*0.4),-(BB85-AQ85),IF(DB85&gt;=(DF85+(DD85-DF85)*0.6),(BB85-AQ85),0))</f>
        <v>0</v>
      </c>
      <c r="DL85" s="3">
        <f t="shared" ref="DL85:DL130" si="472">+DH85+DI85</f>
        <v>-865.19999999999993</v>
      </c>
      <c r="DM85" s="3">
        <f t="shared" ref="DM85:DM130" si="473">+DJ85+DK85</f>
        <v>-1442</v>
      </c>
      <c r="DN85" s="64" t="str">
        <f t="shared" ref="DN85:DN130" si="474">IF(AND(DA85&gt;=(DE85+(DC85-DE85)*0.6),BA85&gt;AP85),"BUY",IF(AND(DA85&lt;=(DE85+(DC85-DE85)*0.4),BA85&gt;AP85),"SELL","UNKNOWN"))</f>
        <v>UNKNOWN</v>
      </c>
      <c r="DO85" s="64" t="str">
        <f t="shared" ref="DO85:DO130" si="475">IF(AND(DB85&gt;=(DF85+(DD85-DF85)*0.6),ABS(BB85)&gt;ABS(AQ85)),"BUY",IF(AND(DB85&lt;=(DF85+(DD85-DF85)*0.4),ABS(BB85)&gt;ABS(AQ85)),"SELL","UNKNOWN"))</f>
        <v>UNKNOWN</v>
      </c>
      <c r="DP85" s="3">
        <f t="shared" ref="DP85:DP130" si="476">+DH85*DA85+DI85*DB85</f>
        <v>-25.955999999999996</v>
      </c>
      <c r="DQ85" s="3">
        <f t="shared" ref="DQ85:DQ130" si="477">+DA85*DJ85+DB85*DK85</f>
        <v>-43.26</v>
      </c>
      <c r="DR85" s="3" t="e">
        <f t="shared" ref="DR85:DR130" ca="1" si="478">+BJ85*DJ85+BK85*DK85</f>
        <v>#NUM!</v>
      </c>
      <c r="DS85" s="3">
        <f t="shared" ref="DS85:DS130" si="479">+CD85*DJ85+CE85*DK85</f>
        <v>0</v>
      </c>
      <c r="DT85" s="3">
        <f>BA85-VLOOKUP(AZ85,$AO$85:$AQ$130,2,FALSE)</f>
        <v>-1442</v>
      </c>
      <c r="DU85" s="3">
        <f>BB85-VLOOKUP(AZ85,$AO$85:$AQ$130,3,FALSE)</f>
        <v>0</v>
      </c>
      <c r="DV85" s="3">
        <f>AM85+IF(DN85="BUY",DT85,IF(DN85="SELL",-DT85,0))</f>
        <v>507</v>
      </c>
      <c r="DW85" s="3">
        <f>AN85+IF(DO85="BUY",DU85,IF(DO85="SELL",-DU85,0))</f>
        <v>0</v>
      </c>
      <c r="DX85" s="3" t="e">
        <f ca="1">(EXP(-POWER((LN($A$84/$A85)+($EC$1+POWER($EE85,2)/2)*($EM$1/$DY$1))/($EE85*SQRT($EM$1/$DY$1)),2)/2)/SQRT(2*PI())/($A$84*$EE85*SQRT($EM$1/$DY$1)))</f>
        <v>#NUM!</v>
      </c>
      <c r="DY85" s="3" t="e">
        <f t="shared" ref="DY85:DY130" ca="1" si="480">-(EXP(-POWER((LN($A$84/$A85)+($EC$1+POWER($EF85,2)/2)*($EM$1/$DY$1))/($EF85*SQRT($EM$1/$DY$1)),2)/2)/SQRT(2*PI())/($A$84*$EF85*SQRT($EM$1/$DY$1)))</f>
        <v>#NUM!</v>
      </c>
      <c r="DZ85" s="3">
        <f ca="1">(EXP(-POWER((LN($A$84/$A85)+($EC$1+POWER($EG85,2)/2)*($EO$1/$DY$1))/($EG85*SQRT($EO$1/$DY$1)),2)/2)/SQRT(2*PI())/($A$84*$EG85*SQRT($EO$1/$DY$1)))</f>
        <v>1.2196148654345783E-3</v>
      </c>
      <c r="EA85" s="3">
        <f ca="1">-(EXP(-POWER((LN($A$84/$A85)+($EC$1+POWER($EH85,2)/2)*($EO$1/$DY$1))/($EH85*SQRT($EO$1/$DY$1)),2)/2)/SQRT(2*PI())/($A$84*$EH85*SQRT($EO$1/$DY$1)))</f>
        <v>-1.2164033299704485E-3</v>
      </c>
      <c r="EB85" s="3">
        <f t="shared" ref="EB85:EB130" ca="1" si="481">(EXP(-POWER((LN($A$84/$A85)+($EC$1+POWER($EI85,2)/2)*($EO$1/$DY$1))/($EI85*SQRT($EO$1/$DY$1)),2)/2)/SQRT(2*PI())/($A$84*$EI85*SQRT($EO$1/$DY$1)))</f>
        <v>1.0859989156657278E-3</v>
      </c>
      <c r="EC85" s="3">
        <f t="shared" ref="EC85:EC130" ca="1" si="482">-(EXP(-POWER((LN($A$84/$A85)+($EC$1+POWER($EJ85,2)/2)*($EO$1/$DY$1))/($EJ85*SQRT($EO$1/$DY$1)),2)/2)/SQRT(2*PI())/($A$84*$EJ85*SQRT($EO$1/$DY$1)))</f>
        <v>-6.4367121392074468E-5</v>
      </c>
      <c r="ED85" s="63">
        <f>+DV85+DW85</f>
        <v>507</v>
      </c>
      <c r="EE85" s="59">
        <f t="shared" ref="EE85:EE130" si="483">IFERROR(VALUE(IF(OR(EL85="--",EL85="0.00%"),$EE$1,EL85)),$EE$1)</f>
        <v>1.5992</v>
      </c>
      <c r="EF85" s="59">
        <f t="shared" ref="EF85:EF130" si="484">IFERROR(VALUE(IF(OR(EM85="--",EM85="0.00%"),$EE$1,EM85)),$EE$1)</f>
        <v>2.3123</v>
      </c>
      <c r="EG85" s="59">
        <f t="shared" ref="EG85:EG130" si="485">IFERROR(VALUE(IF(OR(EN85="--",EN85="0.00%"),$EE$1,EN85)),$EE$1)</f>
        <v>0.2606</v>
      </c>
      <c r="EH85" s="59">
        <f t="shared" ref="EH85:EH130" si="486">IFERROR(VALUE(IF(OR(EO85="--",EO85="0.00%"),$EE$1,EO85)),$EE$1)</f>
        <v>0.25</v>
      </c>
      <c r="EI85" s="59">
        <f t="shared" ref="EI85:EI130" si="487">IFERROR(VALUE(IF(OR(EP85="--",EP85="0.00%"),$EE$1,EP85)),$EE$1)</f>
        <v>0.1938</v>
      </c>
      <c r="EJ85" s="59">
        <f t="shared" ref="EJ85:EJ130" si="488">IFERROR(VALUE(IF(OR(EQ85="--",EQ85="0.00%"),$EE$1,EQ85)),$EE$1)</f>
        <v>8.7300000000000003E-2</v>
      </c>
      <c r="EK85" s="63" t="e">
        <f ca="1">+DV85*DX85*$A$84*$A$84+DW85*DY85*$A$84*$A$84</f>
        <v>#NUM!</v>
      </c>
      <c r="EL85" s="3" t="str">
        <f>RTD("tos.rtd",,EL$83,"."&amp;$B$82&amp;$AS$82&amp;"C"&amp;$A85)</f>
        <v>159.92%</v>
      </c>
      <c r="EM85" s="3" t="str">
        <f>RTD("tos.rtd",,EM$83,"."&amp;$B$82&amp;$AS$82&amp;"P"&amp;$A85)</f>
        <v>231.23%</v>
      </c>
      <c r="EN85" s="3" t="str">
        <f>RTD("tos.rtd",,EN$83,"."&amp;$C$82&amp;$AU$82&amp;"C"&amp;$A85)</f>
        <v>26.06%</v>
      </c>
      <c r="EO85" s="3" t="str">
        <f>RTD("tos.rtd",,EO$83,"."&amp;$C$82&amp;$AU$82&amp;"P"&amp;$A85)</f>
        <v>--</v>
      </c>
      <c r="EP85" s="3" t="str">
        <f>RTD("tos.rtd",,EP$83,"."&amp;$D$82&amp;$AW$82&amp;"C"&amp;$A85)</f>
        <v>19.38%</v>
      </c>
      <c r="EQ85" s="3" t="str">
        <f>RTD("tos.rtd",,EQ$83,"."&amp;$D$82&amp;$AW$82&amp;"P"&amp;$A85)</f>
        <v>8.73%</v>
      </c>
      <c r="ES85" s="63" t="str">
        <f t="shared" ref="ES85:ES130" si="489">IFERROR(
    A85 &amp; "," &amp; TEXT(IF(ISNUMBER(DV85+DW85), DV85+DW85, 0), "00.00"),    "Error"
)</f>
        <v>5870,507.00</v>
      </c>
      <c r="ET85" s="63" t="str">
        <f t="shared" ref="ET85:ET130" ca="1" si="490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IF(ISNUMBER(EK85), (EK85),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IF(ISNUMBER(EK85), (EK85), 0)
        )))),
    "00.00")
)</f>
        <v>5870,00.00</v>
      </c>
      <c r="EU85" s="67">
        <v>565.62</v>
      </c>
      <c r="EV85" s="67" t="s">
        <v>699</v>
      </c>
      <c r="EW85" s="67">
        <v>489.23</v>
      </c>
      <c r="EX85" s="67" t="s">
        <v>700</v>
      </c>
      <c r="EY85" s="67">
        <v>5663.94</v>
      </c>
      <c r="EZ85" s="67" t="s">
        <v>701</v>
      </c>
      <c r="FA85" s="67">
        <v>20063.564999999999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5860</v>
      </c>
      <c r="B86" s="3">
        <f t="shared" si="451"/>
        <v>436</v>
      </c>
      <c r="C86" s="3">
        <f t="shared" si="452"/>
        <v>866</v>
      </c>
      <c r="D86" s="3">
        <f t="shared" si="453"/>
        <v>752</v>
      </c>
      <c r="E86" s="3">
        <f t="shared" si="454"/>
        <v>2054</v>
      </c>
      <c r="F86" s="4">
        <f>+$F$84/$A$84*A86</f>
        <v>5953.2748753955457</v>
      </c>
      <c r="G86" s="4">
        <f t="shared" ref="G86:G98" si="491">+$G$84/$A$84*A86</f>
        <v>591.6416338775706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-463</v>
      </c>
      <c r="AN86" s="20">
        <v>0</v>
      </c>
      <c r="AO86" s="20">
        <v>5860</v>
      </c>
      <c r="AP86" s="20">
        <v>1920</v>
      </c>
      <c r="AQ86" s="20">
        <v>0</v>
      </c>
      <c r="AR86" s="20"/>
      <c r="AS86" s="54">
        <f>IF(RTD("tos.rtd",,AS$83,"."&amp;$B$82&amp;$AS$82&amp;"C"&amp;$A86)="N/A",0,RTD("tos.rtd",,AS$83,"."&amp;$B$82&amp;$AS$82&amp;"C"&amp;$A86))</f>
        <v>434</v>
      </c>
      <c r="AT86" s="3">
        <f>-IF(RTD("tos.rtd",,AT$83,"."&amp;$B$82&amp;$AS$82&amp;"P"&amp;$A86)="N/A",0,RTD("tos.rtd",,AT$83,"."&amp;$B$82&amp;$AS$82&amp;"P"&amp;$A86))</f>
        <v>-2</v>
      </c>
      <c r="AU86" s="54">
        <f>IF(RTD("tos.rtd",,AU$83,"."&amp;$C$82&amp;$AU$82&amp;"C"&amp;$A86)="N/A",0,RTD("tos.rtd",,AU$83,"."&amp;$C$82&amp;$AU$82&amp;"C"&amp;$A86))</f>
        <v>268</v>
      </c>
      <c r="AV86" s="3">
        <f>-IF(RTD("tos.rtd",,AV$83,"."&amp;$C$82&amp;$AU$82&amp;"P"&amp;$A86)="N/A",0,RTD("tos.rtd",,AV$83,"."&amp;$C$82&amp;$AU$82&amp;"P"&amp;$A86))</f>
        <v>-598</v>
      </c>
      <c r="AW86" s="54">
        <f>IF(RTD("tos.rtd",,AW$83,"."&amp;$D$82&amp;$AW$82&amp;"C"&amp;$A86)="N/A",0,RTD("tos.rtd",,AW$83,"."&amp;$D$82&amp;$AW$82&amp;"C"&amp;$A86))</f>
        <v>394</v>
      </c>
      <c r="AX86" s="3">
        <f>-IF(RTD("tos.rtd",,AX$83,"."&amp;$D$82&amp;$AW$82&amp;"P"&amp;$A86)="N/A",0,RTD("tos.rtd",,AX$83,"."&amp;$D$82&amp;$AW$82&amp;"P"&amp;$A86))</f>
        <v>-358</v>
      </c>
      <c r="AY86" s="79">
        <f t="shared" ref="AY86:AY98" si="492">SUM(AS86:AX86)</f>
        <v>138</v>
      </c>
      <c r="AZ86" s="8">
        <f t="shared" si="455"/>
        <v>5860</v>
      </c>
      <c r="BA86" s="54">
        <f>IF(RTD("tos.rtd",,BA$83,"."&amp;$B$82&amp;$AS$82&amp;"C"&amp;$A86)="N/A",0,RTD("tos.rtd",,BA$83,"."&amp;$B$82&amp;$AS$82&amp;"C"&amp;$A86))</f>
        <v>0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0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0</v>
      </c>
      <c r="BF86" s="3">
        <f>-IF(RTD("tos.rtd",,BF$83,"."&amp;$D$82&amp;$AW$82&amp;"P"&amp;$A86)="N/A",0,RTD("tos.rtd",,BF$83,"."&amp;$D$82&amp;$AW$82&amp;"P"&amp;$A86))</f>
        <v>0</v>
      </c>
      <c r="BG86" s="3">
        <f ca="1">+Hoja2!Y87</f>
        <v>0</v>
      </c>
      <c r="BH86" s="55">
        <f t="shared" ref="BH86:BH130" ca="1" si="493">SUM(BA86:BG86)</f>
        <v>0</v>
      </c>
      <c r="BI86" s="32"/>
      <c r="BJ86" s="3" t="e">
        <f ca="1">IF($BP$1=1,DX86,IF(RTD("tos.rtd",,BJ$83,"."&amp;$B$82&amp;$AS$82&amp;"C"&amp;$A86)="N/A",0,RTD("tos.rtd",,BJ$83,"."&amp;$B$82&amp;$AS$82&amp;"C"&amp;$A86)))</f>
        <v>#NUM!</v>
      </c>
      <c r="BK86" s="3" t="e">
        <f ca="1">IF($BP$1=1,DY86,-IF(RTD("tos.rtd",,BK$83,"."&amp;$B$82&amp;$AS$82&amp;"P"&amp;$A86)="N/A",0,RTD("tos.rtd",,BK$83,"."&amp;$B$82&amp;$AS$82&amp;"P"&amp;$A86)))</f>
        <v>#NUM!</v>
      </c>
      <c r="BL86" s="3">
        <f ca="1">IF($BP$1=1,DZ86,IF(RTD("tos.rtd",,BL$83,"."&amp;$C$82&amp;$AU$82&amp;"C"&amp;$A86)="N/A",0,RTD("tos.rtd",,BL$83,"."&amp;$C$82&amp;$AU$82&amp;"C"&amp;$A86)))</f>
        <v>1.2763879625639464E-3</v>
      </c>
      <c r="BM86" s="3">
        <f ca="1">IF($BP$1=1,EA86,-IF(RTD("tos.rtd",,BM$83,"."&amp;$C$82&amp;$AU$82&amp;"P"&amp;$A86)="N/A",0,RTD("tos.rtd",,BM$83,"."&amp;$C$82&amp;$AU$82&amp;"P"&amp;$A86)))</f>
        <v>-1.2798750647329974E-3</v>
      </c>
      <c r="BN86" s="3">
        <f ca="1">IF($BP$1=1,EB86,IF(RTD("tos.rtd",,BN$83,"."&amp;$D$82&amp;$AW$82&amp;"C"&amp;$A86)="N/A",0,RTD("tos.rtd",,BN$83,"."&amp;$D$82&amp;$AW$82&amp;"C"&amp;$A86)))</f>
        <v>1.1905757180403825E-3</v>
      </c>
      <c r="BO86" s="3">
        <f ca="1">IF($BP$1=1,EC86,-IF(RTD("tos.rtd",,BO$83,"."&amp;$D$82&amp;$AW$82&amp;"P"&amp;$A86)="N/A",0,RTD("tos.rtd",,BO$83,"."&amp;$D$82&amp;$AW$82&amp;"P"&amp;$A86)))</f>
        <v>-1.6085535016703657E-4</v>
      </c>
      <c r="BQ86" s="3" t="e">
        <f t="shared" ca="1" si="456"/>
        <v>#NUM!</v>
      </c>
      <c r="BR86" s="3" t="e">
        <f t="shared" ref="BR86:BV130" ca="1" si="494">IF(AND(BQ86&lt;0,BQ85&gt;0), "Cruce -", IF(AND(BQ86&gt;0,BQ85&lt;0),"Cruce +", ""))</f>
        <v>#NUM!</v>
      </c>
      <c r="BS86" s="3">
        <f t="shared" ca="1" si="457"/>
        <v>-104208.3245376369</v>
      </c>
      <c r="BT86" s="3" t="str">
        <f t="shared" ca="1" si="494"/>
        <v/>
      </c>
      <c r="BU86" s="3">
        <f t="shared" ca="1" si="458"/>
        <v>101305.1432832274</v>
      </c>
      <c r="BV86" s="3" t="str">
        <f t="shared" ca="1" si="494"/>
        <v/>
      </c>
      <c r="BX86" s="3" t="e">
        <f t="shared" ca="1" si="459"/>
        <v>#NUM!</v>
      </c>
      <c r="BY86" s="3" t="e">
        <f ca="1">IF(AND(BX86&lt;0,BX85&gt;0), "Cruce -", IF(AND(BX86&gt;0,BX85&lt;0),"Cruce +", ""))</f>
        <v>#NUM!</v>
      </c>
      <c r="BZ86" s="3">
        <f t="shared" ca="1" si="460"/>
        <v>0</v>
      </c>
      <c r="CA86" s="3" t="str">
        <f ca="1">IF(AND(BZ86&lt;0,BZ85&gt;0), "Cruce -", IF(AND(BZ86&gt;0,BZ85&lt;0),"Cruce +", ""))</f>
        <v/>
      </c>
      <c r="CB86" s="3">
        <f t="shared" ca="1" si="461"/>
        <v>0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0.98</v>
      </c>
      <c r="CF86" s="3">
        <f>IF(RTD("tos.rtd",,CF$83,"."&amp;$C$82&amp;$AU$82&amp;"C"&amp;$A86)="N/A",0,RTD("tos.rtd",,CF$83,"."&amp;$C$82&amp;$AU$82&amp;"C"&amp;$A86))</f>
        <v>0.13</v>
      </c>
      <c r="CG86" s="3">
        <f>-IF(RTD("tos.rtd",,CG$83,"."&amp;$C$82&amp;$AU$82&amp;"P"&amp;$A86)="N/A",0,RTD("tos.rtd",,CG$83,"."&amp;$C$82&amp;$AU$82&amp;"P"&amp;$A86))</f>
        <v>1</v>
      </c>
      <c r="CH86" s="3">
        <f>IF(RTD("tos.rtd",,CH$83,"."&amp;$D$82&amp;$AW$82&amp;"C"&amp;$A86)="N/A",0,RTD("tos.rtd",,CH$83,"."&amp;$D$82&amp;$AW$82&amp;"C"&amp;$A86))</f>
        <v>0.33</v>
      </c>
      <c r="CI86" s="3">
        <f>-IF(RTD("tos.rtd",,CI$83,"."&amp;$D$82&amp;$AW$82&amp;"P"&amp;$A86)="N/A",0,RTD("tos.rtd",,CI$83,"."&amp;$D$82&amp;$AW$82&amp;"P"&amp;$A86))</f>
        <v>0.83</v>
      </c>
      <c r="CK86" s="3">
        <f t="shared" ref="CK86:CK130" si="495">+AS86*CD86*100+AT86*CE86*100</f>
        <v>-196</v>
      </c>
      <c r="CL86" s="3"/>
      <c r="CM86" s="3">
        <f t="shared" ref="CM86:CM130" si="496">+AU86*CF86*100+AV86*CG86*100</f>
        <v>-56316</v>
      </c>
      <c r="CN86" s="3"/>
      <c r="CO86" s="3">
        <f t="shared" ref="CO86:CO130" si="497">+AW86*CH86*100+AX86*CI86*100</f>
        <v>-16712</v>
      </c>
      <c r="CP86" s="3">
        <f t="shared" si="462"/>
        <v>-73224</v>
      </c>
      <c r="CQ86" s="3">
        <f t="shared" si="463"/>
        <v>0</v>
      </c>
      <c r="CR86" s="3"/>
      <c r="CS86" s="3">
        <f t="shared" si="464"/>
        <v>0</v>
      </c>
      <c r="CT86" s="3"/>
      <c r="CU86" s="3">
        <f t="shared" si="465"/>
        <v>0</v>
      </c>
      <c r="CV86" s="3"/>
      <c r="CW86" s="3" t="e">
        <f t="shared" ref="CW86:CW98" ca="1" si="498">+BQ86+BS86+BU86</f>
        <v>#NUM!</v>
      </c>
      <c r="CY86" s="3" t="e">
        <f t="shared" ca="1" si="467"/>
        <v>#NUM!</v>
      </c>
      <c r="CZ86" s="70" t="e">
        <f ca="1">IF(AND(CY86&lt;0,CY85&gt;0), "Cruce -", IF(AND(CY86&gt;0,CY85&lt;0),"Cruce +", ""))</f>
        <v>#NUM!</v>
      </c>
      <c r="DA86" s="3">
        <f>IF(RTD("tos.rtd",,DA$83,"."&amp;$B$82&amp;$AS$82&amp;"C"&amp;$A86)="N/A",0,RTD("tos.rtd",,DA$83,"."&amp;$B$82&amp;$AS$82&amp;"C"&amp;$A86))</f>
        <v>0.03</v>
      </c>
      <c r="DB86" s="3">
        <f>IF(RTD("tos.rtd",,DB$83,"."&amp;$B$82&amp;$AS$82&amp;"P"&amp;$A86)="N/A",0,RTD("tos.rtd",,DB$83,"."&amp;$B$82&amp;$AS$82&amp;"P"&amp;$A86))</f>
        <v>153.43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207.1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194.4</v>
      </c>
      <c r="DG86" s="86">
        <f t="shared" ref="DG86:DG130" si="499">+$A86-$A$84</f>
        <v>200.09000000000015</v>
      </c>
      <c r="DH86" s="3">
        <f t="shared" si="468"/>
        <v>-1152</v>
      </c>
      <c r="DI86" s="3">
        <f t="shared" si="469"/>
        <v>0</v>
      </c>
      <c r="DJ86" s="3">
        <f t="shared" si="470"/>
        <v>-1920</v>
      </c>
      <c r="DK86" s="3">
        <f t="shared" si="471"/>
        <v>0</v>
      </c>
      <c r="DL86" s="3">
        <f t="shared" si="472"/>
        <v>-1152</v>
      </c>
      <c r="DM86" s="3">
        <f t="shared" si="473"/>
        <v>-1920</v>
      </c>
      <c r="DN86" s="64" t="str">
        <f t="shared" si="474"/>
        <v>UNKNOWN</v>
      </c>
      <c r="DO86" s="64" t="str">
        <f t="shared" si="475"/>
        <v>UNKNOWN</v>
      </c>
      <c r="DP86" s="3">
        <f t="shared" si="476"/>
        <v>-34.56</v>
      </c>
      <c r="DQ86" s="3">
        <f t="shared" si="477"/>
        <v>-57.599999999999994</v>
      </c>
      <c r="DR86" s="3" t="e">
        <f t="shared" ca="1" si="478"/>
        <v>#NUM!</v>
      </c>
      <c r="DS86" s="3">
        <f t="shared" si="479"/>
        <v>0</v>
      </c>
      <c r="DT86" s="3">
        <f t="shared" ref="DT86:DT130" si="500">BA86-VLOOKUP(AZ86,$AO$85:$AQ$130,2,FALSE)</f>
        <v>-1920</v>
      </c>
      <c r="DU86" s="3">
        <f t="shared" ref="DU86:DU130" si="501">BB86-VLOOKUP(AZ86,$AO$85:$AQ$130,3,FALSE)</f>
        <v>0</v>
      </c>
      <c r="DV86" s="3">
        <f t="shared" ref="DV86:DV130" si="502">AM86+IF(DN86="BUY",DT86,IF(DN86="SELL",-DT86,0))</f>
        <v>-463</v>
      </c>
      <c r="DW86" s="3">
        <f t="shared" ref="DW86:DW130" si="503">AN86+IF(DO86="BUY",DU86,IF(DO86="SELL",-DU86,0))</f>
        <v>0</v>
      </c>
      <c r="DX86" s="3" t="e">
        <f ca="1">(EXP(-POWER((LN($A$84/$A86)+($EC$1+POWER($EE86,2)/2)*($EM$1/$DY$1))/($EE86*SQRT($EM$1/$DY$1)),2)/2)/SQRT(2*PI())/($A$84*$EE86*SQRT($EM$1/$DY$1)))</f>
        <v>#NUM!</v>
      </c>
      <c r="DY86" s="3" t="e">
        <f t="shared" ca="1" si="480"/>
        <v>#NUM!</v>
      </c>
      <c r="DZ86" s="3">
        <f t="shared" ref="DZ86:DZ130" ca="1" si="504">(EXP(-POWER((LN($A$84/$A86)+($EC$1+POWER($EG86,2)/2)*($EO$1/$DY$1))/($EG86*SQRT($EO$1/$DY$1)),2)/2)/SQRT(2*PI())/($A$84*$EG86*SQRT($EO$1/$DY$1)))</f>
        <v>1.2763879625639464E-3</v>
      </c>
      <c r="EA86" s="3">
        <f t="shared" ref="EA86:EA130" ca="1" si="505">-(EXP(-POWER((LN($A$84/$A86)+($EC$1+POWER($EH86,2)/2)*($EO$1/$DY$1))/($EH86*SQRT($EO$1/$DY$1)),2)/2)/SQRT(2*PI())/($A$84*$EH86*SQRT($EO$1/$DY$1)))</f>
        <v>-1.2798750647329974E-3</v>
      </c>
      <c r="EB86" s="3">
        <f t="shared" ca="1" si="481"/>
        <v>1.1905757180403825E-3</v>
      </c>
      <c r="EC86" s="3">
        <f t="shared" ca="1" si="482"/>
        <v>-1.6085535016703657E-4</v>
      </c>
      <c r="ED86" s="63">
        <f t="shared" ref="ED86:ED130" si="506">+DV86+DW86</f>
        <v>-463</v>
      </c>
      <c r="EE86" s="59">
        <f t="shared" si="483"/>
        <v>1.5307999999999999</v>
      </c>
      <c r="EF86" s="59">
        <f t="shared" si="484"/>
        <v>2.2202000000000002</v>
      </c>
      <c r="EG86" s="59">
        <f t="shared" si="485"/>
        <v>0.26429999999999998</v>
      </c>
      <c r="EH86" s="59">
        <f t="shared" si="486"/>
        <v>0.25</v>
      </c>
      <c r="EI86" s="59">
        <f t="shared" si="487"/>
        <v>0.1958</v>
      </c>
      <c r="EJ86" s="59">
        <f t="shared" si="488"/>
        <v>9.4E-2</v>
      </c>
      <c r="EK86" s="63" t="e">
        <f t="shared" ref="EK86:EK130" ca="1" si="507">+DV86*DX86*$A$84*$A$84+DW86*DY86*$A$84*$A$84</f>
        <v>#NUM!</v>
      </c>
      <c r="EL86" s="3" t="str">
        <f>RTD("tos.rtd",,EL$83,"."&amp;$B$82&amp;$AS$82&amp;"C"&amp;$A86)</f>
        <v>153.08%</v>
      </c>
      <c r="EM86" s="3" t="str">
        <f>RTD("tos.rtd",,EM$83,"."&amp;$B$82&amp;$AS$82&amp;"P"&amp;$A86)</f>
        <v>222.02%</v>
      </c>
      <c r="EN86" s="3" t="str">
        <f>RTD("tos.rtd",,EN$83,"."&amp;$C$82&amp;$AU$82&amp;"C"&amp;$A86)</f>
        <v>26.43%</v>
      </c>
      <c r="EO86" s="3" t="str">
        <f>RTD("tos.rtd",,EO$83,"."&amp;$C$82&amp;$AU$82&amp;"P"&amp;$A86)</f>
        <v>--</v>
      </c>
      <c r="EP86" s="3" t="str">
        <f>RTD("tos.rtd",,EP$83,"."&amp;$D$82&amp;$AW$82&amp;"C"&amp;$A86)</f>
        <v>19.58%</v>
      </c>
      <c r="EQ86" s="3" t="str">
        <f>RTD("tos.rtd",,EQ$83,"."&amp;$D$82&amp;$AW$82&amp;"P"&amp;$A86)</f>
        <v>9.40%</v>
      </c>
      <c r="ES86" s="63" t="str">
        <f t="shared" si="489"/>
        <v>5860,-463.00</v>
      </c>
      <c r="ET86" s="63" t="str">
        <f t="shared" ca="1" si="490"/>
        <v>5860,00.00</v>
      </c>
      <c r="EU86" s="67">
        <v>565.58000000000004</v>
      </c>
      <c r="EV86" s="67" t="s">
        <v>707</v>
      </c>
      <c r="EW86" s="67">
        <v>489.19</v>
      </c>
      <c r="EX86" s="67" t="s">
        <v>708</v>
      </c>
      <c r="EY86" s="67">
        <v>5663.94</v>
      </c>
      <c r="EZ86" s="67" t="s">
        <v>709</v>
      </c>
      <c r="FA86" s="67">
        <v>20063.564999999999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508">+A86-$A$81</f>
        <v>5850</v>
      </c>
      <c r="B87" s="3">
        <f t="shared" si="451"/>
        <v>8668</v>
      </c>
      <c r="C87" s="3">
        <f t="shared" si="452"/>
        <v>17722</v>
      </c>
      <c r="D87" s="3">
        <f t="shared" si="453"/>
        <v>37203</v>
      </c>
      <c r="E87" s="3">
        <f t="shared" si="454"/>
        <v>63593</v>
      </c>
      <c r="F87" s="4">
        <f t="shared" ref="F87:F92" si="509">+$F$84/$A$84*A87</f>
        <v>5943.1157032532319</v>
      </c>
      <c r="G87" s="4">
        <f t="shared" si="491"/>
        <v>590.63200651600471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561</v>
      </c>
      <c r="AN87" s="20">
        <v>111</v>
      </c>
      <c r="AO87" s="20">
        <v>5850</v>
      </c>
      <c r="AP87" s="20">
        <v>2180</v>
      </c>
      <c r="AQ87" s="20">
        <v>-174</v>
      </c>
      <c r="AR87" s="20"/>
      <c r="AS87" s="54">
        <f>IF(RTD("tos.rtd",,AS$83,"."&amp;$B$82&amp;$AS$82&amp;"C"&amp;$A87)="N/A",0,RTD("tos.rtd",,AS$83,"."&amp;$B$82&amp;$AS$82&amp;"C"&amp;$A87))</f>
        <v>8457</v>
      </c>
      <c r="AT87" s="3">
        <f>-IF(RTD("tos.rtd",,AT$83,"."&amp;$B$82&amp;$AS$82&amp;"P"&amp;$A87)="N/A",0,RTD("tos.rtd",,AT$83,"."&amp;$B$82&amp;$AS$82&amp;"P"&amp;$A87))</f>
        <v>-211</v>
      </c>
      <c r="AU87" s="54">
        <f>IF(RTD("tos.rtd",,AU$83,"."&amp;$C$82&amp;$AU$82&amp;"C"&amp;$A87)="N/A",0,RTD("tos.rtd",,AU$83,"."&amp;$C$82&amp;$AU$82&amp;"C"&amp;$A87))</f>
        <v>13948</v>
      </c>
      <c r="AV87" s="3">
        <f>-IF(RTD("tos.rtd",,AV$83,"."&amp;$C$82&amp;$AU$82&amp;"P"&amp;$A87)="N/A",0,RTD("tos.rtd",,AV$83,"."&amp;$C$82&amp;$AU$82&amp;"P"&amp;$A87))</f>
        <v>-3774</v>
      </c>
      <c r="AW87" s="54">
        <f>IF(RTD("tos.rtd",,AW$83,"."&amp;$D$82&amp;$AW$82&amp;"C"&amp;$A87)="N/A",0,RTD("tos.rtd",,AW$83,"."&amp;$D$82&amp;$AW$82&amp;"C"&amp;$A87))</f>
        <v>22039</v>
      </c>
      <c r="AX87" s="3">
        <f>-IF(RTD("tos.rtd",,AX$83,"."&amp;$D$82&amp;$AW$82&amp;"P"&amp;$A87)="N/A",0,RTD("tos.rtd",,AX$83,"."&amp;$D$82&amp;$AW$82&amp;"P"&amp;$A87))</f>
        <v>-15164</v>
      </c>
      <c r="AY87" s="79">
        <f t="shared" si="492"/>
        <v>25295</v>
      </c>
      <c r="AZ87" s="8">
        <f t="shared" si="455"/>
        <v>5850</v>
      </c>
      <c r="BA87" s="54">
        <f>IF(RTD("tos.rtd",,BA$83,"."&amp;$B$82&amp;$AS$82&amp;"C"&amp;$A87)="N/A",0,RTD("tos.rtd",,BA$83,"."&amp;$B$82&amp;$AS$82&amp;"C"&amp;$A87))</f>
        <v>0</v>
      </c>
      <c r="BB87" s="3">
        <f>-IF(RTD("tos.rtd",,BB$83,"."&amp;$B$82&amp;$AS$82&amp;"P"&amp;$A87)="N/A",0,RTD("tos.rtd",,BB$83,"."&amp;$B$82&amp;$AS$82&amp;"P"&amp;$A87))</f>
        <v>0</v>
      </c>
      <c r="BC87" s="54">
        <f>IF(RTD("tos.rtd",,BC$83,"."&amp;$C$82&amp;$AU$82&amp;"C"&amp;$A87)="N/A",0,RTD("tos.rtd",,BC$83,"."&amp;$C$82&amp;$AU$82&amp;"C"&amp;$A87))</f>
        <v>0</v>
      </c>
      <c r="BD87" s="3">
        <f>-IF(RTD("tos.rtd",,BD$83,"."&amp;$C$82&amp;$AU$82&amp;"P"&amp;$A87)="N/A",0,RTD("tos.rtd",,BD$83,"."&amp;$C$82&amp;$AU$82&amp;"P"&amp;$A87))</f>
        <v>0</v>
      </c>
      <c r="BE87" s="54">
        <f>IF(RTD("tos.rtd",,BE$83,"."&amp;$D$82&amp;$AW$82&amp;"C"&amp;$A87)="N/A",0,RTD("tos.rtd",,BE$83,"."&amp;$D$82&amp;$AW$82&amp;"C"&amp;$A87))</f>
        <v>0</v>
      </c>
      <c r="BF87" s="3">
        <f>-IF(RTD("tos.rtd",,BF$83,"."&amp;$D$82&amp;$AW$82&amp;"P"&amp;$A87)="N/A",0,RTD("tos.rtd",,BF$83,"."&amp;$D$82&amp;$AW$82&amp;"P"&amp;$A87))</f>
        <v>0</v>
      </c>
      <c r="BG87" s="3">
        <f ca="1">+Hoja2!Y88</f>
        <v>5</v>
      </c>
      <c r="BH87" s="55">
        <f t="shared" ca="1" si="493"/>
        <v>5</v>
      </c>
      <c r="BI87" s="32" t="str">
        <f ca="1">IF(AND(BH87&lt;0,BH86&gt;0), "Cruce -", IF(AND(BH87&gt;0,BH86&lt;0),"Cruce +", ""))</f>
        <v/>
      </c>
      <c r="BJ87" s="3" t="e">
        <f ca="1">IF($BP$1=1,DX87,IF(RTD("tos.rtd",,BJ$83,"."&amp;$B$82&amp;$AS$82&amp;"C"&amp;$A87)="N/A",0,RTD("tos.rtd",,BJ$83,"."&amp;$B$82&amp;$AS$82&amp;"C"&amp;$A87)))</f>
        <v>#NUM!</v>
      </c>
      <c r="BK87" s="3" t="e">
        <f ca="1">IF($BP$1=1,DY87,-IF(RTD("tos.rtd",,BK$83,"."&amp;$B$82&amp;$AS$82&amp;"P"&amp;$A87)="N/A",0,RTD("tos.rtd",,BK$83,"."&amp;$B$82&amp;$AS$82&amp;"P"&amp;$A87)))</f>
        <v>#NUM!</v>
      </c>
      <c r="BL87" s="3">
        <f ca="1">IF($BP$1=1,DZ87,IF(RTD("tos.rtd",,BL$83,"."&amp;$C$82&amp;$AU$82&amp;"C"&amp;$A87)="N/A",0,RTD("tos.rtd",,BL$83,"."&amp;$C$82&amp;$AU$82&amp;"C"&amp;$A87)))</f>
        <v>1.3295844807632814E-3</v>
      </c>
      <c r="BM87" s="3">
        <f ca="1">IF($BP$1=1,EA87,-IF(RTD("tos.rtd",,BM$83,"."&amp;$C$82&amp;$AU$82&amp;"P"&amp;$A87)="N/A",0,RTD("tos.rtd",,BM$83,"."&amp;$C$82&amp;$AU$82&amp;"P"&amp;$A87)))</f>
        <v>-1.3433610095917189E-3</v>
      </c>
      <c r="BN87" s="3">
        <f ca="1">IF($BP$1=1,EB87,IF(RTD("tos.rtd",,BN$83,"."&amp;$D$82&amp;$AW$82&amp;"C"&amp;$A87)="N/A",0,RTD("tos.rtd",,BN$83,"."&amp;$D$82&amp;$AW$82&amp;"C"&amp;$A87)))</f>
        <v>1.2954134080350986E-3</v>
      </c>
      <c r="BO87" s="3">
        <f ca="1">IF($BP$1=1,EC87,-IF(RTD("tos.rtd",,BO$83,"."&amp;$D$82&amp;$AW$82&amp;"P"&amp;$A87)="N/A",0,RTD("tos.rtd",,BO$83,"."&amp;$D$82&amp;$AW$82&amp;"P"&amp;$A87)))</f>
        <v>-3.051125712781685E-4</v>
      </c>
      <c r="BQ87" s="3" t="e">
        <f t="shared" ca="1" si="456"/>
        <v>#NUM!</v>
      </c>
      <c r="BR87" s="3" t="e">
        <f t="shared" ca="1" si="494"/>
        <v>#NUM!</v>
      </c>
      <c r="BS87" s="3">
        <f t="shared" ca="1" si="457"/>
        <v>3317387.6226623291</v>
      </c>
      <c r="BT87" s="3" t="str">
        <f t="shared" ca="1" si="494"/>
        <v>Cruce +</v>
      </c>
      <c r="BU87" s="3">
        <f t="shared" ca="1" si="458"/>
        <v>5889448.5245397156</v>
      </c>
      <c r="BV87" s="3" t="str">
        <f t="shared" ca="1" si="494"/>
        <v/>
      </c>
      <c r="BX87" s="3" t="e">
        <f t="shared" ca="1" si="459"/>
        <v>#NUM!</v>
      </c>
      <c r="BY87" s="3" t="e">
        <f t="shared" ref="BY87:CC130" ca="1" si="510">IF(AND(BX87&lt;0,BX86&gt;0), "Cruce -", IF(AND(BX87&gt;0,BX86&lt;0),"Cruce +", ""))</f>
        <v>#NUM!</v>
      </c>
      <c r="BZ87" s="3">
        <f t="shared" ca="1" si="460"/>
        <v>0</v>
      </c>
      <c r="CA87" s="3" t="str">
        <f t="shared" ca="1" si="510"/>
        <v/>
      </c>
      <c r="CB87" s="3">
        <f t="shared" ca="1" si="461"/>
        <v>0</v>
      </c>
      <c r="CC87" s="3" t="str">
        <f t="shared" ca="1" si="510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0.98</v>
      </c>
      <c r="CF87" s="3">
        <f>IF(RTD("tos.rtd",,CF$83,"."&amp;$C$82&amp;$AU$82&amp;"C"&amp;$A87)="N/A",0,RTD("tos.rtd",,CF$83,"."&amp;$C$82&amp;$AU$82&amp;"C"&amp;$A87))</f>
        <v>0.14000000000000001</v>
      </c>
      <c r="CG87" s="3">
        <f>-IF(RTD("tos.rtd",,CG$83,"."&amp;$C$82&amp;$AU$82&amp;"P"&amp;$A87)="N/A",0,RTD("tos.rtd",,CG$83,"."&amp;$C$82&amp;$AU$82&amp;"P"&amp;$A87))</f>
        <v>1</v>
      </c>
      <c r="CH87" s="3">
        <f>IF(RTD("tos.rtd",,CH$83,"."&amp;$D$82&amp;$AW$82&amp;"C"&amp;$A87)="N/A",0,RTD("tos.rtd",,CH$83,"."&amp;$D$82&amp;$AW$82&amp;"C"&amp;$A87))</f>
        <v>0.34</v>
      </c>
      <c r="CI87" s="3">
        <f>-IF(RTD("tos.rtd",,CI$83,"."&amp;$D$82&amp;$AW$82&amp;"P"&amp;$A87)="N/A",0,RTD("tos.rtd",,CI$83,"."&amp;$D$82&amp;$AW$82&amp;"P"&amp;$A87))</f>
        <v>0.8</v>
      </c>
      <c r="CK87" s="3">
        <f t="shared" si="495"/>
        <v>-20678</v>
      </c>
      <c r="CL87" s="3"/>
      <c r="CM87" s="3">
        <f t="shared" si="496"/>
        <v>-182127.99999999997</v>
      </c>
      <c r="CN87" s="3"/>
      <c r="CO87" s="3">
        <f t="shared" si="497"/>
        <v>-463794</v>
      </c>
      <c r="CP87" s="3">
        <f t="shared" si="462"/>
        <v>-666600</v>
      </c>
      <c r="CQ87" s="3">
        <f t="shared" si="463"/>
        <v>0</v>
      </c>
      <c r="CR87" s="3"/>
      <c r="CS87" s="3">
        <f t="shared" si="464"/>
        <v>0</v>
      </c>
      <c r="CT87" s="3"/>
      <c r="CU87" s="3">
        <f t="shared" si="465"/>
        <v>0</v>
      </c>
      <c r="CV87" s="3"/>
      <c r="CW87" s="3" t="e">
        <f t="shared" ca="1" si="498"/>
        <v>#NUM!</v>
      </c>
      <c r="CY87" s="3" t="e">
        <f t="shared" ca="1" si="467"/>
        <v>#NUM!</v>
      </c>
      <c r="CZ87" s="70" t="e">
        <f t="shared" ref="CZ87:CZ130" ca="1" si="511">IF(AND(CY87&lt;0,CY86&gt;0), "Cruce -", IF(AND(CY87&gt;0,CY86&lt;0),"Cruce +", ""))</f>
        <v>#NUM!</v>
      </c>
      <c r="DA87" s="3">
        <f>IF(RTD("tos.rtd",,DA$83,"."&amp;$B$82&amp;$AS$82&amp;"C"&amp;$A87)="N/A",0,RTD("tos.rtd",,DA$83,"."&amp;$B$82&amp;$AS$82&amp;"C"&amp;$A87))</f>
        <v>0.05</v>
      </c>
      <c r="DB87" s="3">
        <f>IF(RTD("tos.rtd",,DB$83,"."&amp;$B$82&amp;$AS$82&amp;"P"&amp;$A87)="N/A",0,RTD("tos.rtd",,DB$83,"."&amp;$B$82&amp;$AS$82&amp;"P"&amp;$A87))</f>
        <v>185.92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197.1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184.5</v>
      </c>
      <c r="DG87" s="86">
        <f t="shared" si="499"/>
        <v>190.09000000000015</v>
      </c>
      <c r="DH87" s="3">
        <f t="shared" si="468"/>
        <v>-2180</v>
      </c>
      <c r="DI87" s="3">
        <f t="shared" si="469"/>
        <v>19.609523809523644</v>
      </c>
      <c r="DJ87" s="3">
        <f t="shared" si="470"/>
        <v>-2180</v>
      </c>
      <c r="DK87" s="3">
        <f t="shared" si="471"/>
        <v>-174</v>
      </c>
      <c r="DL87" s="3">
        <f t="shared" si="472"/>
        <v>-2160.3904761904764</v>
      </c>
      <c r="DM87" s="3">
        <f t="shared" si="473"/>
        <v>-2354</v>
      </c>
      <c r="DN87" s="64" t="str">
        <f t="shared" si="474"/>
        <v>UNKNOWN</v>
      </c>
      <c r="DO87" s="64" t="str">
        <f t="shared" si="475"/>
        <v>UNKNOWN</v>
      </c>
      <c r="DP87" s="3">
        <f t="shared" si="476"/>
        <v>3536.8026666666356</v>
      </c>
      <c r="DQ87" s="3">
        <f t="shared" si="477"/>
        <v>-32459.079999999998</v>
      </c>
      <c r="DR87" s="3" t="e">
        <f t="shared" ca="1" si="478"/>
        <v>#NUM!</v>
      </c>
      <c r="DS87" s="3">
        <f t="shared" si="479"/>
        <v>-170.52</v>
      </c>
      <c r="DT87" s="3">
        <f t="shared" si="500"/>
        <v>-2180</v>
      </c>
      <c r="DU87" s="3">
        <f t="shared" si="501"/>
        <v>174</v>
      </c>
      <c r="DV87" s="3">
        <f t="shared" si="502"/>
        <v>561</v>
      </c>
      <c r="DW87" s="3">
        <f t="shared" si="503"/>
        <v>111</v>
      </c>
      <c r="DX87" s="3" t="e">
        <f t="shared" ref="DX87:DX130" ca="1" si="512">(EXP(-POWER((LN($A$84/$A87)+($EC$1+POWER($EE87,2)/2)*($EM$1/$DY$1))/($EE87*SQRT($EM$1/$DY$1)),2)/2)/SQRT(2*PI())/($A$84*$EE87*SQRT($EM$1/$DY$1)))</f>
        <v>#NUM!</v>
      </c>
      <c r="DY87" s="3" t="e">
        <f t="shared" ca="1" si="480"/>
        <v>#NUM!</v>
      </c>
      <c r="DZ87" s="3">
        <f t="shared" ca="1" si="504"/>
        <v>1.3295844807632814E-3</v>
      </c>
      <c r="EA87" s="3">
        <f t="shared" ca="1" si="505"/>
        <v>-1.3433610095917189E-3</v>
      </c>
      <c r="EB87" s="3">
        <f t="shared" ca="1" si="481"/>
        <v>1.2954134080350986E-3</v>
      </c>
      <c r="EC87" s="3">
        <f t="shared" ca="1" si="482"/>
        <v>-3.051125712781685E-4</v>
      </c>
      <c r="ED87" s="63">
        <f t="shared" si="506"/>
        <v>672</v>
      </c>
      <c r="EE87" s="59">
        <f t="shared" si="483"/>
        <v>1.4619</v>
      </c>
      <c r="EF87" s="59">
        <f t="shared" si="484"/>
        <v>2.1507000000000001</v>
      </c>
      <c r="EG87" s="59">
        <f t="shared" si="485"/>
        <v>0.26750000000000002</v>
      </c>
      <c r="EH87" s="59">
        <f t="shared" si="486"/>
        <v>0.25</v>
      </c>
      <c r="EI87" s="59">
        <f t="shared" si="487"/>
        <v>0.19789999999999999</v>
      </c>
      <c r="EJ87" s="59">
        <f t="shared" si="488"/>
        <v>9.9599999999999994E-2</v>
      </c>
      <c r="EK87" s="63" t="e">
        <f t="shared" ca="1" si="507"/>
        <v>#NUM!</v>
      </c>
      <c r="EL87" s="3" t="str">
        <f>RTD("tos.rtd",,EL$83,"."&amp;$B$82&amp;$AS$82&amp;"C"&amp;$A87)</f>
        <v>146.19%</v>
      </c>
      <c r="EM87" s="3" t="str">
        <f>RTD("tos.rtd",,EM$83,"."&amp;$B$82&amp;$AS$82&amp;"P"&amp;$A87)</f>
        <v>215.07%</v>
      </c>
      <c r="EN87" s="3" t="str">
        <f>RTD("tos.rtd",,EN$83,"."&amp;$C$82&amp;$AU$82&amp;"C"&amp;$A87)</f>
        <v>26.75%</v>
      </c>
      <c r="EO87" s="3" t="str">
        <f>RTD("tos.rtd",,EO$83,"."&amp;$C$82&amp;$AU$82&amp;"P"&amp;$A87)</f>
        <v>--</v>
      </c>
      <c r="EP87" s="3" t="str">
        <f>RTD("tos.rtd",,EP$83,"."&amp;$D$82&amp;$AW$82&amp;"C"&amp;$A87)</f>
        <v>19.79%</v>
      </c>
      <c r="EQ87" s="3" t="str">
        <f>RTD("tos.rtd",,EQ$83,"."&amp;$D$82&amp;$AW$82&amp;"P"&amp;$A87)</f>
        <v>9.96%</v>
      </c>
      <c r="ES87" s="63" t="str">
        <f t="shared" si="489"/>
        <v>5850,672.00</v>
      </c>
      <c r="ET87" s="63" t="str">
        <f t="shared" ca="1" si="490"/>
        <v>5850,00.00</v>
      </c>
      <c r="EU87" s="67">
        <v>565.54</v>
      </c>
      <c r="EV87" s="67" t="s">
        <v>715</v>
      </c>
      <c r="EW87" s="67">
        <v>489.11</v>
      </c>
      <c r="EX87" s="67" t="s">
        <v>716</v>
      </c>
      <c r="EY87" s="67">
        <v>5663.94</v>
      </c>
      <c r="EZ87" s="67" t="s">
        <v>717</v>
      </c>
      <c r="FA87" s="67">
        <v>20063.564999999999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508"/>
        <v>5840</v>
      </c>
      <c r="B88" s="3">
        <f t="shared" si="451"/>
        <v>1485</v>
      </c>
      <c r="C88" s="3">
        <f t="shared" si="452"/>
        <v>603</v>
      </c>
      <c r="D88" s="3">
        <f t="shared" si="453"/>
        <v>1009</v>
      </c>
      <c r="E88" s="3">
        <f t="shared" si="454"/>
        <v>3097</v>
      </c>
      <c r="F88" s="4">
        <f t="shared" si="509"/>
        <v>5932.9565311109191</v>
      </c>
      <c r="G88" s="4">
        <f t="shared" si="491"/>
        <v>589.62237915443893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-100</v>
      </c>
      <c r="AN88" s="20">
        <v>2</v>
      </c>
      <c r="AO88" s="20">
        <v>5840</v>
      </c>
      <c r="AP88" s="20">
        <v>1796</v>
      </c>
      <c r="AQ88" s="20">
        <v>-16</v>
      </c>
      <c r="AR88" s="20"/>
      <c r="AS88" s="54">
        <f>IF(RTD("tos.rtd",,AS$83,"."&amp;$B$82&amp;$AS$82&amp;"C"&amp;$A88)="N/A",0,RTD("tos.rtd",,AS$83,"."&amp;$B$82&amp;$AS$82&amp;"C"&amp;$A88))</f>
        <v>1471</v>
      </c>
      <c r="AT88" s="3">
        <f>-IF(RTD("tos.rtd",,AT$83,"."&amp;$B$82&amp;$AS$82&amp;"P"&amp;$A88)="N/A",0,RTD("tos.rtd",,AT$83,"."&amp;$B$82&amp;$AS$82&amp;"P"&amp;$A88))</f>
        <v>-14</v>
      </c>
      <c r="AU88" s="54">
        <f>IF(RTD("tos.rtd",,AU$83,"."&amp;$C$82&amp;$AU$82&amp;"C"&amp;$A88)="N/A",0,RTD("tos.rtd",,AU$83,"."&amp;$C$82&amp;$AU$82&amp;"C"&amp;$A88))</f>
        <v>348</v>
      </c>
      <c r="AV88" s="3">
        <f>-IF(RTD("tos.rtd",,AV$83,"."&amp;$C$82&amp;$AU$82&amp;"P"&amp;$A88)="N/A",0,RTD("tos.rtd",,AV$83,"."&amp;$C$82&amp;$AU$82&amp;"P"&amp;$A88))</f>
        <v>-255</v>
      </c>
      <c r="AW88" s="54">
        <f>IF(RTD("tos.rtd",,AW$83,"."&amp;$D$82&amp;$AW$82&amp;"C"&amp;$A88)="N/A",0,RTD("tos.rtd",,AW$83,"."&amp;$D$82&amp;$AW$82&amp;"C"&amp;$A88))</f>
        <v>198</v>
      </c>
      <c r="AX88" s="3">
        <f>-IF(RTD("tos.rtd",,AX$83,"."&amp;$D$82&amp;$AW$82&amp;"P"&amp;$A88)="N/A",0,RTD("tos.rtd",,AX$83,"."&amp;$D$82&amp;$AW$82&amp;"P"&amp;$A88))</f>
        <v>-811</v>
      </c>
      <c r="AY88" s="79">
        <f t="shared" si="492"/>
        <v>937</v>
      </c>
      <c r="AZ88" s="8">
        <f t="shared" si="455"/>
        <v>5840</v>
      </c>
      <c r="BA88" s="54">
        <f>IF(RTD("tos.rtd",,BA$83,"."&amp;$B$82&amp;$AS$82&amp;"C"&amp;$A88)="N/A",0,RTD("tos.rtd",,BA$83,"."&amp;$B$82&amp;$AS$82&amp;"C"&amp;$A88))</f>
        <v>0</v>
      </c>
      <c r="BB88" s="3">
        <f>-IF(RTD("tos.rtd",,BB$83,"."&amp;$B$82&amp;$AS$82&amp;"P"&amp;$A88)="N/A",0,RTD("tos.rtd",,BB$83,"."&amp;$B$82&amp;$AS$82&amp;"P"&amp;$A88))</f>
        <v>0</v>
      </c>
      <c r="BC88" s="54">
        <f>IF(RTD("tos.rtd",,BC$83,"."&amp;$C$82&amp;$AU$82&amp;"C"&amp;$A88)="N/A",0,RTD("tos.rtd",,BC$83,"."&amp;$C$82&amp;$AU$82&amp;"C"&amp;$A88))</f>
        <v>0</v>
      </c>
      <c r="BD88" s="3">
        <f>-IF(RTD("tos.rtd",,BD$83,"."&amp;$C$82&amp;$AU$82&amp;"P"&amp;$A88)="N/A",0,RTD("tos.rtd",,BD$83,"."&amp;$C$82&amp;$AU$82&amp;"P"&amp;$A88))</f>
        <v>0</v>
      </c>
      <c r="BE88" s="54">
        <f>IF(RTD("tos.rtd",,BE$83,"."&amp;$D$82&amp;$AW$82&amp;"C"&amp;$A88)="N/A",0,RTD("tos.rtd",,BE$83,"."&amp;$D$82&amp;$AW$82&amp;"C"&amp;$A88))</f>
        <v>0</v>
      </c>
      <c r="BF88" s="3">
        <f>-IF(RTD("tos.rtd",,BF$83,"."&amp;$D$82&amp;$AW$82&amp;"P"&amp;$A88)="N/A",0,RTD("tos.rtd",,BF$83,"."&amp;$D$82&amp;$AW$82&amp;"P"&amp;$A88))</f>
        <v>0</v>
      </c>
      <c r="BG88" s="3">
        <f ca="1">+Hoja2!Y89</f>
        <v>0</v>
      </c>
      <c r="BH88" s="55">
        <f t="shared" ca="1" si="493"/>
        <v>0</v>
      </c>
      <c r="BI88" s="32" t="str">
        <f t="shared" ref="BI88:BI130" ca="1" si="513">IF(AND(BH88&lt;0,BH87&gt;0), "Cruce -", IF(AND(BH88&gt;0,BH87&lt;0),"Cruce +", ""))</f>
        <v/>
      </c>
      <c r="BJ88" s="3" t="e">
        <f ca="1">IF($BP$1=1,DX88,IF(RTD("tos.rtd",,BJ$83,"."&amp;$B$82&amp;$AS$82&amp;"C"&amp;$A88)="N/A",0,RTD("tos.rtd",,BJ$83,"."&amp;$B$82&amp;$AS$82&amp;"C"&amp;$A88)))</f>
        <v>#NUM!</v>
      </c>
      <c r="BK88" s="3" t="e">
        <f ca="1">IF($BP$1=1,DY88,-IF(RTD("tos.rtd",,BK$83,"."&amp;$B$82&amp;$AS$82&amp;"P"&amp;$A88)="N/A",0,RTD("tos.rtd",,BK$83,"."&amp;$B$82&amp;$AS$82&amp;"P"&amp;$A88)))</f>
        <v>#NUM!</v>
      </c>
      <c r="BL88" s="3">
        <f ca="1">IF($BP$1=1,DZ88,IF(RTD("tos.rtd",,BL$83,"."&amp;$C$82&amp;$AU$82&amp;"C"&amp;$A88)="N/A",0,RTD("tos.rtd",,BL$83,"."&amp;$C$82&amp;$AU$82&amp;"C"&amp;$A88)))</f>
        <v>1.3774015380430145E-3</v>
      </c>
      <c r="BM88" s="3">
        <f ca="1">IF($BP$1=1,EA88,-IF(RTD("tos.rtd",,BM$83,"."&amp;$C$82&amp;$AU$82&amp;"P"&amp;$A88)="N/A",0,RTD("tos.rtd",,BM$83,"."&amp;$C$82&amp;$AU$82&amp;"P"&amp;$A88)))</f>
        <v>-1.4065253110622849E-3</v>
      </c>
      <c r="BN88" s="3">
        <f ca="1">IF($BP$1=1,EB88,IF(RTD("tos.rtd",,BN$83,"."&amp;$D$82&amp;$AW$82&amp;"C"&amp;$A88)="N/A",0,RTD("tos.rtd",,BN$83,"."&amp;$D$82&amp;$AW$82&amp;"C"&amp;$A88)))</f>
        <v>1.3986719379300266E-3</v>
      </c>
      <c r="BO88" s="3">
        <f ca="1">IF($BP$1=1,EC88,-IF(RTD("tos.rtd",,BO$83,"."&amp;$D$82&amp;$AW$82&amp;"P"&amp;$A88)="N/A",0,RTD("tos.rtd",,BO$83,"."&amp;$D$82&amp;$AW$82&amp;"P"&amp;$A88)))</f>
        <v>-4.9335090918506104E-4</v>
      </c>
      <c r="BQ88" s="3" t="e">
        <f t="shared" ca="1" si="456"/>
        <v>#NUM!</v>
      </c>
      <c r="BR88" s="3" t="e">
        <f t="shared" ca="1" si="494"/>
        <v>#NUM!</v>
      </c>
      <c r="BS88" s="3">
        <f t="shared" ca="1" si="457"/>
        <v>29707.542430892456</v>
      </c>
      <c r="BT88" s="3" t="str">
        <f t="shared" ca="1" si="494"/>
        <v/>
      </c>
      <c r="BU88" s="3">
        <f t="shared" ca="1" si="458"/>
        <v>-30322.699503985263</v>
      </c>
      <c r="BV88" s="3" t="str">
        <f t="shared" ca="1" si="494"/>
        <v>Cruce -</v>
      </c>
      <c r="BX88" s="3" t="e">
        <f t="shared" ca="1" si="459"/>
        <v>#NUM!</v>
      </c>
      <c r="BY88" s="3" t="e">
        <f t="shared" ca="1" si="510"/>
        <v>#NUM!</v>
      </c>
      <c r="BZ88" s="3">
        <f t="shared" ca="1" si="460"/>
        <v>0</v>
      </c>
      <c r="CA88" s="3" t="str">
        <f t="shared" ca="1" si="510"/>
        <v/>
      </c>
      <c r="CB88" s="3">
        <f t="shared" ca="1" si="461"/>
        <v>0</v>
      </c>
      <c r="CC88" s="3" t="str">
        <f t="shared" ca="1" si="510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0.98</v>
      </c>
      <c r="CF88" s="3">
        <f>IF(RTD("tos.rtd",,CF$83,"."&amp;$C$82&amp;$AU$82&amp;"C"&amp;$A88)="N/A",0,RTD("tos.rtd",,CF$83,"."&amp;$C$82&amp;$AU$82&amp;"C"&amp;$A88))</f>
        <v>0.16</v>
      </c>
      <c r="CG88" s="3">
        <f>-IF(RTD("tos.rtd",,CG$83,"."&amp;$C$82&amp;$AU$82&amp;"P"&amp;$A88)="N/A",0,RTD("tos.rtd",,CG$83,"."&amp;$C$82&amp;$AU$82&amp;"P"&amp;$A88))</f>
        <v>1</v>
      </c>
      <c r="CH88" s="3">
        <f>IF(RTD("tos.rtd",,CH$83,"."&amp;$D$82&amp;$AW$82&amp;"C"&amp;$A88)="N/A",0,RTD("tos.rtd",,CH$83,"."&amp;$D$82&amp;$AW$82&amp;"C"&amp;$A88))</f>
        <v>0.36</v>
      </c>
      <c r="CI88" s="3">
        <f>-IF(RTD("tos.rtd",,CI$83,"."&amp;$D$82&amp;$AW$82&amp;"P"&amp;$A88)="N/A",0,RTD("tos.rtd",,CI$83,"."&amp;$D$82&amp;$AW$82&amp;"P"&amp;$A88))</f>
        <v>0.77</v>
      </c>
      <c r="CK88" s="3">
        <f t="shared" si="495"/>
        <v>-1372</v>
      </c>
      <c r="CL88" s="3"/>
      <c r="CM88" s="3">
        <f t="shared" si="496"/>
        <v>-19932</v>
      </c>
      <c r="CN88" s="3"/>
      <c r="CO88" s="3">
        <f t="shared" si="497"/>
        <v>-55319</v>
      </c>
      <c r="CP88" s="3">
        <f t="shared" si="462"/>
        <v>-76623</v>
      </c>
      <c r="CQ88" s="3">
        <f t="shared" si="463"/>
        <v>0</v>
      </c>
      <c r="CR88" s="3"/>
      <c r="CS88" s="3">
        <f t="shared" si="464"/>
        <v>0</v>
      </c>
      <c r="CT88" s="3"/>
      <c r="CU88" s="3">
        <f t="shared" si="465"/>
        <v>0</v>
      </c>
      <c r="CV88" s="3"/>
      <c r="CW88" s="3" t="e">
        <f t="shared" ca="1" si="498"/>
        <v>#NUM!</v>
      </c>
      <c r="CY88" s="3" t="e">
        <f t="shared" ca="1" si="467"/>
        <v>#NUM!</v>
      </c>
      <c r="CZ88" s="70" t="e">
        <f t="shared" ca="1" si="511"/>
        <v>#NUM!</v>
      </c>
      <c r="DA88" s="3">
        <f>IF(RTD("tos.rtd",,DA$83,"."&amp;$B$82&amp;$AS$82&amp;"C"&amp;$A88)="N/A",0,RTD("tos.rtd",,DA$83,"."&amp;$B$82&amp;$AS$82&amp;"C"&amp;$A88))</f>
        <v>0.05</v>
      </c>
      <c r="DB88" s="3">
        <f>IF(RTD("tos.rtd",,DB$83,"."&amp;$B$82&amp;$AS$82&amp;"P"&amp;$A88)="N/A",0,RTD("tos.rtd",,DB$83,"."&amp;$B$82&amp;$AS$82&amp;"P"&amp;$A88))</f>
        <v>169.55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187.1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174.5</v>
      </c>
      <c r="DG88" s="86">
        <f t="shared" si="499"/>
        <v>180.09000000000015</v>
      </c>
      <c r="DH88" s="3">
        <f t="shared" si="468"/>
        <v>-1796</v>
      </c>
      <c r="DI88" s="3">
        <f t="shared" si="469"/>
        <v>-6.285714285714274</v>
      </c>
      <c r="DJ88" s="3">
        <f t="shared" si="470"/>
        <v>-1796</v>
      </c>
      <c r="DK88" s="3">
        <f t="shared" si="471"/>
        <v>-16</v>
      </c>
      <c r="DL88" s="3">
        <f t="shared" si="472"/>
        <v>-1802.2857142857142</v>
      </c>
      <c r="DM88" s="3">
        <f t="shared" si="473"/>
        <v>-1812</v>
      </c>
      <c r="DN88" s="64" t="str">
        <f t="shared" si="474"/>
        <v>UNKNOWN</v>
      </c>
      <c r="DO88" s="64" t="str">
        <f t="shared" si="475"/>
        <v>UNKNOWN</v>
      </c>
      <c r="DP88" s="3">
        <f t="shared" si="476"/>
        <v>-1155.5428571428552</v>
      </c>
      <c r="DQ88" s="3">
        <f t="shared" si="477"/>
        <v>-2802.6000000000004</v>
      </c>
      <c r="DR88" s="3" t="e">
        <f t="shared" ca="1" si="478"/>
        <v>#NUM!</v>
      </c>
      <c r="DS88" s="3">
        <f t="shared" si="479"/>
        <v>-15.68</v>
      </c>
      <c r="DT88" s="3">
        <f t="shared" si="500"/>
        <v>-1796</v>
      </c>
      <c r="DU88" s="3">
        <f t="shared" si="501"/>
        <v>16</v>
      </c>
      <c r="DV88" s="3">
        <f t="shared" si="502"/>
        <v>-100</v>
      </c>
      <c r="DW88" s="3">
        <f t="shared" si="503"/>
        <v>2</v>
      </c>
      <c r="DX88" s="3" t="e">
        <f t="shared" ca="1" si="512"/>
        <v>#NUM!</v>
      </c>
      <c r="DY88" s="3" t="e">
        <f t="shared" ca="1" si="480"/>
        <v>#NUM!</v>
      </c>
      <c r="DZ88" s="3">
        <f t="shared" ca="1" si="504"/>
        <v>1.3774015380430145E-3</v>
      </c>
      <c r="EA88" s="3">
        <f t="shared" ca="1" si="505"/>
        <v>-1.4065253110622849E-3</v>
      </c>
      <c r="EB88" s="3">
        <f t="shared" ca="1" si="481"/>
        <v>1.3986719379300266E-3</v>
      </c>
      <c r="EC88" s="3">
        <f t="shared" ca="1" si="482"/>
        <v>-4.9335090918506104E-4</v>
      </c>
      <c r="ED88" s="63">
        <f t="shared" si="506"/>
        <v>-98</v>
      </c>
      <c r="EE88" s="59">
        <f t="shared" si="483"/>
        <v>1.3927</v>
      </c>
      <c r="EF88" s="59">
        <f t="shared" si="484"/>
        <v>2.0564</v>
      </c>
      <c r="EG88" s="59">
        <f t="shared" si="485"/>
        <v>0.2717</v>
      </c>
      <c r="EH88" s="59">
        <f t="shared" si="486"/>
        <v>0.25</v>
      </c>
      <c r="EI88" s="59">
        <f t="shared" si="487"/>
        <v>0.19989999999999999</v>
      </c>
      <c r="EJ88" s="59">
        <f t="shared" si="488"/>
        <v>0.1045</v>
      </c>
      <c r="EK88" s="63" t="e">
        <f t="shared" ca="1" si="507"/>
        <v>#NUM!</v>
      </c>
      <c r="EL88" s="3" t="str">
        <f>RTD("tos.rtd",,EL$83,"."&amp;$B$82&amp;$AS$82&amp;"C"&amp;$A88)</f>
        <v>139.27%</v>
      </c>
      <c r="EM88" s="3" t="str">
        <f>RTD("tos.rtd",,EM$83,"."&amp;$B$82&amp;$AS$82&amp;"P"&amp;$A88)</f>
        <v>205.64%</v>
      </c>
      <c r="EN88" s="3" t="str">
        <f>RTD("tos.rtd",,EN$83,"."&amp;$C$82&amp;$AU$82&amp;"C"&amp;$A88)</f>
        <v>27.17%</v>
      </c>
      <c r="EO88" s="3" t="str">
        <f>RTD("tos.rtd",,EO$83,"."&amp;$C$82&amp;$AU$82&amp;"P"&amp;$A88)</f>
        <v>--</v>
      </c>
      <c r="EP88" s="3" t="str">
        <f>RTD("tos.rtd",,EP$83,"."&amp;$D$82&amp;$AW$82&amp;"C"&amp;$A88)</f>
        <v>19.99%</v>
      </c>
      <c r="EQ88" s="3" t="str">
        <f>RTD("tos.rtd",,EQ$83,"."&amp;$D$82&amp;$AW$82&amp;"P"&amp;$A88)</f>
        <v>10.45%</v>
      </c>
      <c r="ES88" s="63" t="str">
        <f t="shared" si="489"/>
        <v>5840,-98.00</v>
      </c>
      <c r="ET88" s="63" t="str">
        <f t="shared" ca="1" si="490"/>
        <v>5840,00.00</v>
      </c>
      <c r="EU88" s="67">
        <v>565.39</v>
      </c>
      <c r="EV88" s="67" t="s">
        <v>723</v>
      </c>
      <c r="EW88" s="67">
        <v>488.95</v>
      </c>
      <c r="EX88" s="67" t="s">
        <v>724</v>
      </c>
      <c r="EY88" s="67">
        <v>5663.94</v>
      </c>
      <c r="EZ88" s="67" t="s">
        <v>725</v>
      </c>
      <c r="FA88" s="67">
        <v>20063.564999999999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508"/>
        <v>5830</v>
      </c>
      <c r="B89" s="3">
        <f t="shared" si="451"/>
        <v>1838</v>
      </c>
      <c r="C89" s="3">
        <f t="shared" si="452"/>
        <v>1729</v>
      </c>
      <c r="D89" s="3">
        <f t="shared" si="453"/>
        <v>5106</v>
      </c>
      <c r="E89" s="3">
        <f t="shared" si="454"/>
        <v>8673</v>
      </c>
      <c r="F89" s="4">
        <f t="shared" si="509"/>
        <v>5922.7973589686062</v>
      </c>
      <c r="G89" s="4">
        <f t="shared" si="491"/>
        <v>588.61275179287315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289</v>
      </c>
      <c r="AN89" s="20">
        <v>214</v>
      </c>
      <c r="AO89" s="20">
        <v>5830</v>
      </c>
      <c r="AP89" s="20">
        <v>2231</v>
      </c>
      <c r="AQ89" s="20">
        <v>-394</v>
      </c>
      <c r="AR89" s="20"/>
      <c r="AS89" s="54">
        <f>IF(RTD("tos.rtd",,AS$83,"."&amp;$B$82&amp;$AS$82&amp;"C"&amp;$A89)="N/A",0,RTD("tos.rtd",,AS$83,"."&amp;$B$82&amp;$AS$82&amp;"C"&amp;$A89))</f>
        <v>1432</v>
      </c>
      <c r="AT89" s="3">
        <f>-IF(RTD("tos.rtd",,AT$83,"."&amp;$B$82&amp;$AS$82&amp;"P"&amp;$A89)="N/A",0,RTD("tos.rtd",,AT$83,"."&amp;$B$82&amp;$AS$82&amp;"P"&amp;$A89))</f>
        <v>-406</v>
      </c>
      <c r="AU89" s="54">
        <f>IF(RTD("tos.rtd",,AU$83,"."&amp;$C$82&amp;$AU$82&amp;"C"&amp;$A89)="N/A",0,RTD("tos.rtd",,AU$83,"."&amp;$C$82&amp;$AU$82&amp;"C"&amp;$A89))</f>
        <v>865</v>
      </c>
      <c r="AV89" s="3">
        <f>-IF(RTD("tos.rtd",,AV$83,"."&amp;$C$82&amp;$AU$82&amp;"P"&amp;$A89)="N/A",0,RTD("tos.rtd",,AV$83,"."&amp;$C$82&amp;$AU$82&amp;"P"&amp;$A89))</f>
        <v>-864</v>
      </c>
      <c r="AW89" s="54">
        <f>IF(RTD("tos.rtd",,AW$83,"."&amp;$D$82&amp;$AW$82&amp;"C"&amp;$A89)="N/A",0,RTD("tos.rtd",,AW$83,"."&amp;$D$82&amp;$AW$82&amp;"C"&amp;$A89))</f>
        <v>2609</v>
      </c>
      <c r="AX89" s="3">
        <f>-IF(RTD("tos.rtd",,AX$83,"."&amp;$D$82&amp;$AW$82&amp;"P"&amp;$A89)="N/A",0,RTD("tos.rtd",,AX$83,"."&amp;$D$82&amp;$AW$82&amp;"P"&amp;$A89))</f>
        <v>-2497</v>
      </c>
      <c r="AY89" s="79">
        <f t="shared" si="492"/>
        <v>1139</v>
      </c>
      <c r="AZ89" s="8">
        <f t="shared" si="455"/>
        <v>5830</v>
      </c>
      <c r="BA89" s="54">
        <f>IF(RTD("tos.rtd",,BA$83,"."&amp;$B$82&amp;$AS$82&amp;"C"&amp;$A89)="N/A",0,RTD("tos.rtd",,BA$83,"."&amp;$B$82&amp;$AS$82&amp;"C"&amp;$A89))</f>
        <v>0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0</v>
      </c>
      <c r="BD89" s="3">
        <f>-IF(RTD("tos.rtd",,BD$83,"."&amp;$C$82&amp;$AU$82&amp;"P"&amp;$A89)="N/A",0,RTD("tos.rtd",,BD$83,"."&amp;$C$82&amp;$AU$82&amp;"P"&amp;$A89))</f>
        <v>0</v>
      </c>
      <c r="BE89" s="54">
        <f>IF(RTD("tos.rtd",,BE$83,"."&amp;$D$82&amp;$AW$82&amp;"C"&amp;$A89)="N/A",0,RTD("tos.rtd",,BE$83,"."&amp;$D$82&amp;$AW$82&amp;"C"&amp;$A89))</f>
        <v>0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0</v>
      </c>
      <c r="BH89" s="55">
        <f t="shared" ca="1" si="493"/>
        <v>0</v>
      </c>
      <c r="BI89" s="32" t="str">
        <f t="shared" ca="1" si="513"/>
        <v/>
      </c>
      <c r="BJ89" s="3" t="e">
        <f ca="1">IF($BP$1=1,DX89,IF(RTD("tos.rtd",,BJ$83,"."&amp;$B$82&amp;$AS$82&amp;"C"&amp;$A89)="N/A",0,RTD("tos.rtd",,BJ$83,"."&amp;$B$82&amp;$AS$82&amp;"C"&amp;$A89)))</f>
        <v>#NUM!</v>
      </c>
      <c r="BK89" s="3" t="e">
        <f ca="1">IF($BP$1=1,DY89,-IF(RTD("tos.rtd",,BK$83,"."&amp;$B$82&amp;$AS$82&amp;"P"&amp;$A89)="N/A",0,RTD("tos.rtd",,BK$83,"."&amp;$B$82&amp;$AS$82&amp;"P"&amp;$A89)))</f>
        <v>#NUM!</v>
      </c>
      <c r="BL89" s="3">
        <f ca="1">IF($BP$1=1,DZ89,IF(RTD("tos.rtd",,BL$83,"."&amp;$C$82&amp;$AU$82&amp;"C"&amp;$A89)="N/A",0,RTD("tos.rtd",,BL$83,"."&amp;$C$82&amp;$AU$82&amp;"C"&amp;$A89)))</f>
        <v>1.4191446358282772E-3</v>
      </c>
      <c r="BM89" s="3">
        <f ca="1">IF($BP$1=1,EA89,-IF(RTD("tos.rtd",,BM$83,"."&amp;$C$82&amp;$AU$82&amp;"P"&amp;$A89)="N/A",0,RTD("tos.rtd",,BM$83,"."&amp;$C$82&amp;$AU$82&amp;"P"&amp;$A89)))</f>
        <v>-1.4690157444428515E-3</v>
      </c>
      <c r="BN89" s="3">
        <f ca="1">IF($BP$1=1,EB89,IF(RTD("tos.rtd",,BN$83,"."&amp;$D$82&amp;$AW$82&amp;"C"&amp;$A89)="N/A",0,RTD("tos.rtd",,BN$83,"."&amp;$D$82&amp;$AW$82&amp;"C"&amp;$A89)))</f>
        <v>1.4997749578638021E-3</v>
      </c>
      <c r="BO89" s="3">
        <f ca="1">IF($BP$1=1,EC89,-IF(RTD("tos.rtd",,BO$83,"."&amp;$D$82&amp;$AW$82&amp;"P"&amp;$A89)="N/A",0,RTD("tos.rtd",,BO$83,"."&amp;$D$82&amp;$AW$82&amp;"P"&amp;$A89)))</f>
        <v>-7.1833533901397668E-4</v>
      </c>
      <c r="BQ89" s="3" t="e">
        <f t="shared" ca="1" si="456"/>
        <v>#NUM!</v>
      </c>
      <c r="BR89" s="3" t="e">
        <f t="shared" ca="1" si="494"/>
        <v>#NUM!</v>
      </c>
      <c r="BS89" s="3">
        <f t="shared" ca="1" si="457"/>
        <v>-10258.390388436441</v>
      </c>
      <c r="BT89" s="3" t="str">
        <f t="shared" ca="1" si="494"/>
        <v>Cruce -</v>
      </c>
      <c r="BU89" s="3">
        <f t="shared" ca="1" si="458"/>
        <v>521721.81857795635</v>
      </c>
      <c r="BV89" s="3" t="str">
        <f t="shared" ca="1" si="494"/>
        <v>Cruce +</v>
      </c>
      <c r="BX89" s="3" t="e">
        <f t="shared" ca="1" si="459"/>
        <v>#NUM!</v>
      </c>
      <c r="BY89" s="3" t="e">
        <f t="shared" ca="1" si="510"/>
        <v>#NUM!</v>
      </c>
      <c r="BZ89" s="3">
        <f t="shared" ca="1" si="460"/>
        <v>0</v>
      </c>
      <c r="CA89" s="3" t="str">
        <f t="shared" ca="1" si="510"/>
        <v/>
      </c>
      <c r="CB89" s="3">
        <f t="shared" ca="1" si="461"/>
        <v>0</v>
      </c>
      <c r="CC89" s="3" t="str">
        <f t="shared" ca="1" si="510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1</v>
      </c>
      <c r="CF89" s="3">
        <f>IF(RTD("tos.rtd",,CF$83,"."&amp;$C$82&amp;$AU$82&amp;"C"&amp;$A89)="N/A",0,RTD("tos.rtd",,CF$83,"."&amp;$C$82&amp;$AU$82&amp;"C"&amp;$A89))</f>
        <v>0.18</v>
      </c>
      <c r="CG89" s="3">
        <f>-IF(RTD("tos.rtd",,CG$83,"."&amp;$C$82&amp;$AU$82&amp;"P"&amp;$A89)="N/A",0,RTD("tos.rtd",,CG$83,"."&amp;$C$82&amp;$AU$82&amp;"P"&amp;$A89))</f>
        <v>1</v>
      </c>
      <c r="CH89" s="3">
        <f>IF(RTD("tos.rtd",,CH$83,"."&amp;$D$82&amp;$AW$82&amp;"C"&amp;$A89)="N/A",0,RTD("tos.rtd",,CH$83,"."&amp;$D$82&amp;$AW$82&amp;"C"&amp;$A89))</f>
        <v>0.37</v>
      </c>
      <c r="CI89" s="3">
        <f>-IF(RTD("tos.rtd",,CI$83,"."&amp;$D$82&amp;$AW$82&amp;"P"&amp;$A89)="N/A",0,RTD("tos.rtd",,CI$83,"."&amp;$D$82&amp;$AW$82&amp;"P"&amp;$A89))</f>
        <v>0.75</v>
      </c>
      <c r="CK89" s="3">
        <f t="shared" si="495"/>
        <v>-40600</v>
      </c>
      <c r="CL89" s="3"/>
      <c r="CM89" s="3">
        <f t="shared" si="496"/>
        <v>-70830</v>
      </c>
      <c r="CN89" s="3"/>
      <c r="CO89" s="3">
        <f t="shared" si="497"/>
        <v>-90742</v>
      </c>
      <c r="CP89" s="3">
        <f t="shared" si="462"/>
        <v>-202172</v>
      </c>
      <c r="CQ89" s="3">
        <f t="shared" si="463"/>
        <v>0</v>
      </c>
      <c r="CR89" s="3"/>
      <c r="CS89" s="3">
        <f t="shared" si="464"/>
        <v>0</v>
      </c>
      <c r="CT89" s="3"/>
      <c r="CU89" s="3">
        <f t="shared" si="465"/>
        <v>0</v>
      </c>
      <c r="CV89" s="3"/>
      <c r="CW89" s="3" t="e">
        <f t="shared" ca="1" si="498"/>
        <v>#NUM!</v>
      </c>
      <c r="CY89" s="3" t="e">
        <f t="shared" ca="1" si="467"/>
        <v>#NUM!</v>
      </c>
      <c r="CZ89" s="70" t="e">
        <f t="shared" ca="1" si="511"/>
        <v>#NUM!</v>
      </c>
      <c r="DA89" s="3">
        <f>IF(RTD("tos.rtd",,DA$83,"."&amp;$B$82&amp;$AS$82&amp;"C"&amp;$A89)="N/A",0,RTD("tos.rtd",,DA$83,"."&amp;$B$82&amp;$AS$82&amp;"C"&amp;$A89))</f>
        <v>0.05</v>
      </c>
      <c r="DB89" s="3">
        <f>IF(RTD("tos.rtd",,DB$83,"."&amp;$B$82&amp;$AS$82&amp;"P"&amp;$A89)="N/A",0,RTD("tos.rtd",,DB$83,"."&amp;$B$82&amp;$AS$82&amp;"P"&amp;$A89))</f>
        <v>168.23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173.1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167.1</v>
      </c>
      <c r="DG89" s="86">
        <f t="shared" si="499"/>
        <v>170.09000000000015</v>
      </c>
      <c r="DH89" s="3">
        <f t="shared" si="468"/>
        <v>-2231</v>
      </c>
      <c r="DI89" s="3">
        <f t="shared" si="469"/>
        <v>74.203333333333035</v>
      </c>
      <c r="DJ89" s="3">
        <f t="shared" si="470"/>
        <v>-2231</v>
      </c>
      <c r="DK89" s="3">
        <f t="shared" si="471"/>
        <v>-394</v>
      </c>
      <c r="DL89" s="3">
        <f t="shared" si="472"/>
        <v>-2156.7966666666671</v>
      </c>
      <c r="DM89" s="3">
        <f t="shared" si="473"/>
        <v>-2625</v>
      </c>
      <c r="DN89" s="64" t="str">
        <f t="shared" si="474"/>
        <v>UNKNOWN</v>
      </c>
      <c r="DO89" s="64" t="str">
        <f t="shared" si="475"/>
        <v>UNKNOWN</v>
      </c>
      <c r="DP89" s="3">
        <f t="shared" si="476"/>
        <v>12371.676766666616</v>
      </c>
      <c r="DQ89" s="3">
        <f t="shared" si="477"/>
        <v>-66394.17</v>
      </c>
      <c r="DR89" s="3" t="e">
        <f t="shared" ca="1" si="478"/>
        <v>#NUM!</v>
      </c>
      <c r="DS89" s="3">
        <f t="shared" si="479"/>
        <v>-394</v>
      </c>
      <c r="DT89" s="3">
        <f t="shared" si="500"/>
        <v>-2231</v>
      </c>
      <c r="DU89" s="3">
        <f t="shared" si="501"/>
        <v>394</v>
      </c>
      <c r="DV89" s="3">
        <f t="shared" si="502"/>
        <v>289</v>
      </c>
      <c r="DW89" s="3">
        <f t="shared" si="503"/>
        <v>214</v>
      </c>
      <c r="DX89" s="3" t="e">
        <f t="shared" ca="1" si="512"/>
        <v>#NUM!</v>
      </c>
      <c r="DY89" s="3" t="e">
        <f t="shared" ca="1" si="480"/>
        <v>#NUM!</v>
      </c>
      <c r="DZ89" s="3">
        <f t="shared" ca="1" si="504"/>
        <v>1.4191446358282772E-3</v>
      </c>
      <c r="EA89" s="3">
        <f t="shared" ca="1" si="505"/>
        <v>-1.4690157444428515E-3</v>
      </c>
      <c r="EB89" s="3">
        <f t="shared" ca="1" si="481"/>
        <v>1.4997749578638021E-3</v>
      </c>
      <c r="EC89" s="3">
        <f t="shared" ca="1" si="482"/>
        <v>-7.1833533901397668E-4</v>
      </c>
      <c r="ED89" s="63">
        <f t="shared" si="506"/>
        <v>503</v>
      </c>
      <c r="EE89" s="59">
        <f t="shared" si="483"/>
        <v>1.3230999999999999</v>
      </c>
      <c r="EF89" s="59">
        <f t="shared" si="484"/>
        <v>1.323</v>
      </c>
      <c r="EG89" s="59">
        <f t="shared" si="485"/>
        <v>0.27639999999999998</v>
      </c>
      <c r="EH89" s="59">
        <f t="shared" si="486"/>
        <v>0.25</v>
      </c>
      <c r="EI89" s="59">
        <f t="shared" si="487"/>
        <v>0.2021</v>
      </c>
      <c r="EJ89" s="59">
        <f t="shared" si="488"/>
        <v>0.1089</v>
      </c>
      <c r="EK89" s="63" t="e">
        <f t="shared" ca="1" si="507"/>
        <v>#NUM!</v>
      </c>
      <c r="EL89" s="3" t="str">
        <f>RTD("tos.rtd",,EL$83,"."&amp;$B$82&amp;$AS$82&amp;"C"&amp;$A89)</f>
        <v>132.31%</v>
      </c>
      <c r="EM89" s="3" t="str">
        <f>RTD("tos.rtd",,EM$83,"."&amp;$B$82&amp;$AS$82&amp;"P"&amp;$A89)</f>
        <v>132.30%</v>
      </c>
      <c r="EN89" s="3" t="str">
        <f>RTD("tos.rtd",,EN$83,"."&amp;$C$82&amp;$AU$82&amp;"C"&amp;$A89)</f>
        <v>27.64%</v>
      </c>
      <c r="EO89" s="3" t="str">
        <f>RTD("tos.rtd",,EO$83,"."&amp;$C$82&amp;$AU$82&amp;"P"&amp;$A89)</f>
        <v>--</v>
      </c>
      <c r="EP89" s="3" t="str">
        <f>RTD("tos.rtd",,EP$83,"."&amp;$D$82&amp;$AW$82&amp;"C"&amp;$A89)</f>
        <v>20.21%</v>
      </c>
      <c r="EQ89" s="3" t="str">
        <f>RTD("tos.rtd",,EQ$83,"."&amp;$D$82&amp;$AW$82&amp;"P"&amp;$A89)</f>
        <v>10.89%</v>
      </c>
      <c r="ES89" s="63" t="str">
        <f t="shared" si="489"/>
        <v>5830,503.00</v>
      </c>
      <c r="ET89" s="63" t="str">
        <f t="shared" ca="1" si="490"/>
        <v>5830,00.00</v>
      </c>
      <c r="EU89" s="67">
        <v>565.39</v>
      </c>
      <c r="EV89" s="67" t="s">
        <v>731</v>
      </c>
      <c r="EW89" s="67">
        <v>488.96</v>
      </c>
      <c r="EX89" s="67" t="s">
        <v>732</v>
      </c>
      <c r="EY89" s="67">
        <v>5663.94</v>
      </c>
      <c r="EZ89" s="67" t="s">
        <v>733</v>
      </c>
      <c r="FA89" s="67">
        <v>20063.564999999999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508"/>
        <v>5820</v>
      </c>
      <c r="B90" s="3">
        <f t="shared" si="451"/>
        <v>1984</v>
      </c>
      <c r="C90" s="3">
        <f t="shared" si="452"/>
        <v>2263</v>
      </c>
      <c r="D90" s="3">
        <f t="shared" si="453"/>
        <v>6780</v>
      </c>
      <c r="E90" s="3">
        <f t="shared" si="454"/>
        <v>11027</v>
      </c>
      <c r="F90" s="4">
        <f t="shared" si="509"/>
        <v>5912.6381868262924</v>
      </c>
      <c r="G90" s="4">
        <f t="shared" si="491"/>
        <v>587.60312443130726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-5</v>
      </c>
      <c r="AN90" s="20">
        <v>300</v>
      </c>
      <c r="AO90" s="20">
        <v>5820</v>
      </c>
      <c r="AP90" s="20">
        <v>2986</v>
      </c>
      <c r="AQ90" s="20">
        <v>-300</v>
      </c>
      <c r="AR90" s="20"/>
      <c r="AS90" s="54">
        <f>IF(RTD("tos.rtd",,AS$83,"."&amp;$B$82&amp;$AS$82&amp;"C"&amp;$A90)="N/A",0,RTD("tos.rtd",,AS$83,"."&amp;$B$82&amp;$AS$82&amp;"C"&amp;$A90))</f>
        <v>1668</v>
      </c>
      <c r="AT90" s="3">
        <f>-IF(RTD("tos.rtd",,AT$83,"."&amp;$B$82&amp;$AS$82&amp;"P"&amp;$A90)="N/A",0,RTD("tos.rtd",,AT$83,"."&amp;$B$82&amp;$AS$82&amp;"P"&amp;$A90))</f>
        <v>-316</v>
      </c>
      <c r="AU90" s="54">
        <f>IF(RTD("tos.rtd",,AU$83,"."&amp;$C$82&amp;$AU$82&amp;"C"&amp;$A90)="N/A",0,RTD("tos.rtd",,AU$83,"."&amp;$C$82&amp;$AU$82&amp;"C"&amp;$A90))</f>
        <v>1353</v>
      </c>
      <c r="AV90" s="3">
        <f>-IF(RTD("tos.rtd",,AV$83,"."&amp;$C$82&amp;$AU$82&amp;"P"&amp;$A90)="N/A",0,RTD("tos.rtd",,AV$83,"."&amp;$C$82&amp;$AU$82&amp;"P"&amp;$A90))</f>
        <v>-910</v>
      </c>
      <c r="AW90" s="54">
        <f>IF(RTD("tos.rtd",,AW$83,"."&amp;$D$82&amp;$AW$82&amp;"C"&amp;$A90)="N/A",0,RTD("tos.rtd",,AW$83,"."&amp;$D$82&amp;$AW$82&amp;"C"&amp;$A90))</f>
        <v>3473</v>
      </c>
      <c r="AX90" s="3">
        <f>-IF(RTD("tos.rtd",,AX$83,"."&amp;$D$82&amp;$AW$82&amp;"P"&amp;$A90)="N/A",0,RTD("tos.rtd",,AX$83,"."&amp;$D$82&amp;$AW$82&amp;"P"&amp;$A90))</f>
        <v>-3307</v>
      </c>
      <c r="AY90" s="79">
        <f t="shared" si="492"/>
        <v>1961</v>
      </c>
      <c r="AZ90" s="8">
        <f t="shared" si="455"/>
        <v>5820</v>
      </c>
      <c r="BA90" s="54">
        <f>IF(RTD("tos.rtd",,BA$83,"."&amp;$B$82&amp;$AS$82&amp;"C"&amp;$A90)="N/A",0,RTD("tos.rtd",,BA$83,"."&amp;$B$82&amp;$AS$82&amp;"C"&amp;$A90))</f>
        <v>0</v>
      </c>
      <c r="BB90" s="3">
        <f>-IF(RTD("tos.rtd",,BB$83,"."&amp;$B$82&amp;$AS$82&amp;"P"&amp;$A90)="N/A",0,RTD("tos.rtd",,BB$83,"."&amp;$B$82&amp;$AS$82&amp;"P"&amp;$A90))</f>
        <v>0</v>
      </c>
      <c r="BC90" s="54">
        <f>IF(RTD("tos.rtd",,BC$83,"."&amp;$C$82&amp;$AU$82&amp;"C"&amp;$A90)="N/A",0,RTD("tos.rtd",,BC$83,"."&amp;$C$82&amp;$AU$82&amp;"C"&amp;$A90))</f>
        <v>0</v>
      </c>
      <c r="BD90" s="3">
        <f>-IF(RTD("tos.rtd",,BD$83,"."&amp;$C$82&amp;$AU$82&amp;"P"&amp;$A90)="N/A",0,RTD("tos.rtd",,BD$83,"."&amp;$C$82&amp;$AU$82&amp;"P"&amp;$A90))</f>
        <v>0</v>
      </c>
      <c r="BE90" s="54">
        <f>IF(RTD("tos.rtd",,BE$83,"."&amp;$D$82&amp;$AW$82&amp;"C"&amp;$A90)="N/A",0,RTD("tos.rtd",,BE$83,"."&amp;$D$82&amp;$AW$82&amp;"C"&amp;$A90))</f>
        <v>0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0</v>
      </c>
      <c r="BH90" s="55">
        <f t="shared" ca="1" si="493"/>
        <v>0</v>
      </c>
      <c r="BI90" s="32" t="str">
        <f t="shared" ca="1" si="513"/>
        <v/>
      </c>
      <c r="BJ90" s="3" t="e">
        <f ca="1">IF($BP$1=1,DX90,IF(RTD("tos.rtd",,BJ$83,"."&amp;$B$82&amp;$AS$82&amp;"C"&amp;$A90)="N/A",0,RTD("tos.rtd",,BJ$83,"."&amp;$B$82&amp;$AS$82&amp;"C"&amp;$A90)))</f>
        <v>#NUM!</v>
      </c>
      <c r="BK90" s="3" t="e">
        <f ca="1">IF($BP$1=1,DY90,-IF(RTD("tos.rtd",,BK$83,"."&amp;$B$82&amp;$AS$82&amp;"P"&amp;$A90)="N/A",0,RTD("tos.rtd",,BK$83,"."&amp;$B$82&amp;$AS$82&amp;"P"&amp;$A90)))</f>
        <v>#NUM!</v>
      </c>
      <c r="BL90" s="3">
        <f ca="1">IF($BP$1=1,DZ90,IF(RTD("tos.rtd",,BL$83,"."&amp;$C$82&amp;$AU$82&amp;"C"&amp;$A90)="N/A",0,RTD("tos.rtd",,BL$83,"."&amp;$C$82&amp;$AU$82&amp;"C"&amp;$A90)))</f>
        <v>1.4558613076555865E-3</v>
      </c>
      <c r="BM90" s="3">
        <f ca="1">IF($BP$1=1,EA90,-IF(RTD("tos.rtd",,BM$83,"."&amp;$C$82&amp;$AU$82&amp;"P"&amp;$A90)="N/A",0,RTD("tos.rtd",,BM$83,"."&amp;$C$82&amp;$AU$82&amp;"P"&amp;$A90)))</f>
        <v>-1.5304665182694099E-3</v>
      </c>
      <c r="BN90" s="3">
        <f ca="1">IF($BP$1=1,EB90,IF(RTD("tos.rtd",,BN$83,"."&amp;$D$82&amp;$AW$82&amp;"C"&amp;$A90)="N/A",0,RTD("tos.rtd",,BN$83,"."&amp;$D$82&amp;$AW$82&amp;"C"&amp;$A90)))</f>
        <v>1.5970351783490269E-3</v>
      </c>
      <c r="BO90" s="3">
        <f ca="1">IF($BP$1=1,EC90,-IF(RTD("tos.rtd",,BO$83,"."&amp;$D$82&amp;$AW$82&amp;"P"&amp;$A90)="N/A",0,RTD("tos.rtd",,BO$83,"."&amp;$D$82&amp;$AW$82&amp;"P"&amp;$A90)))</f>
        <v>-9.7252943637851121E-4</v>
      </c>
      <c r="BQ90" s="3" t="e">
        <f t="shared" ca="1" si="456"/>
        <v>#NUM!</v>
      </c>
      <c r="BR90" s="3" t="e">
        <f t="shared" ca="1" si="494"/>
        <v>#NUM!</v>
      </c>
      <c r="BS90" s="3">
        <f t="shared" ca="1" si="457"/>
        <v>142062.29540076084</v>
      </c>
      <c r="BT90" s="3" t="str">
        <f t="shared" ca="1" si="494"/>
        <v>Cruce +</v>
      </c>
      <c r="BU90" s="3">
        <f t="shared" ca="1" si="458"/>
        <v>573696.03162480309</v>
      </c>
      <c r="BV90" s="3" t="str">
        <f t="shared" ca="1" si="494"/>
        <v/>
      </c>
      <c r="BX90" s="3" t="e">
        <f t="shared" ca="1" si="459"/>
        <v>#NUM!</v>
      </c>
      <c r="BY90" s="3" t="e">
        <f t="shared" ca="1" si="510"/>
        <v>#NUM!</v>
      </c>
      <c r="BZ90" s="3">
        <f t="shared" ca="1" si="460"/>
        <v>0</v>
      </c>
      <c r="CA90" s="3" t="str">
        <f t="shared" ca="1" si="510"/>
        <v/>
      </c>
      <c r="CB90" s="3">
        <f t="shared" ca="1" si="461"/>
        <v>0</v>
      </c>
      <c r="CC90" s="3" t="str">
        <f t="shared" ca="1" si="510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1</v>
      </c>
      <c r="CF90" s="3">
        <f>IF(RTD("tos.rtd",,CF$83,"."&amp;$C$82&amp;$AU$82&amp;"C"&amp;$A90)="N/A",0,RTD("tos.rtd",,CF$83,"."&amp;$C$82&amp;$AU$82&amp;"C"&amp;$A90))</f>
        <v>0.2</v>
      </c>
      <c r="CG90" s="3">
        <f>-IF(RTD("tos.rtd",,CG$83,"."&amp;$C$82&amp;$AU$82&amp;"P"&amp;$A90)="N/A",0,RTD("tos.rtd",,CG$83,"."&amp;$C$82&amp;$AU$82&amp;"P"&amp;$A90))</f>
        <v>1</v>
      </c>
      <c r="CH90" s="3">
        <f>IF(RTD("tos.rtd",,CH$83,"."&amp;$D$82&amp;$AW$82&amp;"C"&amp;$A90)="N/A",0,RTD("tos.rtd",,CH$83,"."&amp;$D$82&amp;$AW$82&amp;"C"&amp;$A90))</f>
        <v>0.38</v>
      </c>
      <c r="CI90" s="3">
        <f>-IF(RTD("tos.rtd",,CI$83,"."&amp;$D$82&amp;$AW$82&amp;"P"&amp;$A90)="N/A",0,RTD("tos.rtd",,CI$83,"."&amp;$D$82&amp;$AW$82&amp;"P"&amp;$A90))</f>
        <v>0.73</v>
      </c>
      <c r="CK90" s="3">
        <f t="shared" si="495"/>
        <v>-31600</v>
      </c>
      <c r="CL90" s="3"/>
      <c r="CM90" s="3">
        <f t="shared" si="496"/>
        <v>-63940</v>
      </c>
      <c r="CN90" s="3"/>
      <c r="CO90" s="3">
        <f t="shared" si="497"/>
        <v>-109437</v>
      </c>
      <c r="CP90" s="3">
        <f t="shared" si="462"/>
        <v>-204977</v>
      </c>
      <c r="CQ90" s="3">
        <f t="shared" si="463"/>
        <v>0</v>
      </c>
      <c r="CR90" s="3"/>
      <c r="CS90" s="3">
        <f t="shared" si="464"/>
        <v>0</v>
      </c>
      <c r="CT90" s="3"/>
      <c r="CU90" s="3">
        <f t="shared" si="465"/>
        <v>0</v>
      </c>
      <c r="CV90" s="3"/>
      <c r="CW90" s="3" t="e">
        <f t="shared" ca="1" si="498"/>
        <v>#NUM!</v>
      </c>
      <c r="CY90" s="3" t="e">
        <f t="shared" ca="1" si="467"/>
        <v>#NUM!</v>
      </c>
      <c r="CZ90" s="70" t="e">
        <f t="shared" ca="1" si="511"/>
        <v>#NUM!</v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154.09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163.1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157.1</v>
      </c>
      <c r="DG90" s="86">
        <f t="shared" si="499"/>
        <v>160.09000000000015</v>
      </c>
      <c r="DH90" s="3">
        <f t="shared" si="468"/>
        <v>-1791.6</v>
      </c>
      <c r="DI90" s="3">
        <f t="shared" si="469"/>
        <v>-150.49999999999955</v>
      </c>
      <c r="DJ90" s="3">
        <f t="shared" si="470"/>
        <v>-2986</v>
      </c>
      <c r="DK90" s="3">
        <f t="shared" si="471"/>
        <v>-300</v>
      </c>
      <c r="DL90" s="3">
        <f t="shared" si="472"/>
        <v>-1942.0999999999995</v>
      </c>
      <c r="DM90" s="3">
        <f t="shared" si="473"/>
        <v>-3286</v>
      </c>
      <c r="DN90" s="64" t="str">
        <f t="shared" si="474"/>
        <v>UNKNOWN</v>
      </c>
      <c r="DO90" s="64" t="str">
        <f t="shared" si="475"/>
        <v>UNKNOWN</v>
      </c>
      <c r="DP90" s="3">
        <f t="shared" si="476"/>
        <v>-23244.292999999929</v>
      </c>
      <c r="DQ90" s="3">
        <f t="shared" si="477"/>
        <v>-46316.58</v>
      </c>
      <c r="DR90" s="3" t="e">
        <f t="shared" ca="1" si="478"/>
        <v>#NUM!</v>
      </c>
      <c r="DS90" s="3">
        <f t="shared" si="479"/>
        <v>-300</v>
      </c>
      <c r="DT90" s="3">
        <f t="shared" si="500"/>
        <v>-2986</v>
      </c>
      <c r="DU90" s="3">
        <f t="shared" si="501"/>
        <v>300</v>
      </c>
      <c r="DV90" s="3">
        <f t="shared" si="502"/>
        <v>-5</v>
      </c>
      <c r="DW90" s="3">
        <f t="shared" si="503"/>
        <v>300</v>
      </c>
      <c r="DX90" s="3" t="e">
        <f t="shared" ca="1" si="512"/>
        <v>#NUM!</v>
      </c>
      <c r="DY90" s="3" t="e">
        <f t="shared" ca="1" si="480"/>
        <v>#NUM!</v>
      </c>
      <c r="DZ90" s="3">
        <f t="shared" ca="1" si="504"/>
        <v>1.4558613076555865E-3</v>
      </c>
      <c r="EA90" s="3">
        <f t="shared" ca="1" si="505"/>
        <v>-1.5304665182694099E-3</v>
      </c>
      <c r="EB90" s="3">
        <f t="shared" ca="1" si="481"/>
        <v>1.5970351783490269E-3</v>
      </c>
      <c r="EC90" s="3">
        <f t="shared" ca="1" si="482"/>
        <v>-9.7252943637851121E-4</v>
      </c>
      <c r="ED90" s="63">
        <f t="shared" si="506"/>
        <v>295</v>
      </c>
      <c r="EE90" s="59">
        <f t="shared" si="483"/>
        <v>1.2531000000000001</v>
      </c>
      <c r="EF90" s="59">
        <f t="shared" si="484"/>
        <v>1.2527999999999999</v>
      </c>
      <c r="EG90" s="59">
        <f t="shared" si="485"/>
        <v>0.28089999999999998</v>
      </c>
      <c r="EH90" s="59">
        <f t="shared" si="486"/>
        <v>0.25</v>
      </c>
      <c r="EI90" s="59">
        <f t="shared" si="487"/>
        <v>0.20430000000000001</v>
      </c>
      <c r="EJ90" s="59">
        <f t="shared" si="488"/>
        <v>0.113</v>
      </c>
      <c r="EK90" s="63" t="e">
        <f t="shared" ca="1" si="507"/>
        <v>#NUM!</v>
      </c>
      <c r="EL90" s="3" t="str">
        <f>RTD("tos.rtd",,EL$83,"."&amp;$B$82&amp;$AS$82&amp;"C"&amp;$A90)</f>
        <v>125.31%</v>
      </c>
      <c r="EM90" s="3" t="str">
        <f>RTD("tos.rtd",,EM$83,"."&amp;$B$82&amp;$AS$82&amp;"P"&amp;$A90)</f>
        <v>125.28%</v>
      </c>
      <c r="EN90" s="3" t="str">
        <f>RTD("tos.rtd",,EN$83,"."&amp;$C$82&amp;$AU$82&amp;"C"&amp;$A90)</f>
        <v>28.09%</v>
      </c>
      <c r="EO90" s="3" t="str">
        <f>RTD("tos.rtd",,EO$83,"."&amp;$C$82&amp;$AU$82&amp;"P"&amp;$A90)</f>
        <v>--</v>
      </c>
      <c r="EP90" s="3" t="str">
        <f>RTD("tos.rtd",,EP$83,"."&amp;$D$82&amp;$AW$82&amp;"C"&amp;$A90)</f>
        <v>20.43%</v>
      </c>
      <c r="EQ90" s="3" t="str">
        <f>RTD("tos.rtd",,EQ$83,"."&amp;$D$82&amp;$AW$82&amp;"P"&amp;$A90)</f>
        <v>11.30%</v>
      </c>
      <c r="ES90" s="63" t="str">
        <f t="shared" si="489"/>
        <v>5820,295.00</v>
      </c>
      <c r="ET90" s="63" t="str">
        <f t="shared" ca="1" si="490"/>
        <v>5820,00.00</v>
      </c>
      <c r="EU90" s="67">
        <v>565.28</v>
      </c>
      <c r="EV90" s="67" t="s">
        <v>739</v>
      </c>
      <c r="EW90" s="67">
        <v>488.86</v>
      </c>
      <c r="EX90" s="67" t="s">
        <v>740</v>
      </c>
      <c r="EY90" s="67">
        <v>5663.94</v>
      </c>
      <c r="EZ90" s="67" t="s">
        <v>741</v>
      </c>
      <c r="FA90" s="67">
        <v>20063.564999999999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508"/>
        <v>5810</v>
      </c>
      <c r="B91" s="3">
        <f t="shared" si="451"/>
        <v>1119</v>
      </c>
      <c r="C91" s="3">
        <f t="shared" si="452"/>
        <v>1426</v>
      </c>
      <c r="D91" s="3">
        <f t="shared" si="453"/>
        <v>10063</v>
      </c>
      <c r="E91" s="3">
        <f t="shared" si="454"/>
        <v>12608</v>
      </c>
      <c r="F91" s="4">
        <f t="shared" si="509"/>
        <v>5902.4790146839796</v>
      </c>
      <c r="G91" s="4">
        <f t="shared" si="491"/>
        <v>586.59349706974149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-470</v>
      </c>
      <c r="AN91" s="20">
        <v>-41</v>
      </c>
      <c r="AO91" s="20">
        <v>5810</v>
      </c>
      <c r="AP91" s="20">
        <v>2890</v>
      </c>
      <c r="AQ91" s="20">
        <v>-103</v>
      </c>
      <c r="AR91" s="20"/>
      <c r="AS91" s="54">
        <f>IF(RTD("tos.rtd",,AS$83,"."&amp;$B$82&amp;$AS$82&amp;"C"&amp;$A91)="N/A",0,RTD("tos.rtd",,AS$83,"."&amp;$B$82&amp;$AS$82&amp;"C"&amp;$A91))</f>
        <v>1040</v>
      </c>
      <c r="AT91" s="3">
        <f>-IF(RTD("tos.rtd",,AT$83,"."&amp;$B$82&amp;$AS$82&amp;"P"&amp;$A91)="N/A",0,RTD("tos.rtd",,AT$83,"."&amp;$B$82&amp;$AS$82&amp;"P"&amp;$A91))</f>
        <v>-79</v>
      </c>
      <c r="AU91" s="54">
        <f>IF(RTD("tos.rtd",,AU$83,"."&amp;$C$82&amp;$AU$82&amp;"C"&amp;$A91)="N/A",0,RTD("tos.rtd",,AU$83,"."&amp;$C$82&amp;$AU$82&amp;"C"&amp;$A91))</f>
        <v>1001</v>
      </c>
      <c r="AV91" s="3">
        <f>-IF(RTD("tos.rtd",,AV$83,"."&amp;$C$82&amp;$AU$82&amp;"P"&amp;$A91)="N/A",0,RTD("tos.rtd",,AV$83,"."&amp;$C$82&amp;$AU$82&amp;"P"&amp;$A91))</f>
        <v>-425</v>
      </c>
      <c r="AW91" s="54">
        <f>IF(RTD("tos.rtd",,AW$83,"."&amp;$D$82&amp;$AW$82&amp;"C"&amp;$A91)="N/A",0,RTD("tos.rtd",,AW$83,"."&amp;$D$82&amp;$AW$82&amp;"C"&amp;$A91))</f>
        <v>5972</v>
      </c>
      <c r="AX91" s="3">
        <f>-IF(RTD("tos.rtd",,AX$83,"."&amp;$D$82&amp;$AW$82&amp;"P"&amp;$A91)="N/A",0,RTD("tos.rtd",,AX$83,"."&amp;$D$82&amp;$AW$82&amp;"P"&amp;$A91))</f>
        <v>-4091</v>
      </c>
      <c r="AY91" s="79">
        <f t="shared" si="492"/>
        <v>3418</v>
      </c>
      <c r="AZ91" s="8">
        <f t="shared" si="455"/>
        <v>5810</v>
      </c>
      <c r="BA91" s="54">
        <f>IF(RTD("tos.rtd",,BA$83,"."&amp;$B$82&amp;$AS$82&amp;"C"&amp;$A91)="N/A",0,RTD("tos.rtd",,BA$83,"."&amp;$B$82&amp;$AS$82&amp;"C"&amp;$A91))</f>
        <v>0</v>
      </c>
      <c r="BB91" s="3">
        <f>-IF(RTD("tos.rtd",,BB$83,"."&amp;$B$82&amp;$AS$82&amp;"P"&amp;$A91)="N/A",0,RTD("tos.rtd",,BB$83,"."&amp;$B$82&amp;$AS$82&amp;"P"&amp;$A91))</f>
        <v>0</v>
      </c>
      <c r="BC91" s="54">
        <f>IF(RTD("tos.rtd",,BC$83,"."&amp;$C$82&amp;$AU$82&amp;"C"&amp;$A91)="N/A",0,RTD("tos.rtd",,BC$83,"."&amp;$C$82&amp;$AU$82&amp;"C"&amp;$A91))</f>
        <v>0</v>
      </c>
      <c r="BD91" s="3">
        <f>-IF(RTD("tos.rtd",,BD$83,"."&amp;$C$82&amp;$AU$82&amp;"P"&amp;$A91)="N/A",0,RTD("tos.rtd",,BD$83,"."&amp;$C$82&amp;$AU$82&amp;"P"&amp;$A91))</f>
        <v>0</v>
      </c>
      <c r="BE91" s="54">
        <f>IF(RTD("tos.rtd",,BE$83,"."&amp;$D$82&amp;$AW$82&amp;"C"&amp;$A91)="N/A",0,RTD("tos.rtd",,BE$83,"."&amp;$D$82&amp;$AW$82&amp;"C"&amp;$A91))</f>
        <v>0</v>
      </c>
      <c r="BF91" s="3">
        <f>-IF(RTD("tos.rtd",,BF$83,"."&amp;$D$82&amp;$AW$82&amp;"P"&amp;$A91)="N/A",0,RTD("tos.rtd",,BF$83,"."&amp;$D$82&amp;$AW$82&amp;"P"&amp;$A91))</f>
        <v>0</v>
      </c>
      <c r="BG91" s="3">
        <f ca="1">+Hoja2!Y92</f>
        <v>0</v>
      </c>
      <c r="BH91" s="55">
        <f t="shared" ca="1" si="493"/>
        <v>0</v>
      </c>
      <c r="BI91" s="32" t="str">
        <f t="shared" ca="1" si="513"/>
        <v/>
      </c>
      <c r="BJ91" s="3" t="e">
        <f ca="1">IF($BP$1=1,DX91,IF(RTD("tos.rtd",,BJ$83,"."&amp;$B$82&amp;$AS$82&amp;"C"&amp;$A91)="N/A",0,RTD("tos.rtd",,BJ$83,"."&amp;$B$82&amp;$AS$82&amp;"C"&amp;$A91)))</f>
        <v>#NUM!</v>
      </c>
      <c r="BK91" s="3" t="e">
        <f ca="1">IF($BP$1=1,DY91,-IF(RTD("tos.rtd",,BK$83,"."&amp;$B$82&amp;$AS$82&amp;"P"&amp;$A91)="N/A",0,RTD("tos.rtd",,BK$83,"."&amp;$B$82&amp;$AS$82&amp;"P"&amp;$A91)))</f>
        <v>#NUM!</v>
      </c>
      <c r="BL91" s="3">
        <f ca="1">IF($BP$1=1,DZ91,IF(RTD("tos.rtd",,BL$83,"."&amp;$C$82&amp;$AU$82&amp;"C"&amp;$A91)="N/A",0,RTD("tos.rtd",,BL$83,"."&amp;$C$82&amp;$AU$82&amp;"C"&amp;$A91)))</f>
        <v>1.4867046584480746E-3</v>
      </c>
      <c r="BM91" s="3">
        <f ca="1">IF($BP$1=1,EA91,-IF(RTD("tos.rtd",,BM$83,"."&amp;$C$82&amp;$AU$82&amp;"P"&amp;$A91)="N/A",0,RTD("tos.rtd",,BM$83,"."&amp;$C$82&amp;$AU$82&amp;"P"&amp;$A91)))</f>
        <v>-1.5905014256768191E-3</v>
      </c>
      <c r="BN91" s="3">
        <f ca="1">IF($BP$1=1,EB91,IF(RTD("tos.rtd",,BN$83,"."&amp;$D$82&amp;$AW$82&amp;"C"&amp;$A91)="N/A",0,RTD("tos.rtd",,BN$83,"."&amp;$D$82&amp;$AW$82&amp;"C"&amp;$A91)))</f>
        <v>1.6894404407838673E-3</v>
      </c>
      <c r="BO91" s="3">
        <f ca="1">IF($BP$1=1,EC91,-IF(RTD("tos.rtd",,BO$83,"."&amp;$D$82&amp;$AW$82&amp;"P"&amp;$A91)="N/A",0,RTD("tos.rtd",,BO$83,"."&amp;$D$82&amp;$AW$82&amp;"P"&amp;$A91)))</f>
        <v>-1.2445670127367605E-3</v>
      </c>
      <c r="BQ91" s="3" t="e">
        <f t="shared" ca="1" si="456"/>
        <v>#NUM!</v>
      </c>
      <c r="BR91" s="3" t="e">
        <f t="shared" ca="1" si="494"/>
        <v>#NUM!</v>
      </c>
      <c r="BS91" s="3">
        <f t="shared" ca="1" si="457"/>
        <v>199958.14456849804</v>
      </c>
      <c r="BT91" s="3" t="str">
        <f t="shared" ca="1" si="494"/>
        <v/>
      </c>
      <c r="BU91" s="3">
        <f t="shared" ca="1" si="458"/>
        <v>1230385.3480970387</v>
      </c>
      <c r="BV91" s="3" t="str">
        <f t="shared" ca="1" si="494"/>
        <v/>
      </c>
      <c r="BX91" s="3" t="e">
        <f t="shared" ca="1" si="459"/>
        <v>#NUM!</v>
      </c>
      <c r="BY91" s="3" t="e">
        <f t="shared" ca="1" si="510"/>
        <v>#NUM!</v>
      </c>
      <c r="BZ91" s="3">
        <f t="shared" ca="1" si="460"/>
        <v>0</v>
      </c>
      <c r="CA91" s="3" t="str">
        <f t="shared" ca="1" si="510"/>
        <v/>
      </c>
      <c r="CB91" s="3">
        <f t="shared" ca="1" si="461"/>
        <v>0</v>
      </c>
      <c r="CC91" s="3" t="str">
        <f t="shared" ca="1" si="510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1</v>
      </c>
      <c r="CF91" s="3">
        <f>IF(RTD("tos.rtd",,CF$83,"."&amp;$C$82&amp;$AU$82&amp;"C"&amp;$A91)="N/A",0,RTD("tos.rtd",,CF$83,"."&amp;$C$82&amp;$AU$82&amp;"C"&amp;$A91))</f>
        <v>0.22</v>
      </c>
      <c r="CG91" s="3">
        <f>-IF(RTD("tos.rtd",,CG$83,"."&amp;$C$82&amp;$AU$82&amp;"P"&amp;$A91)="N/A",0,RTD("tos.rtd",,CG$83,"."&amp;$C$82&amp;$AU$82&amp;"P"&amp;$A91))</f>
        <v>1</v>
      </c>
      <c r="CH91" s="3">
        <f>IF(RTD("tos.rtd",,CH$83,"."&amp;$D$82&amp;$AW$82&amp;"C"&amp;$A91)="N/A",0,RTD("tos.rtd",,CH$83,"."&amp;$D$82&amp;$AW$82&amp;"C"&amp;$A91))</f>
        <v>0.39</v>
      </c>
      <c r="CI91" s="3">
        <f>-IF(RTD("tos.rtd",,CI$83,"."&amp;$D$82&amp;$AW$82&amp;"P"&amp;$A91)="N/A",0,RTD("tos.rtd",,CI$83,"."&amp;$D$82&amp;$AW$82&amp;"P"&amp;$A91))</f>
        <v>0.7</v>
      </c>
      <c r="CK91" s="3">
        <f t="shared" si="495"/>
        <v>-7900</v>
      </c>
      <c r="CL91" s="3"/>
      <c r="CM91" s="3">
        <f t="shared" si="496"/>
        <v>-20478</v>
      </c>
      <c r="CN91" s="3"/>
      <c r="CO91" s="3">
        <f t="shared" si="497"/>
        <v>-53462</v>
      </c>
      <c r="CP91" s="3">
        <f t="shared" si="462"/>
        <v>-81840</v>
      </c>
      <c r="CQ91" s="3">
        <f t="shared" si="463"/>
        <v>0</v>
      </c>
      <c r="CR91" s="3"/>
      <c r="CS91" s="3">
        <f t="shared" si="464"/>
        <v>0</v>
      </c>
      <c r="CT91" s="3"/>
      <c r="CU91" s="3">
        <f t="shared" si="465"/>
        <v>0</v>
      </c>
      <c r="CV91" s="3"/>
      <c r="CW91" s="3" t="e">
        <f t="shared" ca="1" si="498"/>
        <v>#NUM!</v>
      </c>
      <c r="CY91" s="3" t="e">
        <f t="shared" ca="1" si="467"/>
        <v>#NUM!</v>
      </c>
      <c r="CZ91" s="70" t="e">
        <f t="shared" ca="1" si="511"/>
        <v>#NUM!</v>
      </c>
      <c r="DA91" s="3">
        <f>IF(RTD("tos.rtd",,DA$83,"."&amp;$B$82&amp;$AS$82&amp;"C"&amp;$A91)="N/A",0,RTD("tos.rtd",,DA$83,"."&amp;$B$82&amp;$AS$82&amp;"C"&amp;$A91))</f>
        <v>0.05</v>
      </c>
      <c r="DB91" s="3">
        <f>IF(RTD("tos.rtd",,DB$83,"."&amp;$B$82&amp;$AS$82&amp;"P"&amp;$A91)="N/A",0,RTD("tos.rtd",,DB$83,"."&amp;$B$82&amp;$AS$82&amp;"P"&amp;$A91))</f>
        <v>148.02000000000001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153.1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147.1</v>
      </c>
      <c r="DG91" s="86">
        <f t="shared" si="499"/>
        <v>150.09000000000015</v>
      </c>
      <c r="DH91" s="3">
        <f t="shared" si="468"/>
        <v>-2890</v>
      </c>
      <c r="DI91" s="3">
        <f t="shared" si="469"/>
        <v>15.793333333333607</v>
      </c>
      <c r="DJ91" s="3">
        <f t="shared" si="470"/>
        <v>-2890</v>
      </c>
      <c r="DK91" s="3">
        <f t="shared" si="471"/>
        <v>-103</v>
      </c>
      <c r="DL91" s="3">
        <f t="shared" si="472"/>
        <v>-2874.2066666666665</v>
      </c>
      <c r="DM91" s="3">
        <f t="shared" si="473"/>
        <v>-2993</v>
      </c>
      <c r="DN91" s="64" t="str">
        <f t="shared" si="474"/>
        <v>UNKNOWN</v>
      </c>
      <c r="DO91" s="64" t="str">
        <f t="shared" si="475"/>
        <v>UNKNOWN</v>
      </c>
      <c r="DP91" s="3">
        <f t="shared" si="476"/>
        <v>2193.2292000000407</v>
      </c>
      <c r="DQ91" s="3">
        <f t="shared" si="477"/>
        <v>-15390.560000000001</v>
      </c>
      <c r="DR91" s="3" t="e">
        <f t="shared" ca="1" si="478"/>
        <v>#NUM!</v>
      </c>
      <c r="DS91" s="3">
        <f t="shared" si="479"/>
        <v>-103</v>
      </c>
      <c r="DT91" s="3">
        <f t="shared" si="500"/>
        <v>-2890</v>
      </c>
      <c r="DU91" s="3">
        <f t="shared" si="501"/>
        <v>103</v>
      </c>
      <c r="DV91" s="3">
        <f t="shared" si="502"/>
        <v>-470</v>
      </c>
      <c r="DW91" s="3">
        <f t="shared" si="503"/>
        <v>-41</v>
      </c>
      <c r="DX91" s="3" t="e">
        <f t="shared" ca="1" si="512"/>
        <v>#NUM!</v>
      </c>
      <c r="DY91" s="3" t="e">
        <f t="shared" ca="1" si="480"/>
        <v>#NUM!</v>
      </c>
      <c r="DZ91" s="3">
        <f t="shared" ca="1" si="504"/>
        <v>1.4867046584480746E-3</v>
      </c>
      <c r="EA91" s="3">
        <f t="shared" ca="1" si="505"/>
        <v>-1.5905014256768191E-3</v>
      </c>
      <c r="EB91" s="3">
        <f t="shared" ca="1" si="481"/>
        <v>1.6894404407838673E-3</v>
      </c>
      <c r="EC91" s="3">
        <f t="shared" ca="1" si="482"/>
        <v>-1.2445670127367605E-3</v>
      </c>
      <c r="ED91" s="63">
        <f t="shared" si="506"/>
        <v>-511</v>
      </c>
      <c r="EE91" s="59">
        <f t="shared" si="483"/>
        <v>1.1805000000000001</v>
      </c>
      <c r="EF91" s="59">
        <f t="shared" si="484"/>
        <v>1.1800999999999999</v>
      </c>
      <c r="EG91" s="59">
        <f t="shared" si="485"/>
        <v>0.28560000000000002</v>
      </c>
      <c r="EH91" s="59">
        <f t="shared" si="486"/>
        <v>0.25</v>
      </c>
      <c r="EI91" s="59">
        <f t="shared" si="487"/>
        <v>0.20649999999999999</v>
      </c>
      <c r="EJ91" s="59">
        <f t="shared" si="488"/>
        <v>0.1168</v>
      </c>
      <c r="EK91" s="63" t="e">
        <f t="shared" ca="1" si="507"/>
        <v>#NUM!</v>
      </c>
      <c r="EL91" s="3" t="str">
        <f>RTD("tos.rtd",,EL$83,"."&amp;$B$82&amp;$AS$82&amp;"C"&amp;$A91)</f>
        <v>118.05%</v>
      </c>
      <c r="EM91" s="3" t="str">
        <f>RTD("tos.rtd",,EM$83,"."&amp;$B$82&amp;$AS$82&amp;"P"&amp;$A91)</f>
        <v>118.01%</v>
      </c>
      <c r="EN91" s="3" t="str">
        <f>RTD("tos.rtd",,EN$83,"."&amp;$C$82&amp;$AU$82&amp;"C"&amp;$A91)</f>
        <v>28.56%</v>
      </c>
      <c r="EO91" s="3" t="str">
        <f>RTD("tos.rtd",,EO$83,"."&amp;$C$82&amp;$AU$82&amp;"P"&amp;$A91)</f>
        <v>--</v>
      </c>
      <c r="EP91" s="3" t="str">
        <f>RTD("tos.rtd",,EP$83,"."&amp;$D$82&amp;$AW$82&amp;"C"&amp;$A91)</f>
        <v>20.65%</v>
      </c>
      <c r="EQ91" s="3" t="str">
        <f>RTD("tos.rtd",,EQ$83,"."&amp;$D$82&amp;$AW$82&amp;"P"&amp;$A91)</f>
        <v>11.68%</v>
      </c>
      <c r="ES91" s="63" t="str">
        <f t="shared" si="489"/>
        <v>5810,-511.00</v>
      </c>
      <c r="ET91" s="63" t="str">
        <f t="shared" ca="1" si="490"/>
        <v>5810,00.00</v>
      </c>
      <c r="EU91" s="67">
        <v>565.26</v>
      </c>
      <c r="EV91" s="67" t="s">
        <v>747</v>
      </c>
      <c r="EW91" s="67">
        <v>488.85</v>
      </c>
      <c r="EX91" s="67" t="s">
        <v>748</v>
      </c>
      <c r="EY91" s="67">
        <v>5663.94</v>
      </c>
      <c r="EZ91" s="67" t="s">
        <v>749</v>
      </c>
      <c r="FA91" s="67">
        <v>20063.564999999999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508"/>
        <v>5800</v>
      </c>
      <c r="B92" s="3">
        <f t="shared" si="451"/>
        <v>7715</v>
      </c>
      <c r="C92" s="3">
        <f t="shared" si="452"/>
        <v>42532</v>
      </c>
      <c r="D92" s="3">
        <f t="shared" si="453"/>
        <v>80115</v>
      </c>
      <c r="E92" s="3">
        <f t="shared" si="454"/>
        <v>130362</v>
      </c>
      <c r="F92" s="4">
        <f t="shared" si="509"/>
        <v>5892.3198425416658</v>
      </c>
      <c r="G92" s="4">
        <f t="shared" si="491"/>
        <v>585.5838697081756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3408</v>
      </c>
      <c r="AN92" s="20">
        <v>-82</v>
      </c>
      <c r="AO92" s="20">
        <v>5800</v>
      </c>
      <c r="AP92" s="20">
        <v>19006</v>
      </c>
      <c r="AQ92" s="20">
        <v>-136</v>
      </c>
      <c r="AR92" s="20"/>
      <c r="AS92" s="54">
        <f>IF(RTD("tos.rtd",,AS$83,"."&amp;$B$82&amp;$AS$82&amp;"C"&amp;$A92)="N/A",0,RTD("tos.rtd",,AS$83,"."&amp;$B$82&amp;$AS$82&amp;"C"&amp;$A92))</f>
        <v>7493</v>
      </c>
      <c r="AT92" s="3">
        <f>-IF(RTD("tos.rtd",,AT$83,"."&amp;$B$82&amp;$AS$82&amp;"P"&amp;$A92)="N/A",0,RTD("tos.rtd",,AT$83,"."&amp;$B$82&amp;$AS$82&amp;"P"&amp;$A92))</f>
        <v>-222</v>
      </c>
      <c r="AU92" s="54">
        <f>IF(RTD("tos.rtd",,AU$83,"."&amp;$C$82&amp;$AU$82&amp;"C"&amp;$A92)="N/A",0,RTD("tos.rtd",,AU$83,"."&amp;$C$82&amp;$AU$82&amp;"C"&amp;$A92))</f>
        <v>20149</v>
      </c>
      <c r="AV92" s="3">
        <f>-IF(RTD("tos.rtd",,AV$83,"."&amp;$C$82&amp;$AU$82&amp;"P"&amp;$A92)="N/A",0,RTD("tos.rtd",,AV$83,"."&amp;$C$82&amp;$AU$82&amp;"P"&amp;$A92))</f>
        <v>-22383</v>
      </c>
      <c r="AW92" s="54">
        <f>IF(RTD("tos.rtd",,AW$83,"."&amp;$D$82&amp;$AW$82&amp;"C"&amp;$A92)="N/A",0,RTD("tos.rtd",,AW$83,"."&amp;$D$82&amp;$AW$82&amp;"C"&amp;$A92))</f>
        <v>43352</v>
      </c>
      <c r="AX92" s="3">
        <f>-IF(RTD("tos.rtd",,AX$83,"."&amp;$D$82&amp;$AW$82&amp;"P"&amp;$A92)="N/A",0,RTD("tos.rtd",,AX$83,"."&amp;$D$82&amp;$AW$82&amp;"P"&amp;$A92))</f>
        <v>-36763</v>
      </c>
      <c r="AY92" s="79">
        <f t="shared" si="492"/>
        <v>11626</v>
      </c>
      <c r="AZ92" s="8">
        <f t="shared" si="455"/>
        <v>5800</v>
      </c>
      <c r="BA92" s="54">
        <f>IF(RTD("tos.rtd",,BA$83,"."&amp;$B$82&amp;$AS$82&amp;"C"&amp;$A92)="N/A",0,RTD("tos.rtd",,BA$83,"."&amp;$B$82&amp;$AS$82&amp;"C"&amp;$A92))</f>
        <v>0</v>
      </c>
      <c r="BB92" s="3">
        <f>-IF(RTD("tos.rtd",,BB$83,"."&amp;$B$82&amp;$AS$82&amp;"P"&amp;$A92)="N/A",0,RTD("tos.rtd",,BB$83,"."&amp;$B$82&amp;$AS$82&amp;"P"&amp;$A92))</f>
        <v>0</v>
      </c>
      <c r="BC92" s="54">
        <f>IF(RTD("tos.rtd",,BC$83,"."&amp;$C$82&amp;$AU$82&amp;"C"&amp;$A92)="N/A",0,RTD("tos.rtd",,BC$83,"."&amp;$C$82&amp;$AU$82&amp;"C"&amp;$A92))</f>
        <v>0</v>
      </c>
      <c r="BD92" s="3">
        <f>-IF(RTD("tos.rtd",,BD$83,"."&amp;$C$82&amp;$AU$82&amp;"P"&amp;$A92)="N/A",0,RTD("tos.rtd",,BD$83,"."&amp;$C$82&amp;$AU$82&amp;"P"&amp;$A92))</f>
        <v>0</v>
      </c>
      <c r="BE92" s="54">
        <f>IF(RTD("tos.rtd",,BE$83,"."&amp;$D$82&amp;$AW$82&amp;"C"&amp;$A92)="N/A",0,RTD("tos.rtd",,BE$83,"."&amp;$D$82&amp;$AW$82&amp;"C"&amp;$A92))</f>
        <v>0</v>
      </c>
      <c r="BF92" s="3">
        <f>-IF(RTD("tos.rtd",,BF$83,"."&amp;$D$82&amp;$AW$82&amp;"P"&amp;$A92)="N/A",0,RTD("tos.rtd",,BF$83,"."&amp;$D$82&amp;$AW$82&amp;"P"&amp;$A92))</f>
        <v>0</v>
      </c>
      <c r="BG92" s="3">
        <f ca="1">+Hoja2!Y93</f>
        <v>1</v>
      </c>
      <c r="BH92" s="55">
        <f t="shared" ca="1" si="493"/>
        <v>1</v>
      </c>
      <c r="BI92" s="32" t="str">
        <f t="shared" ca="1" si="513"/>
        <v/>
      </c>
      <c r="BJ92" s="3" t="e">
        <f ca="1">IF($BP$1=1,DX92,IF(RTD("tos.rtd",,BJ$83,"."&amp;$B$82&amp;$AS$82&amp;"C"&amp;$A92)="N/A",0,RTD("tos.rtd",,BJ$83,"."&amp;$B$82&amp;$AS$82&amp;"C"&amp;$A92)))</f>
        <v>#NUM!</v>
      </c>
      <c r="BK92" s="3" t="e">
        <f ca="1">IF($BP$1=1,DY92,-IF(RTD("tos.rtd",,BK$83,"."&amp;$B$82&amp;$AS$82&amp;"P"&amp;$A92)="N/A",0,RTD("tos.rtd",,BK$83,"."&amp;$B$82&amp;$AS$82&amp;"P"&amp;$A92)))</f>
        <v>#NUM!</v>
      </c>
      <c r="BL92" s="3">
        <f ca="1">IF($BP$1=1,DZ92,IF(RTD("tos.rtd",,BL$83,"."&amp;$C$82&amp;$AU$82&amp;"C"&amp;$A92)="N/A",0,RTD("tos.rtd",,BL$83,"."&amp;$C$82&amp;$AU$82&amp;"C"&amp;$A92)))</f>
        <v>1.5122451281779161E-3</v>
      </c>
      <c r="BM92" s="3">
        <f ca="1">IF($BP$1=1,EA92,-IF(RTD("tos.rtd",,BM$83,"."&amp;$C$82&amp;$AU$82&amp;"P"&amp;$A92)="N/A",0,RTD("tos.rtd",,BM$83,"."&amp;$C$82&amp;$AU$82&amp;"P"&amp;$A92)))</f>
        <v>-1.648737313148916E-3</v>
      </c>
      <c r="BN92" s="3">
        <f ca="1">IF($BP$1=1,EB92,IF(RTD("tos.rtd",,BN$83,"."&amp;$D$82&amp;$AW$82&amp;"C"&amp;$A92)="N/A",0,RTD("tos.rtd",,BN$83,"."&amp;$D$82&amp;$AW$82&amp;"C"&amp;$A92)))</f>
        <v>1.7760843486482113E-3</v>
      </c>
      <c r="BO92" s="3">
        <f ca="1">IF($BP$1=1,EC92,-IF(RTD("tos.rtd",,BO$83,"."&amp;$D$82&amp;$AW$82&amp;"P"&amp;$A92)="N/A",0,RTD("tos.rtd",,BO$83,"."&amp;$D$82&amp;$AW$82&amp;"P"&amp;$A92)))</f>
        <v>-1.5252513574110741E-3</v>
      </c>
      <c r="BQ92" s="3" t="e">
        <f t="shared" ca="1" si="456"/>
        <v>#NUM!</v>
      </c>
      <c r="BR92" s="3" t="e">
        <f t="shared" ca="1" si="494"/>
        <v>#NUM!</v>
      </c>
      <c r="BS92" s="3">
        <f t="shared" ca="1" si="457"/>
        <v>-1583819.2673855703</v>
      </c>
      <c r="BT92" s="3" t="str">
        <f t="shared" ca="1" si="494"/>
        <v>Cruce -</v>
      </c>
      <c r="BU92" s="3">
        <f t="shared" ca="1" si="458"/>
        <v>5151166.296179587</v>
      </c>
      <c r="BV92" s="3" t="str">
        <f t="shared" ca="1" si="494"/>
        <v/>
      </c>
      <c r="BX92" s="3" t="e">
        <f t="shared" ca="1" si="459"/>
        <v>#NUM!</v>
      </c>
      <c r="BY92" s="3" t="e">
        <f t="shared" ca="1" si="510"/>
        <v>#NUM!</v>
      </c>
      <c r="BZ92" s="3">
        <f t="shared" ca="1" si="460"/>
        <v>0</v>
      </c>
      <c r="CA92" s="3" t="str">
        <f t="shared" ca="1" si="510"/>
        <v/>
      </c>
      <c r="CB92" s="3">
        <f t="shared" ca="1" si="461"/>
        <v>0</v>
      </c>
      <c r="CC92" s="3" t="str">
        <f t="shared" ca="1" si="510"/>
        <v/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0.99</v>
      </c>
      <c r="CF92" s="3">
        <f>IF(RTD("tos.rtd",,CF$83,"."&amp;$C$82&amp;$AU$82&amp;"C"&amp;$A92)="N/A",0,RTD("tos.rtd",,CF$83,"."&amp;$C$82&amp;$AU$82&amp;"C"&amp;$A92))</f>
        <v>0.24</v>
      </c>
      <c r="CG92" s="3">
        <f>-IF(RTD("tos.rtd",,CG$83,"."&amp;$C$82&amp;$AU$82&amp;"P"&amp;$A92)="N/A",0,RTD("tos.rtd",,CG$83,"."&amp;$C$82&amp;$AU$82&amp;"P"&amp;$A92))</f>
        <v>1</v>
      </c>
      <c r="CH92" s="3">
        <f>IF(RTD("tos.rtd",,CH$83,"."&amp;$D$82&amp;$AW$82&amp;"C"&amp;$A92)="N/A",0,RTD("tos.rtd",,CH$83,"."&amp;$D$82&amp;$AW$82&amp;"C"&amp;$A92))</f>
        <v>0.4</v>
      </c>
      <c r="CI92" s="3">
        <f>-IF(RTD("tos.rtd",,CI$83,"."&amp;$D$82&amp;$AW$82&amp;"P"&amp;$A92)="N/A",0,RTD("tos.rtd",,CI$83,"."&amp;$D$82&amp;$AW$82&amp;"P"&amp;$A92))</f>
        <v>0.68</v>
      </c>
      <c r="CK92" s="3">
        <f t="shared" si="495"/>
        <v>-21978</v>
      </c>
      <c r="CL92" s="3"/>
      <c r="CM92" s="3">
        <f t="shared" si="496"/>
        <v>-1754724</v>
      </c>
      <c r="CN92" s="3"/>
      <c r="CO92" s="3">
        <f t="shared" si="497"/>
        <v>-765804</v>
      </c>
      <c r="CP92" s="3">
        <f t="shared" si="462"/>
        <v>-2542506</v>
      </c>
      <c r="CQ92" s="3">
        <f t="shared" si="463"/>
        <v>0</v>
      </c>
      <c r="CR92" s="3"/>
      <c r="CS92" s="3">
        <f t="shared" si="464"/>
        <v>0</v>
      </c>
      <c r="CT92" s="3"/>
      <c r="CU92" s="3">
        <f t="shared" si="465"/>
        <v>0</v>
      </c>
      <c r="CV92" s="3"/>
      <c r="CW92" s="3" t="e">
        <f t="shared" ca="1" si="498"/>
        <v>#NUM!</v>
      </c>
      <c r="CY92" s="3" t="e">
        <f t="shared" ca="1" si="467"/>
        <v>#NUM!</v>
      </c>
      <c r="CZ92" s="70" t="e">
        <f t="shared" ca="1" si="511"/>
        <v>#NUM!</v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131.08000000000001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143.1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137.5</v>
      </c>
      <c r="DG92" s="86">
        <f t="shared" si="499"/>
        <v>140.09000000000015</v>
      </c>
      <c r="DH92" s="3">
        <f t="shared" si="468"/>
        <v>-11403.6</v>
      </c>
      <c r="DI92" s="3">
        <f t="shared" si="469"/>
        <v>-155.9142857142856</v>
      </c>
      <c r="DJ92" s="3">
        <f t="shared" si="470"/>
        <v>-19006</v>
      </c>
      <c r="DK92" s="3">
        <f t="shared" si="471"/>
        <v>-136</v>
      </c>
      <c r="DL92" s="3">
        <f t="shared" si="472"/>
        <v>-11559.514285714286</v>
      </c>
      <c r="DM92" s="3">
        <f t="shared" si="473"/>
        <v>-19142</v>
      </c>
      <c r="DN92" s="64" t="str">
        <f t="shared" si="474"/>
        <v>UNKNOWN</v>
      </c>
      <c r="DO92" s="64" t="str">
        <f t="shared" si="475"/>
        <v>UNKNOWN</v>
      </c>
      <c r="DP92" s="3">
        <f t="shared" si="476"/>
        <v>-20779.352571428557</v>
      </c>
      <c r="DQ92" s="3">
        <f t="shared" si="477"/>
        <v>-18397.060000000001</v>
      </c>
      <c r="DR92" s="3" t="e">
        <f t="shared" ca="1" si="478"/>
        <v>#NUM!</v>
      </c>
      <c r="DS92" s="3">
        <f t="shared" si="479"/>
        <v>-134.63999999999999</v>
      </c>
      <c r="DT92" s="3">
        <f t="shared" si="500"/>
        <v>-19006</v>
      </c>
      <c r="DU92" s="3">
        <f t="shared" si="501"/>
        <v>136</v>
      </c>
      <c r="DV92" s="3">
        <f t="shared" si="502"/>
        <v>3408</v>
      </c>
      <c r="DW92" s="3">
        <f t="shared" si="503"/>
        <v>-82</v>
      </c>
      <c r="DX92" s="3" t="e">
        <f t="shared" ca="1" si="512"/>
        <v>#NUM!</v>
      </c>
      <c r="DY92" s="3" t="e">
        <f t="shared" ca="1" si="480"/>
        <v>#NUM!</v>
      </c>
      <c r="DZ92" s="3">
        <f t="shared" ca="1" si="504"/>
        <v>1.5122451281779161E-3</v>
      </c>
      <c r="EA92" s="3">
        <f t="shared" ca="1" si="505"/>
        <v>-1.648737313148916E-3</v>
      </c>
      <c r="EB92" s="3">
        <f t="shared" ca="1" si="481"/>
        <v>1.7760843486482113E-3</v>
      </c>
      <c r="EC92" s="3">
        <f t="shared" ca="1" si="482"/>
        <v>-1.5252513574110741E-3</v>
      </c>
      <c r="ED92" s="63">
        <f t="shared" si="506"/>
        <v>3326</v>
      </c>
      <c r="EE92" s="59">
        <f t="shared" si="483"/>
        <v>1.1097999999999999</v>
      </c>
      <c r="EF92" s="59">
        <f t="shared" si="484"/>
        <v>1.4089</v>
      </c>
      <c r="EG92" s="59">
        <f t="shared" si="485"/>
        <v>0.2903</v>
      </c>
      <c r="EH92" s="59">
        <f t="shared" si="486"/>
        <v>0.25</v>
      </c>
      <c r="EI92" s="59">
        <f t="shared" si="487"/>
        <v>0.2087</v>
      </c>
      <c r="EJ92" s="59">
        <f t="shared" si="488"/>
        <v>0.12039999999999999</v>
      </c>
      <c r="EK92" s="63" t="e">
        <f t="shared" ca="1" si="507"/>
        <v>#NUM!</v>
      </c>
      <c r="EL92" s="3" t="str">
        <f>RTD("tos.rtd",,EL$83,"."&amp;$B$82&amp;$AS$82&amp;"C"&amp;$A92)</f>
        <v>110.98%</v>
      </c>
      <c r="EM92" s="3" t="str">
        <f>RTD("tos.rtd",,EM$83,"."&amp;$B$82&amp;$AS$82&amp;"P"&amp;$A92)</f>
        <v>140.89%</v>
      </c>
      <c r="EN92" s="3" t="str">
        <f>RTD("tos.rtd",,EN$83,"."&amp;$C$82&amp;$AU$82&amp;"C"&amp;$A92)</f>
        <v>29.03%</v>
      </c>
      <c r="EO92" s="3" t="str">
        <f>RTD("tos.rtd",,EO$83,"."&amp;$C$82&amp;$AU$82&amp;"P"&amp;$A92)</f>
        <v>--</v>
      </c>
      <c r="EP92" s="3" t="str">
        <f>RTD("tos.rtd",,EP$83,"."&amp;$D$82&amp;$AW$82&amp;"C"&amp;$A92)</f>
        <v>20.87%</v>
      </c>
      <c r="EQ92" s="3" t="str">
        <f>RTD("tos.rtd",,EQ$83,"."&amp;$D$82&amp;$AW$82&amp;"P"&amp;$A92)</f>
        <v>12.04%</v>
      </c>
      <c r="ES92" s="63" t="str">
        <f t="shared" si="489"/>
        <v>5800,3326.00</v>
      </c>
      <c r="ET92" s="63" t="str">
        <f t="shared" ca="1" si="490"/>
        <v>5800,00.00</v>
      </c>
      <c r="EU92" s="67">
        <v>565.26</v>
      </c>
      <c r="EV92" s="67" t="s">
        <v>755</v>
      </c>
      <c r="EW92" s="67">
        <v>488.85</v>
      </c>
      <c r="EX92" s="67" t="s">
        <v>756</v>
      </c>
      <c r="EY92" s="67">
        <v>5663.94</v>
      </c>
      <c r="EZ92" s="67" t="s">
        <v>757</v>
      </c>
      <c r="FA92" s="67">
        <v>20063.564999999999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508"/>
        <v>5790</v>
      </c>
      <c r="B93" s="3">
        <f t="shared" si="451"/>
        <v>2415</v>
      </c>
      <c r="C93" s="3">
        <f t="shared" si="452"/>
        <v>3396</v>
      </c>
      <c r="D93" s="3">
        <f t="shared" si="453"/>
        <v>1785</v>
      </c>
      <c r="E93" s="3">
        <f t="shared" si="454"/>
        <v>7596</v>
      </c>
      <c r="F93" s="4">
        <f>+$F$84/$A$84*A93</f>
        <v>5882.160670399353</v>
      </c>
      <c r="G93" s="4">
        <f t="shared" si="491"/>
        <v>584.57424234660982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-322</v>
      </c>
      <c r="AN93" s="20">
        <v>-193</v>
      </c>
      <c r="AO93" s="20">
        <v>5790</v>
      </c>
      <c r="AP93" s="20">
        <v>3345</v>
      </c>
      <c r="AQ93" s="20">
        <v>-759</v>
      </c>
      <c r="AR93" s="20"/>
      <c r="AS93" s="54">
        <f>IF(RTD("tos.rtd",,AS$83,"."&amp;$B$82&amp;$AS$82&amp;"C"&amp;$A93)="N/A",0,RTD("tos.rtd",,AS$83,"."&amp;$B$82&amp;$AS$82&amp;"C"&amp;$A93))</f>
        <v>1853</v>
      </c>
      <c r="AT93" s="3">
        <f>-IF(RTD("tos.rtd",,AT$83,"."&amp;$B$82&amp;$AS$82&amp;"P"&amp;$A93)="N/A",0,RTD("tos.rtd",,AT$83,"."&amp;$B$82&amp;$AS$82&amp;"P"&amp;$A93))</f>
        <v>-562</v>
      </c>
      <c r="AU93" s="54">
        <f>IF(RTD("tos.rtd",,AU$83,"."&amp;$C$82&amp;$AU$82&amp;"C"&amp;$A93)="N/A",0,RTD("tos.rtd",,AU$83,"."&amp;$C$82&amp;$AU$82&amp;"C"&amp;$A93))</f>
        <v>1922</v>
      </c>
      <c r="AV93" s="3">
        <f>-IF(RTD("tos.rtd",,AV$83,"."&amp;$C$82&amp;$AU$82&amp;"P"&amp;$A93)="N/A",0,RTD("tos.rtd",,AV$83,"."&amp;$C$82&amp;$AU$82&amp;"P"&amp;$A93))</f>
        <v>-1474</v>
      </c>
      <c r="AW93" s="54">
        <f>IF(RTD("tos.rtd",,AW$83,"."&amp;$D$82&amp;$AW$82&amp;"C"&amp;$A93)="N/A",0,RTD("tos.rtd",,AW$83,"."&amp;$D$82&amp;$AW$82&amp;"C"&amp;$A93))</f>
        <v>920</v>
      </c>
      <c r="AX93" s="3">
        <f>-IF(RTD("tos.rtd",,AX$83,"."&amp;$D$82&amp;$AW$82&amp;"P"&amp;$A93)="N/A",0,RTD("tos.rtd",,AX$83,"."&amp;$D$82&amp;$AW$82&amp;"P"&amp;$A93))</f>
        <v>-865</v>
      </c>
      <c r="AY93" s="79">
        <f t="shared" si="492"/>
        <v>1794</v>
      </c>
      <c r="AZ93" s="8">
        <f t="shared" si="455"/>
        <v>5790</v>
      </c>
      <c r="BA93" s="54">
        <f>IF(RTD("tos.rtd",,BA$83,"."&amp;$B$82&amp;$AS$82&amp;"C"&amp;$A93)="N/A",0,RTD("tos.rtd",,BA$83,"."&amp;$B$82&amp;$AS$82&amp;"C"&amp;$A93))</f>
        <v>0</v>
      </c>
      <c r="BB93" s="3">
        <f>-IF(RTD("tos.rtd",,BB$83,"."&amp;$B$82&amp;$AS$82&amp;"P"&amp;$A93)="N/A",0,RTD("tos.rtd",,BB$83,"."&amp;$B$82&amp;$AS$82&amp;"P"&amp;$A93))</f>
        <v>0</v>
      </c>
      <c r="BC93" s="54">
        <f>IF(RTD("tos.rtd",,BC$83,"."&amp;$C$82&amp;$AU$82&amp;"C"&amp;$A93)="N/A",0,RTD("tos.rtd",,BC$83,"."&amp;$C$82&amp;$AU$82&amp;"C"&amp;$A93))</f>
        <v>0</v>
      </c>
      <c r="BD93" s="3">
        <f>-IF(RTD("tos.rtd",,BD$83,"."&amp;$C$82&amp;$AU$82&amp;"P"&amp;$A93)="N/A",0,RTD("tos.rtd",,BD$83,"."&amp;$C$82&amp;$AU$82&amp;"P"&amp;$A93))</f>
        <v>0</v>
      </c>
      <c r="BE93" s="54">
        <f>IF(RTD("tos.rtd",,BE$83,"."&amp;$D$82&amp;$AW$82&amp;"C"&amp;$A93)="N/A",0,RTD("tos.rtd",,BE$83,"."&amp;$D$82&amp;$AW$82&amp;"C"&amp;$A93))</f>
        <v>0</v>
      </c>
      <c r="BF93" s="3">
        <f>-IF(RTD("tos.rtd",,BF$83,"."&amp;$D$82&amp;$AW$82&amp;"P"&amp;$A93)="N/A",0,RTD("tos.rtd",,BF$83,"."&amp;$D$82&amp;$AW$82&amp;"P"&amp;$A93))</f>
        <v>0</v>
      </c>
      <c r="BG93" s="3">
        <f ca="1">+Hoja2!Y94</f>
        <v>0</v>
      </c>
      <c r="BH93" s="55">
        <f t="shared" ca="1" si="493"/>
        <v>0</v>
      </c>
      <c r="BI93" s="32" t="str">
        <f t="shared" ca="1" si="513"/>
        <v/>
      </c>
      <c r="BJ93" s="3" t="e">
        <f ca="1">IF($BP$1=1,DX93,IF(RTD("tos.rtd",,BJ$83,"."&amp;$B$82&amp;$AS$82&amp;"C"&amp;$A93)="N/A",0,RTD("tos.rtd",,BJ$83,"."&amp;$B$82&amp;$AS$82&amp;"C"&amp;$A93)))</f>
        <v>#NUM!</v>
      </c>
      <c r="BK93" s="3" t="e">
        <f ca="1">IF($BP$1=1,DY93,-IF(RTD("tos.rtd",,BK$83,"."&amp;$B$82&amp;$AS$82&amp;"P"&amp;$A93)="N/A",0,RTD("tos.rtd",,BK$83,"."&amp;$B$82&amp;$AS$82&amp;"P"&amp;$A93)))</f>
        <v>#NUM!</v>
      </c>
      <c r="BL93" s="3">
        <f ca="1">IF($BP$1=1,DZ93,IF(RTD("tos.rtd",,BL$83,"."&amp;$C$82&amp;$AU$82&amp;"C"&amp;$A93)="N/A",0,RTD("tos.rtd",,BL$83,"."&amp;$C$82&amp;$AU$82&amp;"C"&amp;$A93)))</f>
        <v>1.5272470825743035E-3</v>
      </c>
      <c r="BM93" s="3">
        <f ca="1">IF($BP$1=1,EA93,-IF(RTD("tos.rtd",,BM$83,"."&amp;$C$82&amp;$AU$82&amp;"P"&amp;$A93)="N/A",0,RTD("tos.rtd",,BM$83,"."&amp;$C$82&amp;$AU$82&amp;"P"&amp;$A93)))</f>
        <v>-1.7047878293616119E-3</v>
      </c>
      <c r="BN93" s="3">
        <f ca="1">IF($BP$1=1,EB93,IF(RTD("tos.rtd",,BN$83,"."&amp;$D$82&amp;$AW$82&amp;"C"&amp;$A93)="N/A",0,RTD("tos.rtd",,BN$83,"."&amp;$D$82&amp;$AW$82&amp;"C"&amp;$A93)))</f>
        <v>1.8561792693656005E-3</v>
      </c>
      <c r="BO93" s="3">
        <f ca="1">IF($BP$1=1,EC93,-IF(RTD("tos.rtd",,BO$83,"."&amp;$D$82&amp;$AW$82&amp;"P"&amp;$A93)="N/A",0,RTD("tos.rtd",,BO$83,"."&amp;$D$82&amp;$AW$82&amp;"P"&amp;$A93)))</f>
        <v>-1.7993362211349128E-3</v>
      </c>
      <c r="BQ93" s="3" t="e">
        <f t="shared" ca="1" si="456"/>
        <v>#NUM!</v>
      </c>
      <c r="BR93" s="3" t="e">
        <f t="shared" ca="1" si="494"/>
        <v>#NUM!</v>
      </c>
      <c r="BS93" s="3">
        <f t="shared" ca="1" si="457"/>
        <v>104015.88628664461</v>
      </c>
      <c r="BT93" s="3" t="str">
        <f t="shared" ca="1" si="494"/>
        <v>Cruce +</v>
      </c>
      <c r="BU93" s="3">
        <f t="shared" ca="1" si="458"/>
        <v>37237.670598496683</v>
      </c>
      <c r="BV93" s="3" t="str">
        <f t="shared" ca="1" si="494"/>
        <v/>
      </c>
      <c r="BX93" s="3" t="e">
        <f t="shared" ca="1" si="459"/>
        <v>#NUM!</v>
      </c>
      <c r="BY93" s="3" t="e">
        <f t="shared" ca="1" si="510"/>
        <v>#NUM!</v>
      </c>
      <c r="BZ93" s="3">
        <f t="shared" ca="1" si="460"/>
        <v>0</v>
      </c>
      <c r="CA93" s="3" t="str">
        <f t="shared" ca="1" si="510"/>
        <v/>
      </c>
      <c r="CB93" s="3">
        <f t="shared" ca="1" si="461"/>
        <v>0</v>
      </c>
      <c r="CC93" s="3" t="str">
        <f t="shared" ca="1" si="510"/>
        <v/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0.99</v>
      </c>
      <c r="CF93" s="3">
        <f>IF(RTD("tos.rtd",,CF$83,"."&amp;$C$82&amp;$AU$82&amp;"C"&amp;$A93)="N/A",0,RTD("tos.rtd",,CF$83,"."&amp;$C$82&amp;$AU$82&amp;"C"&amp;$A93))</f>
        <v>0.26</v>
      </c>
      <c r="CG93" s="3">
        <f>-IF(RTD("tos.rtd",,CG$83,"."&amp;$C$82&amp;$AU$82&amp;"P"&amp;$A93)="N/A",0,RTD("tos.rtd",,CG$83,"."&amp;$C$82&amp;$AU$82&amp;"P"&amp;$A93))</f>
        <v>1</v>
      </c>
      <c r="CH93" s="3">
        <f>IF(RTD("tos.rtd",,CH$83,"."&amp;$D$82&amp;$AW$82&amp;"C"&amp;$A93)="N/A",0,RTD("tos.rtd",,CH$83,"."&amp;$D$82&amp;$AW$82&amp;"C"&amp;$A93))</f>
        <v>0.41</v>
      </c>
      <c r="CI93" s="3">
        <f>-IF(RTD("tos.rtd",,CI$83,"."&amp;$D$82&amp;$AW$82&amp;"P"&amp;$A93)="N/A",0,RTD("tos.rtd",,CI$83,"."&amp;$D$82&amp;$AW$82&amp;"P"&amp;$A93))</f>
        <v>0.66</v>
      </c>
      <c r="CK93" s="3">
        <f t="shared" ref="CK93:CK98" si="514">+AS93*CD93*100+AT93*CE93*100</f>
        <v>-55638</v>
      </c>
      <c r="CL93" s="3"/>
      <c r="CM93" s="3">
        <f t="shared" ref="CM93:CM98" si="515">+AU93*CF93*100+AV93*CG93*100</f>
        <v>-97428</v>
      </c>
      <c r="CN93" s="3"/>
      <c r="CO93" s="3">
        <f t="shared" ref="CO93:CO98" si="516">+AW93*CH93*100+AX93*CI93*100</f>
        <v>-19370</v>
      </c>
      <c r="CP93" s="3">
        <f t="shared" si="462"/>
        <v>-172436</v>
      </c>
      <c r="CQ93" s="3">
        <f t="shared" si="463"/>
        <v>0</v>
      </c>
      <c r="CR93" s="3"/>
      <c r="CS93" s="3">
        <f t="shared" si="464"/>
        <v>0</v>
      </c>
      <c r="CT93" s="3"/>
      <c r="CU93" s="3">
        <f t="shared" si="465"/>
        <v>0</v>
      </c>
      <c r="CV93" s="3"/>
      <c r="CW93" s="3" t="e">
        <f t="shared" ca="1" si="498"/>
        <v>#NUM!</v>
      </c>
      <c r="CY93" s="3" t="e">
        <f t="shared" ca="1" si="467"/>
        <v>#NUM!</v>
      </c>
      <c r="CZ93" s="70" t="e">
        <f t="shared" ca="1" si="511"/>
        <v>#NUM!</v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131.1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133.1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127.5</v>
      </c>
      <c r="DG93" s="86">
        <f t="shared" si="499"/>
        <v>130.09000000000015</v>
      </c>
      <c r="DH93" s="3">
        <f t="shared" si="468"/>
        <v>-2007</v>
      </c>
      <c r="DI93" s="3">
        <f t="shared" si="469"/>
        <v>487.9285714285711</v>
      </c>
      <c r="DJ93" s="3">
        <f t="shared" si="470"/>
        <v>-3345</v>
      </c>
      <c r="DK93" s="3">
        <f t="shared" si="471"/>
        <v>759</v>
      </c>
      <c r="DL93" s="3">
        <f t="shared" si="472"/>
        <v>-1519.0714285714289</v>
      </c>
      <c r="DM93" s="3">
        <f t="shared" si="473"/>
        <v>-2586</v>
      </c>
      <c r="DN93" s="64" t="str">
        <f t="shared" si="474"/>
        <v>UNKNOWN</v>
      </c>
      <c r="DO93" s="64" t="str">
        <f t="shared" si="475"/>
        <v>UNKNOWN</v>
      </c>
      <c r="DP93" s="3">
        <f t="shared" si="476"/>
        <v>63907.225714285669</v>
      </c>
      <c r="DQ93" s="3">
        <f t="shared" si="477"/>
        <v>99404.549999999988</v>
      </c>
      <c r="DR93" s="3" t="e">
        <f t="shared" ca="1" si="478"/>
        <v>#NUM!</v>
      </c>
      <c r="DS93" s="3">
        <f t="shared" si="479"/>
        <v>751.41</v>
      </c>
      <c r="DT93" s="3">
        <f t="shared" si="500"/>
        <v>-3345</v>
      </c>
      <c r="DU93" s="3">
        <f t="shared" si="501"/>
        <v>759</v>
      </c>
      <c r="DV93" s="3">
        <f t="shared" si="502"/>
        <v>-322</v>
      </c>
      <c r="DW93" s="3">
        <f t="shared" si="503"/>
        <v>-193</v>
      </c>
      <c r="DX93" s="3" t="e">
        <f t="shared" ca="1" si="512"/>
        <v>#NUM!</v>
      </c>
      <c r="DY93" s="3" t="e">
        <f t="shared" ca="1" si="480"/>
        <v>#NUM!</v>
      </c>
      <c r="DZ93" s="3">
        <f t="shared" ca="1" si="504"/>
        <v>1.5272470825743035E-3</v>
      </c>
      <c r="EA93" s="3">
        <f t="shared" ca="1" si="505"/>
        <v>-1.7047878293616119E-3</v>
      </c>
      <c r="EB93" s="3">
        <f t="shared" ca="1" si="481"/>
        <v>1.8561792693656005E-3</v>
      </c>
      <c r="EC93" s="3">
        <f t="shared" ca="1" si="482"/>
        <v>-1.7993362211349128E-3</v>
      </c>
      <c r="ED93" s="63">
        <f t="shared" si="506"/>
        <v>-515</v>
      </c>
      <c r="EE93" s="59">
        <f t="shared" si="483"/>
        <v>1.0386</v>
      </c>
      <c r="EF93" s="59">
        <f t="shared" si="484"/>
        <v>1.3222</v>
      </c>
      <c r="EG93" s="59">
        <f t="shared" si="485"/>
        <v>0.29649999999999999</v>
      </c>
      <c r="EH93" s="59">
        <f t="shared" si="486"/>
        <v>0.25</v>
      </c>
      <c r="EI93" s="59">
        <f t="shared" si="487"/>
        <v>0.2109</v>
      </c>
      <c r="EJ93" s="59">
        <f t="shared" si="488"/>
        <v>0.12330000000000001</v>
      </c>
      <c r="EK93" s="63" t="e">
        <f t="shared" ca="1" si="507"/>
        <v>#NUM!</v>
      </c>
      <c r="EL93" s="3" t="str">
        <f>RTD("tos.rtd",,EL$83,"."&amp;$B$82&amp;$AS$82&amp;"C"&amp;$A93)</f>
        <v>103.86%</v>
      </c>
      <c r="EM93" s="3" t="str">
        <f>RTD("tos.rtd",,EM$83,"."&amp;$B$82&amp;$AS$82&amp;"P"&amp;$A93)</f>
        <v>132.22%</v>
      </c>
      <c r="EN93" s="3" t="str">
        <f>RTD("tos.rtd",,EN$83,"."&amp;$C$82&amp;$AU$82&amp;"C"&amp;$A93)</f>
        <v>29.65%</v>
      </c>
      <c r="EO93" s="3" t="str">
        <f>RTD("tos.rtd",,EO$83,"."&amp;$C$82&amp;$AU$82&amp;"P"&amp;$A93)</f>
        <v>--</v>
      </c>
      <c r="EP93" s="3" t="str">
        <f>RTD("tos.rtd",,EP$83,"."&amp;$D$82&amp;$AW$82&amp;"C"&amp;$A93)</f>
        <v>21.09%</v>
      </c>
      <c r="EQ93" s="3" t="str">
        <f>RTD("tos.rtd",,EQ$83,"."&amp;$D$82&amp;$AW$82&amp;"P"&amp;$A93)</f>
        <v>12.33%</v>
      </c>
      <c r="ES93" s="63" t="str">
        <f t="shared" si="489"/>
        <v>5790,-515.00</v>
      </c>
      <c r="ET93" s="63" t="str">
        <f t="shared" ca="1" si="490"/>
        <v>5790,00.00</v>
      </c>
      <c r="EU93" s="67">
        <v>565.41</v>
      </c>
      <c r="EV93" s="67" t="s">
        <v>763</v>
      </c>
      <c r="EW93" s="67">
        <v>488.95</v>
      </c>
      <c r="EX93" s="67" t="s">
        <v>764</v>
      </c>
      <c r="EY93" s="67">
        <v>5663.94</v>
      </c>
      <c r="EZ93" s="67" t="s">
        <v>765</v>
      </c>
      <c r="FA93" s="67">
        <v>20063.564999999999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508"/>
        <v>5780</v>
      </c>
      <c r="B94" s="3">
        <f t="shared" si="451"/>
        <v>1092</v>
      </c>
      <c r="C94" s="3">
        <f t="shared" si="452"/>
        <v>2798</v>
      </c>
      <c r="D94" s="3">
        <f t="shared" si="453"/>
        <v>3662</v>
      </c>
      <c r="E94" s="3">
        <f t="shared" si="454"/>
        <v>7552</v>
      </c>
      <c r="F94" s="4">
        <f t="shared" ref="F94:F98" si="517">+$F$84/$A$84*A94</f>
        <v>5872.0014982570401</v>
      </c>
      <c r="G94" s="4">
        <f t="shared" si="491"/>
        <v>583.56461498504405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473</v>
      </c>
      <c r="AN94" s="20">
        <v>-611</v>
      </c>
      <c r="AO94" s="20">
        <v>5780</v>
      </c>
      <c r="AP94" s="20">
        <v>4989</v>
      </c>
      <c r="AQ94" s="20">
        <v>-685</v>
      </c>
      <c r="AR94" s="20"/>
      <c r="AS94" s="54">
        <f>IF(RTD("tos.rtd",,AS$83,"."&amp;$B$82&amp;$AS$82&amp;"C"&amp;$A94)="N/A",0,RTD("tos.rtd",,AS$83,"."&amp;$B$82&amp;$AS$82&amp;"C"&amp;$A94))</f>
        <v>1006</v>
      </c>
      <c r="AT94" s="3">
        <f>-IF(RTD("tos.rtd",,AT$83,"."&amp;$B$82&amp;$AS$82&amp;"P"&amp;$A94)="N/A",0,RTD("tos.rtd",,AT$83,"."&amp;$B$82&amp;$AS$82&amp;"P"&amp;$A94))</f>
        <v>-86</v>
      </c>
      <c r="AU94" s="54">
        <f>IF(RTD("tos.rtd",,AU$83,"."&amp;$C$82&amp;$AU$82&amp;"C"&amp;$A94)="N/A",0,RTD("tos.rtd",,AU$83,"."&amp;$C$82&amp;$AU$82&amp;"C"&amp;$A94))</f>
        <v>1186</v>
      </c>
      <c r="AV94" s="3">
        <f>-IF(RTD("tos.rtd",,AV$83,"."&amp;$C$82&amp;$AU$82&amp;"P"&amp;$A94)="N/A",0,RTD("tos.rtd",,AV$83,"."&amp;$C$82&amp;$AU$82&amp;"P"&amp;$A94))</f>
        <v>-1612</v>
      </c>
      <c r="AW94" s="54">
        <f>IF(RTD("tos.rtd",,AW$83,"."&amp;$D$82&amp;$AW$82&amp;"C"&amp;$A94)="N/A",0,RTD("tos.rtd",,AW$83,"."&amp;$D$82&amp;$AW$82&amp;"C"&amp;$A94))</f>
        <v>1850</v>
      </c>
      <c r="AX94" s="3">
        <f>-IF(RTD("tos.rtd",,AX$83,"."&amp;$D$82&amp;$AW$82&amp;"P"&amp;$A94)="N/A",0,RTD("tos.rtd",,AX$83,"."&amp;$D$82&amp;$AW$82&amp;"P"&amp;$A94))</f>
        <v>-1812</v>
      </c>
      <c r="AY94" s="79">
        <f t="shared" si="492"/>
        <v>532</v>
      </c>
      <c r="AZ94" s="8">
        <f t="shared" si="455"/>
        <v>5780</v>
      </c>
      <c r="BA94" s="54">
        <f>IF(RTD("tos.rtd",,BA$83,"."&amp;$B$82&amp;$AS$82&amp;"C"&amp;$A94)="N/A",0,RTD("tos.rtd",,BA$83,"."&amp;$B$82&amp;$AS$82&amp;"C"&amp;$A94))</f>
        <v>0</v>
      </c>
      <c r="BB94" s="3">
        <f>-IF(RTD("tos.rtd",,BB$83,"."&amp;$B$82&amp;$AS$82&amp;"P"&amp;$A94)="N/A",0,RTD("tos.rtd",,BB$83,"."&amp;$B$82&amp;$AS$82&amp;"P"&amp;$A94))</f>
        <v>0</v>
      </c>
      <c r="BC94" s="54">
        <f>IF(RTD("tos.rtd",,BC$83,"."&amp;$C$82&amp;$AU$82&amp;"C"&amp;$A94)="N/A",0,RTD("tos.rtd",,BC$83,"."&amp;$C$82&amp;$AU$82&amp;"C"&amp;$A94))</f>
        <v>0</v>
      </c>
      <c r="BD94" s="3">
        <f>-IF(RTD("tos.rtd",,BD$83,"."&amp;$C$82&amp;$AU$82&amp;"P"&amp;$A94)="N/A",0,RTD("tos.rtd",,BD$83,"."&amp;$C$82&amp;$AU$82&amp;"P"&amp;$A94))</f>
        <v>0</v>
      </c>
      <c r="BE94" s="54">
        <f>IF(RTD("tos.rtd",,BE$83,"."&amp;$D$82&amp;$AW$82&amp;"C"&amp;$A94)="N/A",0,RTD("tos.rtd",,BE$83,"."&amp;$D$82&amp;$AW$82&amp;"C"&amp;$A94))</f>
        <v>0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0</v>
      </c>
      <c r="BH94" s="55">
        <f t="shared" ca="1" si="493"/>
        <v>0</v>
      </c>
      <c r="BI94" s="32" t="str">
        <f t="shared" ca="1" si="513"/>
        <v/>
      </c>
      <c r="BJ94" s="3" t="e">
        <f ca="1">IF($BP$1=1,DX94,IF(RTD("tos.rtd",,BJ$83,"."&amp;$B$82&amp;$AS$82&amp;"C"&amp;$A94)="N/A",0,RTD("tos.rtd",,BJ$83,"."&amp;$B$82&amp;$AS$82&amp;"C"&amp;$A94)))</f>
        <v>#NUM!</v>
      </c>
      <c r="BK94" s="3" t="e">
        <f ca="1">IF($BP$1=1,DY94,-IF(RTD("tos.rtd",,BK$83,"."&amp;$B$82&amp;$AS$82&amp;"P"&amp;$A94)="N/A",0,RTD("tos.rtd",,BK$83,"."&amp;$B$82&amp;$AS$82&amp;"P"&amp;$A94)))</f>
        <v>#NUM!</v>
      </c>
      <c r="BL94" s="3">
        <f ca="1">IF($BP$1=1,DZ94,IF(RTD("tos.rtd",,BL$83,"."&amp;$C$82&amp;$AU$82&amp;"C"&amp;$A94)="N/A",0,RTD("tos.rtd",,BL$83,"."&amp;$C$82&amp;$AU$82&amp;"C"&amp;$A94)))</f>
        <v>1.5401208579588356E-3</v>
      </c>
      <c r="BM94" s="3">
        <f ca="1">IF($BP$1=1,EA94,-IF(RTD("tos.rtd",,BM$83,"."&amp;$C$82&amp;$AU$82&amp;"P"&amp;$A94)="N/A",0,RTD("tos.rtd",,BM$83,"."&amp;$C$82&amp;$AU$82&amp;"P"&amp;$A94)))</f>
        <v>-1.7582674093505916E-3</v>
      </c>
      <c r="BN94" s="3">
        <f ca="1">IF($BP$1=1,EB94,IF(RTD("tos.rtd",,BN$83,"."&amp;$D$82&amp;$AW$82&amp;"C"&amp;$A94)="N/A",0,RTD("tos.rtd",,BN$83,"."&amp;$D$82&amp;$AW$82&amp;"C"&amp;$A94)))</f>
        <v>1.9290649729081933E-3</v>
      </c>
      <c r="BO94" s="3">
        <f ca="1">IF($BP$1=1,EC94,-IF(RTD("tos.rtd",,BO$83,"."&amp;$D$82&amp;$AW$82&amp;"P"&amp;$A94)="N/A",0,RTD("tos.rtd",,BO$83,"."&amp;$D$82&amp;$AW$82&amp;"P"&amp;$A94)))</f>
        <v>-2.0710341964048692E-3</v>
      </c>
      <c r="BQ94" s="3" t="e">
        <f t="shared" ca="1" si="456"/>
        <v>#NUM!</v>
      </c>
      <c r="BR94" s="3" t="e">
        <f t="shared" ca="1" si="494"/>
        <v>#NUM!</v>
      </c>
      <c r="BS94" s="3">
        <f t="shared" ca="1" si="457"/>
        <v>-248091.05560358183</v>
      </c>
      <c r="BT94" s="3" t="str">
        <f t="shared" ca="1" si="494"/>
        <v>Cruce -</v>
      </c>
      <c r="BU94" s="3">
        <f t="shared" ca="1" si="458"/>
        <v>-45284.134637905168</v>
      </c>
      <c r="BV94" s="3" t="str">
        <f t="shared" ca="1" si="494"/>
        <v>Cruce -</v>
      </c>
      <c r="BX94" s="3" t="e">
        <f t="shared" ca="1" si="459"/>
        <v>#NUM!</v>
      </c>
      <c r="BY94" s="3" t="e">
        <f t="shared" ca="1" si="510"/>
        <v>#NUM!</v>
      </c>
      <c r="BZ94" s="3">
        <f t="shared" ca="1" si="460"/>
        <v>0</v>
      </c>
      <c r="CA94" s="3" t="str">
        <f t="shared" ca="1" si="510"/>
        <v/>
      </c>
      <c r="CB94" s="3">
        <f t="shared" ca="1" si="461"/>
        <v>0</v>
      </c>
      <c r="CC94" s="3" t="str">
        <f t="shared" ca="1" si="510"/>
        <v/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0.99</v>
      </c>
      <c r="CF94" s="3">
        <f>IF(RTD("tos.rtd",,CF$83,"."&amp;$C$82&amp;$AU$82&amp;"C"&amp;$A94)="N/A",0,RTD("tos.rtd",,CF$83,"."&amp;$C$82&amp;$AU$82&amp;"C"&amp;$A94))</f>
        <v>0.28000000000000003</v>
      </c>
      <c r="CG94" s="3">
        <f>-IF(RTD("tos.rtd",,CG$83,"."&amp;$C$82&amp;$AU$82&amp;"P"&amp;$A94)="N/A",0,RTD("tos.rtd",,CG$83,"."&amp;$C$82&amp;$AU$82&amp;"P"&amp;$A94))</f>
        <v>1</v>
      </c>
      <c r="CH94" s="3">
        <f>IF(RTD("tos.rtd",,CH$83,"."&amp;$D$82&amp;$AW$82&amp;"C"&amp;$A94)="N/A",0,RTD("tos.rtd",,CH$83,"."&amp;$D$82&amp;$AW$82&amp;"C"&amp;$A94))</f>
        <v>0.42</v>
      </c>
      <c r="CI94" s="3">
        <f>-IF(RTD("tos.rtd",,CI$83,"."&amp;$D$82&amp;$AW$82&amp;"P"&amp;$A94)="N/A",0,RTD("tos.rtd",,CI$83,"."&amp;$D$82&amp;$AW$82&amp;"P"&amp;$A94))</f>
        <v>0.64</v>
      </c>
      <c r="CK94" s="3">
        <f t="shared" si="514"/>
        <v>-8514</v>
      </c>
      <c r="CL94" s="3"/>
      <c r="CM94" s="3">
        <f t="shared" si="515"/>
        <v>-127992</v>
      </c>
      <c r="CN94" s="3"/>
      <c r="CO94" s="3">
        <f t="shared" si="516"/>
        <v>-38268</v>
      </c>
      <c r="CP94" s="3">
        <f t="shared" si="462"/>
        <v>-174774</v>
      </c>
      <c r="CQ94" s="3">
        <f t="shared" si="463"/>
        <v>0</v>
      </c>
      <c r="CR94" s="3"/>
      <c r="CS94" s="3">
        <f t="shared" si="464"/>
        <v>0</v>
      </c>
      <c r="CT94" s="3"/>
      <c r="CU94" s="3">
        <f t="shared" si="465"/>
        <v>0</v>
      </c>
      <c r="CV94" s="3"/>
      <c r="CW94" s="3" t="e">
        <f t="shared" ca="1" si="498"/>
        <v>#NUM!</v>
      </c>
      <c r="CY94" s="3" t="e">
        <f t="shared" ca="1" si="467"/>
        <v>#NUM!</v>
      </c>
      <c r="CZ94" s="70" t="e">
        <f t="shared" ca="1" si="511"/>
        <v>#NUM!</v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113.13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123.1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117.6</v>
      </c>
      <c r="DG94" s="86">
        <f t="shared" si="499"/>
        <v>120.09000000000015</v>
      </c>
      <c r="DH94" s="3">
        <f t="shared" si="468"/>
        <v>-2993.4</v>
      </c>
      <c r="DI94" s="3">
        <f t="shared" si="469"/>
        <v>-556.71818181818162</v>
      </c>
      <c r="DJ94" s="3">
        <f t="shared" si="470"/>
        <v>-4989</v>
      </c>
      <c r="DK94" s="3">
        <f t="shared" si="471"/>
        <v>-685</v>
      </c>
      <c r="DL94" s="3">
        <f t="shared" si="472"/>
        <v>-3550.1181818181817</v>
      </c>
      <c r="DM94" s="3">
        <f t="shared" si="473"/>
        <v>-5674</v>
      </c>
      <c r="DN94" s="64" t="str">
        <f t="shared" si="474"/>
        <v>UNKNOWN</v>
      </c>
      <c r="DO94" s="64" t="str">
        <f t="shared" si="475"/>
        <v>UNKNOWN</v>
      </c>
      <c r="DP94" s="3">
        <f t="shared" si="476"/>
        <v>-63071.329909090884</v>
      </c>
      <c r="DQ94" s="3">
        <f t="shared" si="477"/>
        <v>-77643.72</v>
      </c>
      <c r="DR94" s="3" t="e">
        <f t="shared" ca="1" si="478"/>
        <v>#NUM!</v>
      </c>
      <c r="DS94" s="3">
        <f t="shared" si="479"/>
        <v>-678.15</v>
      </c>
      <c r="DT94" s="3">
        <f t="shared" si="500"/>
        <v>-4989</v>
      </c>
      <c r="DU94" s="3">
        <f t="shared" si="501"/>
        <v>685</v>
      </c>
      <c r="DV94" s="3">
        <f t="shared" si="502"/>
        <v>473</v>
      </c>
      <c r="DW94" s="3">
        <f t="shared" si="503"/>
        <v>-611</v>
      </c>
      <c r="DX94" s="3" t="e">
        <f t="shared" ca="1" si="512"/>
        <v>#NUM!</v>
      </c>
      <c r="DY94" s="3" t="e">
        <f t="shared" ca="1" si="480"/>
        <v>#NUM!</v>
      </c>
      <c r="DZ94" s="3">
        <f t="shared" ca="1" si="504"/>
        <v>1.5401208579588356E-3</v>
      </c>
      <c r="EA94" s="3">
        <f t="shared" ca="1" si="505"/>
        <v>-1.7582674093505916E-3</v>
      </c>
      <c r="EB94" s="3">
        <f t="shared" ca="1" si="481"/>
        <v>1.9290649729081933E-3</v>
      </c>
      <c r="EC94" s="3">
        <f t="shared" ca="1" si="482"/>
        <v>-2.0710341964048692E-3</v>
      </c>
      <c r="ED94" s="63">
        <f t="shared" si="506"/>
        <v>-138</v>
      </c>
      <c r="EE94" s="59">
        <f t="shared" si="483"/>
        <v>0.96679999999999999</v>
      </c>
      <c r="EF94" s="59">
        <f t="shared" si="484"/>
        <v>1.2686999999999999</v>
      </c>
      <c r="EG94" s="59">
        <f t="shared" si="485"/>
        <v>0.30180000000000001</v>
      </c>
      <c r="EH94" s="59">
        <f t="shared" si="486"/>
        <v>0.25</v>
      </c>
      <c r="EI94" s="59">
        <f t="shared" si="487"/>
        <v>0.21310000000000001</v>
      </c>
      <c r="EJ94" s="59">
        <f t="shared" si="488"/>
        <v>0.1265</v>
      </c>
      <c r="EK94" s="63" t="e">
        <f t="shared" ca="1" si="507"/>
        <v>#NUM!</v>
      </c>
      <c r="EL94" s="3" t="str">
        <f>RTD("tos.rtd",,EL$83,"."&amp;$B$82&amp;$AS$82&amp;"C"&amp;$A94)</f>
        <v>96.68%</v>
      </c>
      <c r="EM94" s="3" t="str">
        <f>RTD("tos.rtd",,EM$83,"."&amp;$B$82&amp;$AS$82&amp;"P"&amp;$A94)</f>
        <v>126.87%</v>
      </c>
      <c r="EN94" s="3" t="str">
        <f>RTD("tos.rtd",,EN$83,"."&amp;$C$82&amp;$AU$82&amp;"C"&amp;$A94)</f>
        <v>30.18%</v>
      </c>
      <c r="EO94" s="3" t="str">
        <f>RTD("tos.rtd",,EO$83,"."&amp;$C$82&amp;$AU$82&amp;"P"&amp;$A94)</f>
        <v>--</v>
      </c>
      <c r="EP94" s="3" t="str">
        <f>RTD("tos.rtd",,EP$83,"."&amp;$D$82&amp;$AW$82&amp;"C"&amp;$A94)</f>
        <v>21.31%</v>
      </c>
      <c r="EQ94" s="3" t="str">
        <f>RTD("tos.rtd",,EQ$83,"."&amp;$D$82&amp;$AW$82&amp;"P"&amp;$A94)</f>
        <v>12.65%</v>
      </c>
      <c r="ES94" s="63" t="str">
        <f t="shared" si="489"/>
        <v>5780,-138.00</v>
      </c>
      <c r="ET94" s="63" t="str">
        <f t="shared" ca="1" si="490"/>
        <v>5780,00.00</v>
      </c>
      <c r="EU94" s="67">
        <v>565.35</v>
      </c>
      <c r="EV94" s="67" t="s">
        <v>771</v>
      </c>
      <c r="EW94" s="67">
        <v>488.86</v>
      </c>
      <c r="EX94" s="67" t="s">
        <v>772</v>
      </c>
      <c r="EY94" s="67">
        <v>5663.94</v>
      </c>
      <c r="EZ94" s="67" t="s">
        <v>773</v>
      </c>
      <c r="FA94" s="67">
        <v>20063.564999999999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508"/>
        <v>5770</v>
      </c>
      <c r="B95" s="3">
        <f t="shared" si="451"/>
        <v>1760</v>
      </c>
      <c r="C95" s="3">
        <f t="shared" si="452"/>
        <v>977</v>
      </c>
      <c r="D95" s="3">
        <f t="shared" si="453"/>
        <v>4268</v>
      </c>
      <c r="E95" s="3">
        <f t="shared" si="454"/>
        <v>7005</v>
      </c>
      <c r="F95" s="4">
        <f t="shared" si="517"/>
        <v>5861.8423261147263</v>
      </c>
      <c r="G95" s="4">
        <f t="shared" si="491"/>
        <v>582.55498762347816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-2732</v>
      </c>
      <c r="AN95" s="20">
        <v>-391</v>
      </c>
      <c r="AO95" s="20">
        <v>5770</v>
      </c>
      <c r="AP95" s="20">
        <v>7032</v>
      </c>
      <c r="AQ95" s="20">
        <v>-797</v>
      </c>
      <c r="AR95" s="20"/>
      <c r="AS95" s="54">
        <f>IF(RTD("tos.rtd",,AS$83,"."&amp;$B$82&amp;$AS$82&amp;"C"&amp;$A95)="N/A",0,RTD("tos.rtd",,AS$83,"."&amp;$B$82&amp;$AS$82&amp;"C"&amp;$A95))</f>
        <v>1391</v>
      </c>
      <c r="AT95" s="3">
        <f>-IF(RTD("tos.rtd",,AT$83,"."&amp;$B$82&amp;$AS$82&amp;"P"&amp;$A95)="N/A",0,RTD("tos.rtd",,AT$83,"."&amp;$B$82&amp;$AS$82&amp;"P"&amp;$A95))</f>
        <v>-369</v>
      </c>
      <c r="AU95" s="54">
        <f>IF(RTD("tos.rtd",,AU$83,"."&amp;$C$82&amp;$AU$82&amp;"C"&amp;$A95)="N/A",0,RTD("tos.rtd",,AU$83,"."&amp;$C$82&amp;$AU$82&amp;"C"&amp;$A95))</f>
        <v>396</v>
      </c>
      <c r="AV95" s="3">
        <f>-IF(RTD("tos.rtd",,AV$83,"."&amp;$C$82&amp;$AU$82&amp;"P"&amp;$A95)="N/A",0,RTD("tos.rtd",,AV$83,"."&amp;$C$82&amp;$AU$82&amp;"P"&amp;$A95))</f>
        <v>-581</v>
      </c>
      <c r="AW95" s="54">
        <f>IF(RTD("tos.rtd",,AW$83,"."&amp;$D$82&amp;$AW$82&amp;"C"&amp;$A95)="N/A",0,RTD("tos.rtd",,AW$83,"."&amp;$D$82&amp;$AW$82&amp;"C"&amp;$A95))</f>
        <v>2085</v>
      </c>
      <c r="AX95" s="3">
        <f>-IF(RTD("tos.rtd",,AX$83,"."&amp;$D$82&amp;$AW$82&amp;"P"&amp;$A95)="N/A",0,RTD("tos.rtd",,AX$83,"."&amp;$D$82&amp;$AW$82&amp;"P"&amp;$A95))</f>
        <v>-2183</v>
      </c>
      <c r="AY95" s="79">
        <f t="shared" si="492"/>
        <v>739</v>
      </c>
      <c r="AZ95" s="8">
        <f t="shared" si="455"/>
        <v>5770</v>
      </c>
      <c r="BA95" s="54">
        <f>IF(RTD("tos.rtd",,BA$83,"."&amp;$B$82&amp;$AS$82&amp;"C"&amp;$A95)="N/A",0,RTD("tos.rtd",,BA$83,"."&amp;$B$82&amp;$AS$82&amp;"C"&amp;$A95))</f>
        <v>0</v>
      </c>
      <c r="BB95" s="3">
        <f>-IF(RTD("tos.rtd",,BB$83,"."&amp;$B$82&amp;$AS$82&amp;"P"&amp;$A95)="N/A",0,RTD("tos.rtd",,BB$83,"."&amp;$B$82&amp;$AS$82&amp;"P"&amp;$A95))</f>
        <v>0</v>
      </c>
      <c r="BC95" s="54">
        <f>IF(RTD("tos.rtd",,BC$83,"."&amp;$C$82&amp;$AU$82&amp;"C"&amp;$A95)="N/A",0,RTD("tos.rtd",,BC$83,"."&amp;$C$82&amp;$AU$82&amp;"C"&amp;$A95))</f>
        <v>0</v>
      </c>
      <c r="BD95" s="3">
        <f>-IF(RTD("tos.rtd",,BD$83,"."&amp;$C$82&amp;$AU$82&amp;"P"&amp;$A95)="N/A",0,RTD("tos.rtd",,BD$83,"."&amp;$C$82&amp;$AU$82&amp;"P"&amp;$A95))</f>
        <v>0</v>
      </c>
      <c r="BE95" s="54">
        <f>IF(RTD("tos.rtd",,BE$83,"."&amp;$D$82&amp;$AW$82&amp;"C"&amp;$A95)="N/A",0,RTD("tos.rtd",,BE$83,"."&amp;$D$82&amp;$AW$82&amp;"C"&amp;$A95))</f>
        <v>0</v>
      </c>
      <c r="BF95" s="3">
        <f>-IF(RTD("tos.rtd",,BF$83,"."&amp;$D$82&amp;$AW$82&amp;"P"&amp;$A95)="N/A",0,RTD("tos.rtd",,BF$83,"."&amp;$D$82&amp;$AW$82&amp;"P"&amp;$A95))</f>
        <v>0</v>
      </c>
      <c r="BG95" s="3">
        <f ca="1">+Hoja2!Y96</f>
        <v>0</v>
      </c>
      <c r="BH95" s="55">
        <f t="shared" ca="1" si="493"/>
        <v>0</v>
      </c>
      <c r="BI95" s="32" t="str">
        <f t="shared" ca="1" si="513"/>
        <v/>
      </c>
      <c r="BJ95" s="3" t="e">
        <f ca="1">IF($BP$1=1,DX95,IF(RTD("tos.rtd",,BJ$83,"."&amp;$B$82&amp;$AS$82&amp;"C"&amp;$A95)="N/A",0,RTD("tos.rtd",,BJ$83,"."&amp;$B$82&amp;$AS$82&amp;"C"&amp;$A95)))</f>
        <v>#NUM!</v>
      </c>
      <c r="BK95" s="3" t="e">
        <f ca="1">IF($BP$1=1,DY95,-IF(RTD("tos.rtd",,BK$83,"."&amp;$B$82&amp;$AS$82&amp;"P"&amp;$A95)="N/A",0,RTD("tos.rtd",,BK$83,"."&amp;$B$82&amp;$AS$82&amp;"P"&amp;$A95)))</f>
        <v>#NUM!</v>
      </c>
      <c r="BL95" s="3">
        <f ca="1">IF($BP$1=1,DZ95,IF(RTD("tos.rtd",,BL$83,"."&amp;$C$82&amp;$AU$82&amp;"C"&amp;$A95)="N/A",0,RTD("tos.rtd",,BL$83,"."&amp;$C$82&amp;$AU$82&amp;"C"&amp;$A95)))</f>
        <v>1.5466101467458975E-3</v>
      </c>
      <c r="BM95" s="3">
        <f ca="1">IF($BP$1=1,EA95,-IF(RTD("tos.rtd",,BM$83,"."&amp;$C$82&amp;$AU$82&amp;"P"&amp;$A95)="N/A",0,RTD("tos.rtd",,BM$83,"."&amp;$C$82&amp;$AU$82&amp;"P"&amp;$A95)))</f>
        <v>-1.8087954422713823E-3</v>
      </c>
      <c r="BN95" s="3">
        <f ca="1">IF($BP$1=1,EB95,IF(RTD("tos.rtd",,BN$83,"."&amp;$D$82&amp;$AW$82&amp;"C"&amp;$A95)="N/A",0,RTD("tos.rtd",,BN$83,"."&amp;$D$82&amp;$AW$82&amp;"C"&amp;$A95)))</f>
        <v>1.9931043864202451E-3</v>
      </c>
      <c r="BO95" s="3">
        <f ca="1">IF($BP$1=1,EC95,-IF(RTD("tos.rtd",,BO$83,"."&amp;$D$82&amp;$AW$82&amp;"P"&amp;$A95)="N/A",0,RTD("tos.rtd",,BO$83,"."&amp;$D$82&amp;$AW$82&amp;"P"&amp;$A95)))</f>
        <v>-2.3268240407697486E-3</v>
      </c>
      <c r="BQ95" s="3" t="e">
        <f t="shared" ca="1" si="456"/>
        <v>#NUM!</v>
      </c>
      <c r="BR95" s="3" t="e">
        <f t="shared" ca="1" si="494"/>
        <v>#NUM!</v>
      </c>
      <c r="BS95" s="3">
        <f t="shared" ca="1" si="457"/>
        <v>-107940.29187380924</v>
      </c>
      <c r="BT95" s="3" t="str">
        <f t="shared" ca="1" si="494"/>
        <v/>
      </c>
      <c r="BU95" s="3">
        <f t="shared" ca="1" si="458"/>
        <v>-227433.82533929893</v>
      </c>
      <c r="BV95" s="3" t="str">
        <f t="shared" ca="1" si="494"/>
        <v/>
      </c>
      <c r="BX95" s="3" t="e">
        <f t="shared" ca="1" si="459"/>
        <v>#NUM!</v>
      </c>
      <c r="BY95" s="3" t="e">
        <f t="shared" ca="1" si="510"/>
        <v>#NUM!</v>
      </c>
      <c r="BZ95" s="3">
        <f t="shared" ca="1" si="460"/>
        <v>0</v>
      </c>
      <c r="CA95" s="3" t="str">
        <f t="shared" ca="1" si="510"/>
        <v/>
      </c>
      <c r="CB95" s="3">
        <f t="shared" ca="1" si="461"/>
        <v>0</v>
      </c>
      <c r="CC95" s="3" t="str">
        <f t="shared" ca="1" si="510"/>
        <v/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0.98</v>
      </c>
      <c r="CF95" s="3">
        <f>IF(RTD("tos.rtd",,CF$83,"."&amp;$C$82&amp;$AU$82&amp;"C"&amp;$A95)="N/A",0,RTD("tos.rtd",,CF$83,"."&amp;$C$82&amp;$AU$82&amp;"C"&amp;$A95))</f>
        <v>0.3</v>
      </c>
      <c r="CG95" s="3">
        <f>-IF(RTD("tos.rtd",,CG$83,"."&amp;$C$82&amp;$AU$82&amp;"P"&amp;$A95)="N/A",0,RTD("tos.rtd",,CG$83,"."&amp;$C$82&amp;$AU$82&amp;"P"&amp;$A95))</f>
        <v>1</v>
      </c>
      <c r="CH95" s="3">
        <f>IF(RTD("tos.rtd",,CH$83,"."&amp;$D$82&amp;$AW$82&amp;"C"&amp;$A95)="N/A",0,RTD("tos.rtd",,CH$83,"."&amp;$D$82&amp;$AW$82&amp;"C"&amp;$A95))</f>
        <v>0.43</v>
      </c>
      <c r="CI95" s="3">
        <f>-IF(RTD("tos.rtd",,CI$83,"."&amp;$D$82&amp;$AW$82&amp;"P"&amp;$A95)="N/A",0,RTD("tos.rtd",,CI$83,"."&amp;$D$82&amp;$AW$82&amp;"P"&amp;$A95))</f>
        <v>0.62</v>
      </c>
      <c r="CK95" s="3">
        <f t="shared" si="514"/>
        <v>-36162</v>
      </c>
      <c r="CL95" s="3"/>
      <c r="CM95" s="3">
        <f t="shared" si="515"/>
        <v>-46220</v>
      </c>
      <c r="CN95" s="3"/>
      <c r="CO95" s="3">
        <f t="shared" si="516"/>
        <v>-45691</v>
      </c>
      <c r="CP95" s="3">
        <f t="shared" si="462"/>
        <v>-128073</v>
      </c>
      <c r="CQ95" s="3">
        <f t="shared" si="463"/>
        <v>0</v>
      </c>
      <c r="CR95" s="3"/>
      <c r="CS95" s="3">
        <f t="shared" si="464"/>
        <v>0</v>
      </c>
      <c r="CT95" s="3"/>
      <c r="CU95" s="3">
        <f t="shared" si="465"/>
        <v>0</v>
      </c>
      <c r="CV95" s="3"/>
      <c r="CW95" s="3" t="e">
        <f t="shared" ca="1" si="498"/>
        <v>#NUM!</v>
      </c>
      <c r="CY95" s="3" t="e">
        <f t="shared" ca="1" si="467"/>
        <v>#NUM!</v>
      </c>
      <c r="CZ95" s="70" t="e">
        <f t="shared" ca="1" si="511"/>
        <v>#NUM!</v>
      </c>
      <c r="DA95" s="3">
        <f>IF(RTD("tos.rtd",,DA$83,"."&amp;$B$82&amp;$AS$82&amp;"C"&amp;$A95)="N/A",0,RTD("tos.rtd",,DA$83,"."&amp;$B$82&amp;$AS$82&amp;"C"&amp;$A95))</f>
        <v>0.03</v>
      </c>
      <c r="DB95" s="3">
        <f>IF(RTD("tos.rtd",,DB$83,"."&amp;$B$82&amp;$AS$82&amp;"P"&amp;$A95)="N/A",0,RTD("tos.rtd",,DB$83,"."&amp;$B$82&amp;$AS$82&amp;"P"&amp;$A95))</f>
        <v>110.97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113.1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107.9</v>
      </c>
      <c r="DG95" s="86">
        <f t="shared" si="499"/>
        <v>110.09000000000015</v>
      </c>
      <c r="DH95" s="3">
        <f t="shared" si="468"/>
        <v>-4219.2</v>
      </c>
      <c r="DI95" s="3">
        <f t="shared" si="469"/>
        <v>470.5365384615385</v>
      </c>
      <c r="DJ95" s="3">
        <f t="shared" si="470"/>
        <v>-7032</v>
      </c>
      <c r="DK95" s="3">
        <f t="shared" si="471"/>
        <v>0</v>
      </c>
      <c r="DL95" s="3">
        <f t="shared" si="472"/>
        <v>-3748.6634615384614</v>
      </c>
      <c r="DM95" s="3">
        <f t="shared" si="473"/>
        <v>-7032</v>
      </c>
      <c r="DN95" s="64" t="str">
        <f t="shared" si="474"/>
        <v>UNKNOWN</v>
      </c>
      <c r="DO95" s="64" t="str">
        <f t="shared" si="475"/>
        <v>UNKNOWN</v>
      </c>
      <c r="DP95" s="3">
        <f t="shared" si="476"/>
        <v>52088.863673076929</v>
      </c>
      <c r="DQ95" s="3">
        <f t="shared" si="477"/>
        <v>-210.95999999999998</v>
      </c>
      <c r="DR95" s="3" t="e">
        <f t="shared" ca="1" si="478"/>
        <v>#NUM!</v>
      </c>
      <c r="DS95" s="3">
        <f t="shared" si="479"/>
        <v>0</v>
      </c>
      <c r="DT95" s="3">
        <f t="shared" si="500"/>
        <v>-7032</v>
      </c>
      <c r="DU95" s="3">
        <f t="shared" si="501"/>
        <v>797</v>
      </c>
      <c r="DV95" s="3">
        <f t="shared" si="502"/>
        <v>-2732</v>
      </c>
      <c r="DW95" s="3">
        <f t="shared" si="503"/>
        <v>-391</v>
      </c>
      <c r="DX95" s="3" t="e">
        <f t="shared" ca="1" si="512"/>
        <v>#NUM!</v>
      </c>
      <c r="DY95" s="3" t="e">
        <f t="shared" ca="1" si="480"/>
        <v>#NUM!</v>
      </c>
      <c r="DZ95" s="3">
        <f t="shared" ca="1" si="504"/>
        <v>1.5466101467458975E-3</v>
      </c>
      <c r="EA95" s="3">
        <f t="shared" ca="1" si="505"/>
        <v>-1.8087954422713823E-3</v>
      </c>
      <c r="EB95" s="3">
        <f t="shared" ca="1" si="481"/>
        <v>1.9931043864202451E-3</v>
      </c>
      <c r="EC95" s="3">
        <f t="shared" ca="1" si="482"/>
        <v>-2.3268240407697486E-3</v>
      </c>
      <c r="ED95" s="63">
        <f t="shared" si="506"/>
        <v>-3123</v>
      </c>
      <c r="EE95" s="59">
        <f t="shared" si="483"/>
        <v>0.89439999999999997</v>
      </c>
      <c r="EF95" s="59">
        <f t="shared" si="484"/>
        <v>1.2565</v>
      </c>
      <c r="EG95" s="59">
        <f t="shared" si="485"/>
        <v>0.3075</v>
      </c>
      <c r="EH95" s="59">
        <f t="shared" si="486"/>
        <v>0.25</v>
      </c>
      <c r="EI95" s="59">
        <f t="shared" si="487"/>
        <v>0.2155</v>
      </c>
      <c r="EJ95" s="59">
        <f t="shared" si="488"/>
        <v>0.12959999999999999</v>
      </c>
      <c r="EK95" s="63" t="e">
        <f t="shared" ca="1" si="507"/>
        <v>#NUM!</v>
      </c>
      <c r="EL95" s="3" t="str">
        <f>RTD("tos.rtd",,EL$83,"."&amp;$B$82&amp;$AS$82&amp;"C"&amp;$A95)</f>
        <v>89.44%</v>
      </c>
      <c r="EM95" s="3" t="str">
        <f>RTD("tos.rtd",,EM$83,"."&amp;$B$82&amp;$AS$82&amp;"P"&amp;$A95)</f>
        <v>125.65%</v>
      </c>
      <c r="EN95" s="3" t="str">
        <f>RTD("tos.rtd",,EN$83,"."&amp;$C$82&amp;$AU$82&amp;"C"&amp;$A95)</f>
        <v>30.75%</v>
      </c>
      <c r="EO95" s="3" t="str">
        <f>RTD("tos.rtd",,EO$83,"."&amp;$C$82&amp;$AU$82&amp;"P"&amp;$A95)</f>
        <v>--</v>
      </c>
      <c r="EP95" s="3" t="str">
        <f>RTD("tos.rtd",,EP$83,"."&amp;$D$82&amp;$AW$82&amp;"C"&amp;$A95)</f>
        <v>21.55%</v>
      </c>
      <c r="EQ95" s="3" t="str">
        <f>RTD("tos.rtd",,EQ$83,"."&amp;$D$82&amp;$AW$82&amp;"P"&amp;$A95)</f>
        <v>12.96%</v>
      </c>
      <c r="ES95" s="63" t="str">
        <f t="shared" si="489"/>
        <v>5770,-3123.00</v>
      </c>
      <c r="ET95" s="63" t="str">
        <f t="shared" ca="1" si="490"/>
        <v>5770,00.00</v>
      </c>
      <c r="EU95" s="67">
        <v>565.4</v>
      </c>
      <c r="EV95" s="67" t="s">
        <v>779</v>
      </c>
      <c r="EW95" s="67">
        <v>488.93</v>
      </c>
      <c r="EX95" s="67" t="s">
        <v>780</v>
      </c>
      <c r="EY95" s="67">
        <v>5663.94</v>
      </c>
      <c r="EZ95" s="67" t="s">
        <v>781</v>
      </c>
      <c r="FA95" s="67">
        <v>20063.564999999999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508"/>
        <v>5760</v>
      </c>
      <c r="B96" s="3">
        <f t="shared" si="451"/>
        <v>2965</v>
      </c>
      <c r="C96" s="3">
        <f t="shared" si="452"/>
        <v>2962</v>
      </c>
      <c r="D96" s="3">
        <f t="shared" si="453"/>
        <v>6990</v>
      </c>
      <c r="E96" s="3">
        <f t="shared" si="454"/>
        <v>12917</v>
      </c>
      <c r="F96" s="4">
        <f t="shared" si="517"/>
        <v>5851.6831539724135</v>
      </c>
      <c r="G96" s="4">
        <f t="shared" si="491"/>
        <v>581.54536026191238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-552</v>
      </c>
      <c r="AN96" s="20">
        <v>-193</v>
      </c>
      <c r="AO96" s="20">
        <v>5760</v>
      </c>
      <c r="AP96" s="20">
        <v>11802</v>
      </c>
      <c r="AQ96" s="20">
        <v>-521</v>
      </c>
      <c r="AR96" s="20"/>
      <c r="AS96" s="54">
        <f>IF(RTD("tos.rtd",,AS$83,"."&amp;$B$82&amp;$AS$82&amp;"C"&amp;$A96)="N/A",0,RTD("tos.rtd",,AS$83,"."&amp;$B$82&amp;$AS$82&amp;"C"&amp;$A96))</f>
        <v>2655</v>
      </c>
      <c r="AT96" s="3">
        <f>-IF(RTD("tos.rtd",,AT$83,"."&amp;$B$82&amp;$AS$82&amp;"P"&amp;$A96)="N/A",0,RTD("tos.rtd",,AT$83,"."&amp;$B$82&amp;$AS$82&amp;"P"&amp;$A96))</f>
        <v>-310</v>
      </c>
      <c r="AU96" s="54">
        <f>IF(RTD("tos.rtd",,AU$83,"."&amp;$C$82&amp;$AU$82&amp;"C"&amp;$A96)="N/A",0,RTD("tos.rtd",,AU$83,"."&amp;$C$82&amp;$AU$82&amp;"C"&amp;$A96))</f>
        <v>1338</v>
      </c>
      <c r="AV96" s="3">
        <f>-IF(RTD("tos.rtd",,AV$83,"."&amp;$C$82&amp;$AU$82&amp;"P"&amp;$A96)="N/A",0,RTD("tos.rtd",,AV$83,"."&amp;$C$82&amp;$AU$82&amp;"P"&amp;$A96))</f>
        <v>-1624</v>
      </c>
      <c r="AW96" s="54">
        <f>IF(RTD("tos.rtd",,AW$83,"."&amp;$D$82&amp;$AW$82&amp;"C"&amp;$A96)="N/A",0,RTD("tos.rtd",,AW$83,"."&amp;$D$82&amp;$AW$82&amp;"C"&amp;$A96))</f>
        <v>3513</v>
      </c>
      <c r="AX96" s="3">
        <f>-IF(RTD("tos.rtd",,AX$83,"."&amp;$D$82&amp;$AW$82&amp;"P"&amp;$A96)="N/A",0,RTD("tos.rtd",,AX$83,"."&amp;$D$82&amp;$AW$82&amp;"P"&amp;$A96))</f>
        <v>-3477</v>
      </c>
      <c r="AY96" s="79">
        <f t="shared" si="492"/>
        <v>2095</v>
      </c>
      <c r="AZ96" s="8">
        <f t="shared" si="455"/>
        <v>5760</v>
      </c>
      <c r="BA96" s="54">
        <f>IF(RTD("tos.rtd",,BA$83,"."&amp;$B$82&amp;$AS$82&amp;"C"&amp;$A96)="N/A",0,RTD("tos.rtd",,BA$83,"."&amp;$B$82&amp;$AS$82&amp;"C"&amp;$A96))</f>
        <v>0</v>
      </c>
      <c r="BB96" s="3">
        <f>-IF(RTD("tos.rtd",,BB$83,"."&amp;$B$82&amp;$AS$82&amp;"P"&amp;$A96)="N/A",0,RTD("tos.rtd",,BB$83,"."&amp;$B$82&amp;$AS$82&amp;"P"&amp;$A96))</f>
        <v>0</v>
      </c>
      <c r="BC96" s="54">
        <f>IF(RTD("tos.rtd",,BC$83,"."&amp;$C$82&amp;$AU$82&amp;"C"&amp;$A96)="N/A",0,RTD("tos.rtd",,BC$83,"."&amp;$C$82&amp;$AU$82&amp;"C"&amp;$A96))</f>
        <v>0</v>
      </c>
      <c r="BD96" s="3">
        <f>-IF(RTD("tos.rtd",,BD$83,"."&amp;$C$82&amp;$AU$82&amp;"P"&amp;$A96)="N/A",0,RTD("tos.rtd",,BD$83,"."&amp;$C$82&amp;$AU$82&amp;"P"&amp;$A96))</f>
        <v>0</v>
      </c>
      <c r="BE96" s="54">
        <f>IF(RTD("tos.rtd",,BE$83,"."&amp;$D$82&amp;$AW$82&amp;"C"&amp;$A96)="N/A",0,RTD("tos.rtd",,BE$83,"."&amp;$D$82&amp;$AW$82&amp;"C"&amp;$A96))</f>
        <v>0</v>
      </c>
      <c r="BF96" s="3">
        <f>-IF(RTD("tos.rtd",,BF$83,"."&amp;$D$82&amp;$AW$82&amp;"P"&amp;$A96)="N/A",0,RTD("tos.rtd",,BF$83,"."&amp;$D$82&amp;$AW$82&amp;"P"&amp;$A96))</f>
        <v>0</v>
      </c>
      <c r="BG96" s="3">
        <f ca="1">+Hoja2!Y97</f>
        <v>0</v>
      </c>
      <c r="BH96" s="55">
        <f t="shared" ca="1" si="493"/>
        <v>0</v>
      </c>
      <c r="BI96" s="32" t="str">
        <f t="shared" ca="1" si="513"/>
        <v/>
      </c>
      <c r="BJ96" s="3" t="e">
        <f ca="1">IF($BP$1=1,DX96,IF(RTD("tos.rtd",,BJ$83,"."&amp;$B$82&amp;$AS$82&amp;"C"&amp;$A96)="N/A",0,RTD("tos.rtd",,BJ$83,"."&amp;$B$82&amp;$AS$82&amp;"C"&amp;$A96)))</f>
        <v>#NUM!</v>
      </c>
      <c r="BK96" s="3" t="e">
        <f ca="1">IF($BP$1=1,DY96,-IF(RTD("tos.rtd",,BK$83,"."&amp;$B$82&amp;$AS$82&amp;"P"&amp;$A96)="N/A",0,RTD("tos.rtd",,BK$83,"."&amp;$B$82&amp;$AS$82&amp;"P"&amp;$A96)))</f>
        <v>#NUM!</v>
      </c>
      <c r="BL96" s="3">
        <f ca="1">IF($BP$1=1,DZ96,IF(RTD("tos.rtd",,BL$83,"."&amp;$C$82&amp;$AU$82&amp;"C"&amp;$A96)="N/A",0,RTD("tos.rtd",,BL$83,"."&amp;$C$82&amp;$AU$82&amp;"C"&amp;$A96)))</f>
        <v>1.542756893388406E-3</v>
      </c>
      <c r="BM96" s="3">
        <f ca="1">IF($BP$1=1,EA96,-IF(RTD("tos.rtd",,BM$83,"."&amp;$C$82&amp;$AU$82&amp;"P"&amp;$A96)="N/A",0,RTD("tos.rtd",,BM$83,"."&amp;$C$82&amp;$AU$82&amp;"P"&amp;$A96)))</f>
        <v>-1.8560005647639997E-3</v>
      </c>
      <c r="BN96" s="3">
        <f ca="1">IF($BP$1=1,EB96,IF(RTD("tos.rtd",,BN$83,"."&amp;$D$82&amp;$AW$82&amp;"C"&amp;$A96)="N/A",0,RTD("tos.rtd",,BN$83,"."&amp;$D$82&amp;$AW$82&amp;"C"&amp;$A96)))</f>
        <v>2.049951431255173E-3</v>
      </c>
      <c r="BO96" s="3">
        <f ca="1">IF($BP$1=1,EC96,-IF(RTD("tos.rtd",,BO$83,"."&amp;$D$82&amp;$AW$82&amp;"P"&amp;$A96)="N/A",0,RTD("tos.rtd",,BO$83,"."&amp;$D$82&amp;$AW$82&amp;"P"&amp;$A96)))</f>
        <v>-2.5607554923661427E-3</v>
      </c>
      <c r="BQ96" s="3" t="e">
        <f t="shared" ca="1" si="456"/>
        <v>#NUM!</v>
      </c>
      <c r="BR96" s="3" t="e">
        <f t="shared" ca="1" si="494"/>
        <v>#NUM!</v>
      </c>
      <c r="BS96" s="3">
        <f t="shared" ca="1" si="457"/>
        <v>-233859.72735245345</v>
      </c>
      <c r="BT96" s="3" t="str">
        <f t="shared" ca="1" si="494"/>
        <v/>
      </c>
      <c r="BU96" s="3">
        <f t="shared" ca="1" si="458"/>
        <v>-419072.15322458162</v>
      </c>
      <c r="BV96" s="3" t="str">
        <f t="shared" ca="1" si="494"/>
        <v/>
      </c>
      <c r="BX96" s="3" t="e">
        <f t="shared" ca="1" si="459"/>
        <v>#NUM!</v>
      </c>
      <c r="BY96" s="3" t="e">
        <f t="shared" ca="1" si="510"/>
        <v>#NUM!</v>
      </c>
      <c r="BZ96" s="3">
        <f t="shared" ca="1" si="460"/>
        <v>0</v>
      </c>
      <c r="CA96" s="3" t="str">
        <f t="shared" ca="1" si="510"/>
        <v/>
      </c>
      <c r="CB96" s="3">
        <f t="shared" ca="1" si="461"/>
        <v>0</v>
      </c>
      <c r="CC96" s="3" t="str">
        <f t="shared" ca="1" si="510"/>
        <v/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0.97</v>
      </c>
      <c r="CF96" s="3">
        <f>IF(RTD("tos.rtd",,CF$83,"."&amp;$C$82&amp;$AU$82&amp;"C"&amp;$A96)="N/A",0,RTD("tos.rtd",,CF$83,"."&amp;$C$82&amp;$AU$82&amp;"C"&amp;$A96))</f>
        <v>0.32</v>
      </c>
      <c r="CG96" s="3">
        <f>-IF(RTD("tos.rtd",,CG$83,"."&amp;$C$82&amp;$AU$82&amp;"P"&amp;$A96)="N/A",0,RTD("tos.rtd",,CG$83,"."&amp;$C$82&amp;$AU$82&amp;"P"&amp;$A96))</f>
        <v>1</v>
      </c>
      <c r="CH96" s="3">
        <f>IF(RTD("tos.rtd",,CH$83,"."&amp;$D$82&amp;$AW$82&amp;"C"&amp;$A96)="N/A",0,RTD("tos.rtd",,CH$83,"."&amp;$D$82&amp;$AW$82&amp;"C"&amp;$A96))</f>
        <v>0.44</v>
      </c>
      <c r="CI96" s="3">
        <f>-IF(RTD("tos.rtd",,CI$83,"."&amp;$D$82&amp;$AW$82&amp;"P"&amp;$A96)="N/A",0,RTD("tos.rtd",,CI$83,"."&amp;$D$82&amp;$AW$82&amp;"P"&amp;$A96))</f>
        <v>0.61</v>
      </c>
      <c r="CK96" s="3">
        <f t="shared" si="514"/>
        <v>-30070</v>
      </c>
      <c r="CL96" s="3"/>
      <c r="CM96" s="3">
        <f t="shared" si="515"/>
        <v>-119584</v>
      </c>
      <c r="CN96" s="3"/>
      <c r="CO96" s="3">
        <f t="shared" si="516"/>
        <v>-57524.999999999971</v>
      </c>
      <c r="CP96" s="3">
        <f t="shared" si="462"/>
        <v>-207178.99999999997</v>
      </c>
      <c r="CQ96" s="3">
        <f t="shared" si="463"/>
        <v>0</v>
      </c>
      <c r="CR96" s="3"/>
      <c r="CS96" s="3">
        <f t="shared" si="464"/>
        <v>0</v>
      </c>
      <c r="CT96" s="3"/>
      <c r="CU96" s="3">
        <f t="shared" si="465"/>
        <v>0</v>
      </c>
      <c r="CV96" s="3"/>
      <c r="CW96" s="3" t="e">
        <f t="shared" ca="1" si="498"/>
        <v>#NUM!</v>
      </c>
      <c r="CY96" s="3" t="e">
        <f t="shared" ca="1" si="467"/>
        <v>#NUM!</v>
      </c>
      <c r="CZ96" s="70" t="e">
        <f t="shared" ca="1" si="511"/>
        <v>#NUM!</v>
      </c>
      <c r="DA96" s="3">
        <f>IF(RTD("tos.rtd",,DA$83,"."&amp;$B$82&amp;$AS$82&amp;"C"&amp;$A96)="N/A",0,RTD("tos.rtd",,DA$83,"."&amp;$B$82&amp;$AS$82&amp;"C"&amp;$A96))</f>
        <v>0.04</v>
      </c>
      <c r="DB96" s="3">
        <f>IF(RTD("tos.rtd",,DB$83,"."&amp;$B$82&amp;$AS$82&amp;"P"&amp;$A96)="N/A",0,RTD("tos.rtd",,DB$83,"."&amp;$B$82&amp;$AS$82&amp;"P"&amp;$A96))</f>
        <v>91.85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103.1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98.2</v>
      </c>
      <c r="DG96" s="86">
        <f t="shared" si="499"/>
        <v>100.09000000000015</v>
      </c>
      <c r="DH96" s="3">
        <f t="shared" si="468"/>
        <v>-9441.5999999999985</v>
      </c>
      <c r="DI96" s="3">
        <f t="shared" si="469"/>
        <v>-675.17346938775722</v>
      </c>
      <c r="DJ96" s="3">
        <f t="shared" si="470"/>
        <v>-11802</v>
      </c>
      <c r="DK96" s="3">
        <f t="shared" si="471"/>
        <v>-521</v>
      </c>
      <c r="DL96" s="3">
        <f t="shared" si="472"/>
        <v>-10116.773469387756</v>
      </c>
      <c r="DM96" s="3">
        <f t="shared" si="473"/>
        <v>-12323</v>
      </c>
      <c r="DN96" s="64" t="str">
        <f t="shared" si="474"/>
        <v>UNKNOWN</v>
      </c>
      <c r="DO96" s="64" t="str">
        <f t="shared" si="475"/>
        <v>UNKNOWN</v>
      </c>
      <c r="DP96" s="3">
        <f t="shared" si="476"/>
        <v>-62392.347163265491</v>
      </c>
      <c r="DQ96" s="3">
        <f t="shared" si="477"/>
        <v>-48325.93</v>
      </c>
      <c r="DR96" s="3" t="e">
        <f t="shared" ca="1" si="478"/>
        <v>#NUM!</v>
      </c>
      <c r="DS96" s="3">
        <f t="shared" si="479"/>
        <v>-505.37</v>
      </c>
      <c r="DT96" s="3">
        <f t="shared" si="500"/>
        <v>-11802</v>
      </c>
      <c r="DU96" s="3">
        <f t="shared" si="501"/>
        <v>521</v>
      </c>
      <c r="DV96" s="3">
        <f t="shared" si="502"/>
        <v>-552</v>
      </c>
      <c r="DW96" s="3">
        <f t="shared" si="503"/>
        <v>-193</v>
      </c>
      <c r="DX96" s="3" t="e">
        <f t="shared" ca="1" si="512"/>
        <v>#NUM!</v>
      </c>
      <c r="DY96" s="3" t="e">
        <f t="shared" ca="1" si="480"/>
        <v>#NUM!</v>
      </c>
      <c r="DZ96" s="3">
        <f t="shared" ca="1" si="504"/>
        <v>1.542756893388406E-3</v>
      </c>
      <c r="EA96" s="3">
        <f t="shared" ca="1" si="505"/>
        <v>-1.8560005647639997E-3</v>
      </c>
      <c r="EB96" s="3">
        <f t="shared" ca="1" si="481"/>
        <v>2.049951431255173E-3</v>
      </c>
      <c r="EC96" s="3">
        <f t="shared" ca="1" si="482"/>
        <v>-2.5607554923661427E-3</v>
      </c>
      <c r="ED96" s="63">
        <f t="shared" si="506"/>
        <v>-745</v>
      </c>
      <c r="EE96" s="59">
        <f t="shared" si="483"/>
        <v>0.82130000000000003</v>
      </c>
      <c r="EF96" s="59">
        <f t="shared" si="484"/>
        <v>1.2188000000000001</v>
      </c>
      <c r="EG96" s="59">
        <f t="shared" si="485"/>
        <v>0.31459999999999999</v>
      </c>
      <c r="EH96" s="59">
        <f t="shared" si="486"/>
        <v>0.25</v>
      </c>
      <c r="EI96" s="59">
        <f t="shared" si="487"/>
        <v>0.2177</v>
      </c>
      <c r="EJ96" s="59">
        <f t="shared" si="488"/>
        <v>0.13250000000000001</v>
      </c>
      <c r="EK96" s="63" t="e">
        <f t="shared" ca="1" si="507"/>
        <v>#NUM!</v>
      </c>
      <c r="EL96" s="3" t="str">
        <f>RTD("tos.rtd",,EL$83,"."&amp;$B$82&amp;$AS$82&amp;"C"&amp;$A96)</f>
        <v>82.13%</v>
      </c>
      <c r="EM96" s="3" t="str">
        <f>RTD("tos.rtd",,EM$83,"."&amp;$B$82&amp;$AS$82&amp;"P"&amp;$A96)</f>
        <v>121.88%</v>
      </c>
      <c r="EN96" s="3" t="str">
        <f>RTD("tos.rtd",,EN$83,"."&amp;$C$82&amp;$AU$82&amp;"C"&amp;$A96)</f>
        <v>31.46%</v>
      </c>
      <c r="EO96" s="3" t="str">
        <f>RTD("tos.rtd",,EO$83,"."&amp;$C$82&amp;$AU$82&amp;"P"&amp;$A96)</f>
        <v>--</v>
      </c>
      <c r="EP96" s="3" t="str">
        <f>RTD("tos.rtd",,EP$83,"."&amp;$D$82&amp;$AW$82&amp;"C"&amp;$A96)</f>
        <v>21.77%</v>
      </c>
      <c r="EQ96" s="3" t="str">
        <f>RTD("tos.rtd",,EQ$83,"."&amp;$D$82&amp;$AW$82&amp;"P"&amp;$A96)</f>
        <v>13.25%</v>
      </c>
      <c r="ES96" s="63" t="str">
        <f t="shared" si="489"/>
        <v>5760,-745.00</v>
      </c>
      <c r="ET96" s="63" t="str">
        <f t="shared" ca="1" si="490"/>
        <v>5760,00.00</v>
      </c>
      <c r="EU96" s="67">
        <v>565.37</v>
      </c>
      <c r="EV96" s="67" t="s">
        <v>787</v>
      </c>
      <c r="EW96" s="67">
        <v>488.91</v>
      </c>
      <c r="EX96" s="67" t="s">
        <v>788</v>
      </c>
      <c r="EY96" s="67">
        <v>5663.94</v>
      </c>
      <c r="EZ96" s="67" t="s">
        <v>789</v>
      </c>
      <c r="FA96" s="67">
        <v>20063.564999999999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508"/>
        <v>5750</v>
      </c>
      <c r="B97" s="3">
        <f t="shared" si="451"/>
        <v>4342</v>
      </c>
      <c r="C97" s="3">
        <f t="shared" si="452"/>
        <v>20157</v>
      </c>
      <c r="D97" s="3">
        <f t="shared" si="453"/>
        <v>54573</v>
      </c>
      <c r="E97" s="3">
        <f>SUM(B97:D97)</f>
        <v>79072</v>
      </c>
      <c r="F97" s="4">
        <f t="shared" si="517"/>
        <v>5841.5239818300997</v>
      </c>
      <c r="G97" s="4">
        <f t="shared" si="491"/>
        <v>580.5357329003466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-3395</v>
      </c>
      <c r="AN97" s="20">
        <v>-481</v>
      </c>
      <c r="AO97" s="20">
        <v>5750</v>
      </c>
      <c r="AP97" s="20">
        <v>17502</v>
      </c>
      <c r="AQ97" s="20">
        <v>-752</v>
      </c>
      <c r="AR97" s="20"/>
      <c r="AS97" s="54">
        <f>IF(RTD("tos.rtd",,AS$83,"."&amp;$B$82&amp;$AS$82&amp;"C"&amp;$A97)="N/A",0,RTD("tos.rtd",,AS$83,"."&amp;$B$82&amp;$AS$82&amp;"C"&amp;$A97))</f>
        <v>3846</v>
      </c>
      <c r="AT97" s="3">
        <f>-IF(RTD("tos.rtd",,AT$83,"."&amp;$B$82&amp;$AS$82&amp;"P"&amp;$A97)="N/A",0,RTD("tos.rtd",,AT$83,"."&amp;$B$82&amp;$AS$82&amp;"P"&amp;$A97))</f>
        <v>-496</v>
      </c>
      <c r="AU97" s="54">
        <f>IF(RTD("tos.rtd",,AU$83,"."&amp;$C$82&amp;$AU$82&amp;"C"&amp;$A97)="N/A",0,RTD("tos.rtd",,AU$83,"."&amp;$C$82&amp;$AU$82&amp;"C"&amp;$A97))</f>
        <v>11423</v>
      </c>
      <c r="AV97" s="3">
        <f>-IF(RTD("tos.rtd",,AV$83,"."&amp;$C$82&amp;$AU$82&amp;"P"&amp;$A97)="N/A",0,RTD("tos.rtd",,AV$83,"."&amp;$C$82&amp;$AU$82&amp;"P"&amp;$A97))</f>
        <v>-8734</v>
      </c>
      <c r="AW97" s="54">
        <f>IF(RTD("tos.rtd",,AW$83,"."&amp;$D$82&amp;$AW$82&amp;"C"&amp;$A97)="N/A",0,RTD("tos.rtd",,AW$83,"."&amp;$D$82&amp;$AW$82&amp;"C"&amp;$A97))</f>
        <v>25877</v>
      </c>
      <c r="AX97" s="3">
        <f>-IF(RTD("tos.rtd",,AX$83,"."&amp;$D$82&amp;$AW$82&amp;"P"&amp;$A97)="N/A",0,RTD("tos.rtd",,AX$83,"."&amp;$D$82&amp;$AW$82&amp;"P"&amp;$A97))</f>
        <v>-28696</v>
      </c>
      <c r="AY97" s="79">
        <f t="shared" si="492"/>
        <v>3220</v>
      </c>
      <c r="AZ97" s="8">
        <f t="shared" si="455"/>
        <v>5750</v>
      </c>
      <c r="BA97" s="54">
        <f>IF(RTD("tos.rtd",,BA$83,"."&amp;$B$82&amp;$AS$82&amp;"C"&amp;$A97)="N/A",0,RTD("tos.rtd",,BA$83,"."&amp;$B$82&amp;$AS$82&amp;"C"&amp;$A97))</f>
        <v>0</v>
      </c>
      <c r="BB97" s="3">
        <f>-IF(RTD("tos.rtd",,BB$83,"."&amp;$B$82&amp;$AS$82&amp;"P"&amp;$A97)="N/A",0,RTD("tos.rtd",,BB$83,"."&amp;$B$82&amp;$AS$82&amp;"P"&amp;$A97))</f>
        <v>0</v>
      </c>
      <c r="BC97" s="54">
        <f>IF(RTD("tos.rtd",,BC$83,"."&amp;$C$82&amp;$AU$82&amp;"C"&amp;$A97)="N/A",0,RTD("tos.rtd",,BC$83,"."&amp;$C$82&amp;$AU$82&amp;"C"&amp;$A97))</f>
        <v>0</v>
      </c>
      <c r="BD97" s="3">
        <f>-IF(RTD("tos.rtd",,BD$83,"."&amp;$C$82&amp;$AU$82&amp;"P"&amp;$A97)="N/A",0,RTD("tos.rtd",,BD$83,"."&amp;$C$82&amp;$AU$82&amp;"P"&amp;$A97))</f>
        <v>0</v>
      </c>
      <c r="BE97" s="54">
        <f>IF(RTD("tos.rtd",,BE$83,"."&amp;$D$82&amp;$AW$82&amp;"C"&amp;$A97)="N/A",0,RTD("tos.rtd",,BE$83,"."&amp;$D$82&amp;$AW$82&amp;"C"&amp;$A97))</f>
        <v>0</v>
      </c>
      <c r="BF97" s="3">
        <f>-IF(RTD("tos.rtd",,BF$83,"."&amp;$D$82&amp;$AW$82&amp;"P"&amp;$A97)="N/A",0,RTD("tos.rtd",,BF$83,"."&amp;$D$82&amp;$AW$82&amp;"P"&amp;$A97))</f>
        <v>0</v>
      </c>
      <c r="BG97" s="3">
        <f ca="1">+Hoja2!Y98</f>
        <v>4</v>
      </c>
      <c r="BH97" s="55">
        <f t="shared" ca="1" si="493"/>
        <v>4</v>
      </c>
      <c r="BI97" s="32" t="str">
        <f t="shared" ca="1" si="513"/>
        <v/>
      </c>
      <c r="BJ97" s="3" t="e">
        <f ca="1">IF($BP$1=1,DX97,IF(RTD("tos.rtd",,BJ$83,"."&amp;$B$82&amp;$AS$82&amp;"C"&amp;$A97)="N/A",0,RTD("tos.rtd",,BJ$83,"."&amp;$B$82&amp;$AS$82&amp;"C"&amp;$A97)))</f>
        <v>#NUM!</v>
      </c>
      <c r="BK97" s="3" t="e">
        <f ca="1">IF($BP$1=1,DY97,-IF(RTD("tos.rtd",,BK$83,"."&amp;$B$82&amp;$AS$82&amp;"P"&amp;$A97)="N/A",0,RTD("tos.rtd",,BK$83,"."&amp;$B$82&amp;$AS$82&amp;"P"&amp;$A97)))</f>
        <v>#NUM!</v>
      </c>
      <c r="BL97" s="3">
        <f ca="1">IF($BP$1=1,DZ97,IF(RTD("tos.rtd",,BL$83,"."&amp;$C$82&amp;$AU$82&amp;"C"&amp;$A97)="N/A",0,RTD("tos.rtd",,BL$83,"."&amp;$C$82&amp;$AU$82&amp;"C"&amp;$A97)))</f>
        <v>1.5392392780847496E-3</v>
      </c>
      <c r="BM97" s="3">
        <f ca="1">IF($BP$1=1,EA97,-IF(RTD("tos.rtd",,BM$83,"."&amp;$C$82&amp;$AU$82&amp;"P"&amp;$A97)="N/A",0,RTD("tos.rtd",,BM$83,"."&amp;$C$82&amp;$AU$82&amp;"P"&amp;$A97)))</f>
        <v>-1.8995250165813509E-3</v>
      </c>
      <c r="BN97" s="3">
        <f ca="1">IF($BP$1=1,EB97,IF(RTD("tos.rtd",,BN$83,"."&amp;$D$82&amp;$AW$82&amp;"C"&amp;$A97)="N/A",0,RTD("tos.rtd",,BN$83,"."&amp;$D$82&amp;$AW$82&amp;"C"&amp;$A97)))</f>
        <v>2.0969955637506732E-3</v>
      </c>
      <c r="BO97" s="3">
        <f ca="1">IF($BP$1=1,EC97,-IF(RTD("tos.rtd",,BO$83,"."&amp;$D$82&amp;$AW$82&amp;"P"&amp;$A97)="N/A",0,RTD("tos.rtd",,BO$83,"."&amp;$D$82&amp;$AW$82&amp;"P"&amp;$A97)))</f>
        <v>-2.7682562479742368E-3</v>
      </c>
      <c r="BQ97" s="3" t="e">
        <f t="shared" ca="1" si="456"/>
        <v>#NUM!</v>
      </c>
      <c r="BR97" s="3" t="e">
        <f t="shared" ca="1" si="494"/>
        <v>#NUM!</v>
      </c>
      <c r="BS97" s="3">
        <f t="shared" ca="1" si="457"/>
        <v>244283.8226007456</v>
      </c>
      <c r="BT97" s="3" t="str">
        <f t="shared" ca="1" si="494"/>
        <v>Cruce +</v>
      </c>
      <c r="BU97" s="3">
        <f t="shared" ca="1" si="458"/>
        <v>-6197434.905242512</v>
      </c>
      <c r="BV97" s="3" t="str">
        <f t="shared" ca="1" si="494"/>
        <v/>
      </c>
      <c r="BX97" s="3" t="e">
        <f t="shared" ca="1" si="459"/>
        <v>#NUM!</v>
      </c>
      <c r="BY97" s="3" t="e">
        <f t="shared" ca="1" si="510"/>
        <v>#NUM!</v>
      </c>
      <c r="BZ97" s="3">
        <f t="shared" ca="1" si="460"/>
        <v>0</v>
      </c>
      <c r="CA97" s="3" t="str">
        <f t="shared" ca="1" si="510"/>
        <v/>
      </c>
      <c r="CB97" s="3">
        <f t="shared" ca="1" si="461"/>
        <v>0</v>
      </c>
      <c r="CC97" s="3" t="str">
        <f t="shared" ca="1" si="510"/>
        <v/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0.97</v>
      </c>
      <c r="CF97" s="3">
        <f>IF(RTD("tos.rtd",,CF$83,"."&amp;$C$82&amp;$AU$82&amp;"C"&amp;$A97)="N/A",0,RTD("tos.rtd",,CF$83,"."&amp;$C$82&amp;$AU$82&amp;"C"&amp;$A97))</f>
        <v>0.34</v>
      </c>
      <c r="CG97" s="3">
        <f>-IF(RTD("tos.rtd",,CG$83,"."&amp;$C$82&amp;$AU$82&amp;"P"&amp;$A97)="N/A",0,RTD("tos.rtd",,CG$83,"."&amp;$C$82&amp;$AU$82&amp;"P"&amp;$A97))</f>
        <v>1</v>
      </c>
      <c r="CH97" s="3">
        <f>IF(RTD("tos.rtd",,CH$83,"."&amp;$D$82&amp;$AW$82&amp;"C"&amp;$A97)="N/A",0,RTD("tos.rtd",,CH$83,"."&amp;$D$82&amp;$AW$82&amp;"C"&amp;$A97))</f>
        <v>0.45</v>
      </c>
      <c r="CI97" s="3">
        <f>-IF(RTD("tos.rtd",,CI$83,"."&amp;$D$82&amp;$AW$82&amp;"P"&amp;$A97)="N/A",0,RTD("tos.rtd",,CI$83,"."&amp;$D$82&amp;$AW$82&amp;"P"&amp;$A97))</f>
        <v>0.59</v>
      </c>
      <c r="CK97" s="3">
        <f t="shared" si="514"/>
        <v>-48112</v>
      </c>
      <c r="CL97" s="3"/>
      <c r="CM97" s="3">
        <f t="shared" si="515"/>
        <v>-485018</v>
      </c>
      <c r="CN97" s="3"/>
      <c r="CO97" s="3">
        <f t="shared" si="516"/>
        <v>-528599</v>
      </c>
      <c r="CP97" s="3">
        <f t="shared" si="462"/>
        <v>-1061729</v>
      </c>
      <c r="CQ97" s="3">
        <f t="shared" si="463"/>
        <v>0</v>
      </c>
      <c r="CR97" s="3"/>
      <c r="CS97" s="3">
        <f t="shared" si="464"/>
        <v>0</v>
      </c>
      <c r="CT97" s="3"/>
      <c r="CU97" s="3">
        <f t="shared" si="465"/>
        <v>0</v>
      </c>
      <c r="CV97" s="3"/>
      <c r="CW97" s="3" t="e">
        <f t="shared" ca="1" si="498"/>
        <v>#NUM!</v>
      </c>
      <c r="CY97" s="3" t="e">
        <f t="shared" ca="1" si="467"/>
        <v>#NUM!</v>
      </c>
      <c r="CZ97" s="70" t="e">
        <f t="shared" ca="1" si="511"/>
        <v>#NUM!</v>
      </c>
      <c r="DA97" s="3">
        <f>IF(RTD("tos.rtd",,DA$83,"."&amp;$B$82&amp;$AS$82&amp;"C"&amp;$A97)="N/A",0,RTD("tos.rtd",,DA$83,"."&amp;$B$82&amp;$AS$82&amp;"C"&amp;$A97))</f>
        <v>0.05</v>
      </c>
      <c r="DB97" s="3">
        <f>IF(RTD("tos.rtd",,DB$83,"."&amp;$B$82&amp;$AS$82&amp;"P"&amp;$A97)="N/A",0,RTD("tos.rtd",,DB$83,"."&amp;$B$82&amp;$AS$82&amp;"P"&amp;$A97))</f>
        <v>87.47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93.1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88.2</v>
      </c>
      <c r="DG97" s="86">
        <f t="shared" si="499"/>
        <v>90.090000000000146</v>
      </c>
      <c r="DH97" s="3">
        <f t="shared" si="468"/>
        <v>-17502</v>
      </c>
      <c r="DI97" s="3">
        <f t="shared" si="469"/>
        <v>-112.03265306122529</v>
      </c>
      <c r="DJ97" s="3">
        <f t="shared" si="470"/>
        <v>-17502</v>
      </c>
      <c r="DK97" s="3">
        <f t="shared" si="471"/>
        <v>-752</v>
      </c>
      <c r="DL97" s="3">
        <f t="shared" si="472"/>
        <v>-17614.032653061226</v>
      </c>
      <c r="DM97" s="3">
        <f t="shared" si="473"/>
        <v>-18254</v>
      </c>
      <c r="DN97" s="64" t="str">
        <f t="shared" si="474"/>
        <v>UNKNOWN</v>
      </c>
      <c r="DO97" s="64" t="str">
        <f t="shared" si="475"/>
        <v>UNKNOWN</v>
      </c>
      <c r="DP97" s="3">
        <f t="shared" si="476"/>
        <v>-10674.596163265376</v>
      </c>
      <c r="DQ97" s="3">
        <f t="shared" si="477"/>
        <v>-66652.540000000008</v>
      </c>
      <c r="DR97" s="3" t="e">
        <f t="shared" ca="1" si="478"/>
        <v>#NUM!</v>
      </c>
      <c r="DS97" s="3">
        <f t="shared" si="479"/>
        <v>-729.43999999999994</v>
      </c>
      <c r="DT97" s="3">
        <f t="shared" si="500"/>
        <v>-17502</v>
      </c>
      <c r="DU97" s="3">
        <f t="shared" si="501"/>
        <v>752</v>
      </c>
      <c r="DV97" s="3">
        <f t="shared" si="502"/>
        <v>-3395</v>
      </c>
      <c r="DW97" s="3">
        <f t="shared" si="503"/>
        <v>-481</v>
      </c>
      <c r="DX97" s="3" t="e">
        <f t="shared" ca="1" si="512"/>
        <v>#NUM!</v>
      </c>
      <c r="DY97" s="3" t="e">
        <f t="shared" ca="1" si="480"/>
        <v>#NUM!</v>
      </c>
      <c r="DZ97" s="3">
        <f t="shared" ca="1" si="504"/>
        <v>1.5392392780847496E-3</v>
      </c>
      <c r="EA97" s="3">
        <f t="shared" ca="1" si="505"/>
        <v>-1.8995250165813509E-3</v>
      </c>
      <c r="EB97" s="3">
        <f t="shared" ca="1" si="481"/>
        <v>2.0969955637506732E-3</v>
      </c>
      <c r="EC97" s="3">
        <f t="shared" ca="1" si="482"/>
        <v>-2.7682562479742368E-3</v>
      </c>
      <c r="ED97" s="63">
        <f t="shared" si="506"/>
        <v>-3876</v>
      </c>
      <c r="EE97" s="59">
        <f t="shared" si="483"/>
        <v>0.74809999999999999</v>
      </c>
      <c r="EF97" s="59">
        <f t="shared" si="484"/>
        <v>1.1177999999999999</v>
      </c>
      <c r="EG97" s="59">
        <f t="shared" si="485"/>
        <v>0.3206</v>
      </c>
      <c r="EH97" s="59">
        <f t="shared" si="486"/>
        <v>0.25</v>
      </c>
      <c r="EI97" s="59">
        <f t="shared" si="487"/>
        <v>0.22009999999999999</v>
      </c>
      <c r="EJ97" s="59">
        <f t="shared" si="488"/>
        <v>0.13539999999999999</v>
      </c>
      <c r="EK97" s="63" t="e">
        <f t="shared" ca="1" si="507"/>
        <v>#NUM!</v>
      </c>
      <c r="EL97" s="3" t="str">
        <f>RTD("tos.rtd",,EL$83,"."&amp;$B$82&amp;$AS$82&amp;"C"&amp;$A97)</f>
        <v>74.81%</v>
      </c>
      <c r="EM97" s="3" t="str">
        <f>RTD("tos.rtd",,EM$83,"."&amp;$B$82&amp;$AS$82&amp;"P"&amp;$A97)</f>
        <v>111.78%</v>
      </c>
      <c r="EN97" s="3" t="str">
        <f>RTD("tos.rtd",,EN$83,"."&amp;$C$82&amp;$AU$82&amp;"C"&amp;$A97)</f>
        <v>32.06%</v>
      </c>
      <c r="EO97" s="3" t="str">
        <f>RTD("tos.rtd",,EO$83,"."&amp;$C$82&amp;$AU$82&amp;"P"&amp;$A97)</f>
        <v>--</v>
      </c>
      <c r="EP97" s="3" t="str">
        <f>RTD("tos.rtd",,EP$83,"."&amp;$D$82&amp;$AW$82&amp;"C"&amp;$A97)</f>
        <v>22.01%</v>
      </c>
      <c r="EQ97" s="3" t="str">
        <f>RTD("tos.rtd",,EQ$83,"."&amp;$D$82&amp;$AW$82&amp;"P"&amp;$A97)</f>
        <v>13.54%</v>
      </c>
      <c r="ES97" s="63" t="str">
        <f t="shared" si="489"/>
        <v>5750,-3876.00</v>
      </c>
      <c r="ET97" s="63" t="str">
        <f t="shared" ca="1" si="490"/>
        <v>5750,00.00</v>
      </c>
      <c r="EU97" s="67">
        <v>565.35</v>
      </c>
      <c r="EV97" s="67" t="s">
        <v>795</v>
      </c>
      <c r="EW97" s="67">
        <v>488.95</v>
      </c>
      <c r="EX97" s="67" t="s">
        <v>796</v>
      </c>
      <c r="EY97" s="67">
        <v>5663.94</v>
      </c>
      <c r="EZ97" s="67" t="s">
        <v>797</v>
      </c>
      <c r="FA97" s="67">
        <v>20063.564999999999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508"/>
        <v>5740</v>
      </c>
      <c r="B98" s="3">
        <f t="shared" si="451"/>
        <v>1741</v>
      </c>
      <c r="C98" s="3">
        <f t="shared" si="452"/>
        <v>1012</v>
      </c>
      <c r="D98" s="3">
        <f t="shared" si="453"/>
        <v>5802</v>
      </c>
      <c r="E98" s="3">
        <f t="shared" ref="E98" si="518">SUM(B98:D98)</f>
        <v>8555</v>
      </c>
      <c r="F98" s="4">
        <f t="shared" si="517"/>
        <v>5831.3648096877869</v>
      </c>
      <c r="G98" s="4">
        <f t="shared" si="491"/>
        <v>579.52610553878071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-4610</v>
      </c>
      <c r="AN98" s="20">
        <v>10</v>
      </c>
      <c r="AO98" s="20">
        <v>5740</v>
      </c>
      <c r="AP98" s="20">
        <v>20166</v>
      </c>
      <c r="AQ98" s="20">
        <v>-499</v>
      </c>
      <c r="AR98" s="20"/>
      <c r="AS98" s="54">
        <f>IF(RTD("tos.rtd",,AS$83,"."&amp;$B$82&amp;$AS$82&amp;"C"&amp;$A98)="N/A",0,RTD("tos.rtd",,AS$83,"."&amp;$B$82&amp;$AS$82&amp;"C"&amp;$A98))</f>
        <v>1602</v>
      </c>
      <c r="AT98" s="3">
        <f>-IF(RTD("tos.rtd",,AT$83,"."&amp;$B$82&amp;$AS$82&amp;"P"&amp;$A98)="N/A",0,RTD("tos.rtd",,AT$83,"."&amp;$B$82&amp;$AS$82&amp;"P"&amp;$A98))</f>
        <v>-139</v>
      </c>
      <c r="AU98" s="54">
        <f>IF(RTD("tos.rtd",,AU$83,"."&amp;$C$82&amp;$AU$82&amp;"C"&amp;$A98)="N/A",0,RTD("tos.rtd",,AU$83,"."&amp;$C$82&amp;$AU$82&amp;"C"&amp;$A98))</f>
        <v>674</v>
      </c>
      <c r="AV98" s="3">
        <f>-IF(RTD("tos.rtd",,AV$83,"."&amp;$C$82&amp;$AU$82&amp;"P"&amp;$A98)="N/A",0,RTD("tos.rtd",,AV$83,"."&amp;$C$82&amp;$AU$82&amp;"P"&amp;$A98))</f>
        <v>-338</v>
      </c>
      <c r="AW98" s="54">
        <f>IF(RTD("tos.rtd",,AW$83,"."&amp;$D$82&amp;$AW$82&amp;"C"&amp;$A98)="N/A",0,RTD("tos.rtd",,AW$83,"."&amp;$D$82&amp;$AW$82&amp;"C"&amp;$A98))</f>
        <v>2414</v>
      </c>
      <c r="AX98" s="3">
        <f>-IF(RTD("tos.rtd",,AX$83,"."&amp;$D$82&amp;$AW$82&amp;"P"&amp;$A98)="N/A",0,RTD("tos.rtd",,AX$83,"."&amp;$D$82&amp;$AW$82&amp;"P"&amp;$A98))</f>
        <v>-3388</v>
      </c>
      <c r="AY98" s="79">
        <f t="shared" si="492"/>
        <v>825</v>
      </c>
      <c r="AZ98" s="8">
        <f t="shared" si="455"/>
        <v>5740</v>
      </c>
      <c r="BA98" s="54">
        <f>IF(RTD("tos.rtd",,BA$83,"."&amp;$B$82&amp;$AS$82&amp;"C"&amp;$A98)="N/A",0,RTD("tos.rtd",,BA$83,"."&amp;$B$82&amp;$AS$82&amp;"C"&amp;$A98))</f>
        <v>0</v>
      </c>
      <c r="BB98" s="3">
        <f>-IF(RTD("tos.rtd",,BB$83,"."&amp;$B$82&amp;$AS$82&amp;"P"&amp;$A98)="N/A",0,RTD("tos.rtd",,BB$83,"."&amp;$B$82&amp;$AS$82&amp;"P"&amp;$A98))</f>
        <v>0</v>
      </c>
      <c r="BC98" s="54">
        <f>IF(RTD("tos.rtd",,BC$83,"."&amp;$C$82&amp;$AU$82&amp;"C"&amp;$A98)="N/A",0,RTD("tos.rtd",,BC$83,"."&amp;$C$82&amp;$AU$82&amp;"C"&amp;$A98))</f>
        <v>0</v>
      </c>
      <c r="BD98" s="3">
        <f>-IF(RTD("tos.rtd",,BD$83,"."&amp;$C$82&amp;$AU$82&amp;"P"&amp;$A98)="N/A",0,RTD("tos.rtd",,BD$83,"."&amp;$C$82&amp;$AU$82&amp;"P"&amp;$A98))</f>
        <v>0</v>
      </c>
      <c r="BE98" s="54">
        <f>IF(RTD("tos.rtd",,BE$83,"."&amp;$D$82&amp;$AW$82&amp;"C"&amp;$A98)="N/A",0,RTD("tos.rtd",,BE$83,"."&amp;$D$82&amp;$AW$82&amp;"C"&amp;$A98))</f>
        <v>0</v>
      </c>
      <c r="BF98" s="3">
        <f>-IF(RTD("tos.rtd",,BF$83,"."&amp;$D$82&amp;$AW$82&amp;"P"&amp;$A98)="N/A",0,RTD("tos.rtd",,BF$83,"."&amp;$D$82&amp;$AW$82&amp;"P"&amp;$A98))</f>
        <v>0</v>
      </c>
      <c r="BG98" s="3">
        <f ca="1">+Hoja2!Y99</f>
        <v>0</v>
      </c>
      <c r="BH98" s="55">
        <f t="shared" ca="1" si="493"/>
        <v>0</v>
      </c>
      <c r="BI98" s="32" t="str">
        <f t="shared" ca="1" si="513"/>
        <v/>
      </c>
      <c r="BJ98" s="3" t="e">
        <f ca="1">IF($BP$1=1,DX98,IF(RTD("tos.rtd",,BJ$83,"."&amp;$B$82&amp;$AS$82&amp;"C"&amp;$A98)="N/A",0,RTD("tos.rtd",,BJ$83,"."&amp;$B$82&amp;$AS$82&amp;"C"&amp;$A98)))</f>
        <v>#NUM!</v>
      </c>
      <c r="BK98" s="3" t="e">
        <f ca="1">IF($BP$1=1,DY98,-IF(RTD("tos.rtd",,BK$83,"."&amp;$B$82&amp;$AS$82&amp;"P"&amp;$A98)="N/A",0,RTD("tos.rtd",,BK$83,"."&amp;$B$82&amp;$AS$82&amp;"P"&amp;$A98)))</f>
        <v>#NUM!</v>
      </c>
      <c r="BL98" s="3">
        <f ca="1">IF($BP$1=1,DZ98,IF(RTD("tos.rtd",,BL$83,"."&amp;$C$82&amp;$AU$82&amp;"C"&amp;$A98)="N/A",0,RTD("tos.rtd",,BL$83,"."&amp;$C$82&amp;$AU$82&amp;"C"&amp;$A98)))</f>
        <v>1.5303525644382488E-3</v>
      </c>
      <c r="BM98" s="3">
        <f ca="1">IF($BP$1=1,EA98,-IF(RTD("tos.rtd",,BM$83,"."&amp;$C$82&amp;$AU$82&amp;"P"&amp;$A98)="N/A",0,RTD("tos.rtd",,BM$83,"."&amp;$C$82&amp;$AU$82&amp;"P"&amp;$A98)))</f>
        <v>-1.9390289908714968E-3</v>
      </c>
      <c r="BN98" s="3">
        <f ca="1">IF($BP$1=1,EB98,IF(RTD("tos.rtd",,BN$83,"."&amp;$D$82&amp;$AW$82&amp;"C"&amp;$A98)="N/A",0,RTD("tos.rtd",,BN$83,"."&amp;$D$82&amp;$AW$82&amp;"C"&amp;$A98)))</f>
        <v>2.136817123242765E-3</v>
      </c>
      <c r="BO98" s="3">
        <f ca="1">IF($BP$1=1,EC98,-IF(RTD("tos.rtd",,BO$83,"."&amp;$D$82&amp;$AW$82&amp;"P"&amp;$A98)="N/A",0,RTD("tos.rtd",,BO$83,"."&amp;$D$82&amp;$AW$82&amp;"P"&amp;$A98)))</f>
        <v>-2.9462049535175713E-3</v>
      </c>
      <c r="BQ98" s="3" t="e">
        <f t="shared" ca="1" si="456"/>
        <v>#NUM!</v>
      </c>
      <c r="BR98" s="3" t="e">
        <f t="shared" ca="1" si="494"/>
        <v>#NUM!</v>
      </c>
      <c r="BS98" s="3">
        <f t="shared" ca="1" si="457"/>
        <v>92581.641724200628</v>
      </c>
      <c r="BT98" s="3" t="str">
        <f t="shared" ca="1" si="494"/>
        <v/>
      </c>
      <c r="BU98" s="3">
        <f t="shared" ca="1" si="458"/>
        <v>-1187463.342496491</v>
      </c>
      <c r="BV98" s="3" t="str">
        <f t="shared" ca="1" si="494"/>
        <v/>
      </c>
      <c r="BX98" s="3" t="e">
        <f t="shared" ca="1" si="459"/>
        <v>#NUM!</v>
      </c>
      <c r="BY98" s="3" t="e">
        <f t="shared" ca="1" si="510"/>
        <v>#NUM!</v>
      </c>
      <c r="BZ98" s="3">
        <f t="shared" ca="1" si="460"/>
        <v>0</v>
      </c>
      <c r="CA98" s="3" t="str">
        <f t="shared" ca="1" si="510"/>
        <v/>
      </c>
      <c r="CB98" s="3">
        <f t="shared" ca="1" si="461"/>
        <v>0</v>
      </c>
      <c r="CC98" s="3" t="str">
        <f t="shared" ca="1" si="510"/>
        <v/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0.97</v>
      </c>
      <c r="CF98" s="3">
        <f>IF(RTD("tos.rtd",,CF$83,"."&amp;$C$82&amp;$AU$82&amp;"C"&amp;$A98)="N/A",0,RTD("tos.rtd",,CF$83,"."&amp;$C$82&amp;$AU$82&amp;"C"&amp;$A98))</f>
        <v>0.36</v>
      </c>
      <c r="CG98" s="3">
        <f>-IF(RTD("tos.rtd",,CG$83,"."&amp;$C$82&amp;$AU$82&amp;"P"&amp;$A98)="N/A",0,RTD("tos.rtd",,CG$83,"."&amp;$C$82&amp;$AU$82&amp;"P"&amp;$A98))</f>
        <v>1</v>
      </c>
      <c r="CH98" s="3">
        <f>IF(RTD("tos.rtd",,CH$83,"."&amp;$D$82&amp;$AW$82&amp;"C"&amp;$A98)="N/A",0,RTD("tos.rtd",,CH$83,"."&amp;$D$82&amp;$AW$82&amp;"C"&amp;$A98))</f>
        <v>0.46</v>
      </c>
      <c r="CI98" s="3">
        <f>-IF(RTD("tos.rtd",,CI$83,"."&amp;$D$82&amp;$AW$82&amp;"P"&amp;$A98)="N/A",0,RTD("tos.rtd",,CI$83,"."&amp;$D$82&amp;$AW$82&amp;"P"&amp;$A98))</f>
        <v>0.56999999999999995</v>
      </c>
      <c r="CK98" s="3">
        <f t="shared" si="514"/>
        <v>-13482.999999999998</v>
      </c>
      <c r="CL98" s="3"/>
      <c r="CM98" s="3">
        <f t="shared" si="515"/>
        <v>-9536</v>
      </c>
      <c r="CN98" s="3"/>
      <c r="CO98" s="3">
        <f t="shared" si="516"/>
        <v>-82072</v>
      </c>
      <c r="CP98" s="3">
        <f t="shared" si="462"/>
        <v>-105091</v>
      </c>
      <c r="CQ98" s="3">
        <f t="shared" si="463"/>
        <v>0</v>
      </c>
      <c r="CR98" s="3"/>
      <c r="CS98" s="3">
        <f t="shared" si="464"/>
        <v>0</v>
      </c>
      <c r="CT98" s="3"/>
      <c r="CU98" s="3">
        <f t="shared" si="465"/>
        <v>0</v>
      </c>
      <c r="CV98" s="3"/>
      <c r="CW98" s="3" t="e">
        <f t="shared" ca="1" si="498"/>
        <v>#NUM!</v>
      </c>
      <c r="CY98" s="3" t="e">
        <f t="shared" ca="1" si="467"/>
        <v>#NUM!</v>
      </c>
      <c r="CZ98" s="70" t="e">
        <f t="shared" ca="1" si="511"/>
        <v>#NUM!</v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80.8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83.1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78.2</v>
      </c>
      <c r="DG98" s="86">
        <f t="shared" si="499"/>
        <v>80.090000000000146</v>
      </c>
      <c r="DH98" s="3">
        <f t="shared" si="468"/>
        <v>-12099.6</v>
      </c>
      <c r="DI98" s="3">
        <f t="shared" si="469"/>
        <v>264.77551020408151</v>
      </c>
      <c r="DJ98" s="3">
        <f t="shared" si="470"/>
        <v>-20166</v>
      </c>
      <c r="DK98" s="3">
        <f t="shared" si="471"/>
        <v>0</v>
      </c>
      <c r="DL98" s="3">
        <f t="shared" si="472"/>
        <v>-11834.824489795919</v>
      </c>
      <c r="DM98" s="3">
        <f t="shared" si="473"/>
        <v>-20166</v>
      </c>
      <c r="DN98" s="64" t="str">
        <f t="shared" si="474"/>
        <v>UNKNOWN</v>
      </c>
      <c r="DO98" s="64" t="str">
        <f t="shared" si="475"/>
        <v>UNKNOWN</v>
      </c>
      <c r="DP98" s="3">
        <f t="shared" si="476"/>
        <v>21030.873224489784</v>
      </c>
      <c r="DQ98" s="3">
        <f t="shared" si="477"/>
        <v>-604.98</v>
      </c>
      <c r="DR98" s="3" t="e">
        <f t="shared" ca="1" si="478"/>
        <v>#NUM!</v>
      </c>
      <c r="DS98" s="3">
        <f t="shared" si="479"/>
        <v>0</v>
      </c>
      <c r="DT98" s="3">
        <f t="shared" si="500"/>
        <v>-20166</v>
      </c>
      <c r="DU98" s="3">
        <f t="shared" si="501"/>
        <v>499</v>
      </c>
      <c r="DV98" s="3">
        <f>AM98+IF(DN98="BUY",DT98,IF(DN98="SELL",-DT98,0))</f>
        <v>-4610</v>
      </c>
      <c r="DW98" s="3">
        <f t="shared" si="503"/>
        <v>10</v>
      </c>
      <c r="DX98" s="3" t="e">
        <f t="shared" ca="1" si="512"/>
        <v>#NUM!</v>
      </c>
      <c r="DY98" s="3" t="e">
        <f t="shared" ca="1" si="480"/>
        <v>#NUM!</v>
      </c>
      <c r="DZ98" s="3">
        <f t="shared" ca="1" si="504"/>
        <v>1.5303525644382488E-3</v>
      </c>
      <c r="EA98" s="3">
        <f t="shared" ca="1" si="505"/>
        <v>-1.9390289908714968E-3</v>
      </c>
      <c r="EB98" s="3">
        <f t="shared" ca="1" si="481"/>
        <v>2.136817123242765E-3</v>
      </c>
      <c r="EC98" s="3">
        <f t="shared" ca="1" si="482"/>
        <v>-2.9462049535175713E-3</v>
      </c>
      <c r="ED98" s="63">
        <f t="shared" si="506"/>
        <v>-4600</v>
      </c>
      <c r="EE98" s="59">
        <f t="shared" si="483"/>
        <v>0.6744</v>
      </c>
      <c r="EF98" s="59">
        <f t="shared" si="484"/>
        <v>1.0152000000000001</v>
      </c>
      <c r="EG98" s="59">
        <f t="shared" si="485"/>
        <v>0.32700000000000001</v>
      </c>
      <c r="EH98" s="59">
        <f t="shared" si="486"/>
        <v>0.25</v>
      </c>
      <c r="EI98" s="59">
        <f t="shared" si="487"/>
        <v>0.2223</v>
      </c>
      <c r="EJ98" s="59">
        <f t="shared" si="488"/>
        <v>0.13819999999999999</v>
      </c>
      <c r="EK98" s="63" t="e">
        <f t="shared" ca="1" si="507"/>
        <v>#NUM!</v>
      </c>
      <c r="EL98" s="3" t="str">
        <f>RTD("tos.rtd",,EL$83,"."&amp;$B$82&amp;$AS$82&amp;"C"&amp;$A98)</f>
        <v>67.44%</v>
      </c>
      <c r="EM98" s="3" t="str">
        <f>RTD("tos.rtd",,EM$83,"."&amp;$B$82&amp;$AS$82&amp;"P"&amp;$A98)</f>
        <v>101.52%</v>
      </c>
      <c r="EN98" s="3" t="str">
        <f>RTD("tos.rtd",,EN$83,"."&amp;$C$82&amp;$AU$82&amp;"C"&amp;$A98)</f>
        <v>32.70%</v>
      </c>
      <c r="EO98" s="3" t="str">
        <f>RTD("tos.rtd",,EO$83,"."&amp;$C$82&amp;$AU$82&amp;"P"&amp;$A98)</f>
        <v>--</v>
      </c>
      <c r="EP98" s="3" t="str">
        <f>RTD("tos.rtd",,EP$83,"."&amp;$D$82&amp;$AW$82&amp;"C"&amp;$A98)</f>
        <v>22.23%</v>
      </c>
      <c r="EQ98" s="3" t="str">
        <f>RTD("tos.rtd",,EQ$83,"."&amp;$D$82&amp;$AW$82&amp;"P"&amp;$A98)</f>
        <v>13.82%</v>
      </c>
      <c r="ES98" s="63" t="str">
        <f t="shared" si="489"/>
        <v>5740,-4600.00</v>
      </c>
      <c r="ET98" s="63" t="str">
        <f t="shared" ca="1" si="490"/>
        <v>5740,00.00</v>
      </c>
      <c r="EU98" s="67">
        <v>565.39</v>
      </c>
      <c r="EV98" s="67" t="s">
        <v>803</v>
      </c>
      <c r="EW98" s="67">
        <v>488.96</v>
      </c>
      <c r="EX98" s="67" t="s">
        <v>804</v>
      </c>
      <c r="EY98" s="67">
        <v>5663.94</v>
      </c>
      <c r="EZ98" s="67" t="s">
        <v>805</v>
      </c>
      <c r="FA98" s="67">
        <v>20063.564999999999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508"/>
        <v>5730</v>
      </c>
      <c r="B99" s="3">
        <f t="shared" si="451"/>
        <v>1319</v>
      </c>
      <c r="C99" s="3">
        <f t="shared" si="452"/>
        <v>1257</v>
      </c>
      <c r="D99" s="3">
        <f t="shared" si="453"/>
        <v>8644</v>
      </c>
      <c r="E99" s="3">
        <f t="shared" ref="E99:E129" si="519">SUM(B99:D99)</f>
        <v>11220</v>
      </c>
      <c r="F99" s="4">
        <f>+$F$84/$A$84*A99</f>
        <v>5821.205637545474</v>
      </c>
      <c r="G99" s="4">
        <f t="shared" ref="G99:G130" si="520">+$G$84/$A$84*A99</f>
        <v>578.51647817721494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-1758</v>
      </c>
      <c r="AN99" s="20">
        <v>-39</v>
      </c>
      <c r="AO99" s="20">
        <v>5730</v>
      </c>
      <c r="AP99" s="20">
        <v>25877</v>
      </c>
      <c r="AQ99" s="20">
        <v>-790</v>
      </c>
      <c r="AR99" s="20"/>
      <c r="AS99" s="54">
        <f>IF(RTD("tos.rtd",,AS$83,"."&amp;$B$82&amp;$AS$82&amp;"C"&amp;$A99)="N/A",0,RTD("tos.rtd",,AS$83,"."&amp;$B$82&amp;$AS$82&amp;"C"&amp;$A99))</f>
        <v>1117</v>
      </c>
      <c r="AT99" s="3">
        <f>-IF(RTD("tos.rtd",,AT$83,"."&amp;$B$82&amp;$AS$82&amp;"P"&amp;$A99)="N/A",0,RTD("tos.rtd",,AT$83,"."&amp;$B$82&amp;$AS$82&amp;"P"&amp;$A99))</f>
        <v>-202</v>
      </c>
      <c r="AU99" s="54">
        <f>IF(RTD("tos.rtd",,AU$83,"."&amp;$C$82&amp;$AU$82&amp;"C"&amp;$A99)="N/A",0,RTD("tos.rtd",,AU$83,"."&amp;$C$82&amp;$AU$82&amp;"C"&amp;$A99))</f>
        <v>942</v>
      </c>
      <c r="AV99" s="3">
        <f>-IF(RTD("tos.rtd",,AV$83,"."&amp;$C$82&amp;$AU$82&amp;"P"&amp;$A99)="N/A",0,RTD("tos.rtd",,AV$83,"."&amp;$C$82&amp;$AU$82&amp;"P"&amp;$A99))</f>
        <v>-315</v>
      </c>
      <c r="AW99" s="54">
        <f>IF(RTD("tos.rtd",,AW$83,"."&amp;$D$82&amp;$AW$82&amp;"C"&amp;$A99)="N/A",0,RTD("tos.rtd",,AW$83,"."&amp;$D$82&amp;$AW$82&amp;"C"&amp;$A99))</f>
        <v>4457</v>
      </c>
      <c r="AX99" s="3">
        <f>-IF(RTD("tos.rtd",,AX$83,"."&amp;$D$82&amp;$AW$82&amp;"P"&amp;$A99)="N/A",0,RTD("tos.rtd",,AX$83,"."&amp;$D$82&amp;$AW$82&amp;"P"&amp;$A99))</f>
        <v>-4187</v>
      </c>
      <c r="AY99" s="79">
        <f t="shared" ref="AY99:AY130" si="521">SUM(AS99:AX99)</f>
        <v>1812</v>
      </c>
      <c r="AZ99" s="8">
        <f t="shared" si="455"/>
        <v>5730</v>
      </c>
      <c r="BA99" s="54">
        <f>IF(RTD("tos.rtd",,BA$83,"."&amp;$B$82&amp;$AS$82&amp;"C"&amp;$A99)="N/A",0,RTD("tos.rtd",,BA$83,"."&amp;$B$82&amp;$AS$82&amp;"C"&amp;$A99))</f>
        <v>0</v>
      </c>
      <c r="BB99" s="3">
        <f>-IF(RTD("tos.rtd",,BB$83,"."&amp;$B$82&amp;$AS$82&amp;"P"&amp;$A99)="N/A",0,RTD("tos.rtd",,BB$83,"."&amp;$B$82&amp;$AS$82&amp;"P"&amp;$A99))</f>
        <v>0</v>
      </c>
      <c r="BC99" s="54">
        <f>IF(RTD("tos.rtd",,BC$83,"."&amp;$C$82&amp;$AU$82&amp;"C"&amp;$A99)="N/A",0,RTD("tos.rtd",,BC$83,"."&amp;$C$82&amp;$AU$82&amp;"C"&amp;$A99))</f>
        <v>0</v>
      </c>
      <c r="BD99" s="3">
        <f>-IF(RTD("tos.rtd",,BD$83,"."&amp;$C$82&amp;$AU$82&amp;"P"&amp;$A99)="N/A",0,RTD("tos.rtd",,BD$83,"."&amp;$C$82&amp;$AU$82&amp;"P"&amp;$A99))</f>
        <v>0</v>
      </c>
      <c r="BE99" s="54">
        <f>IF(RTD("tos.rtd",,BE$83,"."&amp;$D$82&amp;$AW$82&amp;"C"&amp;$A99)="N/A",0,RTD("tos.rtd",,BE$83,"."&amp;$D$82&amp;$AW$82&amp;"C"&amp;$A99))</f>
        <v>0</v>
      </c>
      <c r="BF99" s="3">
        <f>-IF(RTD("tos.rtd",,BF$83,"."&amp;$D$82&amp;$AW$82&amp;"P"&amp;$A99)="N/A",0,RTD("tos.rtd",,BF$83,"."&amp;$D$82&amp;$AW$82&amp;"P"&amp;$A99))</f>
        <v>0</v>
      </c>
      <c r="BG99" s="3">
        <f ca="1">+Hoja2!Y100</f>
        <v>0</v>
      </c>
      <c r="BH99" s="55">
        <f t="shared" ca="1" si="493"/>
        <v>0</v>
      </c>
      <c r="BI99" s="32" t="str">
        <f t="shared" ca="1" si="513"/>
        <v/>
      </c>
      <c r="BJ99" s="3" t="e">
        <f ca="1">IF($BP$1=1,DX99,IF(RTD("tos.rtd",,BJ$83,"."&amp;$B$82&amp;$AS$82&amp;"C"&amp;$A99)="N/A",0,RTD("tos.rtd",,BJ$83,"."&amp;$B$82&amp;$AS$82&amp;"C"&amp;$A99)))</f>
        <v>#NUM!</v>
      </c>
      <c r="BK99" s="3" t="e">
        <f ca="1">IF($BP$1=1,DY99,-IF(RTD("tos.rtd",,BK$83,"."&amp;$B$82&amp;$AS$82&amp;"P"&amp;$A99)="N/A",0,RTD("tos.rtd",,BK$83,"."&amp;$B$82&amp;$AS$82&amp;"P"&amp;$A99)))</f>
        <v>#NUM!</v>
      </c>
      <c r="BL99" s="3">
        <f ca="1">IF($BP$1=1,DZ99,IF(RTD("tos.rtd",,BL$83,"."&amp;$C$82&amp;$AU$82&amp;"C"&amp;$A99)="N/A",0,RTD("tos.rtd",,BL$83,"."&amp;$C$82&amp;$AU$82&amp;"C"&amp;$A99)))</f>
        <v>1.5148174002536489E-3</v>
      </c>
      <c r="BM99" s="3">
        <f ca="1">IF($BP$1=1,EA99,-IF(RTD("tos.rtd",,BM$83,"."&amp;$C$82&amp;$AU$82&amp;"P"&amp;$A99)="N/A",0,RTD("tos.rtd",,BM$83,"."&amp;$C$82&amp;$AU$82&amp;"P"&amp;$A99)))</f>
        <v>-1.974194908481245E-3</v>
      </c>
      <c r="BN99" s="3">
        <f ca="1">IF($BP$1=1,EB99,IF(RTD("tos.rtd",,BN$83,"."&amp;$D$82&amp;$AW$82&amp;"C"&amp;$A99)="N/A",0,RTD("tos.rtd",,BN$83,"."&amp;$D$82&amp;$AW$82&amp;"C"&amp;$A99)))</f>
        <v>2.1656385944219983E-3</v>
      </c>
      <c r="BO99" s="3">
        <f ca="1">IF($BP$1=1,EC99,-IF(RTD("tos.rtd",,BO$83,"."&amp;$D$82&amp;$AW$82&amp;"P"&amp;$A99)="N/A",0,RTD("tos.rtd",,BO$83,"."&amp;$D$82&amp;$AW$82&amp;"P"&amp;$A99)))</f>
        <v>-3.093068580541421E-3</v>
      </c>
      <c r="BQ99" s="3" t="e">
        <f t="shared" ca="1" si="456"/>
        <v>#NUM!</v>
      </c>
      <c r="BR99" s="3" t="e">
        <f t="shared" ca="1" si="494"/>
        <v>#NUM!</v>
      </c>
      <c r="BS99" s="3">
        <f t="shared" ca="1" si="457"/>
        <v>198199.97679324582</v>
      </c>
      <c r="BT99" s="3" t="str">
        <f t="shared" ca="1" si="494"/>
        <v/>
      </c>
      <c r="BU99" s="3">
        <f t="shared" ca="1" si="458"/>
        <v>-812022.14199461835</v>
      </c>
      <c r="BV99" s="3" t="str">
        <f t="shared" ca="1" si="494"/>
        <v/>
      </c>
      <c r="BX99" s="3" t="e">
        <f t="shared" ca="1" si="459"/>
        <v>#NUM!</v>
      </c>
      <c r="BY99" s="3" t="e">
        <f t="shared" ca="1" si="510"/>
        <v>#NUM!</v>
      </c>
      <c r="BZ99" s="3">
        <f t="shared" ca="1" si="460"/>
        <v>0</v>
      </c>
      <c r="CA99" s="3" t="str">
        <f t="shared" ca="1" si="510"/>
        <v/>
      </c>
      <c r="CB99" s="3">
        <f t="shared" ca="1" si="461"/>
        <v>0</v>
      </c>
      <c r="CC99" s="3" t="str">
        <f t="shared" ca="1" si="510"/>
        <v/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0.96</v>
      </c>
      <c r="CF99" s="3">
        <f>IF(RTD("tos.rtd",,CF$83,"."&amp;$C$82&amp;$AU$82&amp;"C"&amp;$A99)="N/A",0,RTD("tos.rtd",,CF$83,"."&amp;$C$82&amp;$AU$82&amp;"C"&amp;$A99))</f>
        <v>0.38</v>
      </c>
      <c r="CG99" s="3">
        <f>-IF(RTD("tos.rtd",,CG$83,"."&amp;$C$82&amp;$AU$82&amp;"P"&amp;$A99)="N/A",0,RTD("tos.rtd",,CG$83,"."&amp;$C$82&amp;$AU$82&amp;"P"&amp;$A99))</f>
        <v>1</v>
      </c>
      <c r="CH99" s="3">
        <f>IF(RTD("tos.rtd",,CH$83,"."&amp;$D$82&amp;$AW$82&amp;"C"&amp;$A99)="N/A",0,RTD("tos.rtd",,CH$83,"."&amp;$D$82&amp;$AW$82&amp;"C"&amp;$A99))</f>
        <v>0.47</v>
      </c>
      <c r="CI99" s="3">
        <f>-IF(RTD("tos.rtd",,CI$83,"."&amp;$D$82&amp;$AW$82&amp;"P"&amp;$A99)="N/A",0,RTD("tos.rtd",,CI$83,"."&amp;$D$82&amp;$AW$82&amp;"P"&amp;$A99))</f>
        <v>0.55000000000000004</v>
      </c>
      <c r="CK99" s="3">
        <f t="shared" si="495"/>
        <v>-19392</v>
      </c>
      <c r="CL99" s="3"/>
      <c r="CM99" s="3">
        <f t="shared" si="496"/>
        <v>4296</v>
      </c>
      <c r="CN99" s="3"/>
      <c r="CO99" s="3">
        <f t="shared" si="497"/>
        <v>-20806.000000000029</v>
      </c>
      <c r="CP99" s="3">
        <f t="shared" si="462"/>
        <v>-35902.000000000029</v>
      </c>
      <c r="CQ99" s="3">
        <f t="shared" si="463"/>
        <v>0</v>
      </c>
      <c r="CR99" s="3"/>
      <c r="CS99" s="3">
        <f t="shared" si="464"/>
        <v>0</v>
      </c>
      <c r="CT99" s="3"/>
      <c r="CU99" s="3">
        <f t="shared" si="465"/>
        <v>0</v>
      </c>
      <c r="CV99" s="3"/>
      <c r="CW99" s="3" t="e">
        <f t="shared" ca="1" si="466"/>
        <v>#NUM!</v>
      </c>
      <c r="CY99" s="3" t="e">
        <f t="shared" ca="1" si="467"/>
        <v>#NUM!</v>
      </c>
      <c r="CZ99" s="70" t="e">
        <f t="shared" ca="1" si="511"/>
        <v>#NUM!</v>
      </c>
      <c r="DA99" s="3">
        <f>IF(RTD("tos.rtd",,DA$83,"."&amp;$B$82&amp;$AS$82&amp;"C"&amp;$A99)="N/A",0,RTD("tos.rtd",,DA$83,"."&amp;$B$82&amp;$AS$82&amp;"C"&amp;$A99))</f>
        <v>0.05</v>
      </c>
      <c r="DB99" s="3">
        <f>IF(RTD("tos.rtd",,DB$83,"."&amp;$B$82&amp;$AS$82&amp;"P"&amp;$A99)="N/A",0,RTD("tos.rtd",,DB$83,"."&amp;$B$82&amp;$AS$82&amp;"P"&amp;$A99))</f>
        <v>71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73.099999999999994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68.2</v>
      </c>
      <c r="DG99" s="86">
        <f t="shared" si="499"/>
        <v>70.090000000000146</v>
      </c>
      <c r="DH99" s="3">
        <f t="shared" si="468"/>
        <v>-25877</v>
      </c>
      <c r="DI99" s="3">
        <f t="shared" si="469"/>
        <v>451.42857142857173</v>
      </c>
      <c r="DJ99" s="3">
        <f t="shared" si="470"/>
        <v>-25877</v>
      </c>
      <c r="DK99" s="3">
        <f t="shared" si="471"/>
        <v>0</v>
      </c>
      <c r="DL99" s="3">
        <f t="shared" si="472"/>
        <v>-25425.571428571428</v>
      </c>
      <c r="DM99" s="3">
        <f t="shared" si="473"/>
        <v>-25877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5"/>
        <v>UNKNOWN</v>
      </c>
      <c r="DP99" s="3">
        <f t="shared" si="476"/>
        <v>30757.578571428596</v>
      </c>
      <c r="DQ99" s="3">
        <f t="shared" si="477"/>
        <v>-1293.8500000000001</v>
      </c>
      <c r="DR99" s="3" t="e">
        <f t="shared" ca="1" si="478"/>
        <v>#NUM!</v>
      </c>
      <c r="DS99" s="3">
        <f t="shared" si="479"/>
        <v>0</v>
      </c>
      <c r="DT99" s="3">
        <f t="shared" si="500"/>
        <v>-25877</v>
      </c>
      <c r="DU99" s="3">
        <f t="shared" si="501"/>
        <v>790</v>
      </c>
      <c r="DV99" s="3">
        <f t="shared" si="502"/>
        <v>-1758</v>
      </c>
      <c r="DW99" s="3">
        <f t="shared" si="503"/>
        <v>-39</v>
      </c>
      <c r="DX99" s="3" t="e">
        <f t="shared" ca="1" si="512"/>
        <v>#NUM!</v>
      </c>
      <c r="DY99" s="3" t="e">
        <f t="shared" ca="1" si="480"/>
        <v>#NUM!</v>
      </c>
      <c r="DZ99" s="3">
        <f t="shared" ca="1" si="504"/>
        <v>1.5148174002536489E-3</v>
      </c>
      <c r="EA99" s="3">
        <f t="shared" ca="1" si="505"/>
        <v>-1.974194908481245E-3</v>
      </c>
      <c r="EB99" s="3">
        <f t="shared" ca="1" si="481"/>
        <v>2.1656385944219983E-3</v>
      </c>
      <c r="EC99" s="3">
        <f t="shared" ca="1" si="482"/>
        <v>-3.093068580541421E-3</v>
      </c>
      <c r="ED99" s="63">
        <f t="shared" si="506"/>
        <v>-1797</v>
      </c>
      <c r="EE99" s="59">
        <f t="shared" si="483"/>
        <v>0.59809999999999997</v>
      </c>
      <c r="EF99" s="59">
        <f t="shared" si="484"/>
        <v>0.91069999999999995</v>
      </c>
      <c r="EG99" s="59">
        <f t="shared" si="485"/>
        <v>0.3342</v>
      </c>
      <c r="EH99" s="59">
        <f t="shared" si="486"/>
        <v>0.25</v>
      </c>
      <c r="EI99" s="59">
        <f t="shared" si="487"/>
        <v>0.2248</v>
      </c>
      <c r="EJ99" s="59">
        <f t="shared" si="488"/>
        <v>0.1409</v>
      </c>
      <c r="EK99" s="63" t="e">
        <f t="shared" ca="1" si="507"/>
        <v>#NUM!</v>
      </c>
      <c r="EL99" s="3" t="str">
        <f>RTD("tos.rtd",,EL$83,"."&amp;$B$82&amp;$AS$82&amp;"C"&amp;$A99)</f>
        <v>59.81%</v>
      </c>
      <c r="EM99" s="3" t="str">
        <f>RTD("tos.rtd",,EM$83,"."&amp;$B$82&amp;$AS$82&amp;"P"&amp;$A99)</f>
        <v>91.07%</v>
      </c>
      <c r="EN99" s="3" t="str">
        <f>RTD("tos.rtd",,EN$83,"."&amp;$C$82&amp;$AU$82&amp;"C"&amp;$A99)</f>
        <v>33.42%</v>
      </c>
      <c r="EO99" s="3" t="str">
        <f>RTD("tos.rtd",,EO$83,"."&amp;$C$82&amp;$AU$82&amp;"P"&amp;$A99)</f>
        <v>--</v>
      </c>
      <c r="EP99" s="3" t="str">
        <f>RTD("tos.rtd",,EP$83,"."&amp;$D$82&amp;$AW$82&amp;"C"&amp;$A99)</f>
        <v>22.48%</v>
      </c>
      <c r="EQ99" s="3" t="str">
        <f>RTD("tos.rtd",,EQ$83,"."&amp;$D$82&amp;$AW$82&amp;"P"&amp;$A99)</f>
        <v>14.09%</v>
      </c>
      <c r="ES99" s="63" t="str">
        <f t="shared" si="489"/>
        <v>5730,-1797.00</v>
      </c>
      <c r="ET99" s="63" t="str">
        <f t="shared" ca="1" si="490"/>
        <v>5730,00.00</v>
      </c>
      <c r="EU99" s="67">
        <v>565.41</v>
      </c>
      <c r="EV99" s="67" t="s">
        <v>811</v>
      </c>
      <c r="EW99" s="67">
        <v>488.98</v>
      </c>
      <c r="EX99" s="67" t="s">
        <v>812</v>
      </c>
      <c r="EY99" s="67">
        <v>5663.94</v>
      </c>
      <c r="EZ99" s="67" t="s">
        <v>813</v>
      </c>
      <c r="FA99" s="67">
        <v>20063.564999999999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508"/>
        <v>5720</v>
      </c>
      <c r="B100" s="3">
        <f t="shared" si="451"/>
        <v>0</v>
      </c>
      <c r="C100" s="3">
        <f t="shared" si="452"/>
        <v>873</v>
      </c>
      <c r="D100" s="3">
        <f t="shared" si="453"/>
        <v>12253</v>
      </c>
      <c r="E100" s="3">
        <f t="shared" si="519"/>
        <v>13126</v>
      </c>
      <c r="F100" s="4">
        <f t="shared" ref="F100:F129" si="522">+$F$84/$A$84*A100</f>
        <v>5811.0464654031603</v>
      </c>
      <c r="G100" s="4">
        <f t="shared" si="520"/>
        <v>577.50685081564905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0</v>
      </c>
      <c r="AN100" s="20">
        <v>0</v>
      </c>
      <c r="AO100" s="20">
        <v>5720</v>
      </c>
      <c r="AP100" s="20">
        <v>0</v>
      </c>
      <c r="AQ100" s="20">
        <v>0</v>
      </c>
      <c r="AR100" s="20"/>
      <c r="AS100" s="54">
        <f>IF(RTD("tos.rtd",,AS$83,"."&amp;$B$82&amp;$AS$82&amp;"C"&amp;$A100)="N/A",0,RTD("tos.rtd",,AS$83,"."&amp;$B$82&amp;$AS$82&amp;"C"&amp;$A100))</f>
        <v>0</v>
      </c>
      <c r="AT100" s="3">
        <f>-IF(RTD("tos.rtd",,AT$83,"."&amp;$B$82&amp;$AS$82&amp;"P"&amp;$A100)="N/A",0,RTD("tos.rtd",,AT$83,"."&amp;$B$82&amp;$AS$82&amp;"P"&amp;$A100))</f>
        <v>0</v>
      </c>
      <c r="AU100" s="54">
        <f>IF(RTD("tos.rtd",,AU$83,"."&amp;$C$82&amp;$AU$82&amp;"C"&amp;$A100)="N/A",0,RTD("tos.rtd",,AU$83,"."&amp;$C$82&amp;$AU$82&amp;"C"&amp;$A100))</f>
        <v>300</v>
      </c>
      <c r="AV100" s="3">
        <f>-IF(RTD("tos.rtd",,AV$83,"."&amp;$C$82&amp;$AU$82&amp;"P"&amp;$A100)="N/A",0,RTD("tos.rtd",,AV$83,"."&amp;$C$82&amp;$AU$82&amp;"P"&amp;$A100))</f>
        <v>-573</v>
      </c>
      <c r="AW100" s="54">
        <f>IF(RTD("tos.rtd",,AW$83,"."&amp;$D$82&amp;$AW$82&amp;"C"&amp;$A100)="N/A",0,RTD("tos.rtd",,AW$83,"."&amp;$D$82&amp;$AW$82&amp;"C"&amp;$A100))</f>
        <v>6078</v>
      </c>
      <c r="AX100" s="3">
        <f>-IF(RTD("tos.rtd",,AX$83,"."&amp;$D$82&amp;$AW$82&amp;"P"&amp;$A100)="N/A",0,RTD("tos.rtd",,AX$83,"."&amp;$D$82&amp;$AW$82&amp;"P"&amp;$A100))</f>
        <v>-6175</v>
      </c>
      <c r="AY100" s="79">
        <f t="shared" si="521"/>
        <v>-370</v>
      </c>
      <c r="AZ100" s="8">
        <f t="shared" si="455"/>
        <v>5720</v>
      </c>
      <c r="BA100" s="54">
        <f>IF(RTD("tos.rtd",,BA$83,"."&amp;$B$82&amp;$AS$82&amp;"C"&amp;$A100)="N/A",0,RTD("tos.rtd",,BA$83,"."&amp;$B$82&amp;$AS$82&amp;"C"&amp;$A100))</f>
        <v>0</v>
      </c>
      <c r="BB100" s="3">
        <f>-IF(RTD("tos.rtd",,BB$83,"."&amp;$B$82&amp;$AS$82&amp;"P"&amp;$A100)="N/A",0,RTD("tos.rtd",,BB$83,"."&amp;$B$82&amp;$AS$82&amp;"P"&amp;$A100))</f>
        <v>0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0</v>
      </c>
      <c r="BF100" s="3">
        <f>-IF(RTD("tos.rtd",,BF$83,"."&amp;$D$82&amp;$AW$82&amp;"P"&amp;$A100)="N/A",0,RTD("tos.rtd",,BF$83,"."&amp;$D$82&amp;$AW$82&amp;"P"&amp;$A100))</f>
        <v>0</v>
      </c>
      <c r="BG100" s="3">
        <f ca="1">+Hoja2!Y101</f>
        <v>1</v>
      </c>
      <c r="BH100" s="55">
        <f t="shared" ca="1" si="493"/>
        <v>1</v>
      </c>
      <c r="BI100" s="32" t="str">
        <f t="shared" ca="1" si="513"/>
        <v/>
      </c>
      <c r="BJ100" s="3" t="e">
        <f ca="1">IF($BP$1=1,DX100,IF(RTD("tos.rtd",,BJ$83,"."&amp;$B$82&amp;$AS$82&amp;"C"&amp;$A100)="N/A",0,RTD("tos.rtd",,BJ$83,"."&amp;$B$82&amp;$AS$82&amp;"C"&amp;$A100)))</f>
        <v>#NUM!</v>
      </c>
      <c r="BK100" s="3" t="e">
        <f ca="1">IF($BP$1=1,DY100,-IF(RTD("tos.rtd",,BK$83,"."&amp;$B$82&amp;$AS$82&amp;"P"&amp;$A100)="N/A",0,RTD("tos.rtd",,BK$83,"."&amp;$B$82&amp;$AS$82&amp;"P"&amp;$A100)))</f>
        <v>#NUM!</v>
      </c>
      <c r="BL100" s="3">
        <f ca="1">IF($BP$1=1,DZ100,IF(RTD("tos.rtd",,BL$83,"."&amp;$C$82&amp;$AU$82&amp;"C"&amp;$A100)="N/A",0,RTD("tos.rtd",,BL$83,"."&amp;$C$82&amp;$AU$82&amp;"C"&amp;$A100)))</f>
        <v>1.4911010083756063E-3</v>
      </c>
      <c r="BM100" s="3">
        <f ca="1">IF($BP$1=1,EA100,-IF(RTD("tos.rtd",,BM$83,"."&amp;$C$82&amp;$AU$82&amp;"P"&amp;$A100)="N/A",0,RTD("tos.rtd",,BM$83,"."&amp;$C$82&amp;$AU$82&amp;"P"&amp;$A100)))</f>
        <v>-2.0047315440104864E-3</v>
      </c>
      <c r="BN100" s="3">
        <f ca="1">IF($BP$1=1,EB100,IF(RTD("tos.rtd",,BN$83,"."&amp;$D$82&amp;$AW$82&amp;"C"&amp;$A100)="N/A",0,RTD("tos.rtd",,BN$83,"."&amp;$D$82&amp;$AW$82&amp;"C"&amp;$A100)))</f>
        <v>2.1875108559384392E-3</v>
      </c>
      <c r="BO100" s="3">
        <f ca="1">IF($BP$1=1,EC100,-IF(RTD("tos.rtd",,BO$83,"."&amp;$D$82&amp;$AW$82&amp;"P"&amp;$A100)="N/A",0,RTD("tos.rtd",,BO$83,"."&amp;$D$82&amp;$AW$82&amp;"P"&amp;$A100)))</f>
        <v>-3.2101408143965652E-3</v>
      </c>
      <c r="BQ100" s="3" t="e">
        <f t="shared" ca="1" si="456"/>
        <v>#NUM!</v>
      </c>
      <c r="BR100" s="3" t="e">
        <f t="shared" ca="1" si="494"/>
        <v>#NUM!</v>
      </c>
      <c r="BS100" s="3">
        <f t="shared" ca="1" si="457"/>
        <v>-172669.2177966616</v>
      </c>
      <c r="BT100" s="3" t="str">
        <f t="shared" ca="1" si="494"/>
        <v>Cruce -</v>
      </c>
      <c r="BU100" s="3">
        <f t="shared" ca="1" si="458"/>
        <v>-1606829.7431552811</v>
      </c>
      <c r="BV100" s="3" t="str">
        <f t="shared" ca="1" si="494"/>
        <v/>
      </c>
      <c r="BX100" s="3" t="e">
        <f t="shared" ca="1" si="459"/>
        <v>#NUM!</v>
      </c>
      <c r="BY100" s="3" t="e">
        <f t="shared" ca="1" si="510"/>
        <v>#NUM!</v>
      </c>
      <c r="BZ100" s="3">
        <f t="shared" ca="1" si="460"/>
        <v>0</v>
      </c>
      <c r="CA100" s="3" t="str">
        <f t="shared" ca="1" si="510"/>
        <v/>
      </c>
      <c r="CB100" s="3">
        <f t="shared" ca="1" si="461"/>
        <v>0</v>
      </c>
      <c r="CC100" s="3" t="str">
        <f t="shared" ca="1" si="510"/>
        <v/>
      </c>
      <c r="CD100" s="3">
        <f>IF(RTD("tos.rtd",,CD$83,"."&amp;$B$82&amp;$AS$82&amp;"C"&amp;$A100)="N/A",0,RTD("tos.rtd",,CD$83,"."&amp;$B$82&amp;$AS$82&amp;"C"&amp;$A100))</f>
        <v>0</v>
      </c>
      <c r="CE100" s="3">
        <f>-IF(RTD("tos.rtd",,CE$83,"."&amp;$B$82&amp;$AS$82&amp;"P"&amp;$A100)="N/A",0,RTD("tos.rtd",,CE$83,"."&amp;$B$82&amp;$AS$82&amp;"P"&amp;$A100))</f>
        <v>0</v>
      </c>
      <c r="CF100" s="3">
        <f>IF(RTD("tos.rtd",,CF$83,"."&amp;$C$82&amp;$AU$82&amp;"C"&amp;$A100)="N/A",0,RTD("tos.rtd",,CF$83,"."&amp;$C$82&amp;$AU$82&amp;"C"&amp;$A100))</f>
        <v>0.4</v>
      </c>
      <c r="CG100" s="3">
        <f>-IF(RTD("tos.rtd",,CG$83,"."&amp;$C$82&amp;$AU$82&amp;"P"&amp;$A100)="N/A",0,RTD("tos.rtd",,CG$83,"."&amp;$C$82&amp;$AU$82&amp;"P"&amp;$A100))</f>
        <v>1</v>
      </c>
      <c r="CH100" s="3">
        <f>IF(RTD("tos.rtd",,CH$83,"."&amp;$D$82&amp;$AW$82&amp;"C"&amp;$A100)="N/A",0,RTD("tos.rtd",,CH$83,"."&amp;$D$82&amp;$AW$82&amp;"C"&amp;$A100))</f>
        <v>0.48</v>
      </c>
      <c r="CI100" s="3">
        <f>-IF(RTD("tos.rtd",,CI$83,"."&amp;$D$82&amp;$AW$82&amp;"P"&amp;$A100)="N/A",0,RTD("tos.rtd",,CI$83,"."&amp;$D$82&amp;$AW$82&amp;"P"&amp;$A100))</f>
        <v>0.54</v>
      </c>
      <c r="CK100" s="3">
        <f t="shared" si="495"/>
        <v>0</v>
      </c>
      <c r="CL100" s="3"/>
      <c r="CM100" s="3">
        <f t="shared" si="496"/>
        <v>-45300</v>
      </c>
      <c r="CN100" s="3"/>
      <c r="CO100" s="3">
        <f t="shared" si="497"/>
        <v>-41706</v>
      </c>
      <c r="CP100" s="3">
        <f t="shared" si="462"/>
        <v>-87006</v>
      </c>
      <c r="CQ100" s="3">
        <f t="shared" si="463"/>
        <v>0</v>
      </c>
      <c r="CR100" s="3"/>
      <c r="CS100" s="3">
        <f t="shared" si="464"/>
        <v>0</v>
      </c>
      <c r="CT100" s="3"/>
      <c r="CU100" s="3">
        <f t="shared" si="465"/>
        <v>0</v>
      </c>
      <c r="CV100" s="3"/>
      <c r="CW100" s="3" t="e">
        <f t="shared" ca="1" si="466"/>
        <v>#NUM!</v>
      </c>
      <c r="CY100" s="3" t="e">
        <f t="shared" ca="1" si="467"/>
        <v>#NUM!</v>
      </c>
      <c r="CZ100" s="70" t="e">
        <f t="shared" ca="1" si="511"/>
        <v>#NUM!</v>
      </c>
      <c r="DA100" s="3">
        <f>IF(RTD("tos.rtd",,DA$83,"."&amp;$B$82&amp;$AS$82&amp;"C"&amp;$A100)="N/A",0,RTD("tos.rtd",,DA$83,"."&amp;$B$82&amp;$AS$82&amp;"C"&amp;$A100))</f>
        <v>0</v>
      </c>
      <c r="DB100" s="3">
        <f>IF(RTD("tos.rtd",,DB$83,"."&amp;$B$82&amp;$AS$82&amp;"P"&amp;$A100)="N/A",0,RTD("tos.rtd",,DB$83,"."&amp;$B$82&amp;$AS$82&amp;"P"&amp;$A100))</f>
        <v>0</v>
      </c>
      <c r="DC100" s="3">
        <f>IF(RTD("tos.rtd",,DC$83,"."&amp;$B$82&amp;$AS$82&amp;"C"&amp;$A100)="N/A",0,RTD("tos.rtd",,DC$83,"."&amp;$B$82&amp;$AS$82&amp;"C"&amp;$A100))</f>
        <v>0</v>
      </c>
      <c r="DD100" s="3">
        <f>IF(RTD("tos.rtd",,DD$83,"."&amp;$B$82&amp;$AS$82&amp;"P"&amp;$A100)="N/A",0,RTD("tos.rtd",,DD$83,"."&amp;$B$82&amp;$AS$82&amp;"P"&amp;$A100))</f>
        <v>0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0</v>
      </c>
      <c r="DG100" s="86">
        <f t="shared" si="499"/>
        <v>60.090000000000146</v>
      </c>
      <c r="DH100" s="3" t="e">
        <f t="shared" si="468"/>
        <v>#DIV/0!</v>
      </c>
      <c r="DI100" s="3" t="e">
        <f t="shared" si="469"/>
        <v>#DIV/0!</v>
      </c>
      <c r="DJ100" s="3">
        <f t="shared" si="470"/>
        <v>0</v>
      </c>
      <c r="DK100" s="3">
        <f t="shared" si="471"/>
        <v>0</v>
      </c>
      <c r="DL100" s="3" t="e">
        <f t="shared" si="472"/>
        <v>#DIV/0!</v>
      </c>
      <c r="DM100" s="3">
        <f t="shared" si="473"/>
        <v>0</v>
      </c>
      <c r="DN100" s="64" t="str">
        <f t="shared" si="474"/>
        <v>UNKNOWN</v>
      </c>
      <c r="DO100" s="64" t="str">
        <f t="shared" si="475"/>
        <v>UNKNOWN</v>
      </c>
      <c r="DP100" s="3" t="e">
        <f t="shared" si="476"/>
        <v>#DIV/0!</v>
      </c>
      <c r="DQ100" s="3">
        <f t="shared" si="477"/>
        <v>0</v>
      </c>
      <c r="DR100" s="3" t="e">
        <f t="shared" ca="1" si="478"/>
        <v>#NUM!</v>
      </c>
      <c r="DS100" s="3">
        <f t="shared" si="479"/>
        <v>0</v>
      </c>
      <c r="DT100" s="3">
        <f t="shared" si="500"/>
        <v>0</v>
      </c>
      <c r="DU100" s="3">
        <f t="shared" si="501"/>
        <v>0</v>
      </c>
      <c r="DV100" s="3">
        <f t="shared" si="502"/>
        <v>0</v>
      </c>
      <c r="DW100" s="3">
        <f t="shared" si="503"/>
        <v>0</v>
      </c>
      <c r="DX100" s="3" t="e">
        <f t="shared" ca="1" si="512"/>
        <v>#NUM!</v>
      </c>
      <c r="DY100" s="3" t="e">
        <f t="shared" ca="1" si="480"/>
        <v>#NUM!</v>
      </c>
      <c r="DZ100" s="3">
        <f t="shared" ca="1" si="504"/>
        <v>1.4911010083756063E-3</v>
      </c>
      <c r="EA100" s="3">
        <f t="shared" ca="1" si="505"/>
        <v>-2.0047315440104864E-3</v>
      </c>
      <c r="EB100" s="3">
        <f t="shared" ca="1" si="481"/>
        <v>2.1875108559384392E-3</v>
      </c>
      <c r="EC100" s="3">
        <f t="shared" ca="1" si="482"/>
        <v>-3.2101408143965652E-3</v>
      </c>
      <c r="ED100" s="63">
        <f t="shared" si="506"/>
        <v>0</v>
      </c>
      <c r="EE100" s="59">
        <f t="shared" si="483"/>
        <v>0.25</v>
      </c>
      <c r="EF100" s="59">
        <f t="shared" si="484"/>
        <v>0.25</v>
      </c>
      <c r="EG100" s="59">
        <f t="shared" si="485"/>
        <v>0.3427</v>
      </c>
      <c r="EH100" s="59">
        <f t="shared" si="486"/>
        <v>0.25</v>
      </c>
      <c r="EI100" s="59">
        <f t="shared" si="487"/>
        <v>0.2271</v>
      </c>
      <c r="EJ100" s="59">
        <f t="shared" si="488"/>
        <v>0.1434</v>
      </c>
      <c r="EK100" s="63" t="e">
        <f t="shared" ca="1" si="507"/>
        <v>#NUM!</v>
      </c>
      <c r="EL100" s="3" t="str">
        <f>RTD("tos.rtd",,EL$83,"."&amp;$B$82&amp;$AS$82&amp;"C"&amp;$A100)</f>
        <v>N/A</v>
      </c>
      <c r="EM100" s="3" t="str">
        <f>RTD("tos.rtd",,EM$83,"."&amp;$B$82&amp;$AS$82&amp;"P"&amp;$A100)</f>
        <v>N/A</v>
      </c>
      <c r="EN100" s="3" t="str">
        <f>RTD("tos.rtd",,EN$83,"."&amp;$C$82&amp;$AU$82&amp;"C"&amp;$A100)</f>
        <v>34.27%</v>
      </c>
      <c r="EO100" s="3" t="str">
        <f>RTD("tos.rtd",,EO$83,"."&amp;$C$82&amp;$AU$82&amp;"P"&amp;$A100)</f>
        <v>--</v>
      </c>
      <c r="EP100" s="3" t="str">
        <f>RTD("tos.rtd",,EP$83,"."&amp;$D$82&amp;$AW$82&amp;"C"&amp;$A100)</f>
        <v>22.71%</v>
      </c>
      <c r="EQ100" s="3" t="str">
        <f>RTD("tos.rtd",,EQ$83,"."&amp;$D$82&amp;$AW$82&amp;"P"&amp;$A100)</f>
        <v>14.34%</v>
      </c>
      <c r="ES100" s="63" t="str">
        <f t="shared" si="489"/>
        <v>5720,00.00</v>
      </c>
      <c r="ET100" s="63" t="str">
        <f t="shared" ca="1" si="490"/>
        <v>5720,00.00</v>
      </c>
      <c r="EU100" s="67">
        <v>565.39</v>
      </c>
      <c r="EV100" s="67" t="s">
        <v>819</v>
      </c>
      <c r="EW100" s="67">
        <v>488.98</v>
      </c>
      <c r="EX100" s="67" t="s">
        <v>820</v>
      </c>
      <c r="EY100" s="67">
        <v>5663.94</v>
      </c>
      <c r="EZ100" s="67" t="s">
        <v>821</v>
      </c>
      <c r="FA100" s="67">
        <v>20063.564999999999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508"/>
        <v>5710</v>
      </c>
      <c r="B101" s="3">
        <f t="shared" si="451"/>
        <v>3182</v>
      </c>
      <c r="C101" s="3">
        <f t="shared" si="452"/>
        <v>4259</v>
      </c>
      <c r="D101" s="3">
        <f t="shared" si="453"/>
        <v>11611</v>
      </c>
      <c r="E101" s="3">
        <f t="shared" si="519"/>
        <v>19052</v>
      </c>
      <c r="F101" s="4">
        <f t="shared" si="522"/>
        <v>5800.8872932608474</v>
      </c>
      <c r="G101" s="4">
        <f t="shared" si="520"/>
        <v>576.49722345408327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-4959</v>
      </c>
      <c r="AN101" s="20">
        <v>-185</v>
      </c>
      <c r="AO101" s="20">
        <v>5710</v>
      </c>
      <c r="AP101" s="20">
        <v>30639</v>
      </c>
      <c r="AQ101" s="20">
        <v>-1186</v>
      </c>
      <c r="AR101" s="20"/>
      <c r="AS101" s="54">
        <f>IF(RTD("tos.rtd",,AS$83,"."&amp;$B$82&amp;$AS$82&amp;"C"&amp;$A101)="N/A",0,RTD("tos.rtd",,AS$83,"."&amp;$B$82&amp;$AS$82&amp;"C"&amp;$A101))</f>
        <v>2369</v>
      </c>
      <c r="AT101" s="3">
        <f>-IF(RTD("tos.rtd",,AT$83,"."&amp;$B$82&amp;$AS$82&amp;"P"&amp;$A101)="N/A",0,RTD("tos.rtd",,AT$83,"."&amp;$B$82&amp;$AS$82&amp;"P"&amp;$A101))</f>
        <v>-813</v>
      </c>
      <c r="AU101" s="54">
        <f>IF(RTD("tos.rtd",,AU$83,"."&amp;$C$82&amp;$AU$82&amp;"C"&amp;$A101)="N/A",0,RTD("tos.rtd",,AU$83,"."&amp;$C$82&amp;$AU$82&amp;"C"&amp;$A101))</f>
        <v>2212</v>
      </c>
      <c r="AV101" s="3">
        <f>-IF(RTD("tos.rtd",,AV$83,"."&amp;$C$82&amp;$AU$82&amp;"P"&amp;$A101)="N/A",0,RTD("tos.rtd",,AV$83,"."&amp;$C$82&amp;$AU$82&amp;"P"&amp;$A101))</f>
        <v>-2047</v>
      </c>
      <c r="AW101" s="54">
        <f>IF(RTD("tos.rtd",,AW$83,"."&amp;$D$82&amp;$AW$82&amp;"C"&amp;$A101)="N/A",0,RTD("tos.rtd",,AW$83,"."&amp;$D$82&amp;$AW$82&amp;"C"&amp;$A101))</f>
        <v>5873</v>
      </c>
      <c r="AX101" s="3">
        <f>-IF(RTD("tos.rtd",,AX$83,"."&amp;$D$82&amp;$AW$82&amp;"P"&amp;$A101)="N/A",0,RTD("tos.rtd",,AX$83,"."&amp;$D$82&amp;$AW$82&amp;"P"&amp;$A101))</f>
        <v>-5738</v>
      </c>
      <c r="AY101" s="79">
        <f t="shared" si="521"/>
        <v>1856</v>
      </c>
      <c r="AZ101" s="8">
        <f t="shared" si="455"/>
        <v>5710</v>
      </c>
      <c r="BA101" s="54">
        <f>IF(RTD("tos.rtd",,BA$83,"."&amp;$B$82&amp;$AS$82&amp;"C"&amp;$A101)="N/A",0,RTD("tos.rtd",,BA$83,"."&amp;$B$82&amp;$AS$82&amp;"C"&amp;$A101))</f>
        <v>0</v>
      </c>
      <c r="BB101" s="3">
        <f>-IF(RTD("tos.rtd",,BB$83,"."&amp;$B$82&amp;$AS$82&amp;"P"&amp;$A101)="N/A",0,RTD("tos.rtd",,BB$83,"."&amp;$B$82&amp;$AS$82&amp;"P"&amp;$A101))</f>
        <v>0</v>
      </c>
      <c r="BC101" s="54">
        <f>IF(RTD("tos.rtd",,BC$83,"."&amp;$C$82&amp;$AU$82&amp;"C"&amp;$A101)="N/A",0,RTD("tos.rtd",,BC$83,"."&amp;$C$82&amp;$AU$82&amp;"C"&amp;$A101))</f>
        <v>0</v>
      </c>
      <c r="BD101" s="3">
        <f>-IF(RTD("tos.rtd",,BD$83,"."&amp;$C$82&amp;$AU$82&amp;"P"&amp;$A101)="N/A",0,RTD("tos.rtd",,BD$83,"."&amp;$C$82&amp;$AU$82&amp;"P"&amp;$A101))</f>
        <v>0</v>
      </c>
      <c r="BE101" s="54">
        <f>IF(RTD("tos.rtd",,BE$83,"."&amp;$D$82&amp;$AW$82&amp;"C"&amp;$A101)="N/A",0,RTD("tos.rtd",,BE$83,"."&amp;$D$82&amp;$AW$82&amp;"C"&amp;$A101))</f>
        <v>0</v>
      </c>
      <c r="BF101" s="3">
        <f>-IF(RTD("tos.rtd",,BF$83,"."&amp;$D$82&amp;$AW$82&amp;"P"&amp;$A101)="N/A",0,RTD("tos.rtd",,BF$83,"."&amp;$D$82&amp;$AW$82&amp;"P"&amp;$A101))</f>
        <v>0</v>
      </c>
      <c r="BG101" s="3">
        <f ca="1">+Hoja2!Y102</f>
        <v>0</v>
      </c>
      <c r="BH101" s="55">
        <f t="shared" ca="1" si="493"/>
        <v>0</v>
      </c>
      <c r="BI101" s="32" t="str">
        <f t="shared" ca="1" si="513"/>
        <v/>
      </c>
      <c r="BJ101" s="3" t="e">
        <f ca="1">IF($BP$1=1,DX101,IF(RTD("tos.rtd",,BJ$83,"."&amp;$B$82&amp;$AS$82&amp;"C"&amp;$A101)="N/A",0,RTD("tos.rtd",,BJ$83,"."&amp;$B$82&amp;$AS$82&amp;"C"&amp;$A101)))</f>
        <v>#NUM!</v>
      </c>
      <c r="BK101" s="3" t="e">
        <f ca="1">IF($BP$1=1,DY101,-IF(RTD("tos.rtd",,BK$83,"."&amp;$B$82&amp;$AS$82&amp;"P"&amp;$A101)="N/A",0,RTD("tos.rtd",,BK$83,"."&amp;$B$82&amp;$AS$82&amp;"P"&amp;$A101)))</f>
        <v>#NUM!</v>
      </c>
      <c r="BL101" s="3">
        <f ca="1">IF($BP$1=1,DZ101,IF(RTD("tos.rtd",,BL$83,"."&amp;$C$82&amp;$AU$82&amp;"C"&amp;$A101)="N/A",0,RTD("tos.rtd",,BL$83,"."&amp;$C$82&amp;$AU$82&amp;"C"&amp;$A101)))</f>
        <v>1.4685702338558617E-3</v>
      </c>
      <c r="BM101" s="3">
        <f ca="1">IF($BP$1=1,EA101,-IF(RTD("tos.rtd",,BM$83,"."&amp;$C$82&amp;$AU$82&amp;"P"&amp;$A101)="N/A",0,RTD("tos.rtd",,BM$83,"."&amp;$C$82&amp;$AU$82&amp;"P"&amp;$A101)))</f>
        <v>-2.0303779312008993E-3</v>
      </c>
      <c r="BN101" s="3">
        <f ca="1">IF($BP$1=1,EB101,IF(RTD("tos.rtd",,BN$83,"."&amp;$D$82&amp;$AW$82&amp;"C"&amp;$A101)="N/A",0,RTD("tos.rtd",,BN$83,"."&amp;$D$82&amp;$AW$82&amp;"C"&amp;$A101)))</f>
        <v>2.1984131422012904E-3</v>
      </c>
      <c r="BO101" s="3">
        <f ca="1">IF($BP$1=1,EC101,-IF(RTD("tos.rtd",,BO$83,"."&amp;$D$82&amp;$AW$82&amp;"P"&amp;$A101)="N/A",0,RTD("tos.rtd",,BO$83,"."&amp;$D$82&amp;$AW$82&amp;"P"&amp;$A101)))</f>
        <v>-3.2948359623350015E-3</v>
      </c>
      <c r="BQ101" s="3" t="e">
        <f t="shared" ca="1" si="456"/>
        <v>#NUM!</v>
      </c>
      <c r="BR101" s="3" t="e">
        <f t="shared" ca="1" si="494"/>
        <v>#NUM!</v>
      </c>
      <c r="BS101" s="3">
        <f t="shared" ca="1" si="457"/>
        <v>-223463.36701626459</v>
      </c>
      <c r="BT101" s="3" t="str">
        <f t="shared" ca="1" si="494"/>
        <v/>
      </c>
      <c r="BU101" s="3">
        <f t="shared" ca="1" si="458"/>
        <v>-1475751.1340345265</v>
      </c>
      <c r="BV101" s="3" t="str">
        <f t="shared" ca="1" si="494"/>
        <v/>
      </c>
      <c r="BX101" s="3" t="e">
        <f t="shared" ca="1" si="459"/>
        <v>#NUM!</v>
      </c>
      <c r="BY101" s="3" t="e">
        <f t="shared" ca="1" si="510"/>
        <v>#NUM!</v>
      </c>
      <c r="BZ101" s="3">
        <f t="shared" ca="1" si="460"/>
        <v>0</v>
      </c>
      <c r="CA101" s="3" t="str">
        <f t="shared" ca="1" si="510"/>
        <v/>
      </c>
      <c r="CB101" s="3">
        <f t="shared" ca="1" si="461"/>
        <v>0</v>
      </c>
      <c r="CC101" s="3" t="str">
        <f t="shared" ca="1" si="510"/>
        <v/>
      </c>
      <c r="CD101" s="3">
        <f>IF(RTD("tos.rtd",,CD$83,"."&amp;$B$82&amp;$AS$82&amp;"C"&amp;$A101)="N/A",0,RTD("tos.rtd",,CD$83,"."&amp;$B$82&amp;$AS$82&amp;"C"&amp;$A101))</f>
        <v>0</v>
      </c>
      <c r="CE101" s="3">
        <f>-IF(RTD("tos.rtd",,CE$83,"."&amp;$B$82&amp;$AS$82&amp;"P"&amp;$A101)="N/A",0,RTD("tos.rtd",,CE$83,"."&amp;$B$82&amp;$AS$82&amp;"P"&amp;$A101))</f>
        <v>0.95</v>
      </c>
      <c r="CF101" s="3">
        <f>IF(RTD("tos.rtd",,CF$83,"."&amp;$C$82&amp;$AU$82&amp;"C"&amp;$A101)="N/A",0,RTD("tos.rtd",,CF$83,"."&amp;$C$82&amp;$AU$82&amp;"C"&amp;$A101))</f>
        <v>0.42</v>
      </c>
      <c r="CG101" s="3">
        <f>-IF(RTD("tos.rtd",,CG$83,"."&amp;$C$82&amp;$AU$82&amp;"P"&amp;$A101)="N/A",0,RTD("tos.rtd",,CG$83,"."&amp;$C$82&amp;$AU$82&amp;"P"&amp;$A101))</f>
        <v>1</v>
      </c>
      <c r="CH101" s="3">
        <f>IF(RTD("tos.rtd",,CH$83,"."&amp;$D$82&amp;$AW$82&amp;"C"&amp;$A101)="N/A",0,RTD("tos.rtd",,CH$83,"."&amp;$D$82&amp;$AW$82&amp;"C"&amp;$A101))</f>
        <v>0.49</v>
      </c>
      <c r="CI101" s="3">
        <f>-IF(RTD("tos.rtd",,CI$83,"."&amp;$D$82&amp;$AW$82&amp;"P"&amp;$A101)="N/A",0,RTD("tos.rtd",,CI$83,"."&amp;$D$82&amp;$AW$82&amp;"P"&amp;$A101))</f>
        <v>0.52</v>
      </c>
      <c r="CK101" s="3">
        <f t="shared" si="495"/>
        <v>-77234.999999999985</v>
      </c>
      <c r="CL101" s="3"/>
      <c r="CM101" s="3">
        <f t="shared" si="496"/>
        <v>-111796</v>
      </c>
      <c r="CN101" s="3"/>
      <c r="CO101" s="3">
        <f t="shared" si="497"/>
        <v>-10599</v>
      </c>
      <c r="CP101" s="3">
        <f t="shared" si="462"/>
        <v>-199630</v>
      </c>
      <c r="CQ101" s="3">
        <f t="shared" si="463"/>
        <v>0</v>
      </c>
      <c r="CR101" s="3"/>
      <c r="CS101" s="3">
        <f t="shared" si="464"/>
        <v>0</v>
      </c>
      <c r="CT101" s="3"/>
      <c r="CU101" s="3">
        <f t="shared" si="465"/>
        <v>0</v>
      </c>
      <c r="CV101" s="3"/>
      <c r="CW101" s="3" t="e">
        <f t="shared" ca="1" si="466"/>
        <v>#NUM!</v>
      </c>
      <c r="CY101" s="3" t="e">
        <f t="shared" ca="1" si="467"/>
        <v>#NUM!</v>
      </c>
      <c r="CZ101" s="70" t="e">
        <f t="shared" ca="1" si="511"/>
        <v>#NUM!</v>
      </c>
      <c r="DA101" s="3">
        <f>IF(RTD("tos.rtd",,DA$83,"."&amp;$B$82&amp;$AS$82&amp;"C"&amp;$A101)="N/A",0,RTD("tos.rtd",,DA$83,"."&amp;$B$82&amp;$AS$82&amp;"C"&amp;$A101))</f>
        <v>0.03</v>
      </c>
      <c r="DB101" s="3">
        <f>IF(RTD("tos.rtd",,DB$83,"."&amp;$B$82&amp;$AS$82&amp;"P"&amp;$A101)="N/A",0,RTD("tos.rtd",,DB$83,"."&amp;$B$82&amp;$AS$82&amp;"P"&amp;$A101))</f>
        <v>45.12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53.1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48.2</v>
      </c>
      <c r="DG101" s="86">
        <f t="shared" si="499"/>
        <v>50.090000000000146</v>
      </c>
      <c r="DH101" s="3">
        <f t="shared" si="468"/>
        <v>-18383.399999999998</v>
      </c>
      <c r="DI101" s="3">
        <f t="shared" si="469"/>
        <v>-745.48571428571586</v>
      </c>
      <c r="DJ101" s="3">
        <f t="shared" si="470"/>
        <v>-30639</v>
      </c>
      <c r="DK101" s="3">
        <f t="shared" si="471"/>
        <v>-1186</v>
      </c>
      <c r="DL101" s="3">
        <f t="shared" si="472"/>
        <v>-19128.885714285712</v>
      </c>
      <c r="DM101" s="3">
        <f t="shared" si="473"/>
        <v>-31825</v>
      </c>
      <c r="DN101" s="64" t="str">
        <f t="shared" si="474"/>
        <v>UNKNOWN</v>
      </c>
      <c r="DO101" s="64" t="str">
        <f t="shared" si="475"/>
        <v>UNKNOWN</v>
      </c>
      <c r="DP101" s="3">
        <f t="shared" si="476"/>
        <v>-34187.817428571499</v>
      </c>
      <c r="DQ101" s="3">
        <f t="shared" si="477"/>
        <v>-54431.49</v>
      </c>
      <c r="DR101" s="3" t="e">
        <f t="shared" ca="1" si="478"/>
        <v>#NUM!</v>
      </c>
      <c r="DS101" s="3">
        <f t="shared" si="479"/>
        <v>-1126.7</v>
      </c>
      <c r="DT101" s="3">
        <f t="shared" si="500"/>
        <v>-30639</v>
      </c>
      <c r="DU101" s="3">
        <f t="shared" si="501"/>
        <v>1186</v>
      </c>
      <c r="DV101" s="3">
        <f t="shared" si="502"/>
        <v>-4959</v>
      </c>
      <c r="DW101" s="3">
        <f t="shared" si="503"/>
        <v>-185</v>
      </c>
      <c r="DX101" s="3" t="e">
        <f t="shared" ca="1" si="512"/>
        <v>#NUM!</v>
      </c>
      <c r="DY101" s="3" t="e">
        <f t="shared" ca="1" si="480"/>
        <v>#NUM!</v>
      </c>
      <c r="DZ101" s="3">
        <f t="shared" ca="1" si="504"/>
        <v>1.4685702338558617E-3</v>
      </c>
      <c r="EA101" s="3">
        <f t="shared" ca="1" si="505"/>
        <v>-2.0303779312008993E-3</v>
      </c>
      <c r="EB101" s="3">
        <f t="shared" ca="1" si="481"/>
        <v>2.1984131422012904E-3</v>
      </c>
      <c r="EC101" s="3">
        <f t="shared" ca="1" si="482"/>
        <v>-3.2948359623350015E-3</v>
      </c>
      <c r="ED101" s="63">
        <f t="shared" si="506"/>
        <v>-5144</v>
      </c>
      <c r="EE101" s="59">
        <f t="shared" si="483"/>
        <v>0.44290000000000002</v>
      </c>
      <c r="EF101" s="59">
        <f t="shared" si="484"/>
        <v>0.69479999999999997</v>
      </c>
      <c r="EG101" s="59">
        <f t="shared" si="485"/>
        <v>0.35039999999999999</v>
      </c>
      <c r="EH101" s="59">
        <f t="shared" si="486"/>
        <v>0.25</v>
      </c>
      <c r="EI101" s="59">
        <f t="shared" si="487"/>
        <v>0.22969999999999999</v>
      </c>
      <c r="EJ101" s="59">
        <f t="shared" si="488"/>
        <v>0.1459</v>
      </c>
      <c r="EK101" s="63" t="e">
        <f t="shared" ca="1" si="507"/>
        <v>#NUM!</v>
      </c>
      <c r="EL101" s="3" t="str">
        <f>RTD("tos.rtd",,EL$83,"."&amp;$B$82&amp;$AS$82&amp;"C"&amp;$A101)</f>
        <v>44.29%</v>
      </c>
      <c r="EM101" s="3" t="str">
        <f>RTD("tos.rtd",,EM$83,"."&amp;$B$82&amp;$AS$82&amp;"P"&amp;$A101)</f>
        <v>69.48%</v>
      </c>
      <c r="EN101" s="3" t="str">
        <f>RTD("tos.rtd",,EN$83,"."&amp;$C$82&amp;$AU$82&amp;"C"&amp;$A101)</f>
        <v>35.04%</v>
      </c>
      <c r="EO101" s="3" t="str">
        <f>RTD("tos.rtd",,EO$83,"."&amp;$C$82&amp;$AU$82&amp;"P"&amp;$A101)</f>
        <v>--</v>
      </c>
      <c r="EP101" s="3" t="str">
        <f>RTD("tos.rtd",,EP$83,"."&amp;$D$82&amp;$AW$82&amp;"C"&amp;$A101)</f>
        <v>22.97%</v>
      </c>
      <c r="EQ101" s="3" t="str">
        <f>RTD("tos.rtd",,EQ$83,"."&amp;$D$82&amp;$AW$82&amp;"P"&amp;$A101)</f>
        <v>14.59%</v>
      </c>
      <c r="ES101" s="63" t="str">
        <f t="shared" si="489"/>
        <v>5710,-5144.00</v>
      </c>
      <c r="ET101" s="63" t="str">
        <f t="shared" ca="1" si="490"/>
        <v>5710,00.00</v>
      </c>
      <c r="EU101" s="67">
        <v>565.39</v>
      </c>
      <c r="EV101" s="67" t="s">
        <v>827</v>
      </c>
      <c r="EW101" s="67">
        <v>488.98</v>
      </c>
      <c r="EX101" s="67" t="s">
        <v>828</v>
      </c>
      <c r="EY101" s="67">
        <v>5663.94</v>
      </c>
      <c r="EZ101" s="67" t="s">
        <v>829</v>
      </c>
      <c r="FA101" s="67">
        <v>20063.564999999999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508"/>
        <v>5700</v>
      </c>
      <c r="B102" s="3">
        <f t="shared" si="451"/>
        <v>5911</v>
      </c>
      <c r="C102" s="3">
        <f t="shared" si="452"/>
        <v>34290</v>
      </c>
      <c r="D102" s="3">
        <f t="shared" si="453"/>
        <v>154506</v>
      </c>
      <c r="E102" s="3">
        <f t="shared" si="519"/>
        <v>194707</v>
      </c>
      <c r="F102" s="4">
        <f t="shared" si="522"/>
        <v>5790.7281211185336</v>
      </c>
      <c r="G102" s="4">
        <f t="shared" si="520"/>
        <v>575.48759609251749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-2435</v>
      </c>
      <c r="AN102" s="20">
        <v>-834</v>
      </c>
      <c r="AO102" s="20">
        <v>5700</v>
      </c>
      <c r="AP102" s="20">
        <v>86529</v>
      </c>
      <c r="AQ102" s="20">
        <v>-7039</v>
      </c>
      <c r="AR102" s="20"/>
      <c r="AS102" s="54">
        <f>IF(RTD("tos.rtd",,AS$83,"."&amp;$B$82&amp;$AS$82&amp;"C"&amp;$A102)="N/A",0,RTD("tos.rtd",,AS$83,"."&amp;$B$82&amp;$AS$82&amp;"C"&amp;$A102))</f>
        <v>3989</v>
      </c>
      <c r="AT102" s="3">
        <f>-IF(RTD("tos.rtd",,AT$83,"."&amp;$B$82&amp;$AS$82&amp;"P"&amp;$A102)="N/A",0,RTD("tos.rtd",,AT$83,"."&amp;$B$82&amp;$AS$82&amp;"P"&amp;$A102))</f>
        <v>-1922</v>
      </c>
      <c r="AU102" s="54">
        <f>IF(RTD("tos.rtd",,AU$83,"."&amp;$C$82&amp;$AU$82&amp;"C"&amp;$A102)="N/A",0,RTD("tos.rtd",,AU$83,"."&amp;$C$82&amp;$AU$82&amp;"C"&amp;$A102))</f>
        <v>14723</v>
      </c>
      <c r="AV102" s="3">
        <f>-IF(RTD("tos.rtd",,AV$83,"."&amp;$C$82&amp;$AU$82&amp;"P"&amp;$A102)="N/A",0,RTD("tos.rtd",,AV$83,"."&amp;$C$82&amp;$AU$82&amp;"P"&amp;$A102))</f>
        <v>-19567</v>
      </c>
      <c r="AW102" s="54">
        <f>IF(RTD("tos.rtd",,AW$83,"."&amp;$D$82&amp;$AW$82&amp;"C"&amp;$A102)="N/A",0,RTD("tos.rtd",,AW$83,"."&amp;$D$82&amp;$AW$82&amp;"C"&amp;$A102))</f>
        <v>79805</v>
      </c>
      <c r="AX102" s="3">
        <f>-IF(RTD("tos.rtd",,AX$83,"."&amp;$D$82&amp;$AW$82&amp;"P"&amp;$A102)="N/A",0,RTD("tos.rtd",,AX$83,"."&amp;$D$82&amp;$AW$82&amp;"P"&amp;$A102))</f>
        <v>-74701</v>
      </c>
      <c r="AY102" s="79">
        <f t="shared" si="521"/>
        <v>2327</v>
      </c>
      <c r="AZ102" s="8">
        <f t="shared" si="455"/>
        <v>5700</v>
      </c>
      <c r="BA102" s="54">
        <f>IF(RTD("tos.rtd",,BA$83,"."&amp;$B$82&amp;$AS$82&amp;"C"&amp;$A102)="N/A",0,RTD("tos.rtd",,BA$83,"."&amp;$B$82&amp;$AS$82&amp;"C"&amp;$A102))</f>
        <v>0</v>
      </c>
      <c r="BB102" s="3">
        <f>-IF(RTD("tos.rtd",,BB$83,"."&amp;$B$82&amp;$AS$82&amp;"P"&amp;$A102)="N/A",0,RTD("tos.rtd",,BB$83,"."&amp;$B$82&amp;$AS$82&amp;"P"&amp;$A102))</f>
        <v>0</v>
      </c>
      <c r="BC102" s="54">
        <f>IF(RTD("tos.rtd",,BC$83,"."&amp;$C$82&amp;$AU$82&amp;"C"&amp;$A102)="N/A",0,RTD("tos.rtd",,BC$83,"."&amp;$C$82&amp;$AU$82&amp;"C"&amp;$A102))</f>
        <v>10</v>
      </c>
      <c r="BD102" s="3">
        <f>-IF(RTD("tos.rtd",,BD$83,"."&amp;$C$82&amp;$AU$82&amp;"P"&amp;$A102)="N/A",0,RTD("tos.rtd",,BD$83,"."&amp;$C$82&amp;$AU$82&amp;"P"&amp;$A102))</f>
        <v>0</v>
      </c>
      <c r="BE102" s="54">
        <f>IF(RTD("tos.rtd",,BE$83,"."&amp;$D$82&amp;$AW$82&amp;"C"&amp;$A102)="N/A",0,RTD("tos.rtd",,BE$83,"."&amp;$D$82&amp;$AW$82&amp;"C"&amp;$A102))</f>
        <v>0</v>
      </c>
      <c r="BF102" s="3">
        <f>-IF(RTD("tos.rtd",,BF$83,"."&amp;$D$82&amp;$AW$82&amp;"P"&amp;$A102)="N/A",0,RTD("tos.rtd",,BF$83,"."&amp;$D$82&amp;$AW$82&amp;"P"&amp;$A102))</f>
        <v>0</v>
      </c>
      <c r="BG102" s="3">
        <f ca="1">+Hoja2!Y103</f>
        <v>2</v>
      </c>
      <c r="BH102" s="55">
        <f t="shared" ca="1" si="493"/>
        <v>12</v>
      </c>
      <c r="BI102" s="32" t="str">
        <f t="shared" ca="1" si="513"/>
        <v/>
      </c>
      <c r="BJ102" s="3" t="e">
        <f ca="1">IF($BP$1=1,DX102,IF(RTD("tos.rtd",,BJ$83,"."&amp;$B$82&amp;$AS$82&amp;"C"&amp;$A102)="N/A",0,RTD("tos.rtd",,BJ$83,"."&amp;$B$82&amp;$AS$82&amp;"C"&amp;$A102)))</f>
        <v>#NUM!</v>
      </c>
      <c r="BK102" s="3" t="e">
        <f ca="1">IF($BP$1=1,DY102,-IF(RTD("tos.rtd",,BK$83,"."&amp;$B$82&amp;$AS$82&amp;"P"&amp;$A102)="N/A",0,RTD("tos.rtd",,BK$83,"."&amp;$B$82&amp;$AS$82&amp;"P"&amp;$A102)))</f>
        <v>#NUM!</v>
      </c>
      <c r="BL102" s="3">
        <f ca="1">IF($BP$1=1,DZ102,IF(RTD("tos.rtd",,BL$83,"."&amp;$C$82&amp;$AU$82&amp;"C"&amp;$A102)="N/A",0,RTD("tos.rtd",,BL$83,"."&amp;$C$82&amp;$AU$82&amp;"C"&amp;$A102)))</f>
        <v>1.444665947456285E-3</v>
      </c>
      <c r="BM102" s="3">
        <f ca="1">IF($BP$1=1,EA102,-IF(RTD("tos.rtd",,BM$83,"."&amp;$C$82&amp;$AU$82&amp;"P"&amp;$A102)="N/A",0,RTD("tos.rtd",,BM$83,"."&amp;$C$82&amp;$AU$82&amp;"P"&amp;$A102)))</f>
        <v>-6.3513576358804336E-3</v>
      </c>
      <c r="BN102" s="3">
        <f ca="1">IF($BP$1=1,EB102,IF(RTD("tos.rtd",,BN$83,"."&amp;$D$82&amp;$AW$82&amp;"C"&amp;$A102)="N/A",0,RTD("tos.rtd",,BN$83,"."&amp;$D$82&amp;$AW$82&amp;"C"&amp;$A102)))</f>
        <v>2.2039496238696766E-3</v>
      </c>
      <c r="BO102" s="3">
        <f ca="1">IF($BP$1=1,EC102,-IF(RTD("tos.rtd",,BO$83,"."&amp;$D$82&amp;$AW$82&amp;"P"&amp;$A102)="N/A",0,RTD("tos.rtd",,BO$83,"."&amp;$D$82&amp;$AW$82&amp;"P"&amp;$A102)))</f>
        <v>-3.3497841468299251E-3</v>
      </c>
      <c r="BQ102" s="3" t="e">
        <f t="shared" ca="1" si="456"/>
        <v>#NUM!</v>
      </c>
      <c r="BR102" s="3" t="e">
        <f t="shared" ca="1" si="494"/>
        <v>#NUM!</v>
      </c>
      <c r="BS102" s="3">
        <f t="shared" ca="1" si="457"/>
        <v>-25358792.962719224</v>
      </c>
      <c r="BT102" s="3" t="str">
        <f t="shared" ca="1" si="494"/>
        <v/>
      </c>
      <c r="BU102" s="3">
        <f t="shared" ca="1" si="458"/>
        <v>-18302851.750385426</v>
      </c>
      <c r="BV102" s="3" t="str">
        <f t="shared" ca="1" si="494"/>
        <v/>
      </c>
      <c r="BX102" s="3" t="e">
        <f t="shared" ca="1" si="459"/>
        <v>#NUM!</v>
      </c>
      <c r="BY102" s="3" t="e">
        <f t="shared" ca="1" si="510"/>
        <v>#NUM!</v>
      </c>
      <c r="BZ102" s="3">
        <f t="shared" ca="1" si="460"/>
        <v>3556.5460794563037</v>
      </c>
      <c r="CA102" s="3" t="str">
        <f t="shared" ca="1" si="510"/>
        <v/>
      </c>
      <c r="CB102" s="3">
        <f t="shared" ca="1" si="461"/>
        <v>0</v>
      </c>
      <c r="CC102" s="3" t="str">
        <f t="shared" ca="1" si="510"/>
        <v/>
      </c>
      <c r="CD102" s="3">
        <f>IF(RTD("tos.rtd",,CD$83,"."&amp;$B$82&amp;$AS$82&amp;"C"&amp;$A102)="N/A",0,RTD("tos.rtd",,CD$83,"."&amp;$B$82&amp;$AS$82&amp;"C"&amp;$A102))</f>
        <v>0.01</v>
      </c>
      <c r="CE102" s="3">
        <f>-IF(RTD("tos.rtd",,CE$83,"."&amp;$B$82&amp;$AS$82&amp;"P"&amp;$A102)="N/A",0,RTD("tos.rtd",,CE$83,"."&amp;$B$82&amp;$AS$82&amp;"P"&amp;$A102))</f>
        <v>0.95</v>
      </c>
      <c r="CF102" s="3">
        <f>IF(RTD("tos.rtd",,CF$83,"."&amp;$C$82&amp;$AU$82&amp;"C"&amp;$A102)="N/A",0,RTD("tos.rtd",,CF$83,"."&amp;$C$82&amp;$AU$82&amp;"C"&amp;$A102))</f>
        <v>0.44</v>
      </c>
      <c r="CG102" s="3">
        <f>-IF(RTD("tos.rtd",,CG$83,"."&amp;$C$82&amp;$AU$82&amp;"P"&amp;$A102)="N/A",0,RTD("tos.rtd",,CG$83,"."&amp;$C$82&amp;$AU$82&amp;"P"&amp;$A102))</f>
        <v>0.82</v>
      </c>
      <c r="CH102" s="3">
        <f>IF(RTD("tos.rtd",,CH$83,"."&amp;$D$82&amp;$AW$82&amp;"C"&amp;$A102)="N/A",0,RTD("tos.rtd",,CH$83,"."&amp;$D$82&amp;$AW$82&amp;"C"&amp;$A102))</f>
        <v>0.5</v>
      </c>
      <c r="CI102" s="3">
        <f>-IF(RTD("tos.rtd",,CI$83,"."&amp;$D$82&amp;$AW$82&amp;"P"&amp;$A102)="N/A",0,RTD("tos.rtd",,CI$83,"."&amp;$D$82&amp;$AW$82&amp;"P"&amp;$A102))</f>
        <v>0.51</v>
      </c>
      <c r="CK102" s="3">
        <f t="shared" si="495"/>
        <v>-178601</v>
      </c>
      <c r="CL102" s="3"/>
      <c r="CM102" s="3">
        <f t="shared" si="496"/>
        <v>-956681.99999999977</v>
      </c>
      <c r="CN102" s="3"/>
      <c r="CO102" s="3">
        <f t="shared" si="497"/>
        <v>180499</v>
      </c>
      <c r="CP102" s="3">
        <f t="shared" si="462"/>
        <v>-954783.99999999977</v>
      </c>
      <c r="CQ102" s="3">
        <f t="shared" si="463"/>
        <v>0</v>
      </c>
      <c r="CR102" s="3"/>
      <c r="CS102" s="3">
        <f t="shared" si="464"/>
        <v>10</v>
      </c>
      <c r="CT102" s="3"/>
      <c r="CU102" s="3">
        <f t="shared" si="465"/>
        <v>0</v>
      </c>
      <c r="CV102" s="3"/>
      <c r="CW102" s="3" t="e">
        <f t="shared" ca="1" si="466"/>
        <v>#NUM!</v>
      </c>
      <c r="CY102" s="3" t="e">
        <f t="shared" ca="1" si="467"/>
        <v>#NUM!</v>
      </c>
      <c r="CZ102" s="70" t="e">
        <f t="shared" ca="1" si="511"/>
        <v>#NUM!</v>
      </c>
      <c r="DA102" s="3">
        <f>IF(RTD("tos.rtd",,DA$83,"."&amp;$B$82&amp;$AS$82&amp;"C"&amp;$A102)="N/A",0,RTD("tos.rtd",,DA$83,"."&amp;$B$82&amp;$AS$82&amp;"C"&amp;$A102))</f>
        <v>0.03</v>
      </c>
      <c r="DB102" s="3">
        <f>IF(RTD("tos.rtd",,DB$83,"."&amp;$B$82&amp;$AS$82&amp;"P"&amp;$A102)="N/A",0,RTD("tos.rtd",,DB$83,"."&amp;$B$82&amp;$AS$82&amp;"P"&amp;$A102))</f>
        <v>39.6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43.1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38.200000000000003</v>
      </c>
      <c r="DG102" s="86">
        <f t="shared" si="499"/>
        <v>40.090000000000146</v>
      </c>
      <c r="DH102" s="3">
        <f t="shared" si="468"/>
        <v>-51917.4</v>
      </c>
      <c r="DI102" s="3">
        <f t="shared" si="469"/>
        <v>2011.1428571428557</v>
      </c>
      <c r="DJ102" s="3">
        <f t="shared" si="470"/>
        <v>-86529</v>
      </c>
      <c r="DK102" s="3">
        <f t="shared" si="471"/>
        <v>-7039</v>
      </c>
      <c r="DL102" s="3">
        <f t="shared" si="472"/>
        <v>-49906.257142857146</v>
      </c>
      <c r="DM102" s="3">
        <f t="shared" si="473"/>
        <v>-93568</v>
      </c>
      <c r="DN102" s="64" t="str">
        <f t="shared" si="474"/>
        <v>UNKNOWN</v>
      </c>
      <c r="DO102" s="64" t="str">
        <f t="shared" si="475"/>
        <v>UNKNOWN</v>
      </c>
      <c r="DP102" s="3">
        <f t="shared" si="476"/>
        <v>78083.735142857098</v>
      </c>
      <c r="DQ102" s="3">
        <f t="shared" si="477"/>
        <v>-281340.27</v>
      </c>
      <c r="DR102" s="3" t="e">
        <f t="shared" ca="1" si="478"/>
        <v>#NUM!</v>
      </c>
      <c r="DS102" s="3">
        <f t="shared" si="479"/>
        <v>-7552.3399999999992</v>
      </c>
      <c r="DT102" s="3">
        <f t="shared" si="500"/>
        <v>-86529</v>
      </c>
      <c r="DU102" s="3">
        <f t="shared" si="501"/>
        <v>7039</v>
      </c>
      <c r="DV102" s="3">
        <f t="shared" si="502"/>
        <v>-2435</v>
      </c>
      <c r="DW102" s="3">
        <f t="shared" si="503"/>
        <v>-834</v>
      </c>
      <c r="DX102" s="3" t="e">
        <f t="shared" ca="1" si="512"/>
        <v>#NUM!</v>
      </c>
      <c r="DY102" s="3" t="e">
        <f t="shared" ca="1" si="480"/>
        <v>#NUM!</v>
      </c>
      <c r="DZ102" s="3">
        <f t="shared" ca="1" si="504"/>
        <v>1.444665947456285E-3</v>
      </c>
      <c r="EA102" s="3">
        <f t="shared" ca="1" si="505"/>
        <v>-6.3513576358804336E-3</v>
      </c>
      <c r="EB102" s="3">
        <f t="shared" ca="1" si="481"/>
        <v>2.2039496238696766E-3</v>
      </c>
      <c r="EC102" s="3">
        <f t="shared" ca="1" si="482"/>
        <v>-3.3497841468299251E-3</v>
      </c>
      <c r="ED102" s="63">
        <f t="shared" si="506"/>
        <v>-3269</v>
      </c>
      <c r="EE102" s="59">
        <f t="shared" si="483"/>
        <v>0.36330000000000001</v>
      </c>
      <c r="EF102" s="59">
        <f t="shared" si="484"/>
        <v>0.58230000000000004</v>
      </c>
      <c r="EG102" s="59">
        <f t="shared" si="485"/>
        <v>0.35799999999999998</v>
      </c>
      <c r="EH102" s="59">
        <f t="shared" si="486"/>
        <v>6.2199999999999998E-2</v>
      </c>
      <c r="EI102" s="59">
        <f t="shared" si="487"/>
        <v>0.23200000000000001</v>
      </c>
      <c r="EJ102" s="59">
        <f t="shared" si="488"/>
        <v>0.14829999999999999</v>
      </c>
      <c r="EK102" s="63" t="e">
        <f t="shared" ca="1" si="507"/>
        <v>#NUM!</v>
      </c>
      <c r="EL102" s="3" t="str">
        <f>RTD("tos.rtd",,EL$83,"."&amp;$B$82&amp;$AS$82&amp;"C"&amp;$A102)</f>
        <v>36.33%</v>
      </c>
      <c r="EM102" s="3" t="str">
        <f>RTD("tos.rtd",,EM$83,"."&amp;$B$82&amp;$AS$82&amp;"P"&amp;$A102)</f>
        <v>58.23%</v>
      </c>
      <c r="EN102" s="3" t="str">
        <f>RTD("tos.rtd",,EN$83,"."&amp;$C$82&amp;$AU$82&amp;"C"&amp;$A102)</f>
        <v>35.80%</v>
      </c>
      <c r="EO102" s="3" t="str">
        <f>RTD("tos.rtd",,EO$83,"."&amp;$C$82&amp;$AU$82&amp;"P"&amp;$A102)</f>
        <v>6.22%</v>
      </c>
      <c r="EP102" s="3" t="str">
        <f>RTD("tos.rtd",,EP$83,"."&amp;$D$82&amp;$AW$82&amp;"C"&amp;$A102)</f>
        <v>23.20%</v>
      </c>
      <c r="EQ102" s="3" t="str">
        <f>RTD("tos.rtd",,EQ$83,"."&amp;$D$82&amp;$AW$82&amp;"P"&amp;$A102)</f>
        <v>14.83%</v>
      </c>
      <c r="ES102" s="63" t="str">
        <f t="shared" si="489"/>
        <v>5700,-3269.00</v>
      </c>
      <c r="ET102" s="63" t="str">
        <f t="shared" ca="1" si="490"/>
        <v>5700,00.00</v>
      </c>
      <c r="EU102" s="67">
        <v>565.49</v>
      </c>
      <c r="EV102" s="67" t="s">
        <v>835</v>
      </c>
      <c r="EW102" s="67">
        <v>489.06</v>
      </c>
      <c r="EX102" s="67" t="s">
        <v>836</v>
      </c>
      <c r="EY102" s="67">
        <v>5663.94</v>
      </c>
      <c r="EZ102" s="67" t="s">
        <v>837</v>
      </c>
      <c r="FA102" s="67">
        <v>20063.564999999999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508"/>
        <v>5690</v>
      </c>
      <c r="B103" s="3">
        <f t="shared" si="451"/>
        <v>1901</v>
      </c>
      <c r="C103" s="3">
        <f t="shared" si="452"/>
        <v>3441</v>
      </c>
      <c r="D103" s="3">
        <f t="shared" si="453"/>
        <v>13902</v>
      </c>
      <c r="E103" s="3">
        <f>SUM(B103:D103)</f>
        <v>19244</v>
      </c>
      <c r="F103" s="4">
        <f t="shared" si="522"/>
        <v>5780.5689489762208</v>
      </c>
      <c r="G103" s="4">
        <f t="shared" si="520"/>
        <v>574.4779687309516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907</v>
      </c>
      <c r="AN103" s="20">
        <v>-1169</v>
      </c>
      <c r="AO103" s="20">
        <v>5690</v>
      </c>
      <c r="AP103" s="20">
        <v>58065</v>
      </c>
      <c r="AQ103" s="20">
        <v>-6408</v>
      </c>
      <c r="AR103" s="20"/>
      <c r="AS103" s="54">
        <f>IF(RTD("tos.rtd",,AS$83,"."&amp;$B$82&amp;$AS$82&amp;"C"&amp;$A103)="N/A",0,RTD("tos.rtd",,AS$83,"."&amp;$B$82&amp;$AS$82&amp;"C"&amp;$A103))</f>
        <v>1409</v>
      </c>
      <c r="AT103" s="3">
        <f>-IF(RTD("tos.rtd",,AT$83,"."&amp;$B$82&amp;$AS$82&amp;"P"&amp;$A103)="N/A",0,RTD("tos.rtd",,AT$83,"."&amp;$B$82&amp;$AS$82&amp;"P"&amp;$A103))</f>
        <v>-492</v>
      </c>
      <c r="AU103" s="54">
        <f>IF(RTD("tos.rtd",,AU$83,"."&amp;$C$82&amp;$AU$82&amp;"C"&amp;$A103)="N/A",0,RTD("tos.rtd",,AU$83,"."&amp;$C$82&amp;$AU$82&amp;"C"&amp;$A103))</f>
        <v>1560</v>
      </c>
      <c r="AV103" s="3">
        <f>-IF(RTD("tos.rtd",,AV$83,"."&amp;$C$82&amp;$AU$82&amp;"P"&amp;$A103)="N/A",0,RTD("tos.rtd",,AV$83,"."&amp;$C$82&amp;$AU$82&amp;"P"&amp;$A103))</f>
        <v>-1881</v>
      </c>
      <c r="AW103" s="54">
        <f>IF(RTD("tos.rtd",,AW$83,"."&amp;$D$82&amp;$AW$82&amp;"C"&amp;$A103)="N/A",0,RTD("tos.rtd",,AW$83,"."&amp;$D$82&amp;$AW$82&amp;"C"&amp;$A103))</f>
        <v>6880</v>
      </c>
      <c r="AX103" s="3">
        <f>-IF(RTD("tos.rtd",,AX$83,"."&amp;$D$82&amp;$AW$82&amp;"P"&amp;$A103)="N/A",0,RTD("tos.rtd",,AX$83,"."&amp;$D$82&amp;$AW$82&amp;"P"&amp;$A103))</f>
        <v>-7022</v>
      </c>
      <c r="AY103" s="79">
        <f t="shared" si="521"/>
        <v>454</v>
      </c>
      <c r="AZ103" s="8">
        <f t="shared" si="455"/>
        <v>5690</v>
      </c>
      <c r="BA103" s="54">
        <f>IF(RTD("tos.rtd",,BA$83,"."&amp;$B$82&amp;$AS$82&amp;"C"&amp;$A103)="N/A",0,RTD("tos.rtd",,BA$83,"."&amp;$B$82&amp;$AS$82&amp;"C"&amp;$A103))</f>
        <v>0</v>
      </c>
      <c r="BB103" s="3">
        <f>-IF(RTD("tos.rtd",,BB$83,"."&amp;$B$82&amp;$AS$82&amp;"P"&amp;$A103)="N/A",0,RTD("tos.rtd",,BB$83,"."&amp;$B$82&amp;$AS$82&amp;"P"&amp;$A103))</f>
        <v>0</v>
      </c>
      <c r="BC103" s="54">
        <f>IF(RTD("tos.rtd",,BC$83,"."&amp;$C$82&amp;$AU$82&amp;"C"&amp;$A103)="N/A",0,RTD("tos.rtd",,BC$83,"."&amp;$C$82&amp;$AU$82&amp;"C"&amp;$A103))</f>
        <v>0</v>
      </c>
      <c r="BD103" s="3">
        <f>-IF(RTD("tos.rtd",,BD$83,"."&amp;$C$82&amp;$AU$82&amp;"P"&amp;$A103)="N/A",0,RTD("tos.rtd",,BD$83,"."&amp;$C$82&amp;$AU$82&amp;"P"&amp;$A103))</f>
        <v>0</v>
      </c>
      <c r="BE103" s="54">
        <f>IF(RTD("tos.rtd",,BE$83,"."&amp;$D$82&amp;$AW$82&amp;"C"&amp;$A103)="N/A",0,RTD("tos.rtd",,BE$83,"."&amp;$D$82&amp;$AW$82&amp;"C"&amp;$A103))</f>
        <v>0</v>
      </c>
      <c r="BF103" s="3">
        <f>-IF(RTD("tos.rtd",,BF$83,"."&amp;$D$82&amp;$AW$82&amp;"P"&amp;$A103)="N/A",0,RTD("tos.rtd",,BF$83,"."&amp;$D$82&amp;$AW$82&amp;"P"&amp;$A103))</f>
        <v>0</v>
      </c>
      <c r="BG103" s="3">
        <f ca="1">+Hoja2!Y104</f>
        <v>0</v>
      </c>
      <c r="BH103" s="55">
        <f t="shared" ca="1" si="493"/>
        <v>0</v>
      </c>
      <c r="BI103" s="32" t="str">
        <f t="shared" ca="1" si="513"/>
        <v/>
      </c>
      <c r="BJ103" s="3" t="e">
        <f ca="1">IF($BP$1=1,DX103,IF(RTD("tos.rtd",,BJ$83,"."&amp;$B$82&amp;$AS$82&amp;"C"&amp;$A103)="N/A",0,RTD("tos.rtd",,BJ$83,"."&amp;$B$82&amp;$AS$82&amp;"C"&amp;$A103)))</f>
        <v>#NUM!</v>
      </c>
      <c r="BK103" s="3" t="e">
        <f ca="1">IF($BP$1=1,DY103,-IF(RTD("tos.rtd",,BK$83,"."&amp;$B$82&amp;$AS$82&amp;"P"&amp;$A103)="N/A",0,RTD("tos.rtd",,BK$83,"."&amp;$B$82&amp;$AS$82&amp;"P"&amp;$A103)))</f>
        <v>#NUM!</v>
      </c>
      <c r="BL103" s="3">
        <f ca="1">IF($BP$1=1,DZ103,IF(RTD("tos.rtd",,BL$83,"."&amp;$C$82&amp;$AU$82&amp;"C"&amp;$A103)="N/A",0,RTD("tos.rtd",,BL$83,"."&amp;$C$82&amp;$AU$82&amp;"C"&amp;$A103)))</f>
        <v>1.4158846106264342E-3</v>
      </c>
      <c r="BM103" s="3">
        <f ca="1">IF($BP$1=1,EA103,-IF(RTD("tos.rtd",,BM$83,"."&amp;$C$82&amp;$AU$82&amp;"P"&amp;$A103)="N/A",0,RTD("tos.rtd",,BM$83,"."&amp;$C$82&amp;$AU$82&amp;"P"&amp;$A103)))</f>
        <v>-5.8318800780986684E-3</v>
      </c>
      <c r="BN103" s="3">
        <f ca="1">IF($BP$1=1,EB103,IF(RTD("tos.rtd",,BN$83,"."&amp;$D$82&amp;$AW$82&amp;"C"&amp;$A103)="N/A",0,RTD("tos.rtd",,BN$83,"."&amp;$D$82&amp;$AW$82&amp;"C"&amp;$A103)))</f>
        <v>2.2009658486284783E-3</v>
      </c>
      <c r="BO103" s="3">
        <f ca="1">IF($BP$1=1,EC103,-IF(RTD("tos.rtd",,BO$83,"."&amp;$D$82&amp;$AW$82&amp;"P"&amp;$A103)="N/A",0,RTD("tos.rtd",,BO$83,"."&amp;$D$82&amp;$AW$82&amp;"P"&amp;$A103)))</f>
        <v>-3.3724634821915497E-3</v>
      </c>
      <c r="BQ103" s="3" t="e">
        <f t="shared" ca="1" si="456"/>
        <v>#NUM!</v>
      </c>
      <c r="BR103" s="3" t="e">
        <f t="shared" ca="1" si="494"/>
        <v>#NUM!</v>
      </c>
      <c r="BS103" s="3">
        <f t="shared" ca="1" si="457"/>
        <v>-2156820.5445720265</v>
      </c>
      <c r="BT103" s="3" t="str">
        <f t="shared" ca="1" si="494"/>
        <v/>
      </c>
      <c r="BU103" s="3">
        <f t="shared" ca="1" si="458"/>
        <v>-2102120.0588218803</v>
      </c>
      <c r="BV103" s="3" t="str">
        <f t="shared" ca="1" si="494"/>
        <v/>
      </c>
      <c r="BX103" s="3" t="e">
        <f t="shared" ca="1" si="459"/>
        <v>#NUM!</v>
      </c>
      <c r="BY103" s="3" t="e">
        <f t="shared" ca="1" si="510"/>
        <v>#NUM!</v>
      </c>
      <c r="BZ103" s="3">
        <f t="shared" ca="1" si="460"/>
        <v>0</v>
      </c>
      <c r="CA103" s="3" t="str">
        <f t="shared" ca="1" si="510"/>
        <v/>
      </c>
      <c r="CB103" s="3">
        <f t="shared" ca="1" si="461"/>
        <v>0</v>
      </c>
      <c r="CC103" s="3" t="str">
        <f t="shared" ca="1" si="510"/>
        <v/>
      </c>
      <c r="CD103" s="3">
        <f>IF(RTD("tos.rtd",,CD$83,"."&amp;$B$82&amp;$AS$82&amp;"C"&amp;$A103)="N/A",0,RTD("tos.rtd",,CD$83,"."&amp;$B$82&amp;$AS$82&amp;"C"&amp;$A103))</f>
        <v>0.01</v>
      </c>
      <c r="CE103" s="3">
        <f>-IF(RTD("tos.rtd",,CE$83,"."&amp;$B$82&amp;$AS$82&amp;"P"&amp;$A103)="N/A",0,RTD("tos.rtd",,CE$83,"."&amp;$B$82&amp;$AS$82&amp;"P"&amp;$A103))</f>
        <v>0.93</v>
      </c>
      <c r="CF103" s="3">
        <f>IF(RTD("tos.rtd",,CF$83,"."&amp;$C$82&amp;$AU$82&amp;"C"&amp;$A103)="N/A",0,RTD("tos.rtd",,CF$83,"."&amp;$C$82&amp;$AU$82&amp;"C"&amp;$A103))</f>
        <v>0.46</v>
      </c>
      <c r="CG103" s="3">
        <f>-IF(RTD("tos.rtd",,CG$83,"."&amp;$C$82&amp;$AU$82&amp;"P"&amp;$A103)="N/A",0,RTD("tos.rtd",,CG$83,"."&amp;$C$82&amp;$AU$82&amp;"P"&amp;$A103))</f>
        <v>0.7</v>
      </c>
      <c r="CH103" s="3">
        <f>IF(RTD("tos.rtd",,CH$83,"."&amp;$D$82&amp;$AW$82&amp;"C"&amp;$A103)="N/A",0,RTD("tos.rtd",,CH$83,"."&amp;$D$82&amp;$AW$82&amp;"C"&amp;$A103))</f>
        <v>0.51</v>
      </c>
      <c r="CI103" s="3">
        <f>-IF(RTD("tos.rtd",,CI$83,"."&amp;$D$82&amp;$AW$82&amp;"P"&amp;$A103)="N/A",0,RTD("tos.rtd",,CI$83,"."&amp;$D$82&amp;$AW$82&amp;"P"&amp;$A103))</f>
        <v>0.49</v>
      </c>
      <c r="CK103" s="3">
        <f t="shared" si="495"/>
        <v>-44347</v>
      </c>
      <c r="CL103" s="3"/>
      <c r="CM103" s="3">
        <f t="shared" si="496"/>
        <v>-59909.999999999971</v>
      </c>
      <c r="CN103" s="3"/>
      <c r="CO103" s="3">
        <f t="shared" si="497"/>
        <v>6802</v>
      </c>
      <c r="CP103" s="3">
        <f t="shared" si="462"/>
        <v>-97454.999999999971</v>
      </c>
      <c r="CQ103" s="3">
        <f t="shared" si="463"/>
        <v>0</v>
      </c>
      <c r="CR103" s="3"/>
      <c r="CS103" s="3">
        <f t="shared" si="464"/>
        <v>0</v>
      </c>
      <c r="CT103" s="3"/>
      <c r="CU103" s="3">
        <f t="shared" si="465"/>
        <v>0</v>
      </c>
      <c r="CV103" s="3"/>
      <c r="CW103" s="3" t="e">
        <f t="shared" ca="1" si="466"/>
        <v>#NUM!</v>
      </c>
      <c r="CY103" s="3" t="e">
        <f t="shared" ca="1" si="467"/>
        <v>#NUM!</v>
      </c>
      <c r="CZ103" s="70" t="e">
        <f t="shared" ca="1" si="511"/>
        <v>#NUM!</v>
      </c>
      <c r="DA103" s="3">
        <f>IF(RTD("tos.rtd",,DA$83,"."&amp;$B$82&amp;$AS$82&amp;"C"&amp;$A103)="N/A",0,RTD("tos.rtd",,DA$83,"."&amp;$B$82&amp;$AS$82&amp;"C"&amp;$A103))</f>
        <v>0.03</v>
      </c>
      <c r="DB103" s="3">
        <f>IF(RTD("tos.rtd",,DB$83,"."&amp;$B$82&amp;$AS$82&amp;"P"&amp;$A103)="N/A",0,RTD("tos.rtd",,DB$83,"."&amp;$B$82&amp;$AS$82&amp;"P"&amp;$A103))</f>
        <v>29.6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33.1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28.2</v>
      </c>
      <c r="DG103" s="86">
        <f t="shared" si="499"/>
        <v>30.090000000000146</v>
      </c>
      <c r="DH103" s="3">
        <f t="shared" si="468"/>
        <v>-34839</v>
      </c>
      <c r="DI103" s="3">
        <f t="shared" si="469"/>
        <v>1830.8571428571449</v>
      </c>
      <c r="DJ103" s="3">
        <f t="shared" si="470"/>
        <v>-58065</v>
      </c>
      <c r="DK103" s="3">
        <f t="shared" si="471"/>
        <v>-6408</v>
      </c>
      <c r="DL103" s="3">
        <f t="shared" si="472"/>
        <v>-33008.142857142855</v>
      </c>
      <c r="DM103" s="3">
        <f t="shared" si="473"/>
        <v>-64473</v>
      </c>
      <c r="DN103" s="64" t="str">
        <f t="shared" si="474"/>
        <v>UNKNOWN</v>
      </c>
      <c r="DO103" s="64" t="str">
        <f t="shared" si="475"/>
        <v>UNKNOWN</v>
      </c>
      <c r="DP103" s="3">
        <f t="shared" si="476"/>
        <v>53148.201428571498</v>
      </c>
      <c r="DQ103" s="3">
        <f t="shared" si="477"/>
        <v>-191418.75000000003</v>
      </c>
      <c r="DR103" s="3" t="e">
        <f t="shared" ca="1" si="478"/>
        <v>#NUM!</v>
      </c>
      <c r="DS103" s="3">
        <f t="shared" si="479"/>
        <v>-6540.09</v>
      </c>
      <c r="DT103" s="3">
        <f t="shared" si="500"/>
        <v>-58065</v>
      </c>
      <c r="DU103" s="3">
        <f t="shared" si="501"/>
        <v>6408</v>
      </c>
      <c r="DV103" s="3">
        <f t="shared" si="502"/>
        <v>907</v>
      </c>
      <c r="DW103" s="3">
        <f t="shared" si="503"/>
        <v>-1169</v>
      </c>
      <c r="DX103" s="3" t="e">
        <f t="shared" ca="1" si="512"/>
        <v>#NUM!</v>
      </c>
      <c r="DY103" s="3" t="e">
        <f t="shared" ca="1" si="480"/>
        <v>#NUM!</v>
      </c>
      <c r="DZ103" s="3">
        <f t="shared" ca="1" si="504"/>
        <v>1.4158846106264342E-3</v>
      </c>
      <c r="EA103" s="3">
        <f t="shared" ca="1" si="505"/>
        <v>-5.8318800780986684E-3</v>
      </c>
      <c r="EB103" s="3">
        <f t="shared" ca="1" si="481"/>
        <v>2.2009658486284783E-3</v>
      </c>
      <c r="EC103" s="3">
        <f t="shared" ca="1" si="482"/>
        <v>-3.3724634821915497E-3</v>
      </c>
      <c r="ED103" s="63">
        <f t="shared" si="506"/>
        <v>-262</v>
      </c>
      <c r="EE103" s="59">
        <f t="shared" si="483"/>
        <v>0.28139999999999998</v>
      </c>
      <c r="EF103" s="59">
        <f t="shared" si="484"/>
        <v>0.46550000000000002</v>
      </c>
      <c r="EG103" s="59">
        <f t="shared" si="485"/>
        <v>0.36649999999999999</v>
      </c>
      <c r="EH103" s="59">
        <f t="shared" si="486"/>
        <v>8.2299999999999998E-2</v>
      </c>
      <c r="EI103" s="59">
        <f t="shared" si="487"/>
        <v>0.2344</v>
      </c>
      <c r="EJ103" s="59">
        <f t="shared" si="488"/>
        <v>0.15079999999999999</v>
      </c>
      <c r="EK103" s="63" t="e">
        <f t="shared" ca="1" si="507"/>
        <v>#NUM!</v>
      </c>
      <c r="EL103" s="3" t="str">
        <f>RTD("tos.rtd",,EL$83,"."&amp;$B$82&amp;$AS$82&amp;"C"&amp;$A103)</f>
        <v>28.14%</v>
      </c>
      <c r="EM103" s="3" t="str">
        <f>RTD("tos.rtd",,EM$83,"."&amp;$B$82&amp;$AS$82&amp;"P"&amp;$A103)</f>
        <v>46.55%</v>
      </c>
      <c r="EN103" s="3" t="str">
        <f>RTD("tos.rtd",,EN$83,"."&amp;$C$82&amp;$AU$82&amp;"C"&amp;$A103)</f>
        <v>36.65%</v>
      </c>
      <c r="EO103" s="3" t="str">
        <f>RTD("tos.rtd",,EO$83,"."&amp;$C$82&amp;$AU$82&amp;"P"&amp;$A103)</f>
        <v>8.23%</v>
      </c>
      <c r="EP103" s="3" t="str">
        <f>RTD("tos.rtd",,EP$83,"."&amp;$D$82&amp;$AW$82&amp;"C"&amp;$A103)</f>
        <v>23.44%</v>
      </c>
      <c r="EQ103" s="3" t="str">
        <f>RTD("tos.rtd",,EQ$83,"."&amp;$D$82&amp;$AW$82&amp;"P"&amp;$A103)</f>
        <v>15.08%</v>
      </c>
      <c r="ES103" s="63" t="str">
        <f t="shared" si="489"/>
        <v>5690,-262.00</v>
      </c>
      <c r="ET103" s="63" t="str">
        <f t="shared" ca="1" si="490"/>
        <v>5690,00.00</v>
      </c>
      <c r="EU103" s="67">
        <v>565.41999999999996</v>
      </c>
      <c r="EV103" s="67" t="s">
        <v>843</v>
      </c>
      <c r="EW103" s="67">
        <v>488.95</v>
      </c>
      <c r="EX103" s="67" t="s">
        <v>844</v>
      </c>
      <c r="EY103" s="67">
        <v>5663.94</v>
      </c>
      <c r="EZ103" s="67" t="s">
        <v>845</v>
      </c>
      <c r="FA103" s="67">
        <v>20063.564999999999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508"/>
        <v>5680</v>
      </c>
      <c r="B104" s="3">
        <f t="shared" si="451"/>
        <v>4117</v>
      </c>
      <c r="C104" s="3">
        <f t="shared" si="452"/>
        <v>1334</v>
      </c>
      <c r="D104" s="3">
        <f t="shared" si="453"/>
        <v>8391</v>
      </c>
      <c r="E104" s="3">
        <f t="shared" si="519"/>
        <v>13842</v>
      </c>
      <c r="F104" s="4">
        <f t="shared" si="522"/>
        <v>5770.4097768339079</v>
      </c>
      <c r="G104" s="4">
        <f t="shared" si="520"/>
        <v>573.46834136938583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-5552</v>
      </c>
      <c r="AN104" s="20">
        <v>62</v>
      </c>
      <c r="AO104" s="20">
        <v>5680</v>
      </c>
      <c r="AP104" s="20">
        <v>88798</v>
      </c>
      <c r="AQ104" s="20">
        <v>-15233</v>
      </c>
      <c r="AR104" s="20"/>
      <c r="AS104" s="54">
        <f>IF(RTD("tos.rtd",,AS$83,"."&amp;$B$82&amp;$AS$82&amp;"C"&amp;$A104)="N/A",0,RTD("tos.rtd",,AS$83,"."&amp;$B$82&amp;$AS$82&amp;"C"&amp;$A104))</f>
        <v>3536</v>
      </c>
      <c r="AT104" s="3">
        <f>-IF(RTD("tos.rtd",,AT$83,"."&amp;$B$82&amp;$AS$82&amp;"P"&amp;$A104)="N/A",0,RTD("tos.rtd",,AT$83,"."&amp;$B$82&amp;$AS$82&amp;"P"&amp;$A104))</f>
        <v>-581</v>
      </c>
      <c r="AU104" s="54">
        <f>IF(RTD("tos.rtd",,AU$83,"."&amp;$C$82&amp;$AU$82&amp;"C"&amp;$A104)="N/A",0,RTD("tos.rtd",,AU$83,"."&amp;$C$82&amp;$AU$82&amp;"C"&amp;$A104))</f>
        <v>499</v>
      </c>
      <c r="AV104" s="3">
        <f>-IF(RTD("tos.rtd",,AV$83,"."&amp;$C$82&amp;$AU$82&amp;"P"&amp;$A104)="N/A",0,RTD("tos.rtd",,AV$83,"."&amp;$C$82&amp;$AU$82&amp;"P"&amp;$A104))</f>
        <v>-835</v>
      </c>
      <c r="AW104" s="54">
        <f>IF(RTD("tos.rtd",,AW$83,"."&amp;$D$82&amp;$AW$82&amp;"C"&amp;$A104)="N/A",0,RTD("tos.rtd",,AW$83,"."&amp;$D$82&amp;$AW$82&amp;"C"&amp;$A104))</f>
        <v>4093</v>
      </c>
      <c r="AX104" s="3">
        <f>-IF(RTD("tos.rtd",,AX$83,"."&amp;$D$82&amp;$AW$82&amp;"P"&amp;$A104)="N/A",0,RTD("tos.rtd",,AX$83,"."&amp;$D$82&amp;$AW$82&amp;"P"&amp;$A104))</f>
        <v>-4298</v>
      </c>
      <c r="AY104" s="79">
        <f t="shared" si="521"/>
        <v>2414</v>
      </c>
      <c r="AZ104" s="8">
        <f t="shared" si="455"/>
        <v>5680</v>
      </c>
      <c r="BA104" s="54">
        <f>IF(RTD("tos.rtd",,BA$83,"."&amp;$B$82&amp;$AS$82&amp;"C"&amp;$A104)="N/A",0,RTD("tos.rtd",,BA$83,"."&amp;$B$82&amp;$AS$82&amp;"C"&amp;$A104))</f>
        <v>0</v>
      </c>
      <c r="BB104" s="3">
        <f>-IF(RTD("tos.rtd",,BB$83,"."&amp;$B$82&amp;$AS$82&amp;"P"&amp;$A104)="N/A",0,RTD("tos.rtd",,BB$83,"."&amp;$B$82&amp;$AS$82&amp;"P"&amp;$A104))</f>
        <v>0</v>
      </c>
      <c r="BC104" s="54">
        <f>IF(RTD("tos.rtd",,BC$83,"."&amp;$C$82&amp;$AU$82&amp;"C"&amp;$A104)="N/A",0,RTD("tos.rtd",,BC$83,"."&amp;$C$82&amp;$AU$82&amp;"C"&amp;$A104))</f>
        <v>0</v>
      </c>
      <c r="BD104" s="3">
        <f>-IF(RTD("tos.rtd",,BD$83,"."&amp;$C$82&amp;$AU$82&amp;"P"&amp;$A104)="N/A",0,RTD("tos.rtd",,BD$83,"."&amp;$C$82&amp;$AU$82&amp;"P"&amp;$A104))</f>
        <v>0</v>
      </c>
      <c r="BE104" s="54">
        <f>IF(RTD("tos.rtd",,BE$83,"."&amp;$D$82&amp;$AW$82&amp;"C"&amp;$A104)="N/A",0,RTD("tos.rtd",,BE$83,"."&amp;$D$82&amp;$AW$82&amp;"C"&amp;$A104))</f>
        <v>0</v>
      </c>
      <c r="BF104" s="3">
        <f>-IF(RTD("tos.rtd",,BF$83,"."&amp;$D$82&amp;$AW$82&amp;"P"&amp;$A104)="N/A",0,RTD("tos.rtd",,BF$83,"."&amp;$D$82&amp;$AW$82&amp;"P"&amp;$A104))</f>
        <v>0</v>
      </c>
      <c r="BG104" s="3">
        <f ca="1">+Hoja2!Y105</f>
        <v>0</v>
      </c>
      <c r="BH104" s="55">
        <f t="shared" ca="1" si="493"/>
        <v>0</v>
      </c>
      <c r="BI104" s="32" t="str">
        <f t="shared" ca="1" si="513"/>
        <v/>
      </c>
      <c r="BJ104" s="3" t="e">
        <f ca="1">IF($BP$1=1,DX104,IF(RTD("tos.rtd",,BJ$83,"."&amp;$B$82&amp;$AS$82&amp;"C"&amp;$A104)="N/A",0,RTD("tos.rtd",,BJ$83,"."&amp;$B$82&amp;$AS$82&amp;"C"&amp;$A104)))</f>
        <v>#NUM!</v>
      </c>
      <c r="BK104" s="3" t="e">
        <f ca="1">IF($BP$1=1,DY104,-IF(RTD("tos.rtd",,BK$83,"."&amp;$B$82&amp;$AS$82&amp;"P"&amp;$A104)="N/A",0,RTD("tos.rtd",,BK$83,"."&amp;$B$82&amp;$AS$82&amp;"P"&amp;$A104)))</f>
        <v>#NUM!</v>
      </c>
      <c r="BL104" s="3">
        <f ca="1">IF($BP$1=1,DZ104,IF(RTD("tos.rtd",,BL$83,"."&amp;$C$82&amp;$AU$82&amp;"C"&amp;$A104)="N/A",0,RTD("tos.rtd",,BL$83,"."&amp;$C$82&amp;$AU$82&amp;"C"&amp;$A104)))</f>
        <v>1.3858862382152934E-3</v>
      </c>
      <c r="BM104" s="3">
        <f ca="1">IF($BP$1=1,EA104,-IF(RTD("tos.rtd",,BM$83,"."&amp;$C$82&amp;$AU$82&amp;"P"&amp;$A104)="N/A",0,RTD("tos.rtd",,BM$83,"."&amp;$C$82&amp;$AU$82&amp;"P"&amp;$A104)))</f>
        <v>-5.303047317889999E-3</v>
      </c>
      <c r="BN104" s="3">
        <f ca="1">IF($BP$1=1,EB104,IF(RTD("tos.rtd",,BN$83,"."&amp;$D$82&amp;$AW$82&amp;"C"&amp;$A104)="N/A",0,RTD("tos.rtd",,BN$83,"."&amp;$D$82&amp;$AW$82&amp;"C"&amp;$A104)))</f>
        <v>2.1898842049462579E-3</v>
      </c>
      <c r="BO104" s="3">
        <f ca="1">IF($BP$1=1,EC104,-IF(RTD("tos.rtd",,BO$83,"."&amp;$D$82&amp;$AW$82&amp;"P"&amp;$A104)="N/A",0,RTD("tos.rtd",,BO$83,"."&amp;$D$82&amp;$AW$82&amp;"P"&amp;$A104)))</f>
        <v>-3.3712213337364588E-3</v>
      </c>
      <c r="BQ104" s="3" t="e">
        <f t="shared" ca="1" si="456"/>
        <v>#NUM!</v>
      </c>
      <c r="BR104" s="3" t="e">
        <f t="shared" ca="1" si="494"/>
        <v>#NUM!</v>
      </c>
      <c r="BS104" s="3">
        <f t="shared" ca="1" si="457"/>
        <v>-919865.88327731716</v>
      </c>
      <c r="BT104" s="3" t="str">
        <f t="shared" ca="1" si="494"/>
        <v/>
      </c>
      <c r="BU104" s="3">
        <f t="shared" ca="1" si="458"/>
        <v>-1360493.5956097231</v>
      </c>
      <c r="BV104" s="3" t="str">
        <f t="shared" ca="1" si="494"/>
        <v/>
      </c>
      <c r="BX104" s="3" t="e">
        <f t="shared" ca="1" si="459"/>
        <v>#NUM!</v>
      </c>
      <c r="BY104" s="3" t="e">
        <f t="shared" ca="1" si="510"/>
        <v>#NUM!</v>
      </c>
      <c r="BZ104" s="3">
        <f t="shared" ca="1" si="460"/>
        <v>0</v>
      </c>
      <c r="CA104" s="3" t="str">
        <f t="shared" ca="1" si="510"/>
        <v/>
      </c>
      <c r="CB104" s="3">
        <f t="shared" ca="1" si="461"/>
        <v>0</v>
      </c>
      <c r="CC104" s="3" t="str">
        <f t="shared" ca="1" si="510"/>
        <v/>
      </c>
      <c r="CD104" s="3">
        <f>IF(RTD("tos.rtd",,CD$83,"."&amp;$B$82&amp;$AS$82&amp;"C"&amp;$A104)="N/A",0,RTD("tos.rtd",,CD$83,"."&amp;$B$82&amp;$AS$82&amp;"C"&amp;$A104))</f>
        <v>0.01</v>
      </c>
      <c r="CE104" s="3">
        <f>-IF(RTD("tos.rtd",,CE$83,"."&amp;$B$82&amp;$AS$82&amp;"P"&amp;$A104)="N/A",0,RTD("tos.rtd",,CE$83,"."&amp;$B$82&amp;$AS$82&amp;"P"&amp;$A104))</f>
        <v>1</v>
      </c>
      <c r="CF104" s="3">
        <f>IF(RTD("tos.rtd",,CF$83,"."&amp;$C$82&amp;$AU$82&amp;"C"&amp;$A104)="N/A",0,RTD("tos.rtd",,CF$83,"."&amp;$C$82&amp;$AU$82&amp;"C"&amp;$A104))</f>
        <v>0.48</v>
      </c>
      <c r="CG104" s="3">
        <f>-IF(RTD("tos.rtd",,CG$83,"."&amp;$C$82&amp;$AU$82&amp;"P"&amp;$A104)="N/A",0,RTD("tos.rtd",,CG$83,"."&amp;$C$82&amp;$AU$82&amp;"P"&amp;$A104))</f>
        <v>0.61</v>
      </c>
      <c r="CH104" s="3">
        <f>IF(RTD("tos.rtd",,CH$83,"."&amp;$D$82&amp;$AW$82&amp;"C"&amp;$A104)="N/A",0,RTD("tos.rtd",,CH$83,"."&amp;$D$82&amp;$AW$82&amp;"C"&amp;$A104))</f>
        <v>0.52</v>
      </c>
      <c r="CI104" s="3">
        <f>-IF(RTD("tos.rtd",,CI$83,"."&amp;$D$82&amp;$AW$82&amp;"P"&amp;$A104)="N/A",0,RTD("tos.rtd",,CI$83,"."&amp;$D$82&amp;$AW$82&amp;"P"&amp;$A104))</f>
        <v>0.48</v>
      </c>
      <c r="CK104" s="3">
        <f t="shared" si="495"/>
        <v>-54564</v>
      </c>
      <c r="CL104" s="3"/>
      <c r="CM104" s="3">
        <f t="shared" si="496"/>
        <v>-26983</v>
      </c>
      <c r="CN104" s="3"/>
      <c r="CO104" s="3">
        <f t="shared" si="497"/>
        <v>6532</v>
      </c>
      <c r="CP104" s="3">
        <f t="shared" si="462"/>
        <v>-75015</v>
      </c>
      <c r="CQ104" s="3">
        <f t="shared" si="463"/>
        <v>0</v>
      </c>
      <c r="CR104" s="3"/>
      <c r="CS104" s="3">
        <f t="shared" si="464"/>
        <v>0</v>
      </c>
      <c r="CT104" s="3"/>
      <c r="CU104" s="3">
        <f t="shared" si="465"/>
        <v>0</v>
      </c>
      <c r="CV104" s="3"/>
      <c r="CW104" s="3" t="e">
        <f t="shared" ca="1" si="466"/>
        <v>#NUM!</v>
      </c>
      <c r="CY104" s="3" t="e">
        <f t="shared" ca="1" si="467"/>
        <v>#NUM!</v>
      </c>
      <c r="CZ104" s="70" t="e">
        <f t="shared" ca="1" si="511"/>
        <v>#NUM!</v>
      </c>
      <c r="DA104" s="3">
        <f>IF(RTD("tos.rtd",,DA$83,"."&amp;$B$82&amp;$AS$82&amp;"C"&amp;$A104)="N/A",0,RTD("tos.rtd",,DA$83,"."&amp;$B$82&amp;$AS$82&amp;"C"&amp;$A104))</f>
        <v>0.03</v>
      </c>
      <c r="DB104" s="3">
        <f>IF(RTD("tos.rtd",,DB$83,"."&amp;$B$82&amp;$AS$82&amp;"P"&amp;$A104)="N/A",0,RTD("tos.rtd",,DB$83,"."&amp;$B$82&amp;$AS$82&amp;"P"&amp;$A104))</f>
        <v>20.6</v>
      </c>
      <c r="DC104" s="3">
        <f>IF(RTD("tos.rtd",,DC$83,"."&amp;$B$82&amp;$AS$82&amp;"C"&amp;$A104)="N/A",0,RTD("tos.rtd",,DC$83,"."&amp;$B$82&amp;$AS$82&amp;"C"&amp;$A104))</f>
        <v>0.05</v>
      </c>
      <c r="DD104" s="3">
        <f>IF(RTD("tos.rtd",,DD$83,"."&amp;$B$82&amp;$AS$82&amp;"P"&amp;$A104)="N/A",0,RTD("tos.rtd",,DD$83,"."&amp;$B$82&amp;$AS$82&amp;"P"&amp;$A104))</f>
        <v>20.8</v>
      </c>
      <c r="DE104" s="3">
        <f>IF(RTD("tos.rtd",,DE$83,"."&amp;$B$82&amp;$AS$82&amp;"C"&amp;$A104)="N/A",0,RTD("tos.rtd",,DE$83,"."&amp;$B$82&amp;$AS$82&amp;"C"&amp;$A104))</f>
        <v>0</v>
      </c>
      <c r="DF104" s="3">
        <f>IF(RTD("tos.rtd",,DF$83,"."&amp;$B$82&amp;$AS$82&amp;"P"&amp;$A104)="N/A",0,RTD("tos.rtd",,DF$83,"."&amp;$B$82&amp;$AS$82&amp;"P"&amp;$A104))</f>
        <v>17.899999999999999</v>
      </c>
      <c r="DG104" s="86">
        <f t="shared" si="499"/>
        <v>20.090000000000146</v>
      </c>
      <c r="DH104" s="3">
        <f t="shared" si="468"/>
        <v>-53278.799999999996</v>
      </c>
      <c r="DI104" s="3">
        <f t="shared" si="469"/>
        <v>14182.448275862074</v>
      </c>
      <c r="DJ104" s="3">
        <f t="shared" si="470"/>
        <v>-88798</v>
      </c>
      <c r="DK104" s="3">
        <f t="shared" si="471"/>
        <v>15233</v>
      </c>
      <c r="DL104" s="3">
        <f t="shared" si="472"/>
        <v>-39096.351724137923</v>
      </c>
      <c r="DM104" s="3">
        <f t="shared" si="473"/>
        <v>-73565</v>
      </c>
      <c r="DN104" s="64" t="str">
        <f t="shared" si="474"/>
        <v>UNKNOWN</v>
      </c>
      <c r="DO104" s="64" t="str">
        <f t="shared" si="475"/>
        <v>UNKNOWN</v>
      </c>
      <c r="DP104" s="3">
        <f t="shared" si="476"/>
        <v>290560.07048275875</v>
      </c>
      <c r="DQ104" s="3">
        <f t="shared" si="477"/>
        <v>311135.86000000004</v>
      </c>
      <c r="DR104" s="3" t="e">
        <f t="shared" ca="1" si="478"/>
        <v>#NUM!</v>
      </c>
      <c r="DS104" s="3">
        <f t="shared" si="479"/>
        <v>14345.02</v>
      </c>
      <c r="DT104" s="3">
        <f t="shared" si="500"/>
        <v>-88798</v>
      </c>
      <c r="DU104" s="3">
        <f t="shared" si="501"/>
        <v>15233</v>
      </c>
      <c r="DV104" s="3">
        <f t="shared" si="502"/>
        <v>-5552</v>
      </c>
      <c r="DW104" s="3">
        <f t="shared" si="503"/>
        <v>62</v>
      </c>
      <c r="DX104" s="3" t="e">
        <f t="shared" ca="1" si="512"/>
        <v>#NUM!</v>
      </c>
      <c r="DY104" s="3" t="e">
        <f t="shared" ca="1" si="480"/>
        <v>#NUM!</v>
      </c>
      <c r="DZ104" s="3">
        <f t="shared" ca="1" si="504"/>
        <v>1.3858862382152934E-3</v>
      </c>
      <c r="EA104" s="3">
        <f t="shared" ca="1" si="505"/>
        <v>-5.303047317889999E-3</v>
      </c>
      <c r="EB104" s="3">
        <f t="shared" ca="1" si="481"/>
        <v>2.1898842049462579E-3</v>
      </c>
      <c r="EC104" s="3">
        <f t="shared" ca="1" si="482"/>
        <v>-3.3712213337364588E-3</v>
      </c>
      <c r="ED104" s="63">
        <f t="shared" si="506"/>
        <v>-5490</v>
      </c>
      <c r="EE104" s="59">
        <f t="shared" si="483"/>
        <v>0.19789999999999999</v>
      </c>
      <c r="EF104" s="59">
        <f t="shared" si="484"/>
        <v>0.25</v>
      </c>
      <c r="EG104" s="59">
        <f t="shared" si="485"/>
        <v>0.37509999999999999</v>
      </c>
      <c r="EH104" s="59">
        <f t="shared" si="486"/>
        <v>9.6000000000000002E-2</v>
      </c>
      <c r="EI104" s="59">
        <f t="shared" si="487"/>
        <v>0.2369</v>
      </c>
      <c r="EJ104" s="59">
        <f t="shared" si="488"/>
        <v>0.15310000000000001</v>
      </c>
      <c r="EK104" s="63" t="e">
        <f t="shared" ca="1" si="507"/>
        <v>#NUM!</v>
      </c>
      <c r="EL104" s="3" t="str">
        <f>RTD("tos.rtd",,EL$83,"."&amp;$B$82&amp;$AS$82&amp;"C"&amp;$A104)</f>
        <v>19.79%</v>
      </c>
      <c r="EM104" s="3" t="str">
        <f>RTD("tos.rtd",,EM$83,"."&amp;$B$82&amp;$AS$82&amp;"P"&amp;$A104)</f>
        <v>--</v>
      </c>
      <c r="EN104" s="3" t="str">
        <f>RTD("tos.rtd",,EN$83,"."&amp;$C$82&amp;$AU$82&amp;"C"&amp;$A104)</f>
        <v>37.51%</v>
      </c>
      <c r="EO104" s="3" t="str">
        <f>RTD("tos.rtd",,EO$83,"."&amp;$C$82&amp;$AU$82&amp;"P"&amp;$A104)</f>
        <v>9.60%</v>
      </c>
      <c r="EP104" s="3" t="str">
        <f>RTD("tos.rtd",,EP$83,"."&amp;$D$82&amp;$AW$82&amp;"C"&amp;$A104)</f>
        <v>23.69%</v>
      </c>
      <c r="EQ104" s="3" t="str">
        <f>RTD("tos.rtd",,EQ$83,"."&amp;$D$82&amp;$AW$82&amp;"P"&amp;$A104)</f>
        <v>15.31%</v>
      </c>
      <c r="ES104" s="63" t="str">
        <f t="shared" si="489"/>
        <v>5680,-5490.00</v>
      </c>
      <c r="ET104" s="63" t="str">
        <f t="shared" ca="1" si="490"/>
        <v>5680,00.00</v>
      </c>
      <c r="EU104" s="67">
        <v>565.42999999999995</v>
      </c>
      <c r="EV104" s="67" t="s">
        <v>851</v>
      </c>
      <c r="EW104" s="67">
        <v>488.98</v>
      </c>
      <c r="EX104" s="67" t="s">
        <v>852</v>
      </c>
      <c r="EY104" s="67">
        <v>5663.94</v>
      </c>
      <c r="EZ104" s="67" t="s">
        <v>853</v>
      </c>
      <c r="FA104" s="67">
        <v>20063.564999999999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508"/>
        <v>5670</v>
      </c>
      <c r="B105" s="3">
        <f t="shared" si="451"/>
        <v>1762</v>
      </c>
      <c r="C105" s="3">
        <f t="shared" si="452"/>
        <v>2677</v>
      </c>
      <c r="D105" s="3">
        <f t="shared" si="453"/>
        <v>15325</v>
      </c>
      <c r="E105" s="3">
        <f t="shared" si="519"/>
        <v>19764</v>
      </c>
      <c r="F105" s="4">
        <f t="shared" si="522"/>
        <v>5760.2506046915942</v>
      </c>
      <c r="G105" s="4">
        <f t="shared" si="520"/>
        <v>572.45871400781994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-505</v>
      </c>
      <c r="AN105" s="20">
        <v>252</v>
      </c>
      <c r="AO105" s="20">
        <v>5670</v>
      </c>
      <c r="AP105" s="20">
        <v>75748</v>
      </c>
      <c r="AQ105" s="20">
        <v>-31774</v>
      </c>
      <c r="AR105" s="20"/>
      <c r="AS105" s="54">
        <f>IF(RTD("tos.rtd",,AS$83,"."&amp;$B$82&amp;$AS$82&amp;"C"&amp;$A105)="N/A",0,RTD("tos.rtd",,AS$83,"."&amp;$B$82&amp;$AS$82&amp;"C"&amp;$A105))</f>
        <v>897</v>
      </c>
      <c r="AT105" s="3">
        <f>-IF(RTD("tos.rtd",,AT$83,"."&amp;$B$82&amp;$AS$82&amp;"P"&amp;$A105)="N/A",0,RTD("tos.rtd",,AT$83,"."&amp;$B$82&amp;$AS$82&amp;"P"&amp;$A105))</f>
        <v>-865</v>
      </c>
      <c r="AU105" s="54">
        <f>IF(RTD("tos.rtd",,AU$83,"."&amp;$C$82&amp;$AU$82&amp;"C"&amp;$A105)="N/A",0,RTD("tos.rtd",,AU$83,"."&amp;$C$82&amp;$AU$82&amp;"C"&amp;$A105))</f>
        <v>752</v>
      </c>
      <c r="AV105" s="3">
        <f>-IF(RTD("tos.rtd",,AV$83,"."&amp;$C$82&amp;$AU$82&amp;"P"&amp;$A105)="N/A",0,RTD("tos.rtd",,AV$83,"."&amp;$C$82&amp;$AU$82&amp;"P"&amp;$A105))</f>
        <v>-1925</v>
      </c>
      <c r="AW105" s="54">
        <f>IF(RTD("tos.rtd",,AW$83,"."&amp;$D$82&amp;$AW$82&amp;"C"&amp;$A105)="N/A",0,RTD("tos.rtd",,AW$83,"."&amp;$D$82&amp;$AW$82&amp;"C"&amp;$A105))</f>
        <v>7750</v>
      </c>
      <c r="AX105" s="3">
        <f>-IF(RTD("tos.rtd",,AX$83,"."&amp;$D$82&amp;$AW$82&amp;"P"&amp;$A105)="N/A",0,RTD("tos.rtd",,AX$83,"."&amp;$D$82&amp;$AW$82&amp;"P"&amp;$A105))</f>
        <v>-7575</v>
      </c>
      <c r="AY105" s="79">
        <f t="shared" si="521"/>
        <v>-966</v>
      </c>
      <c r="AZ105" s="8">
        <f t="shared" si="455"/>
        <v>5670</v>
      </c>
      <c r="BA105" s="54">
        <f>IF(RTD("tos.rtd",,BA$83,"."&amp;$B$82&amp;$AS$82&amp;"C"&amp;$A105)="N/A",0,RTD("tos.rtd",,BA$83,"."&amp;$B$82&amp;$AS$82&amp;"C"&amp;$A105))</f>
        <v>0</v>
      </c>
      <c r="BB105" s="3">
        <f>-IF(RTD("tos.rtd",,BB$83,"."&amp;$B$82&amp;$AS$82&amp;"P"&amp;$A105)="N/A",0,RTD("tos.rtd",,BB$83,"."&amp;$B$82&amp;$AS$82&amp;"P"&amp;$A105))</f>
        <v>0</v>
      </c>
      <c r="BC105" s="54">
        <f>IF(RTD("tos.rtd",,BC$83,"."&amp;$C$82&amp;$AU$82&amp;"C"&amp;$A105)="N/A",0,RTD("tos.rtd",,BC$83,"."&amp;$C$82&amp;$AU$82&amp;"C"&amp;$A105))</f>
        <v>0</v>
      </c>
      <c r="BD105" s="3">
        <f>-IF(RTD("tos.rtd",,BD$83,"."&amp;$C$82&amp;$AU$82&amp;"P"&amp;$A105)="N/A",0,RTD("tos.rtd",,BD$83,"."&amp;$C$82&amp;$AU$82&amp;"P"&amp;$A105))</f>
        <v>0</v>
      </c>
      <c r="BE105" s="54">
        <f>IF(RTD("tos.rtd",,BE$83,"."&amp;$D$82&amp;$AW$82&amp;"C"&amp;$A105)="N/A",0,RTD("tos.rtd",,BE$83,"."&amp;$D$82&amp;$AW$82&amp;"C"&amp;$A105))</f>
        <v>0</v>
      </c>
      <c r="BF105" s="3">
        <f>-IF(RTD("tos.rtd",,BF$83,"."&amp;$D$82&amp;$AW$82&amp;"P"&amp;$A105)="N/A",0,RTD("tos.rtd",,BF$83,"."&amp;$D$82&amp;$AW$82&amp;"P"&amp;$A105))</f>
        <v>0</v>
      </c>
      <c r="BG105" s="3">
        <f ca="1">+Hoja2!Y106</f>
        <v>0</v>
      </c>
      <c r="BH105" s="55">
        <f t="shared" ca="1" si="493"/>
        <v>0</v>
      </c>
      <c r="BI105" s="32" t="str">
        <f t="shared" ca="1" si="513"/>
        <v/>
      </c>
      <c r="BJ105" s="3" t="e">
        <f ca="1">IF($BP$1=1,DX105,IF(RTD("tos.rtd",,BJ$83,"."&amp;$B$82&amp;$AS$82&amp;"C"&amp;$A105)="N/A",0,RTD("tos.rtd",,BJ$83,"."&amp;$B$82&amp;$AS$82&amp;"C"&amp;$A105)))</f>
        <v>#NUM!</v>
      </c>
      <c r="BK105" s="3" t="e">
        <f ca="1">IF($BP$1=1,DY105,-IF(RTD("tos.rtd",,BK$83,"."&amp;$B$82&amp;$AS$82&amp;"P"&amp;$A105)="N/A",0,RTD("tos.rtd",,BK$83,"."&amp;$B$82&amp;$AS$82&amp;"P"&amp;$A105)))</f>
        <v>#NUM!</v>
      </c>
      <c r="BL105" s="3">
        <f ca="1">IF($BP$1=1,DZ105,IF(RTD("tos.rtd",,BL$83,"."&amp;$C$82&amp;$AU$82&amp;"C"&amp;$A105)="N/A",0,RTD("tos.rtd",,BL$83,"."&amp;$C$82&amp;$AU$82&amp;"C"&amp;$A105)))</f>
        <v>1.3557217632638313E-3</v>
      </c>
      <c r="BM105" s="3">
        <f ca="1">IF($BP$1=1,EA105,-IF(RTD("tos.rtd",,BM$83,"."&amp;$C$82&amp;$AU$82&amp;"P"&amp;$A105)="N/A",0,RTD("tos.rtd",,BM$83,"."&amp;$C$82&amp;$AU$82&amp;"P"&amp;$A105)))</f>
        <v>-4.864560159373886E-3</v>
      </c>
      <c r="BN105" s="3">
        <f ca="1">IF($BP$1=1,EB105,IF(RTD("tos.rtd",,BN$83,"."&amp;$D$82&amp;$AW$82&amp;"C"&amp;$A105)="N/A",0,RTD("tos.rtd",,BN$83,"."&amp;$D$82&amp;$AW$82&amp;"C"&amp;$A105)))</f>
        <v>2.1730391947659806E-3</v>
      </c>
      <c r="BO105" s="3">
        <f ca="1">IF($BP$1=1,EC105,-IF(RTD("tos.rtd",,BO$83,"."&amp;$D$82&amp;$AW$82&amp;"P"&amp;$A105)="N/A",0,RTD("tos.rtd",,BO$83,"."&amp;$D$82&amp;$AW$82&amp;"P"&amp;$A105)))</f>
        <v>-3.3464369890100288E-3</v>
      </c>
      <c r="BQ105" s="3" t="e">
        <f t="shared" ca="1" si="456"/>
        <v>#NUM!</v>
      </c>
      <c r="BR105" s="3" t="e">
        <f t="shared" ca="1" si="494"/>
        <v>#NUM!</v>
      </c>
      <c r="BS105" s="3">
        <f t="shared" ca="1" si="457"/>
        <v>-2054355.8035616714</v>
      </c>
      <c r="BT105" s="3" t="str">
        <f t="shared" ca="1" si="494"/>
        <v/>
      </c>
      <c r="BU105" s="3">
        <f t="shared" ca="1" si="458"/>
        <v>-2094589.9834722257</v>
      </c>
      <c r="BV105" s="3" t="str">
        <f t="shared" ca="1" si="494"/>
        <v/>
      </c>
      <c r="BX105" s="3" t="e">
        <f t="shared" ca="1" si="459"/>
        <v>#NUM!</v>
      </c>
      <c r="BY105" s="3" t="e">
        <f t="shared" ca="1" si="510"/>
        <v>#NUM!</v>
      </c>
      <c r="BZ105" s="3">
        <f t="shared" ca="1" si="460"/>
        <v>0</v>
      </c>
      <c r="CA105" s="3" t="str">
        <f t="shared" ca="1" si="510"/>
        <v/>
      </c>
      <c r="CB105" s="3">
        <f t="shared" ca="1" si="461"/>
        <v>0</v>
      </c>
      <c r="CC105" s="3" t="str">
        <f t="shared" ca="1" si="510"/>
        <v/>
      </c>
      <c r="CD105" s="3">
        <f>IF(RTD("tos.rtd",,CD$83,"."&amp;$B$82&amp;$AS$82&amp;"C"&amp;$A105)="N/A",0,RTD("tos.rtd",,CD$83,"."&amp;$B$82&amp;$AS$82&amp;"C"&amp;$A105))</f>
        <v>0.01</v>
      </c>
      <c r="CE105" s="3">
        <f>-IF(RTD("tos.rtd",,CE$83,"."&amp;$B$82&amp;$AS$82&amp;"P"&amp;$A105)="N/A",0,RTD("tos.rtd",,CE$83,"."&amp;$B$82&amp;$AS$82&amp;"P"&amp;$A105))</f>
        <v>0.86</v>
      </c>
      <c r="CF105" s="3">
        <f>IF(RTD("tos.rtd",,CF$83,"."&amp;$C$82&amp;$AU$82&amp;"C"&amp;$A105)="N/A",0,RTD("tos.rtd",,CF$83,"."&amp;$C$82&amp;$AU$82&amp;"C"&amp;$A105))</f>
        <v>0.5</v>
      </c>
      <c r="CG105" s="3">
        <f>-IF(RTD("tos.rtd",,CG$83,"."&amp;$C$82&amp;$AU$82&amp;"P"&amp;$A105)="N/A",0,RTD("tos.rtd",,CG$83,"."&amp;$C$82&amp;$AU$82&amp;"P"&amp;$A105))</f>
        <v>0.54</v>
      </c>
      <c r="CH105" s="3">
        <f>IF(RTD("tos.rtd",,CH$83,"."&amp;$D$82&amp;$AW$82&amp;"C"&amp;$A105)="N/A",0,RTD("tos.rtd",,CH$83,"."&amp;$D$82&amp;$AW$82&amp;"C"&amp;$A105))</f>
        <v>0.53</v>
      </c>
      <c r="CI105" s="3">
        <f>-IF(RTD("tos.rtd",,CI$83,"."&amp;$D$82&amp;$AW$82&amp;"P"&amp;$A105)="N/A",0,RTD("tos.rtd",,CI$83,"."&amp;$D$82&amp;$AW$82&amp;"P"&amp;$A105))</f>
        <v>0.47</v>
      </c>
      <c r="CK105" s="3">
        <f t="shared" si="495"/>
        <v>-73493</v>
      </c>
      <c r="CL105" s="3"/>
      <c r="CM105" s="3">
        <f t="shared" si="496"/>
        <v>-66350</v>
      </c>
      <c r="CN105" s="3"/>
      <c r="CO105" s="3">
        <f t="shared" si="497"/>
        <v>54725</v>
      </c>
      <c r="CP105" s="3">
        <f t="shared" si="462"/>
        <v>-85118</v>
      </c>
      <c r="CQ105" s="3">
        <f t="shared" si="463"/>
        <v>0</v>
      </c>
      <c r="CR105" s="3"/>
      <c r="CS105" s="3">
        <f t="shared" si="464"/>
        <v>0</v>
      </c>
      <c r="CT105" s="3"/>
      <c r="CU105" s="3">
        <f t="shared" si="465"/>
        <v>0</v>
      </c>
      <c r="CV105" s="3"/>
      <c r="CW105" s="3" t="e">
        <f t="shared" ca="1" si="466"/>
        <v>#NUM!</v>
      </c>
      <c r="CY105" s="3" t="e">
        <f t="shared" ca="1" si="467"/>
        <v>#NUM!</v>
      </c>
      <c r="CZ105" s="70" t="e">
        <f t="shared" ca="1" si="511"/>
        <v>#NUM!</v>
      </c>
      <c r="DA105" s="3">
        <f>IF(RTD("tos.rtd",,DA$83,"."&amp;$B$82&amp;$AS$82&amp;"C"&amp;$A105)="N/A",0,RTD("tos.rtd",,DA$83,"."&amp;$B$82&amp;$AS$82&amp;"C"&amp;$A105))</f>
        <v>0.05</v>
      </c>
      <c r="DB105" s="3">
        <f>IF(RTD("tos.rtd",,DB$83,"."&amp;$B$82&amp;$AS$82&amp;"P"&amp;$A105)="N/A",0,RTD("tos.rtd",,DB$83,"."&amp;$B$82&amp;$AS$82&amp;"P"&amp;$A105))</f>
        <v>10.8</v>
      </c>
      <c r="DC105" s="3">
        <f>IF(RTD("tos.rtd",,DC$83,"."&amp;$B$82&amp;$AS$82&amp;"C"&amp;$A105)="N/A",0,RTD("tos.rtd",,DC$83,"."&amp;$B$82&amp;$AS$82&amp;"C"&amp;$A105))</f>
        <v>0.05</v>
      </c>
      <c r="DD105" s="3">
        <f>IF(RTD("tos.rtd",,DD$83,"."&amp;$B$82&amp;$AS$82&amp;"P"&amp;$A105)="N/A",0,RTD("tos.rtd",,DD$83,"."&amp;$B$82&amp;$AS$82&amp;"P"&amp;$A105))</f>
        <v>12</v>
      </c>
      <c r="DE105" s="3">
        <f>IF(RTD("tos.rtd",,DE$83,"."&amp;$B$82&amp;$AS$82&amp;"C"&amp;$A105)="N/A",0,RTD("tos.rtd",,DE$83,"."&amp;$B$82&amp;$AS$82&amp;"C"&amp;$A105))</f>
        <v>0</v>
      </c>
      <c r="DF105" s="3">
        <f>IF(RTD("tos.rtd",,DF$83,"."&amp;$B$82&amp;$AS$82&amp;"P"&amp;$A105)="N/A",0,RTD("tos.rtd",,DF$83,"."&amp;$B$82&amp;$AS$82&amp;"P"&amp;$A105))</f>
        <v>9.4</v>
      </c>
      <c r="DG105" s="86">
        <f t="shared" si="499"/>
        <v>10.090000000000146</v>
      </c>
      <c r="DH105" s="3">
        <f t="shared" si="468"/>
        <v>-75748</v>
      </c>
      <c r="DI105" s="3">
        <f t="shared" si="469"/>
        <v>17109.076923076929</v>
      </c>
      <c r="DJ105" s="3">
        <f t="shared" si="470"/>
        <v>-75748</v>
      </c>
      <c r="DK105" s="3">
        <f t="shared" si="471"/>
        <v>0</v>
      </c>
      <c r="DL105" s="3">
        <f t="shared" si="472"/>
        <v>-58638.923076923071</v>
      </c>
      <c r="DM105" s="3">
        <f t="shared" si="473"/>
        <v>-75748</v>
      </c>
      <c r="DN105" s="64" t="str">
        <f t="shared" si="474"/>
        <v>UNKNOWN</v>
      </c>
      <c r="DO105" s="64" t="str">
        <f t="shared" si="475"/>
        <v>UNKNOWN</v>
      </c>
      <c r="DP105" s="3">
        <f t="shared" si="476"/>
        <v>180990.63076923086</v>
      </c>
      <c r="DQ105" s="3">
        <f t="shared" si="477"/>
        <v>-3787.4</v>
      </c>
      <c r="DR105" s="3" t="e">
        <f t="shared" ca="1" si="478"/>
        <v>#NUM!</v>
      </c>
      <c r="DS105" s="3">
        <f t="shared" si="479"/>
        <v>-757.48</v>
      </c>
      <c r="DT105" s="3">
        <f t="shared" si="500"/>
        <v>-75748</v>
      </c>
      <c r="DU105" s="3">
        <f t="shared" si="501"/>
        <v>31774</v>
      </c>
      <c r="DV105" s="3">
        <f t="shared" si="502"/>
        <v>-505</v>
      </c>
      <c r="DW105" s="3">
        <f t="shared" si="503"/>
        <v>252</v>
      </c>
      <c r="DX105" s="3" t="e">
        <f t="shared" ca="1" si="512"/>
        <v>#NUM!</v>
      </c>
      <c r="DY105" s="3" t="e">
        <f t="shared" ca="1" si="480"/>
        <v>#NUM!</v>
      </c>
      <c r="DZ105" s="3">
        <f t="shared" ca="1" si="504"/>
        <v>1.3557217632638313E-3</v>
      </c>
      <c r="EA105" s="3">
        <f t="shared" ca="1" si="505"/>
        <v>-4.864560159373886E-3</v>
      </c>
      <c r="EB105" s="3">
        <f t="shared" ca="1" si="481"/>
        <v>2.1730391947659806E-3</v>
      </c>
      <c r="EC105" s="3">
        <f t="shared" ca="1" si="482"/>
        <v>-3.3464369890100288E-3</v>
      </c>
      <c r="ED105" s="63">
        <f t="shared" si="506"/>
        <v>-253</v>
      </c>
      <c r="EE105" s="59">
        <f t="shared" si="483"/>
        <v>0.1085</v>
      </c>
      <c r="EF105" s="59">
        <f t="shared" si="484"/>
        <v>0.2137</v>
      </c>
      <c r="EG105" s="59">
        <f t="shared" si="485"/>
        <v>0.3836</v>
      </c>
      <c r="EH105" s="59">
        <f t="shared" si="486"/>
        <v>0.1067</v>
      </c>
      <c r="EI105" s="59">
        <f t="shared" si="487"/>
        <v>0.23930000000000001</v>
      </c>
      <c r="EJ105" s="59">
        <f t="shared" si="488"/>
        <v>0.15529999999999999</v>
      </c>
      <c r="EK105" s="63" t="e">
        <f t="shared" ca="1" si="507"/>
        <v>#NUM!</v>
      </c>
      <c r="EL105" s="3" t="str">
        <f>RTD("tos.rtd",,EL$83,"."&amp;$B$82&amp;$AS$82&amp;"C"&amp;$A105)</f>
        <v>10.85%</v>
      </c>
      <c r="EM105" s="3" t="str">
        <f>RTD("tos.rtd",,EM$83,"."&amp;$B$82&amp;$AS$82&amp;"P"&amp;$A105)</f>
        <v>21.37%</v>
      </c>
      <c r="EN105" s="3" t="str">
        <f>RTD("tos.rtd",,EN$83,"."&amp;$C$82&amp;$AU$82&amp;"C"&amp;$A105)</f>
        <v>38.36%</v>
      </c>
      <c r="EO105" s="3" t="str">
        <f>RTD("tos.rtd",,EO$83,"."&amp;$C$82&amp;$AU$82&amp;"P"&amp;$A105)</f>
        <v>10.67%</v>
      </c>
      <c r="EP105" s="3" t="str">
        <f>RTD("tos.rtd",,EP$83,"."&amp;$D$82&amp;$AW$82&amp;"C"&amp;$A105)</f>
        <v>23.93%</v>
      </c>
      <c r="EQ105" s="3" t="str">
        <f>RTD("tos.rtd",,EQ$83,"."&amp;$D$82&amp;$AW$82&amp;"P"&amp;$A105)</f>
        <v>15.53%</v>
      </c>
      <c r="ES105" s="63" t="str">
        <f t="shared" si="489"/>
        <v>5670,-253.00</v>
      </c>
      <c r="ET105" s="63" t="str">
        <f t="shared" ca="1" si="490"/>
        <v>5670,00.00</v>
      </c>
      <c r="EU105" s="67">
        <v>565.46</v>
      </c>
      <c r="EV105" s="67" t="s">
        <v>859</v>
      </c>
      <c r="EW105" s="67">
        <v>489.05</v>
      </c>
      <c r="EX105" s="67" t="s">
        <v>860</v>
      </c>
      <c r="EY105" s="67">
        <v>5663.94</v>
      </c>
      <c r="EZ105" s="67" t="s">
        <v>861</v>
      </c>
      <c r="FA105" s="67">
        <v>20063.564999999999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508"/>
        <v>5660</v>
      </c>
      <c r="B106" s="3">
        <f t="shared" si="451"/>
        <v>2831</v>
      </c>
      <c r="C106" s="3">
        <f t="shared" si="452"/>
        <v>3036</v>
      </c>
      <c r="D106" s="3">
        <f t="shared" si="453"/>
        <v>9465</v>
      </c>
      <c r="E106" s="3">
        <f t="shared" si="519"/>
        <v>15332</v>
      </c>
      <c r="F106" s="4">
        <f t="shared" si="522"/>
        <v>5750.0914325492813</v>
      </c>
      <c r="G106" s="4">
        <f t="shared" si="520"/>
        <v>571.44908664625416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-2241</v>
      </c>
      <c r="AN106" s="20">
        <v>-3985</v>
      </c>
      <c r="AO106" s="20">
        <v>5660</v>
      </c>
      <c r="AP106" s="20">
        <v>58277</v>
      </c>
      <c r="AQ106" s="20">
        <v>-77180</v>
      </c>
      <c r="AR106" s="20"/>
      <c r="AS106" s="54">
        <f>IF(RTD("tos.rtd",,AS$83,"."&amp;$B$82&amp;$AS$82&amp;"C"&amp;$A106)="N/A",0,RTD("tos.rtd",,AS$83,"."&amp;$B$82&amp;$AS$82&amp;"C"&amp;$A106))</f>
        <v>1391</v>
      </c>
      <c r="AT106" s="3">
        <f>-IF(RTD("tos.rtd",,AT$83,"."&amp;$B$82&amp;$AS$82&amp;"P"&amp;$A106)="N/A",0,RTD("tos.rtd",,AT$83,"."&amp;$B$82&amp;$AS$82&amp;"P"&amp;$A106))</f>
        <v>-1440</v>
      </c>
      <c r="AU106" s="54">
        <f>IF(RTD("tos.rtd",,AU$83,"."&amp;$C$82&amp;$AU$82&amp;"C"&amp;$A106)="N/A",0,RTD("tos.rtd",,AU$83,"."&amp;$C$82&amp;$AU$82&amp;"C"&amp;$A106))</f>
        <v>1555</v>
      </c>
      <c r="AV106" s="3">
        <f>-IF(RTD("tos.rtd",,AV$83,"."&amp;$C$82&amp;$AU$82&amp;"P"&amp;$A106)="N/A",0,RTD("tos.rtd",,AV$83,"."&amp;$C$82&amp;$AU$82&amp;"P"&amp;$A106))</f>
        <v>-1481</v>
      </c>
      <c r="AW106" s="54">
        <f>IF(RTD("tos.rtd",,AW$83,"."&amp;$D$82&amp;$AW$82&amp;"C"&amp;$A106)="N/A",0,RTD("tos.rtd",,AW$83,"."&amp;$D$82&amp;$AW$82&amp;"C"&amp;$A106))</f>
        <v>4748</v>
      </c>
      <c r="AX106" s="3">
        <f>-IF(RTD("tos.rtd",,AX$83,"."&amp;$D$82&amp;$AW$82&amp;"P"&amp;$A106)="N/A",0,RTD("tos.rtd",,AX$83,"."&amp;$D$82&amp;$AW$82&amp;"P"&amp;$A106))</f>
        <v>-4717</v>
      </c>
      <c r="AY106" s="79">
        <f t="shared" si="521"/>
        <v>56</v>
      </c>
      <c r="AZ106" s="8">
        <f t="shared" si="455"/>
        <v>5660</v>
      </c>
      <c r="BA106" s="54">
        <f>IF(RTD("tos.rtd",,BA$83,"."&amp;$B$82&amp;$AS$82&amp;"C"&amp;$A106)="N/A",0,RTD("tos.rtd",,BA$83,"."&amp;$B$82&amp;$AS$82&amp;"C"&amp;$A106))</f>
        <v>0</v>
      </c>
      <c r="BB106" s="3">
        <f>-IF(RTD("tos.rtd",,BB$83,"."&amp;$B$82&amp;$AS$82&amp;"P"&amp;$A106)="N/A",0,RTD("tos.rtd",,BB$83,"."&amp;$B$82&amp;$AS$82&amp;"P"&amp;$A106))</f>
        <v>0</v>
      </c>
      <c r="BC106" s="54">
        <f>IF(RTD("tos.rtd",,BC$83,"."&amp;$C$82&amp;$AU$82&amp;"C"&amp;$A106)="N/A",0,RTD("tos.rtd",,BC$83,"."&amp;$C$82&amp;$AU$82&amp;"C"&amp;$A106))</f>
        <v>0</v>
      </c>
      <c r="BD106" s="3">
        <f>-IF(RTD("tos.rtd",,BD$83,"."&amp;$C$82&amp;$AU$82&amp;"P"&amp;$A106)="N/A",0,RTD("tos.rtd",,BD$83,"."&amp;$C$82&amp;$AU$82&amp;"P"&amp;$A106))</f>
        <v>0</v>
      </c>
      <c r="BE106" s="54">
        <f>IF(RTD("tos.rtd",,BE$83,"."&amp;$D$82&amp;$AW$82&amp;"C"&amp;$A106)="N/A",0,RTD("tos.rtd",,BE$83,"."&amp;$D$82&amp;$AW$82&amp;"C"&amp;$A106))</f>
        <v>0</v>
      </c>
      <c r="BF106" s="3">
        <f>-IF(RTD("tos.rtd",,BF$83,"."&amp;$D$82&amp;$AW$82&amp;"P"&amp;$A106)="N/A",0,RTD("tos.rtd",,BF$83,"."&amp;$D$82&amp;$AW$82&amp;"P"&amp;$A106))</f>
        <v>0</v>
      </c>
      <c r="BG106" s="3">
        <f ca="1">+Hoja2!Y107</f>
        <v>0</v>
      </c>
      <c r="BH106" s="55">
        <f t="shared" ca="1" si="493"/>
        <v>0</v>
      </c>
      <c r="BI106" s="32" t="str">
        <f t="shared" ca="1" si="513"/>
        <v/>
      </c>
      <c r="BJ106" s="3" t="e">
        <f ca="1">IF($BP$1=1,DX106,IF(RTD("tos.rtd",,BJ$83,"."&amp;$B$82&amp;$AS$82&amp;"C"&amp;$A106)="N/A",0,RTD("tos.rtd",,BJ$83,"."&amp;$B$82&amp;$AS$82&amp;"C"&amp;$A106)))</f>
        <v>#NUM!</v>
      </c>
      <c r="BK106" s="3" t="e">
        <f ca="1">IF($BP$1=1,DY106,-IF(RTD("tos.rtd",,BK$83,"."&amp;$B$82&amp;$AS$82&amp;"P"&amp;$A106)="N/A",0,RTD("tos.rtd",,BK$83,"."&amp;$B$82&amp;$AS$82&amp;"P"&amp;$A106)))</f>
        <v>#NUM!</v>
      </c>
      <c r="BL106" s="3">
        <f ca="1">IF($BP$1=1,DZ106,IF(RTD("tos.rtd",,BL$83,"."&amp;$C$82&amp;$AU$82&amp;"C"&amp;$A106)="N/A",0,RTD("tos.rtd",,BL$83,"."&amp;$C$82&amp;$AU$82&amp;"C"&amp;$A106)))</f>
        <v>1.3242442742429266E-3</v>
      </c>
      <c r="BM106" s="3">
        <f ca="1">IF($BP$1=1,EA106,-IF(RTD("tos.rtd",,BM$83,"."&amp;$C$82&amp;$AU$82&amp;"P"&amp;$A106)="N/A",0,RTD("tos.rtd",,BM$83,"."&amp;$C$82&amp;$AU$82&amp;"P"&amp;$A106)))</f>
        <v>-4.4840375859941826E-3</v>
      </c>
      <c r="BN106" s="3">
        <f ca="1">IF($BP$1=1,EB106,IF(RTD("tos.rtd",,BN$83,"."&amp;$D$82&amp;$AW$82&amp;"C"&amp;$A106)="N/A",0,RTD("tos.rtd",,BN$83,"."&amp;$D$82&amp;$AW$82&amp;"C"&amp;$A106)))</f>
        <v>2.1509173241743189E-3</v>
      </c>
      <c r="BO106" s="3">
        <f ca="1">IF($BP$1=1,EC106,-IF(RTD("tos.rtd",,BO$83,"."&amp;$D$82&amp;$AW$82&amp;"P"&amp;$A106)="N/A",0,RTD("tos.rtd",,BO$83,"."&amp;$D$82&amp;$AW$82&amp;"P"&amp;$A106)))</f>
        <v>-3.298504730966443E-3</v>
      </c>
      <c r="BQ106" s="3" t="e">
        <f t="shared" ca="1" si="456"/>
        <v>#NUM!</v>
      </c>
      <c r="BR106" s="3" t="e">
        <f t="shared" ca="1" si="494"/>
        <v>#NUM!</v>
      </c>
      <c r="BS106" s="3">
        <f t="shared" ca="1" si="457"/>
        <v>-1127934.4054076099</v>
      </c>
      <c r="BT106" s="3" t="str">
        <f t="shared" ca="1" si="494"/>
        <v/>
      </c>
      <c r="BU106" s="3">
        <f t="shared" ca="1" si="458"/>
        <v>-1316224.2054325617</v>
      </c>
      <c r="BV106" s="3" t="str">
        <f t="shared" ca="1" si="494"/>
        <v/>
      </c>
      <c r="BX106" s="3" t="e">
        <f t="shared" ca="1" si="459"/>
        <v>#NUM!</v>
      </c>
      <c r="BY106" s="3" t="e">
        <f t="shared" ca="1" si="510"/>
        <v>#NUM!</v>
      </c>
      <c r="BZ106" s="3">
        <f t="shared" ca="1" si="460"/>
        <v>0</v>
      </c>
      <c r="CA106" s="3" t="str">
        <f t="shared" ca="1" si="510"/>
        <v/>
      </c>
      <c r="CB106" s="3">
        <f t="shared" ca="1" si="461"/>
        <v>0</v>
      </c>
      <c r="CC106" s="3" t="str">
        <f t="shared" ca="1" si="510"/>
        <v/>
      </c>
      <c r="CD106" s="3">
        <f>IF(RTD("tos.rtd",,CD$83,"."&amp;$B$82&amp;$AS$82&amp;"C"&amp;$A106)="N/A",0,RTD("tos.rtd",,CD$83,"."&amp;$B$82&amp;$AS$82&amp;"C"&amp;$A106))</f>
        <v>0.48</v>
      </c>
      <c r="CE106" s="3">
        <f>-IF(RTD("tos.rtd",,CE$83,"."&amp;$B$82&amp;$AS$82&amp;"P"&amp;$A106)="N/A",0,RTD("tos.rtd",,CE$83,"."&amp;$B$82&amp;$AS$82&amp;"P"&amp;$A106))</f>
        <v>0.52</v>
      </c>
      <c r="CF106" s="3">
        <f>IF(RTD("tos.rtd",,CF$83,"."&amp;$C$82&amp;$AU$82&amp;"C"&amp;$A106)="N/A",0,RTD("tos.rtd",,CF$83,"."&amp;$C$82&amp;$AU$82&amp;"C"&amp;$A106))</f>
        <v>0.51</v>
      </c>
      <c r="CG106" s="3">
        <f>-IF(RTD("tos.rtd",,CG$83,"."&amp;$C$82&amp;$AU$82&amp;"P"&amp;$A106)="N/A",0,RTD("tos.rtd",,CG$83,"."&amp;$C$82&amp;$AU$82&amp;"P"&amp;$A106))</f>
        <v>0.48</v>
      </c>
      <c r="CH106" s="3">
        <f>IF(RTD("tos.rtd",,CH$83,"."&amp;$D$82&amp;$AW$82&amp;"C"&amp;$A106)="N/A",0,RTD("tos.rtd",,CH$83,"."&amp;$D$82&amp;$AW$82&amp;"C"&amp;$A106))</f>
        <v>0.54</v>
      </c>
      <c r="CI106" s="3">
        <f>-IF(RTD("tos.rtd",,CI$83,"."&amp;$D$82&amp;$AW$82&amp;"P"&amp;$A106)="N/A",0,RTD("tos.rtd",,CI$83,"."&amp;$D$82&amp;$AW$82&amp;"P"&amp;$A106))</f>
        <v>0.45</v>
      </c>
      <c r="CK106" s="3">
        <f t="shared" si="495"/>
        <v>-8112</v>
      </c>
      <c r="CL106" s="3"/>
      <c r="CM106" s="3">
        <f t="shared" si="496"/>
        <v>8217</v>
      </c>
      <c r="CN106" s="3"/>
      <c r="CO106" s="3">
        <f t="shared" si="497"/>
        <v>44127</v>
      </c>
      <c r="CP106" s="3">
        <f t="shared" si="462"/>
        <v>44232</v>
      </c>
      <c r="CQ106" s="3">
        <f t="shared" si="463"/>
        <v>0</v>
      </c>
      <c r="CR106" s="3"/>
      <c r="CS106" s="3">
        <f t="shared" si="464"/>
        <v>0</v>
      </c>
      <c r="CT106" s="3"/>
      <c r="CU106" s="3">
        <f t="shared" si="465"/>
        <v>0</v>
      </c>
      <c r="CV106" s="3"/>
      <c r="CW106" s="3" t="e">
        <f t="shared" ca="1" si="466"/>
        <v>#NUM!</v>
      </c>
      <c r="CY106" s="3" t="e">
        <f t="shared" ca="1" si="467"/>
        <v>#NUM!</v>
      </c>
      <c r="CZ106" s="70" t="e">
        <f t="shared" ca="1" si="511"/>
        <v>#NUM!</v>
      </c>
      <c r="DA106" s="3">
        <f>IF(RTD("tos.rtd",,DA$83,"."&amp;$B$82&amp;$AS$82&amp;"C"&amp;$A106)="N/A",0,RTD("tos.rtd",,DA$83,"."&amp;$B$82&amp;$AS$82&amp;"C"&amp;$A106))</f>
        <v>0.5</v>
      </c>
      <c r="DB106" s="3">
        <f>IF(RTD("tos.rtd",,DB$83,"."&amp;$B$82&amp;$AS$82&amp;"P"&amp;$A106)="N/A",0,RTD("tos.rtd",,DB$83,"."&amp;$B$82&amp;$AS$82&amp;"P"&amp;$A106))</f>
        <v>0.75</v>
      </c>
      <c r="DC106" s="3">
        <f>IF(RTD("tos.rtd",,DC$83,"."&amp;$B$82&amp;$AS$82&amp;"C"&amp;$A106)="N/A",0,RTD("tos.rtd",,DC$83,"."&amp;$B$82&amp;$AS$82&amp;"C"&amp;$A106))</f>
        <v>0.5</v>
      </c>
      <c r="DD106" s="3">
        <f>IF(RTD("tos.rtd",,DD$83,"."&amp;$B$82&amp;$AS$82&amp;"P"&amp;$A106)="N/A",0,RTD("tos.rtd",,DD$83,"."&amp;$B$82&amp;$AS$82&amp;"P"&amp;$A106))</f>
        <v>0.8</v>
      </c>
      <c r="DE106" s="3">
        <f>IF(RTD("tos.rtd",,DE$83,"."&amp;$B$82&amp;$AS$82&amp;"C"&amp;$A106)="N/A",0,RTD("tos.rtd",,DE$83,"."&amp;$B$82&amp;$AS$82&amp;"C"&amp;$A106))</f>
        <v>0.4</v>
      </c>
      <c r="DF106" s="3">
        <f>IF(RTD("tos.rtd",,DF$83,"."&amp;$B$82&amp;$AS$82&amp;"P"&amp;$A106)="N/A",0,RTD("tos.rtd",,DF$83,"."&amp;$B$82&amp;$AS$82&amp;"P"&amp;$A106))</f>
        <v>0.3</v>
      </c>
      <c r="DG106" s="86">
        <f t="shared" si="499"/>
        <v>9.0000000000145519E-2</v>
      </c>
      <c r="DH106" s="3">
        <f t="shared" si="468"/>
        <v>-58277</v>
      </c>
      <c r="DI106" s="3">
        <f t="shared" si="469"/>
        <v>69462</v>
      </c>
      <c r="DJ106" s="3">
        <f t="shared" si="470"/>
        <v>-58277</v>
      </c>
      <c r="DK106" s="3">
        <f t="shared" si="471"/>
        <v>77180</v>
      </c>
      <c r="DL106" s="3">
        <f t="shared" si="472"/>
        <v>11185</v>
      </c>
      <c r="DM106" s="3">
        <f t="shared" si="473"/>
        <v>18903</v>
      </c>
      <c r="DN106" s="64" t="str">
        <f t="shared" si="474"/>
        <v>UNKNOWN</v>
      </c>
      <c r="DO106" s="64" t="str">
        <f t="shared" si="475"/>
        <v>UNKNOWN</v>
      </c>
      <c r="DP106" s="3">
        <f t="shared" si="476"/>
        <v>22958</v>
      </c>
      <c r="DQ106" s="3">
        <f t="shared" si="477"/>
        <v>28746.5</v>
      </c>
      <c r="DR106" s="3" t="e">
        <f t="shared" ca="1" si="478"/>
        <v>#NUM!</v>
      </c>
      <c r="DS106" s="3">
        <f t="shared" si="479"/>
        <v>12160.64</v>
      </c>
      <c r="DT106" s="3">
        <f>BA106-VLOOKUP(AZ106,$AO$85:$AQ$130,2,FALSE)</f>
        <v>-58277</v>
      </c>
      <c r="DU106" s="3">
        <f t="shared" si="501"/>
        <v>77180</v>
      </c>
      <c r="DV106" s="3">
        <f t="shared" si="502"/>
        <v>-2241</v>
      </c>
      <c r="DW106" s="3">
        <f t="shared" si="503"/>
        <v>-3985</v>
      </c>
      <c r="DX106" s="3" t="e">
        <f t="shared" ca="1" si="512"/>
        <v>#NUM!</v>
      </c>
      <c r="DY106" s="3" t="e">
        <f t="shared" ca="1" si="480"/>
        <v>#NUM!</v>
      </c>
      <c r="DZ106" s="3">
        <f t="shared" ca="1" si="504"/>
        <v>1.3242442742429266E-3</v>
      </c>
      <c r="EA106" s="3">
        <f t="shared" ca="1" si="505"/>
        <v>-4.4840375859941826E-3</v>
      </c>
      <c r="EB106" s="3">
        <f t="shared" ca="1" si="481"/>
        <v>2.1509173241743189E-3</v>
      </c>
      <c r="EC106" s="3">
        <f t="shared" ca="1" si="482"/>
        <v>-3.298504730966443E-3</v>
      </c>
      <c r="ED106" s="63">
        <f t="shared" si="506"/>
        <v>-6226</v>
      </c>
      <c r="EE106" s="59">
        <f t="shared" si="483"/>
        <v>2.8500000000000001E-2</v>
      </c>
      <c r="EF106" s="59">
        <f t="shared" si="484"/>
        <v>0.03</v>
      </c>
      <c r="EG106" s="59">
        <f t="shared" si="485"/>
        <v>0.39240000000000003</v>
      </c>
      <c r="EH106" s="59">
        <f t="shared" si="486"/>
        <v>0.1158</v>
      </c>
      <c r="EI106" s="59">
        <f t="shared" si="487"/>
        <v>0.24160000000000001</v>
      </c>
      <c r="EJ106" s="59">
        <f t="shared" si="488"/>
        <v>0.1575</v>
      </c>
      <c r="EK106" s="63" t="e">
        <f t="shared" ca="1" si="507"/>
        <v>#NUM!</v>
      </c>
      <c r="EL106" s="3" t="str">
        <f>RTD("tos.rtd",,EL$83,"."&amp;$B$82&amp;$AS$82&amp;"C"&amp;$A106)</f>
        <v>2.85%</v>
      </c>
      <c r="EM106" s="3" t="str">
        <f>RTD("tos.rtd",,EM$83,"."&amp;$B$82&amp;$AS$82&amp;"P"&amp;$A106)</f>
        <v>3.00%</v>
      </c>
      <c r="EN106" s="3" t="str">
        <f>RTD("tos.rtd",,EN$83,"."&amp;$C$82&amp;$AU$82&amp;"C"&amp;$A106)</f>
        <v>39.24%</v>
      </c>
      <c r="EO106" s="3" t="str">
        <f>RTD("tos.rtd",,EO$83,"."&amp;$C$82&amp;$AU$82&amp;"P"&amp;$A106)</f>
        <v>11.58%</v>
      </c>
      <c r="EP106" s="3" t="str">
        <f>RTD("tos.rtd",,EP$83,"."&amp;$D$82&amp;$AW$82&amp;"C"&amp;$A106)</f>
        <v>24.16%</v>
      </c>
      <c r="EQ106" s="3" t="str">
        <f>RTD("tos.rtd",,EQ$83,"."&amp;$D$82&amp;$AW$82&amp;"P"&amp;$A106)</f>
        <v>15.75%</v>
      </c>
      <c r="ES106" s="63" t="str">
        <f t="shared" si="489"/>
        <v>5660,-6226.00</v>
      </c>
      <c r="ET106" s="63" t="str">
        <f t="shared" ca="1" si="490"/>
        <v>5660,00.00</v>
      </c>
      <c r="EU106" s="67">
        <v>565.41</v>
      </c>
      <c r="EV106" s="67" t="s">
        <v>867</v>
      </c>
      <c r="EW106" s="67">
        <v>488.99</v>
      </c>
      <c r="EX106" s="67" t="s">
        <v>868</v>
      </c>
      <c r="EY106" s="67">
        <v>5663.94</v>
      </c>
      <c r="EZ106" s="67" t="s">
        <v>869</v>
      </c>
      <c r="FA106" s="67">
        <v>20063.564999999999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508"/>
        <v>5650</v>
      </c>
      <c r="B107" s="3">
        <f t="shared" si="451"/>
        <v>6703</v>
      </c>
      <c r="C107" s="3">
        <f t="shared" si="452"/>
        <v>34346</v>
      </c>
      <c r="D107" s="3">
        <f t="shared" si="453"/>
        <v>138605</v>
      </c>
      <c r="E107" s="3">
        <f t="shared" si="519"/>
        <v>179654</v>
      </c>
      <c r="F107" s="4">
        <f t="shared" si="522"/>
        <v>5739.9322604069675</v>
      </c>
      <c r="G107" s="4">
        <f t="shared" si="520"/>
        <v>570.43945928468838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-4162</v>
      </c>
      <c r="AN107" s="20">
        <v>-14309</v>
      </c>
      <c r="AO107" s="20">
        <v>5650</v>
      </c>
      <c r="AP107" s="20">
        <v>21738</v>
      </c>
      <c r="AQ107" s="20">
        <v>-91277</v>
      </c>
      <c r="AR107" s="20"/>
      <c r="AS107" s="54">
        <f>IF(RTD("tos.rtd",,AS$83,"."&amp;$B$82&amp;$AS$82&amp;"C"&amp;$A107)="N/A",0,RTD("tos.rtd",,AS$83,"."&amp;$B$82&amp;$AS$82&amp;"C"&amp;$A107))</f>
        <v>3508</v>
      </c>
      <c r="AT107" s="3">
        <f>-IF(RTD("tos.rtd",,AT$83,"."&amp;$B$82&amp;$AS$82&amp;"P"&amp;$A107)="N/A",0,RTD("tos.rtd",,AT$83,"."&amp;$B$82&amp;$AS$82&amp;"P"&amp;$A107))</f>
        <v>-3195</v>
      </c>
      <c r="AU107" s="54">
        <f>IF(RTD("tos.rtd",,AU$83,"."&amp;$C$82&amp;$AU$82&amp;"C"&amp;$A107)="N/A",0,RTD("tos.rtd",,AU$83,"."&amp;$C$82&amp;$AU$82&amp;"C"&amp;$A107))</f>
        <v>17030</v>
      </c>
      <c r="AV107" s="3">
        <f>-IF(RTD("tos.rtd",,AV$83,"."&amp;$C$82&amp;$AU$82&amp;"P"&amp;$A107)="N/A",0,RTD("tos.rtd",,AV$83,"."&amp;$C$82&amp;$AU$82&amp;"P"&amp;$A107))</f>
        <v>-17316</v>
      </c>
      <c r="AW107" s="54">
        <f>IF(RTD("tos.rtd",,AW$83,"."&amp;$D$82&amp;$AW$82&amp;"C"&amp;$A107)="N/A",0,RTD("tos.rtd",,AW$83,"."&amp;$D$82&amp;$AW$82&amp;"C"&amp;$A107))</f>
        <v>70215</v>
      </c>
      <c r="AX107" s="3">
        <f>-IF(RTD("tos.rtd",,AX$83,"."&amp;$D$82&amp;$AW$82&amp;"P"&amp;$A107)="N/A",0,RTD("tos.rtd",,AX$83,"."&amp;$D$82&amp;$AW$82&amp;"P"&amp;$A107))</f>
        <v>-68390</v>
      </c>
      <c r="AY107" s="79">
        <f t="shared" si="521"/>
        <v>1852</v>
      </c>
      <c r="AZ107" s="8">
        <f t="shared" si="455"/>
        <v>5650</v>
      </c>
      <c r="BA107" s="54">
        <f>IF(RTD("tos.rtd",,BA$83,"."&amp;$B$82&amp;$AS$82&amp;"C"&amp;$A107)="N/A",0,RTD("tos.rtd",,BA$83,"."&amp;$B$82&amp;$AS$82&amp;"C"&amp;$A107))</f>
        <v>0</v>
      </c>
      <c r="BB107" s="3">
        <f>-IF(RTD("tos.rtd",,BB$83,"."&amp;$B$82&amp;$AS$82&amp;"P"&amp;$A107)="N/A",0,RTD("tos.rtd",,BB$83,"."&amp;$B$82&amp;$AS$82&amp;"P"&amp;$A107))</f>
        <v>0</v>
      </c>
      <c r="BC107" s="54">
        <f>IF(RTD("tos.rtd",,BC$83,"."&amp;$C$82&amp;$AU$82&amp;"C"&amp;$A107)="N/A",0,RTD("tos.rtd",,BC$83,"."&amp;$C$82&amp;$AU$82&amp;"C"&amp;$A107))</f>
        <v>0</v>
      </c>
      <c r="BD107" s="3">
        <f>-IF(RTD("tos.rtd",,BD$83,"."&amp;$C$82&amp;$AU$82&amp;"P"&amp;$A107)="N/A",0,RTD("tos.rtd",,BD$83,"."&amp;$C$82&amp;$AU$82&amp;"P"&amp;$A107))</f>
        <v>-1</v>
      </c>
      <c r="BE107" s="54">
        <f>IF(RTD("tos.rtd",,BE$83,"."&amp;$D$82&amp;$AW$82&amp;"C"&amp;$A107)="N/A",0,RTD("tos.rtd",,BE$83,"."&amp;$D$82&amp;$AW$82&amp;"C"&amp;$A107))</f>
        <v>0</v>
      </c>
      <c r="BF107" s="3">
        <f>-IF(RTD("tos.rtd",,BF$83,"."&amp;$D$82&amp;$AW$82&amp;"P"&amp;$A107)="N/A",0,RTD("tos.rtd",,BF$83,"."&amp;$D$82&amp;$AW$82&amp;"P"&amp;$A107))</f>
        <v>0</v>
      </c>
      <c r="BG107" s="3">
        <f ca="1">+Hoja2!Y108</f>
        <v>0</v>
      </c>
      <c r="BH107" s="55">
        <f t="shared" ca="1" si="493"/>
        <v>-1</v>
      </c>
      <c r="BI107" s="32" t="str">
        <f t="shared" ca="1" si="513"/>
        <v/>
      </c>
      <c r="BJ107" s="3" t="e">
        <f ca="1">IF($BP$1=1,DX107,IF(RTD("tos.rtd",,BJ$83,"."&amp;$B$82&amp;$AS$82&amp;"C"&amp;$A107)="N/A",0,RTD("tos.rtd",,BJ$83,"."&amp;$B$82&amp;$AS$82&amp;"C"&amp;$A107)))</f>
        <v>#NUM!</v>
      </c>
      <c r="BK107" s="3" t="e">
        <f ca="1">IF($BP$1=1,DY107,-IF(RTD("tos.rtd",,BK$83,"."&amp;$B$82&amp;$AS$82&amp;"P"&amp;$A107)="N/A",0,RTD("tos.rtd",,BK$83,"."&amp;$B$82&amp;$AS$82&amp;"P"&amp;$A107)))</f>
        <v>#NUM!</v>
      </c>
      <c r="BL107" s="3">
        <f ca="1">IF($BP$1=1,DZ107,IF(RTD("tos.rtd",,BL$83,"."&amp;$C$82&amp;$AU$82&amp;"C"&amp;$A107)="N/A",0,RTD("tos.rtd",,BL$83,"."&amp;$C$82&amp;$AU$82&amp;"C"&amp;$A107)))</f>
        <v>1.2966425955560138E-3</v>
      </c>
      <c r="BM107" s="3">
        <f ca="1">IF($BP$1=1,EA107,-IF(RTD("tos.rtd",,BM$83,"."&amp;$C$82&amp;$AU$82&amp;"P"&amp;$A107)="N/A",0,RTD("tos.rtd",,BM$83,"."&amp;$C$82&amp;$AU$82&amp;"P"&amp;$A107)))</f>
        <v>-4.1547740289024186E-3</v>
      </c>
      <c r="BN107" s="3">
        <f ca="1">IF($BP$1=1,EB107,IF(RTD("tos.rtd",,BN$83,"."&amp;$D$82&amp;$AW$82&amp;"C"&amp;$A107)="N/A",0,RTD("tos.rtd",,BN$83,"."&amp;$D$82&amp;$AW$82&amp;"C"&amp;$A107)))</f>
        <v>2.1213847754778855E-3</v>
      </c>
      <c r="BO107" s="3">
        <f ca="1">IF($BP$1=1,EC107,-IF(RTD("tos.rtd",,BO$83,"."&amp;$D$82&amp;$AW$82&amp;"P"&amp;$A107)="N/A",0,RTD("tos.rtd",,BO$83,"."&amp;$D$82&amp;$AW$82&amp;"P"&amp;$A107)))</f>
        <v>-3.2301853401238648E-3</v>
      </c>
      <c r="BQ107" s="3" t="e">
        <f t="shared" ca="1" si="456"/>
        <v>#NUM!</v>
      </c>
      <c r="BR107" s="3" t="e">
        <f t="shared" ca="1" si="494"/>
        <v>#NUM!</v>
      </c>
      <c r="BS107" s="3">
        <f t="shared" ca="1" si="457"/>
        <v>-12275319.951502539</v>
      </c>
      <c r="BT107" s="3" t="str">
        <f t="shared" ca="1" si="494"/>
        <v/>
      </c>
      <c r="BU107" s="3">
        <f t="shared" ca="1" si="458"/>
        <v>-17715287.129409857</v>
      </c>
      <c r="BV107" s="3" t="str">
        <f t="shared" ca="1" si="494"/>
        <v/>
      </c>
      <c r="BX107" s="3" t="e">
        <f t="shared" ca="1" si="459"/>
        <v>#NUM!</v>
      </c>
      <c r="BY107" s="3" t="e">
        <f t="shared" ca="1" si="510"/>
        <v>#NUM!</v>
      </c>
      <c r="BZ107" s="3">
        <f t="shared" ca="1" si="460"/>
        <v>-1022.8416686596611</v>
      </c>
      <c r="CA107" s="3" t="str">
        <f t="shared" ca="1" si="510"/>
        <v/>
      </c>
      <c r="CB107" s="3">
        <f t="shared" ca="1" si="461"/>
        <v>0</v>
      </c>
      <c r="CC107" s="3" t="str">
        <f t="shared" ca="1" si="510"/>
        <v/>
      </c>
      <c r="CD107" s="3">
        <f>IF(RTD("tos.rtd",,CD$83,"."&amp;$B$82&amp;$AS$82&amp;"C"&amp;$A107)="N/A",0,RTD("tos.rtd",,CD$83,"."&amp;$B$82&amp;$AS$82&amp;"C"&amp;$A107))</f>
        <v>0.94</v>
      </c>
      <c r="CE107" s="3">
        <f>-IF(RTD("tos.rtd",,CE$83,"."&amp;$B$82&amp;$AS$82&amp;"P"&amp;$A107)="N/A",0,RTD("tos.rtd",,CE$83,"."&amp;$B$82&amp;$AS$82&amp;"P"&amp;$A107))</f>
        <v>0.02</v>
      </c>
      <c r="CF107" s="3">
        <f>IF(RTD("tos.rtd",,CF$83,"."&amp;$C$82&amp;$AU$82&amp;"C"&amp;$A107)="N/A",0,RTD("tos.rtd",,CF$83,"."&amp;$C$82&amp;$AU$82&amp;"C"&amp;$A107))</f>
        <v>0.53</v>
      </c>
      <c r="CG107" s="3">
        <f>-IF(RTD("tos.rtd",,CG$83,"."&amp;$C$82&amp;$AU$82&amp;"P"&amp;$A107)="N/A",0,RTD("tos.rtd",,CG$83,"."&amp;$C$82&amp;$AU$82&amp;"P"&amp;$A107))</f>
        <v>0.43</v>
      </c>
      <c r="CH107" s="3">
        <f>IF(RTD("tos.rtd",,CH$83,"."&amp;$D$82&amp;$AW$82&amp;"C"&amp;$A107)="N/A",0,RTD("tos.rtd",,CH$83,"."&amp;$D$82&amp;$AW$82&amp;"C"&amp;$A107))</f>
        <v>0.55000000000000004</v>
      </c>
      <c r="CI107" s="3">
        <f>-IF(RTD("tos.rtd",,CI$83,"."&amp;$D$82&amp;$AW$82&amp;"P"&amp;$A107)="N/A",0,RTD("tos.rtd",,CI$83,"."&amp;$D$82&amp;$AW$82&amp;"P"&amp;$A107))</f>
        <v>0.44</v>
      </c>
      <c r="CK107" s="3">
        <f t="shared" si="495"/>
        <v>323362</v>
      </c>
      <c r="CL107" s="3"/>
      <c r="CM107" s="3">
        <f t="shared" si="496"/>
        <v>158002</v>
      </c>
      <c r="CN107" s="3"/>
      <c r="CO107" s="3">
        <f t="shared" si="497"/>
        <v>852665</v>
      </c>
      <c r="CP107" s="3">
        <f t="shared" si="462"/>
        <v>1334029</v>
      </c>
      <c r="CQ107" s="3">
        <f t="shared" si="463"/>
        <v>0</v>
      </c>
      <c r="CR107" s="3"/>
      <c r="CS107" s="3">
        <f t="shared" si="464"/>
        <v>-1</v>
      </c>
      <c r="CT107" s="3"/>
      <c r="CU107" s="3">
        <f t="shared" si="465"/>
        <v>0</v>
      </c>
      <c r="CV107" s="3"/>
      <c r="CW107" s="3" t="e">
        <f t="shared" ca="1" si="466"/>
        <v>#NUM!</v>
      </c>
      <c r="CY107" s="3" t="e">
        <f t="shared" ca="1" si="467"/>
        <v>#NUM!</v>
      </c>
      <c r="CZ107" s="70" t="e">
        <f t="shared" ca="1" si="511"/>
        <v>#NUM!</v>
      </c>
      <c r="DA107" s="3">
        <f>IF(RTD("tos.rtd",,DA$83,"."&amp;$B$82&amp;$AS$82&amp;"C"&amp;$A107)="N/A",0,RTD("tos.rtd",,DA$83,"."&amp;$B$82&amp;$AS$82&amp;"C"&amp;$A107))</f>
        <v>9.5</v>
      </c>
      <c r="DB107" s="3">
        <f>IF(RTD("tos.rtd",,DB$83,"."&amp;$B$82&amp;$AS$82&amp;"P"&amp;$A107)="N/A",0,RTD("tos.rtd",,DB$83,"."&amp;$B$82&amp;$AS$82&amp;"P"&amp;$A107))</f>
        <v>0.05</v>
      </c>
      <c r="DC107" s="3">
        <f>IF(RTD("tos.rtd",,DC$83,"."&amp;$B$82&amp;$AS$82&amp;"C"&amp;$A107)="N/A",0,RTD("tos.rtd",,DC$83,"."&amp;$B$82&amp;$AS$82&amp;"C"&amp;$A107))</f>
        <v>10.9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9.3000000000000007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499"/>
        <v>-9.9099999999998545</v>
      </c>
      <c r="DH107" s="3">
        <f t="shared" si="468"/>
        <v>-2717.2499999999909</v>
      </c>
      <c r="DI107" s="3">
        <f t="shared" si="469"/>
        <v>91277</v>
      </c>
      <c r="DJ107" s="3">
        <f t="shared" si="470"/>
        <v>21738</v>
      </c>
      <c r="DK107" s="3">
        <f t="shared" si="471"/>
        <v>91277</v>
      </c>
      <c r="DL107" s="3">
        <f t="shared" si="472"/>
        <v>88559.750000000015</v>
      </c>
      <c r="DM107" s="3">
        <f t="shared" si="473"/>
        <v>113015</v>
      </c>
      <c r="DN107" s="64" t="str">
        <f t="shared" si="474"/>
        <v>UNKNOWN</v>
      </c>
      <c r="DO107" s="64" t="str">
        <f t="shared" si="475"/>
        <v>UNKNOWN</v>
      </c>
      <c r="DP107" s="3">
        <f t="shared" si="476"/>
        <v>-21250.024999999914</v>
      </c>
      <c r="DQ107" s="3">
        <f t="shared" si="477"/>
        <v>211074.85</v>
      </c>
      <c r="DR107" s="3" t="e">
        <f t="shared" ca="1" si="478"/>
        <v>#NUM!</v>
      </c>
      <c r="DS107" s="3">
        <f t="shared" si="479"/>
        <v>22259.26</v>
      </c>
      <c r="DT107" s="3">
        <f t="shared" si="500"/>
        <v>-21738</v>
      </c>
      <c r="DU107" s="3">
        <f t="shared" si="501"/>
        <v>91277</v>
      </c>
      <c r="DV107" s="3">
        <f t="shared" si="502"/>
        <v>-4162</v>
      </c>
      <c r="DW107" s="3">
        <f t="shared" si="503"/>
        <v>-14309</v>
      </c>
      <c r="DX107" s="3" t="e">
        <f t="shared" ca="1" si="512"/>
        <v>#NUM!</v>
      </c>
      <c r="DY107" s="3" t="e">
        <f t="shared" ca="1" si="480"/>
        <v>#NUM!</v>
      </c>
      <c r="DZ107" s="3">
        <f t="shared" ca="1" si="504"/>
        <v>1.2966425955560138E-3</v>
      </c>
      <c r="EA107" s="3">
        <f t="shared" ca="1" si="505"/>
        <v>-4.1547740289024186E-3</v>
      </c>
      <c r="EB107" s="3">
        <f t="shared" ca="1" si="481"/>
        <v>2.1213847754778855E-3</v>
      </c>
      <c r="EC107" s="3">
        <f t="shared" ca="1" si="482"/>
        <v>-3.2301853401238648E-3</v>
      </c>
      <c r="ED107" s="63">
        <f t="shared" si="506"/>
        <v>-18471</v>
      </c>
      <c r="EE107" s="59">
        <f t="shared" si="483"/>
        <v>0.15160000000000001</v>
      </c>
      <c r="EF107" s="59">
        <f t="shared" si="484"/>
        <v>0.10730000000000001</v>
      </c>
      <c r="EG107" s="59">
        <f t="shared" si="485"/>
        <v>0.4</v>
      </c>
      <c r="EH107" s="59">
        <f t="shared" si="486"/>
        <v>0.1236</v>
      </c>
      <c r="EI107" s="59">
        <f t="shared" si="487"/>
        <v>0.24410000000000001</v>
      </c>
      <c r="EJ107" s="59">
        <f t="shared" si="488"/>
        <v>0.15970000000000001</v>
      </c>
      <c r="EK107" s="63" t="e">
        <f t="shared" ca="1" si="507"/>
        <v>#NUM!</v>
      </c>
      <c r="EL107" s="3" t="str">
        <f>RTD("tos.rtd",,EL$83,"."&amp;$B$82&amp;$AS$82&amp;"C"&amp;$A107)</f>
        <v>15.16%</v>
      </c>
      <c r="EM107" s="3" t="str">
        <f>RTD("tos.rtd",,EM$83,"."&amp;$B$82&amp;$AS$82&amp;"P"&amp;$A107)</f>
        <v>10.73%</v>
      </c>
      <c r="EN107" s="3" t="str">
        <f>RTD("tos.rtd",,EN$83,"."&amp;$C$82&amp;$AU$82&amp;"C"&amp;$A107)</f>
        <v>40.00%</v>
      </c>
      <c r="EO107" s="3" t="str">
        <f>RTD("tos.rtd",,EO$83,"."&amp;$C$82&amp;$AU$82&amp;"P"&amp;$A107)</f>
        <v>12.36%</v>
      </c>
      <c r="EP107" s="3" t="str">
        <f>RTD("tos.rtd",,EP$83,"."&amp;$D$82&amp;$AW$82&amp;"C"&amp;$A107)</f>
        <v>24.41%</v>
      </c>
      <c r="EQ107" s="3" t="str">
        <f>RTD("tos.rtd",,EQ$83,"."&amp;$D$82&amp;$AW$82&amp;"P"&amp;$A107)</f>
        <v>15.97%</v>
      </c>
      <c r="ES107" s="63" t="str">
        <f t="shared" si="489"/>
        <v>5650,-18471.00</v>
      </c>
      <c r="ET107" s="63" t="str">
        <f t="shared" ca="1" si="490"/>
        <v>5650,00.00</v>
      </c>
      <c r="EU107" s="67">
        <v>565.41</v>
      </c>
      <c r="EV107" s="67" t="s">
        <v>875</v>
      </c>
      <c r="EW107" s="67">
        <v>488.98</v>
      </c>
      <c r="EX107" s="67" t="s">
        <v>876</v>
      </c>
      <c r="EY107" s="67">
        <v>5663.94</v>
      </c>
      <c r="EZ107" s="67" t="s">
        <v>877</v>
      </c>
      <c r="FA107" s="67">
        <v>20063.564999999999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508"/>
        <v>5640</v>
      </c>
      <c r="B108" s="10">
        <f t="shared" si="451"/>
        <v>2034</v>
      </c>
      <c r="C108" s="10">
        <f t="shared" si="452"/>
        <v>2265</v>
      </c>
      <c r="D108" s="10">
        <f t="shared" si="453"/>
        <v>9262</v>
      </c>
      <c r="E108" s="10">
        <f t="shared" si="519"/>
        <v>13561</v>
      </c>
      <c r="F108" s="11">
        <f t="shared" si="522"/>
        <v>5729.7730882646547</v>
      </c>
      <c r="G108" s="11">
        <f t="shared" si="520"/>
        <v>569.42983192312249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-262</v>
      </c>
      <c r="AN108" s="10">
        <v>-915</v>
      </c>
      <c r="AO108" s="10">
        <v>5640</v>
      </c>
      <c r="AP108" s="10">
        <v>4974</v>
      </c>
      <c r="AQ108" s="10">
        <v>-58189</v>
      </c>
      <c r="AR108" s="10"/>
      <c r="AS108" s="54">
        <f>IF(RTD("tos.rtd",,AS$83,"."&amp;$B$82&amp;$AS$82&amp;"C"&amp;$A108)="N/A",0,RTD("tos.rtd",,AS$83,"."&amp;$B$82&amp;$AS$82&amp;"C"&amp;$A108))</f>
        <v>1190</v>
      </c>
      <c r="AT108" s="3">
        <f>-IF(RTD("tos.rtd",,AT$83,"."&amp;$B$82&amp;$AS$82&amp;"P"&amp;$A108)="N/A",0,RTD("tos.rtd",,AT$83,"."&amp;$B$82&amp;$AS$82&amp;"P"&amp;$A108))</f>
        <v>-844</v>
      </c>
      <c r="AU108" s="54">
        <f>IF(RTD("tos.rtd",,AU$83,"."&amp;$C$82&amp;$AU$82&amp;"C"&amp;$A108)="N/A",0,RTD("tos.rtd",,AU$83,"."&amp;$C$82&amp;$AU$82&amp;"C"&amp;$A108))</f>
        <v>1410</v>
      </c>
      <c r="AV108" s="3">
        <f>-IF(RTD("tos.rtd",,AV$83,"."&amp;$C$82&amp;$AU$82&amp;"P"&amp;$A108)="N/A",0,RTD("tos.rtd",,AV$83,"."&amp;$C$82&amp;$AU$82&amp;"P"&amp;$A108))</f>
        <v>-855</v>
      </c>
      <c r="AW108" s="54">
        <f>IF(RTD("tos.rtd",,AW$83,"."&amp;$D$82&amp;$AW$82&amp;"C"&amp;$A108)="N/A",0,RTD("tos.rtd",,AW$83,"."&amp;$D$82&amp;$AW$82&amp;"C"&amp;$A108))</f>
        <v>4543</v>
      </c>
      <c r="AX108" s="3">
        <f>-IF(RTD("tos.rtd",,AX$83,"."&amp;$D$82&amp;$AW$82&amp;"P"&amp;$A108)="N/A",0,RTD("tos.rtd",,AX$83,"."&amp;$D$82&amp;$AW$82&amp;"P"&amp;$A108))</f>
        <v>-4719</v>
      </c>
      <c r="AY108" s="80">
        <f t="shared" si="521"/>
        <v>725</v>
      </c>
      <c r="AZ108" s="8">
        <f t="shared" si="455"/>
        <v>5640</v>
      </c>
      <c r="BA108" s="54">
        <f>IF(RTD("tos.rtd",,BA$83,"."&amp;$B$82&amp;$AS$82&amp;"C"&amp;$A108)="N/A",0,RTD("tos.rtd",,BA$83,"."&amp;$B$82&amp;$AS$82&amp;"C"&amp;$A108))</f>
        <v>0</v>
      </c>
      <c r="BB108" s="3">
        <f>-IF(RTD("tos.rtd",,BB$83,"."&amp;$B$82&amp;$AS$82&amp;"P"&amp;$A108)="N/A",0,RTD("tos.rtd",,BB$83,"."&amp;$B$82&amp;$AS$82&amp;"P"&amp;$A108))</f>
        <v>0</v>
      </c>
      <c r="BC108" s="54">
        <f>IF(RTD("tos.rtd",,BC$83,"."&amp;$C$82&amp;$AU$82&amp;"C"&amp;$A108)="N/A",0,RTD("tos.rtd",,BC$83,"."&amp;$C$82&amp;$AU$82&amp;"C"&amp;$A108))</f>
        <v>0</v>
      </c>
      <c r="BD108" s="3">
        <f>-IF(RTD("tos.rtd",,BD$83,"."&amp;$C$82&amp;$AU$82&amp;"P"&amp;$A108)="N/A",0,RTD("tos.rtd",,BD$83,"."&amp;$C$82&amp;$AU$82&amp;"P"&amp;$A108))</f>
        <v>-4</v>
      </c>
      <c r="BE108" s="54">
        <f>IF(RTD("tos.rtd",,BE$83,"."&amp;$D$82&amp;$AW$82&amp;"C"&amp;$A108)="N/A",0,RTD("tos.rtd",,BE$83,"."&amp;$D$82&amp;$AW$82&amp;"C"&amp;$A108))</f>
        <v>0</v>
      </c>
      <c r="BF108" s="3">
        <f>-IF(RTD("tos.rtd",,BF$83,"."&amp;$D$82&amp;$AW$82&amp;"P"&amp;$A108)="N/A",0,RTD("tos.rtd",,BF$83,"."&amp;$D$82&amp;$AW$82&amp;"P"&amp;$A108))</f>
        <v>0</v>
      </c>
      <c r="BG108" s="3">
        <f ca="1">+Hoja2!Y109</f>
        <v>0</v>
      </c>
      <c r="BH108" s="53">
        <f t="shared" ca="1" si="493"/>
        <v>-4</v>
      </c>
      <c r="BI108" s="32" t="str">
        <f t="shared" ca="1" si="513"/>
        <v/>
      </c>
      <c r="BJ108" s="3" t="e">
        <f ca="1">IF($BP$1=1,DX108,IF(RTD("tos.rtd",,BJ$83,"."&amp;$B$82&amp;$AS$82&amp;"C"&amp;$A108)="N/A",0,RTD("tos.rtd",,BJ$83,"."&amp;$B$82&amp;$AS$82&amp;"C"&amp;$A108)))</f>
        <v>#NUM!</v>
      </c>
      <c r="BK108" s="3" t="e">
        <f ca="1">IF($BP$1=1,DY108,-IF(RTD("tos.rtd",,BK$83,"."&amp;$B$82&amp;$AS$82&amp;"P"&amp;$A108)="N/A",0,RTD("tos.rtd",,BK$83,"."&amp;$B$82&amp;$AS$82&amp;"P"&amp;$A108)))</f>
        <v>#NUM!</v>
      </c>
      <c r="BL108" s="3">
        <f ca="1">IF($BP$1=1,DZ108,IF(RTD("tos.rtd",,BL$83,"."&amp;$C$82&amp;$AU$82&amp;"C"&amp;$A108)="N/A",0,RTD("tos.rtd",,BL$83,"."&amp;$C$82&amp;$AU$82&amp;"C"&amp;$A108)))</f>
        <v>1.2614696652961793E-3</v>
      </c>
      <c r="BM108" s="3">
        <f ca="1">IF($BP$1=1,EA108,-IF(RTD("tos.rtd",,BM$83,"."&amp;$C$82&amp;$AU$82&amp;"P"&amp;$A108)="N/A",0,RTD("tos.rtd",,BM$83,"."&amp;$C$82&amp;$AU$82&amp;"P"&amp;$A108)))</f>
        <v>-3.8553602632669598E-3</v>
      </c>
      <c r="BN108" s="3">
        <f ca="1">IF($BP$1=1,EB108,IF(RTD("tos.rtd",,BN$83,"."&amp;$D$82&amp;$AW$82&amp;"C"&amp;$A108)="N/A",0,RTD("tos.rtd",,BN$83,"."&amp;$D$82&amp;$AW$82&amp;"C"&amp;$A108)))</f>
        <v>2.0876547854279661E-3</v>
      </c>
      <c r="BO108" s="3">
        <f ca="1">IF($BP$1=1,EC108,-IF(RTD("tos.rtd",,BO$83,"."&amp;$D$82&amp;$AW$82&amp;"P"&amp;$A108)="N/A",0,RTD("tos.rtd",,BO$83,"."&amp;$D$82&amp;$AW$82&amp;"P"&amp;$A108)))</f>
        <v>-3.1462241727602857E-3</v>
      </c>
      <c r="BQ108" s="3" t="e">
        <f t="shared" ca="1" si="456"/>
        <v>#NUM!</v>
      </c>
      <c r="BR108" s="3" t="e">
        <f t="shared" ca="1" si="494"/>
        <v>#NUM!</v>
      </c>
      <c r="BS108" s="3">
        <f t="shared" ca="1" si="457"/>
        <v>-373624.82081826671</v>
      </c>
      <c r="BT108" s="3" t="str">
        <f t="shared" ca="1" si="494"/>
        <v/>
      </c>
      <c r="BU108" s="3">
        <f t="shared" ca="1" si="458"/>
        <v>-1320243.1259049666</v>
      </c>
      <c r="BV108" s="3" t="str">
        <f t="shared" ca="1" si="494"/>
        <v/>
      </c>
      <c r="BX108" s="3" t="e">
        <f t="shared" ca="1" si="459"/>
        <v>#NUM!</v>
      </c>
      <c r="BY108" s="3" t="e">
        <f t="shared" ca="1" si="510"/>
        <v>#NUM!</v>
      </c>
      <c r="BZ108" s="3">
        <f t="shared" ca="1" si="460"/>
        <v>-3796.5223596103738</v>
      </c>
      <c r="CA108" s="3" t="str">
        <f t="shared" ca="1" si="510"/>
        <v/>
      </c>
      <c r="CB108" s="3">
        <f t="shared" ca="1" si="461"/>
        <v>0</v>
      </c>
      <c r="CC108" s="3" t="str">
        <f t="shared" ca="1" si="510"/>
        <v/>
      </c>
      <c r="CD108" s="3">
        <f>IF(RTD("tos.rtd",,CD$83,"."&amp;$B$82&amp;$AS$82&amp;"C"&amp;$A108)="N/A",0,RTD("tos.rtd",,CD$83,"."&amp;$B$82&amp;$AS$82&amp;"C"&amp;$A108))</f>
        <v>0.91</v>
      </c>
      <c r="CE108" s="3">
        <f>-IF(RTD("tos.rtd",,CE$83,"."&amp;$B$82&amp;$AS$82&amp;"P"&amp;$A108)="N/A",0,RTD("tos.rtd",,CE$83,"."&amp;$B$82&amp;$AS$82&amp;"P"&amp;$A108))</f>
        <v>0.01</v>
      </c>
      <c r="CF108" s="3">
        <f>IF(RTD("tos.rtd",,CF$83,"."&amp;$C$82&amp;$AU$82&amp;"C"&amp;$A108)="N/A",0,RTD("tos.rtd",,CF$83,"."&amp;$C$82&amp;$AU$82&amp;"C"&amp;$A108))</f>
        <v>0.54</v>
      </c>
      <c r="CG108" s="3">
        <f>-IF(RTD("tos.rtd",,CG$83,"."&amp;$C$82&amp;$AU$82&amp;"P"&amp;$A108)="N/A",0,RTD("tos.rtd",,CG$83,"."&amp;$C$82&amp;$AU$82&amp;"P"&amp;$A108))</f>
        <v>0.39</v>
      </c>
      <c r="CH108" s="3">
        <f>IF(RTD("tos.rtd",,CH$83,"."&amp;$D$82&amp;$AW$82&amp;"C"&amp;$A108)="N/A",0,RTD("tos.rtd",,CH$83,"."&amp;$D$82&amp;$AW$82&amp;"C"&amp;$A108))</f>
        <v>0.56000000000000005</v>
      </c>
      <c r="CI108" s="3">
        <f>-IF(RTD("tos.rtd",,CI$83,"."&amp;$D$82&amp;$AW$82&amp;"P"&amp;$A108)="N/A",0,RTD("tos.rtd",,CI$83,"."&amp;$D$82&amp;$AW$82&amp;"P"&amp;$A108))</f>
        <v>0.43</v>
      </c>
      <c r="CK108" s="3">
        <f t="shared" si="495"/>
        <v>107446.00000000001</v>
      </c>
      <c r="CL108" s="3"/>
      <c r="CM108" s="3">
        <f t="shared" si="496"/>
        <v>42795.000000000015</v>
      </c>
      <c r="CN108" s="3"/>
      <c r="CO108" s="3">
        <f t="shared" si="497"/>
        <v>51491.000000000029</v>
      </c>
      <c r="CP108" s="3">
        <f t="shared" si="462"/>
        <v>201732.00000000006</v>
      </c>
      <c r="CQ108" s="3">
        <f t="shared" si="463"/>
        <v>0</v>
      </c>
      <c r="CR108" s="3"/>
      <c r="CS108" s="3">
        <f t="shared" si="464"/>
        <v>-4</v>
      </c>
      <c r="CT108" s="3"/>
      <c r="CU108" s="3">
        <f t="shared" si="465"/>
        <v>0</v>
      </c>
      <c r="CV108" s="3"/>
      <c r="CW108" s="3" t="e">
        <f t="shared" ca="1" si="466"/>
        <v>#NUM!</v>
      </c>
      <c r="CY108" s="3" t="e">
        <f t="shared" ca="1" si="467"/>
        <v>#NUM!</v>
      </c>
      <c r="CZ108" s="70" t="e">
        <f t="shared" ca="1" si="511"/>
        <v>#NUM!</v>
      </c>
      <c r="DA108" s="3">
        <f>IF(RTD("tos.rtd",,DA$83,"."&amp;$B$82&amp;$AS$82&amp;"C"&amp;$A108)="N/A",0,RTD("tos.rtd",,DA$83,"."&amp;$B$82&amp;$AS$82&amp;"C"&amp;$A108))</f>
        <v>20.7</v>
      </c>
      <c r="DB108" s="3">
        <f>IF(RTD("tos.rtd",,DB$83,"."&amp;$B$82&amp;$AS$82&amp;"P"&amp;$A108)="N/A",0,RTD("tos.rtd",,DB$83,"."&amp;$B$82&amp;$AS$82&amp;"P"&amp;$A108))</f>
        <v>0.03</v>
      </c>
      <c r="DC108" s="3">
        <f>IF(RTD("tos.rtd",,DC$83,"."&amp;$B$82&amp;$AS$82&amp;"C"&amp;$A108)="N/A",0,RTD("tos.rtd",,DC$83,"."&amp;$B$82&amp;$AS$82&amp;"C"&amp;$A108))</f>
        <v>21.8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19.399999999999999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499"/>
        <v>-19.909999999999854</v>
      </c>
      <c r="DH108" s="3">
        <f t="shared" si="468"/>
        <v>-2694.2499999999991</v>
      </c>
      <c r="DI108" s="3">
        <f t="shared" si="469"/>
        <v>34913.4</v>
      </c>
      <c r="DJ108" s="3">
        <f t="shared" si="470"/>
        <v>0</v>
      </c>
      <c r="DK108" s="3">
        <f t="shared" si="471"/>
        <v>58189</v>
      </c>
      <c r="DL108" s="3">
        <f t="shared" si="472"/>
        <v>32219.15</v>
      </c>
      <c r="DM108" s="3">
        <f t="shared" si="473"/>
        <v>58189</v>
      </c>
      <c r="DN108" s="64" t="str">
        <f t="shared" si="474"/>
        <v>UNKNOWN</v>
      </c>
      <c r="DO108" s="64" t="str">
        <f t="shared" si="475"/>
        <v>UNKNOWN</v>
      </c>
      <c r="DP108" s="3">
        <f t="shared" si="476"/>
        <v>-54723.572999999975</v>
      </c>
      <c r="DQ108" s="3">
        <f t="shared" si="477"/>
        <v>1745.6699999999998</v>
      </c>
      <c r="DR108" s="3" t="e">
        <f t="shared" ca="1" si="478"/>
        <v>#NUM!</v>
      </c>
      <c r="DS108" s="3">
        <f t="shared" si="479"/>
        <v>581.89</v>
      </c>
      <c r="DT108" s="3">
        <f t="shared" si="500"/>
        <v>-4974</v>
      </c>
      <c r="DU108" s="3">
        <f t="shared" si="501"/>
        <v>58189</v>
      </c>
      <c r="DV108" s="3">
        <f t="shared" si="502"/>
        <v>-262</v>
      </c>
      <c r="DW108" s="3">
        <f t="shared" si="503"/>
        <v>-915</v>
      </c>
      <c r="DX108" s="3" t="e">
        <f t="shared" ca="1" si="512"/>
        <v>#NUM!</v>
      </c>
      <c r="DY108" s="3" t="e">
        <f t="shared" ca="1" si="480"/>
        <v>#NUM!</v>
      </c>
      <c r="DZ108" s="3">
        <f t="shared" ca="1" si="504"/>
        <v>1.2614696652961793E-3</v>
      </c>
      <c r="EA108" s="3">
        <f t="shared" ca="1" si="505"/>
        <v>-3.8553602632669598E-3</v>
      </c>
      <c r="EB108" s="3">
        <f t="shared" ca="1" si="481"/>
        <v>2.0876547854279661E-3</v>
      </c>
      <c r="EC108" s="3">
        <f t="shared" ca="1" si="482"/>
        <v>-3.1462241727602857E-3</v>
      </c>
      <c r="ED108" s="63">
        <f t="shared" si="506"/>
        <v>-1177</v>
      </c>
      <c r="EE108" s="59">
        <f t="shared" si="483"/>
        <v>0.35610000000000003</v>
      </c>
      <c r="EF108" s="59">
        <f t="shared" si="484"/>
        <v>0.1973</v>
      </c>
      <c r="EG108" s="59">
        <f t="shared" si="485"/>
        <v>0.41</v>
      </c>
      <c r="EH108" s="59">
        <f t="shared" si="486"/>
        <v>0.13070000000000001</v>
      </c>
      <c r="EI108" s="59">
        <f t="shared" si="487"/>
        <v>0.2465</v>
      </c>
      <c r="EJ108" s="59">
        <f t="shared" si="488"/>
        <v>0.1618</v>
      </c>
      <c r="EK108" s="63" t="e">
        <f t="shared" ca="1" si="507"/>
        <v>#NUM!</v>
      </c>
      <c r="EL108" s="3" t="str">
        <f>RTD("tos.rtd",,EL$83,"."&amp;$B$82&amp;$AS$82&amp;"C"&amp;$A108)</f>
        <v>35.61%</v>
      </c>
      <c r="EM108" s="3" t="str">
        <f>RTD("tos.rtd",,EM$83,"."&amp;$B$82&amp;$AS$82&amp;"P"&amp;$A108)</f>
        <v>19.73%</v>
      </c>
      <c r="EN108" s="3" t="str">
        <f>RTD("tos.rtd",,EN$83,"."&amp;$C$82&amp;$AU$82&amp;"C"&amp;$A108)</f>
        <v>41.00%</v>
      </c>
      <c r="EO108" s="3" t="str">
        <f>RTD("tos.rtd",,EO$83,"."&amp;$C$82&amp;$AU$82&amp;"P"&amp;$A108)</f>
        <v>13.07%</v>
      </c>
      <c r="EP108" s="3" t="str">
        <f>RTD("tos.rtd",,EP$83,"."&amp;$D$82&amp;$AW$82&amp;"C"&amp;$A108)</f>
        <v>24.65%</v>
      </c>
      <c r="EQ108" s="3" t="str">
        <f>RTD("tos.rtd",,EQ$83,"."&amp;$D$82&amp;$AW$82&amp;"P"&amp;$A108)</f>
        <v>16.18%</v>
      </c>
      <c r="ES108" s="63" t="str">
        <f t="shared" si="489"/>
        <v>5640,-1177.00</v>
      </c>
      <c r="ET108" s="63" t="str">
        <f t="shared" ca="1" si="490"/>
        <v>5640,00.00</v>
      </c>
      <c r="EU108" s="67">
        <v>565.41</v>
      </c>
      <c r="EV108" s="67" t="s">
        <v>883</v>
      </c>
      <c r="EW108" s="67">
        <v>489</v>
      </c>
      <c r="EX108" s="67" t="s">
        <v>884</v>
      </c>
      <c r="EY108" s="67">
        <v>5663.94</v>
      </c>
      <c r="EZ108" s="67" t="s">
        <v>885</v>
      </c>
      <c r="FA108" s="67">
        <v>20063.564999999999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508"/>
        <v>5630</v>
      </c>
      <c r="B109" s="3">
        <f t="shared" si="451"/>
        <v>2256</v>
      </c>
      <c r="C109" s="3">
        <f t="shared" si="452"/>
        <v>2121</v>
      </c>
      <c r="D109" s="3">
        <f t="shared" si="453"/>
        <v>11093</v>
      </c>
      <c r="E109" s="3">
        <f t="shared" si="519"/>
        <v>15470</v>
      </c>
      <c r="F109" s="14">
        <f t="shared" si="522"/>
        <v>5719.6139161223418</v>
      </c>
      <c r="G109" s="14">
        <f t="shared" si="520"/>
        <v>568.42020456155672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218</v>
      </c>
      <c r="AN109" s="20">
        <v>1763</v>
      </c>
      <c r="AO109" s="20">
        <v>5630</v>
      </c>
      <c r="AP109" s="20">
        <v>2307</v>
      </c>
      <c r="AQ109" s="20">
        <v>-43735</v>
      </c>
      <c r="AR109" s="20"/>
      <c r="AS109" s="54">
        <f>IF(RTD("tos.rtd",,AS$83,"."&amp;$B$82&amp;$AS$82&amp;"C"&amp;$A109)="N/A",0,RTD("tos.rtd",,AS$83,"."&amp;$B$82&amp;$AS$82&amp;"C"&amp;$A109))</f>
        <v>1052</v>
      </c>
      <c r="AT109" s="3">
        <f>-IF(RTD("tos.rtd",,AT$83,"."&amp;$B$82&amp;$AS$82&amp;"P"&amp;$A109)="N/A",0,RTD("tos.rtd",,AT$83,"."&amp;$B$82&amp;$AS$82&amp;"P"&amp;$A109))</f>
        <v>-1204</v>
      </c>
      <c r="AU109" s="54">
        <f>IF(RTD("tos.rtd",,AU$83,"."&amp;$C$82&amp;$AU$82&amp;"C"&amp;$A109)="N/A",0,RTD("tos.rtd",,AU$83,"."&amp;$C$82&amp;$AU$82&amp;"C"&amp;$A109))</f>
        <v>785</v>
      </c>
      <c r="AV109" s="3">
        <f>-IF(RTD("tos.rtd",,AV$83,"."&amp;$C$82&amp;$AU$82&amp;"P"&amp;$A109)="N/A",0,RTD("tos.rtd",,AV$83,"."&amp;$C$82&amp;$AU$82&amp;"P"&amp;$A109))</f>
        <v>-1336</v>
      </c>
      <c r="AW109" s="54">
        <f>IF(RTD("tos.rtd",,AW$83,"."&amp;$D$82&amp;$AW$82&amp;"C"&amp;$A109)="N/A",0,RTD("tos.rtd",,AW$83,"."&amp;$D$82&amp;$AW$82&amp;"C"&amp;$A109))</f>
        <v>5483</v>
      </c>
      <c r="AX109" s="3">
        <f>-IF(RTD("tos.rtd",,AX$83,"."&amp;$D$82&amp;$AW$82&amp;"P"&amp;$A109)="N/A",0,RTD("tos.rtd",,AX$83,"."&amp;$D$82&amp;$AW$82&amp;"P"&amp;$A109))</f>
        <v>-5610</v>
      </c>
      <c r="AY109" s="79">
        <f t="shared" si="521"/>
        <v>-830</v>
      </c>
      <c r="AZ109" s="8">
        <f t="shared" si="455"/>
        <v>5630</v>
      </c>
      <c r="BA109" s="54">
        <f>IF(RTD("tos.rtd",,BA$83,"."&amp;$B$82&amp;$AS$82&amp;"C"&amp;$A109)="N/A",0,RTD("tos.rtd",,BA$83,"."&amp;$B$82&amp;$AS$82&amp;"C"&amp;$A109))</f>
        <v>0</v>
      </c>
      <c r="BB109" s="3">
        <f>-IF(RTD("tos.rtd",,BB$83,"."&amp;$B$82&amp;$AS$82&amp;"P"&amp;$A109)="N/A",0,RTD("tos.rtd",,BB$83,"."&amp;$B$82&amp;$AS$82&amp;"P"&amp;$A109))</f>
        <v>0</v>
      </c>
      <c r="BC109" s="54">
        <f>IF(RTD("tos.rtd",,BC$83,"."&amp;$C$82&amp;$AU$82&amp;"C"&amp;$A109)="N/A",0,RTD("tos.rtd",,BC$83,"."&amp;$C$82&amp;$AU$82&amp;"C"&amp;$A109))</f>
        <v>0</v>
      </c>
      <c r="BD109" s="3">
        <f>-IF(RTD("tos.rtd",,BD$83,"."&amp;$C$82&amp;$AU$82&amp;"P"&amp;$A109)="N/A",0,RTD("tos.rtd",,BD$83,"."&amp;$C$82&amp;$AU$82&amp;"P"&amp;$A109))</f>
        <v>0</v>
      </c>
      <c r="BE109" s="54">
        <f>IF(RTD("tos.rtd",,BE$83,"."&amp;$D$82&amp;$AW$82&amp;"C"&amp;$A109)="N/A",0,RTD("tos.rtd",,BE$83,"."&amp;$D$82&amp;$AW$82&amp;"C"&amp;$A109))</f>
        <v>0</v>
      </c>
      <c r="BF109" s="3">
        <f>-IF(RTD("tos.rtd",,BF$83,"."&amp;$D$82&amp;$AW$82&amp;"P"&amp;$A109)="N/A",0,RTD("tos.rtd",,BF$83,"."&amp;$D$82&amp;$AW$82&amp;"P"&amp;$A109))</f>
        <v>0</v>
      </c>
      <c r="BG109" s="3">
        <f ca="1">+Hoja2!Y110</f>
        <v>0</v>
      </c>
      <c r="BH109" s="55">
        <f t="shared" ca="1" si="493"/>
        <v>0</v>
      </c>
      <c r="BI109" s="32" t="str">
        <f t="shared" ca="1" si="513"/>
        <v/>
      </c>
      <c r="BJ109" s="3" t="e">
        <f ca="1">IF($BP$1=1,DX109,IF(RTD("tos.rtd",,BJ$83,"."&amp;$B$82&amp;$AS$82&amp;"C"&amp;$A109)="N/A",0,RTD("tos.rtd",,BJ$83,"."&amp;$B$82&amp;$AS$82&amp;"C"&amp;$A109)))</f>
        <v>#NUM!</v>
      </c>
      <c r="BK109" s="3" t="e">
        <f ca="1">IF($BP$1=1,DY109,-IF(RTD("tos.rtd",,BK$83,"."&amp;$B$82&amp;$AS$82&amp;"P"&amp;$A109)="N/A",0,RTD("tos.rtd",,BK$83,"."&amp;$B$82&amp;$AS$82&amp;"P"&amp;$A109)))</f>
        <v>#NUM!</v>
      </c>
      <c r="BL109" s="3">
        <f ca="1">IF($BP$1=1,DZ109,IF(RTD("tos.rtd",,BL$83,"."&amp;$C$82&amp;$AU$82&amp;"C"&amp;$A109)="N/A",0,RTD("tos.rtd",,BL$83,"."&amp;$C$82&amp;$AU$82&amp;"C"&amp;$A109)))</f>
        <v>1.2261376940423138E-3</v>
      </c>
      <c r="BM109" s="3">
        <f ca="1">IF($BP$1=1,EA109,-IF(RTD("tos.rtd",,BM$83,"."&amp;$C$82&amp;$AU$82&amp;"P"&amp;$A109)="N/A",0,RTD("tos.rtd",,BM$83,"."&amp;$C$82&amp;$AU$82&amp;"P"&amp;$A109)))</f>
        <v>-3.5898618391011859E-3</v>
      </c>
      <c r="BN109" s="3">
        <f ca="1">IF($BP$1=1,EB109,IF(RTD("tos.rtd",,BN$83,"."&amp;$D$82&amp;$AW$82&amp;"C"&amp;$A109)="N/A",0,RTD("tos.rtd",,BN$83,"."&amp;$D$82&amp;$AW$82&amp;"C"&amp;$A109)))</f>
        <v>2.0485857223068718E-3</v>
      </c>
      <c r="BO109" s="3">
        <f ca="1">IF($BP$1=1,EC109,-IF(RTD("tos.rtd",,BO$83,"."&amp;$D$82&amp;$AW$82&amp;"P"&amp;$A109)="N/A",0,RTD("tos.rtd",,BO$83,"."&amp;$D$82&amp;$AW$82&amp;"P"&amp;$A109)))</f>
        <v>-3.0473370878846824E-3</v>
      </c>
      <c r="BQ109" s="3" t="e">
        <f t="shared" ca="1" si="456"/>
        <v>#NUM!</v>
      </c>
      <c r="BR109" s="3" t="e">
        <f t="shared" ca="1" si="494"/>
        <v>#NUM!</v>
      </c>
      <c r="BS109" s="3">
        <f t="shared" ca="1" si="457"/>
        <v>-943758.11761645414</v>
      </c>
      <c r="BT109" s="3" t="str">
        <f t="shared" ca="1" si="494"/>
        <v/>
      </c>
      <c r="BU109" s="3">
        <f t="shared" ca="1" si="458"/>
        <v>-1443421.4690478225</v>
      </c>
      <c r="BV109" s="3" t="str">
        <f t="shared" ca="1" si="494"/>
        <v/>
      </c>
      <c r="BX109" s="3" t="e">
        <f t="shared" ca="1" si="459"/>
        <v>#NUM!</v>
      </c>
      <c r="BY109" s="3" t="e">
        <f t="shared" ca="1" si="510"/>
        <v>#NUM!</v>
      </c>
      <c r="BZ109" s="3">
        <f t="shared" ca="1" si="460"/>
        <v>0</v>
      </c>
      <c r="CA109" s="3" t="str">
        <f t="shared" ca="1" si="510"/>
        <v/>
      </c>
      <c r="CB109" s="3">
        <f t="shared" ca="1" si="461"/>
        <v>0</v>
      </c>
      <c r="CC109" s="3" t="str">
        <f t="shared" ca="1" si="510"/>
        <v/>
      </c>
      <c r="CD109" s="3">
        <f>IF(RTD("tos.rtd",,CD$83,"."&amp;$B$82&amp;$AS$82&amp;"C"&amp;$A109)="N/A",0,RTD("tos.rtd",,CD$83,"."&amp;$B$82&amp;$AS$82&amp;"C"&amp;$A109))</f>
        <v>1</v>
      </c>
      <c r="CE109" s="3">
        <f>-IF(RTD("tos.rtd",,CE$83,"."&amp;$B$82&amp;$AS$82&amp;"P"&amp;$A109)="N/A",0,RTD("tos.rtd",,CE$83,"."&amp;$B$82&amp;$AS$82&amp;"P"&amp;$A109))</f>
        <v>0.01</v>
      </c>
      <c r="CF109" s="3">
        <f>IF(RTD("tos.rtd",,CF$83,"."&amp;$C$82&amp;$AU$82&amp;"C"&amp;$A109)="N/A",0,RTD("tos.rtd",,CF$83,"."&amp;$C$82&amp;$AU$82&amp;"C"&amp;$A109))</f>
        <v>0.56000000000000005</v>
      </c>
      <c r="CG109" s="3">
        <f>-IF(RTD("tos.rtd",,CG$83,"."&amp;$C$82&amp;$AU$82&amp;"P"&amp;$A109)="N/A",0,RTD("tos.rtd",,CG$83,"."&amp;$C$82&amp;$AU$82&amp;"P"&amp;$A109))</f>
        <v>0.35</v>
      </c>
      <c r="CH109" s="3">
        <f>IF(RTD("tos.rtd",,CH$83,"."&amp;$D$82&amp;$AW$82&amp;"C"&amp;$A109)="N/A",0,RTD("tos.rtd",,CH$83,"."&amp;$D$82&amp;$AW$82&amp;"C"&amp;$A109))</f>
        <v>0.56999999999999995</v>
      </c>
      <c r="CI109" s="3">
        <f>-IF(RTD("tos.rtd",,CI$83,"."&amp;$D$82&amp;$AW$82&amp;"P"&amp;$A109)="N/A",0,RTD("tos.rtd",,CI$83,"."&amp;$D$82&amp;$AW$82&amp;"P"&amp;$A109))</f>
        <v>0.41</v>
      </c>
      <c r="CK109" s="3">
        <f t="shared" si="495"/>
        <v>103996</v>
      </c>
      <c r="CL109" s="3"/>
      <c r="CM109" s="3">
        <f t="shared" si="496"/>
        <v>-2800</v>
      </c>
      <c r="CN109" s="3"/>
      <c r="CO109" s="3">
        <f t="shared" si="497"/>
        <v>82521</v>
      </c>
      <c r="CP109" s="3">
        <f t="shared" si="462"/>
        <v>183717</v>
      </c>
      <c r="CQ109" s="3">
        <f t="shared" si="463"/>
        <v>0</v>
      </c>
      <c r="CR109" s="3"/>
      <c r="CS109" s="3">
        <f t="shared" si="464"/>
        <v>0</v>
      </c>
      <c r="CT109" s="3"/>
      <c r="CU109" s="3">
        <f t="shared" si="465"/>
        <v>0</v>
      </c>
      <c r="CV109" s="3"/>
      <c r="CW109" s="3" t="e">
        <f t="shared" ca="1" si="466"/>
        <v>#NUM!</v>
      </c>
      <c r="CY109" s="3" t="e">
        <f t="shared" ca="1" si="467"/>
        <v>#NUM!</v>
      </c>
      <c r="CZ109" s="70" t="e">
        <f t="shared" ca="1" si="511"/>
        <v>#NUM!</v>
      </c>
      <c r="DA109" s="3">
        <f>IF(RTD("tos.rtd",,DA$83,"."&amp;$B$82&amp;$AS$82&amp;"C"&amp;$A109)="N/A",0,RTD("tos.rtd",,DA$83,"."&amp;$B$82&amp;$AS$82&amp;"C"&amp;$A109))</f>
        <v>29.8</v>
      </c>
      <c r="DB109" s="3">
        <f>IF(RTD("tos.rtd",,DB$83,"."&amp;$B$82&amp;$AS$82&amp;"P"&amp;$A109)="N/A",0,RTD("tos.rtd",,DB$83,"."&amp;$B$82&amp;$AS$82&amp;"P"&amp;$A109))</f>
        <v>0.05</v>
      </c>
      <c r="DC109" s="3">
        <f>IF(RTD("tos.rtd",,DC$83,"."&amp;$B$82&amp;$AS$82&amp;"C"&amp;$A109)="N/A",0,RTD("tos.rtd",,DC$83,"."&amp;$B$82&amp;$AS$82&amp;"C"&amp;$A109))</f>
        <v>31.8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26.9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499"/>
        <v>-29.909999999999854</v>
      </c>
      <c r="DH109" s="3">
        <f t="shared" si="468"/>
        <v>-1365.3673469387761</v>
      </c>
      <c r="DI109" s="3">
        <f t="shared" si="469"/>
        <v>43735</v>
      </c>
      <c r="DJ109" s="3">
        <f t="shared" si="470"/>
        <v>0</v>
      </c>
      <c r="DK109" s="3">
        <f t="shared" si="471"/>
        <v>43735</v>
      </c>
      <c r="DL109" s="3">
        <f t="shared" si="472"/>
        <v>42369.63265306122</v>
      </c>
      <c r="DM109" s="3">
        <f t="shared" si="473"/>
        <v>43735</v>
      </c>
      <c r="DN109" s="64" t="str">
        <f t="shared" si="474"/>
        <v>UNKNOWN</v>
      </c>
      <c r="DO109" s="64" t="str">
        <f t="shared" si="475"/>
        <v>UNKNOWN</v>
      </c>
      <c r="DP109" s="3">
        <f t="shared" si="476"/>
        <v>-38501.196938775531</v>
      </c>
      <c r="DQ109" s="3">
        <f t="shared" si="477"/>
        <v>2186.75</v>
      </c>
      <c r="DR109" s="3" t="e">
        <f t="shared" ca="1" si="478"/>
        <v>#NUM!</v>
      </c>
      <c r="DS109" s="3">
        <f t="shared" si="479"/>
        <v>437.35</v>
      </c>
      <c r="DT109" s="3">
        <f t="shared" si="500"/>
        <v>-2307</v>
      </c>
      <c r="DU109" s="3">
        <f t="shared" si="501"/>
        <v>43735</v>
      </c>
      <c r="DV109" s="3">
        <f t="shared" si="502"/>
        <v>218</v>
      </c>
      <c r="DW109" s="3">
        <f t="shared" si="503"/>
        <v>1763</v>
      </c>
      <c r="DX109" s="3" t="e">
        <f t="shared" ca="1" si="512"/>
        <v>#NUM!</v>
      </c>
      <c r="DY109" s="3" t="e">
        <f t="shared" ca="1" si="480"/>
        <v>#NUM!</v>
      </c>
      <c r="DZ109" s="3">
        <f t="shared" ca="1" si="504"/>
        <v>1.2261376940423138E-3</v>
      </c>
      <c r="EA109" s="3">
        <f t="shared" ca="1" si="505"/>
        <v>-3.5898618391011859E-3</v>
      </c>
      <c r="EB109" s="3">
        <f t="shared" ca="1" si="481"/>
        <v>2.0485857223068718E-3</v>
      </c>
      <c r="EC109" s="3">
        <f t="shared" ca="1" si="482"/>
        <v>-3.0473370878846824E-3</v>
      </c>
      <c r="ED109" s="63">
        <f t="shared" si="506"/>
        <v>1981</v>
      </c>
      <c r="EE109" s="59">
        <f t="shared" si="483"/>
        <v>0.25</v>
      </c>
      <c r="EF109" s="59">
        <f t="shared" si="484"/>
        <v>0.28160000000000002</v>
      </c>
      <c r="EG109" s="59">
        <f t="shared" si="485"/>
        <v>0.42030000000000001</v>
      </c>
      <c r="EH109" s="59">
        <f t="shared" si="486"/>
        <v>0.13689999999999999</v>
      </c>
      <c r="EI109" s="59">
        <f t="shared" si="487"/>
        <v>0.249</v>
      </c>
      <c r="EJ109" s="59">
        <f t="shared" si="488"/>
        <v>0.16389999999999999</v>
      </c>
      <c r="EK109" s="63" t="e">
        <f t="shared" ca="1" si="507"/>
        <v>#NUM!</v>
      </c>
      <c r="EL109" s="3" t="str">
        <f>RTD("tos.rtd",,EL$83,"."&amp;$B$82&amp;$AS$82&amp;"C"&amp;$A109)</f>
        <v>--</v>
      </c>
      <c r="EM109" s="3" t="str">
        <f>RTD("tos.rtd",,EM$83,"."&amp;$B$82&amp;$AS$82&amp;"P"&amp;$A109)</f>
        <v>28.16%</v>
      </c>
      <c r="EN109" s="3" t="str">
        <f>RTD("tos.rtd",,EN$83,"."&amp;$C$82&amp;$AU$82&amp;"C"&amp;$A109)</f>
        <v>42.03%</v>
      </c>
      <c r="EO109" s="3" t="str">
        <f>RTD("tos.rtd",,EO$83,"."&amp;$C$82&amp;$AU$82&amp;"P"&amp;$A109)</f>
        <v>13.69%</v>
      </c>
      <c r="EP109" s="3" t="str">
        <f>RTD("tos.rtd",,EP$83,"."&amp;$D$82&amp;$AW$82&amp;"C"&amp;$A109)</f>
        <v>24.90%</v>
      </c>
      <c r="EQ109" s="3" t="str">
        <f>RTD("tos.rtd",,EQ$83,"."&amp;$D$82&amp;$AW$82&amp;"P"&amp;$A109)</f>
        <v>16.39%</v>
      </c>
      <c r="ES109" s="63" t="str">
        <f t="shared" si="489"/>
        <v>5630,1981.00</v>
      </c>
      <c r="ET109" s="63" t="str">
        <f t="shared" ca="1" si="490"/>
        <v>5630,00.00</v>
      </c>
      <c r="EU109" s="67">
        <v>565.5</v>
      </c>
      <c r="EV109" s="67" t="s">
        <v>891</v>
      </c>
      <c r="EW109" s="67">
        <v>489.1</v>
      </c>
      <c r="EX109" s="67" t="s">
        <v>892</v>
      </c>
      <c r="EY109" s="67">
        <v>5663.94</v>
      </c>
      <c r="EZ109" s="67" t="s">
        <v>893</v>
      </c>
      <c r="FA109" s="67">
        <v>20063.564999999999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508"/>
        <v>5620</v>
      </c>
      <c r="B110" s="3">
        <f t="shared" si="451"/>
        <v>4019</v>
      </c>
      <c r="C110" s="3">
        <f t="shared" si="452"/>
        <v>2241</v>
      </c>
      <c r="D110" s="3">
        <f t="shared" si="453"/>
        <v>8012</v>
      </c>
      <c r="E110" s="3">
        <f t="shared" si="519"/>
        <v>14272</v>
      </c>
      <c r="F110" s="4">
        <f t="shared" si="522"/>
        <v>5709.4547439800281</v>
      </c>
      <c r="G110" s="4">
        <f t="shared" si="520"/>
        <v>567.41057719999094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-321</v>
      </c>
      <c r="AN110" s="20">
        <v>1456</v>
      </c>
      <c r="AO110" s="20">
        <v>5620</v>
      </c>
      <c r="AP110" s="20">
        <v>1489</v>
      </c>
      <c r="AQ110" s="20">
        <v>-44849</v>
      </c>
      <c r="AR110" s="20"/>
      <c r="AS110" s="54">
        <f>IF(RTD("tos.rtd",,AS$83,"."&amp;$B$82&amp;$AS$82&amp;"C"&amp;$A110)="N/A",0,RTD("tos.rtd",,AS$83,"."&amp;$B$82&amp;$AS$82&amp;"C"&amp;$A110))</f>
        <v>1685</v>
      </c>
      <c r="AT110" s="3">
        <f>-IF(RTD("tos.rtd",,AT$83,"."&amp;$B$82&amp;$AS$82&amp;"P"&amp;$A110)="N/A",0,RTD("tos.rtd",,AT$83,"."&amp;$B$82&amp;$AS$82&amp;"P"&amp;$A110))</f>
        <v>-2334</v>
      </c>
      <c r="AU110" s="54">
        <f>IF(RTD("tos.rtd",,AU$83,"."&amp;$C$82&amp;$AU$82&amp;"C"&amp;$A110)="N/A",0,RTD("tos.rtd",,AU$83,"."&amp;$C$82&amp;$AU$82&amp;"C"&amp;$A110))</f>
        <v>1265</v>
      </c>
      <c r="AV110" s="3">
        <f>-IF(RTD("tos.rtd",,AV$83,"."&amp;$C$82&amp;$AU$82&amp;"P"&amp;$A110)="N/A",0,RTD("tos.rtd",,AV$83,"."&amp;$C$82&amp;$AU$82&amp;"P"&amp;$A110))</f>
        <v>-976</v>
      </c>
      <c r="AW110" s="54">
        <f>IF(RTD("tos.rtd",,AW$83,"."&amp;$D$82&amp;$AW$82&amp;"C"&amp;$A110)="N/A",0,RTD("tos.rtd",,AW$83,"."&amp;$D$82&amp;$AW$82&amp;"C"&amp;$A110))</f>
        <v>3750</v>
      </c>
      <c r="AX110" s="3">
        <f>-IF(RTD("tos.rtd",,AX$83,"."&amp;$D$82&amp;$AW$82&amp;"P"&amp;$A110)="N/A",0,RTD("tos.rtd",,AX$83,"."&amp;$D$82&amp;$AW$82&amp;"P"&amp;$A110))</f>
        <v>-4262</v>
      </c>
      <c r="AY110" s="79">
        <f t="shared" si="521"/>
        <v>-872</v>
      </c>
      <c r="AZ110" s="8">
        <f t="shared" si="455"/>
        <v>5620</v>
      </c>
      <c r="BA110" s="54">
        <f>IF(RTD("tos.rtd",,BA$83,"."&amp;$B$82&amp;$AS$82&amp;"C"&amp;$A110)="N/A",0,RTD("tos.rtd",,BA$83,"."&amp;$B$82&amp;$AS$82&amp;"C"&amp;$A110))</f>
        <v>0</v>
      </c>
      <c r="BB110" s="3">
        <f>-IF(RTD("tos.rtd",,BB$83,"."&amp;$B$82&amp;$AS$82&amp;"P"&amp;$A110)="N/A",0,RTD("tos.rtd",,BB$83,"."&amp;$B$82&amp;$AS$82&amp;"P"&amp;$A110))</f>
        <v>0</v>
      </c>
      <c r="BC110" s="54">
        <f>IF(RTD("tos.rtd",,BC$83,"."&amp;$C$82&amp;$AU$82&amp;"C"&amp;$A110)="N/A",0,RTD("tos.rtd",,BC$83,"."&amp;$C$82&amp;$AU$82&amp;"C"&amp;$A110))</f>
        <v>0</v>
      </c>
      <c r="BD110" s="3">
        <f>-IF(RTD("tos.rtd",,BD$83,"."&amp;$C$82&amp;$AU$82&amp;"P"&amp;$A110)="N/A",0,RTD("tos.rtd",,BD$83,"."&amp;$C$82&amp;$AU$82&amp;"P"&amp;$A110))</f>
        <v>0</v>
      </c>
      <c r="BE110" s="54">
        <f>IF(RTD("tos.rtd",,BE$83,"."&amp;$D$82&amp;$AW$82&amp;"C"&amp;$A110)="N/A",0,RTD("tos.rtd",,BE$83,"."&amp;$D$82&amp;$AW$82&amp;"C"&amp;$A110))</f>
        <v>0</v>
      </c>
      <c r="BF110" s="3">
        <f>-IF(RTD("tos.rtd",,BF$83,"."&amp;$D$82&amp;$AW$82&amp;"P"&amp;$A110)="N/A",0,RTD("tos.rtd",,BF$83,"."&amp;$D$82&amp;$AW$82&amp;"P"&amp;$A110))</f>
        <v>0</v>
      </c>
      <c r="BG110" s="3">
        <f ca="1">+Hoja2!Y111</f>
        <v>0</v>
      </c>
      <c r="BH110" s="55">
        <f t="shared" ca="1" si="493"/>
        <v>0</v>
      </c>
      <c r="BI110" s="32" t="str">
        <f t="shared" ca="1" si="513"/>
        <v/>
      </c>
      <c r="BJ110" s="3" t="e">
        <f ca="1">IF($BP$1=1,DX110,IF(RTD("tos.rtd",,BJ$83,"."&amp;$B$82&amp;$AS$82&amp;"C"&amp;$A110)="N/A",0,RTD("tos.rtd",,BJ$83,"."&amp;$B$82&amp;$AS$82&amp;"C"&amp;$A110)))</f>
        <v>#NUM!</v>
      </c>
      <c r="BK110" s="3" t="e">
        <f ca="1">IF($BP$1=1,DY110,-IF(RTD("tos.rtd",,BK$83,"."&amp;$B$82&amp;$AS$82&amp;"P"&amp;$A110)="N/A",0,RTD("tos.rtd",,BK$83,"."&amp;$B$82&amp;$AS$82&amp;"P"&amp;$A110)))</f>
        <v>#NUM!</v>
      </c>
      <c r="BL110" s="3">
        <f ca="1">IF($BP$1=1,DZ110,IF(RTD("tos.rtd",,BL$83,"."&amp;$C$82&amp;$AU$82&amp;"C"&amp;$A110)="N/A",0,RTD("tos.rtd",,BL$83,"."&amp;$C$82&amp;$AU$82&amp;"C"&amp;$A110)))</f>
        <v>1.1919773309670971E-3</v>
      </c>
      <c r="BM110" s="3">
        <f ca="1">IF($BP$1=1,EA110,-IF(RTD("tos.rtd",,BM$83,"."&amp;$C$82&amp;$AU$82&amp;"P"&amp;$A110)="N/A",0,RTD("tos.rtd",,BM$83,"."&amp;$C$82&amp;$AU$82&amp;"P"&amp;$A110)))</f>
        <v>-3.3411983562076633E-3</v>
      </c>
      <c r="BN110" s="3">
        <f ca="1">IF($BP$1=1,EB110,IF(RTD("tos.rtd",,BN$83,"."&amp;$D$82&amp;$AW$82&amp;"C"&amp;$A110)="N/A",0,RTD("tos.rtd",,BN$83,"."&amp;$D$82&amp;$AW$82&amp;"C"&amp;$A110)))</f>
        <v>2.0055934257844302E-3</v>
      </c>
      <c r="BO110" s="3">
        <f ca="1">IF($BP$1=1,EC110,-IF(RTD("tos.rtd",,BO$83,"."&amp;$D$82&amp;$AW$82&amp;"P"&amp;$A110)="N/A",0,RTD("tos.rtd",,BO$83,"."&amp;$D$82&amp;$AW$82&amp;"P"&amp;$A110)))</f>
        <v>-2.9378358833934142E-3</v>
      </c>
      <c r="BQ110" s="3" t="e">
        <f t="shared" ca="1" si="456"/>
        <v>#NUM!</v>
      </c>
      <c r="BR110" s="3" t="e">
        <f t="shared" ca="1" si="494"/>
        <v>#NUM!</v>
      </c>
      <c r="BS110" s="3">
        <f t="shared" ca="1" si="457"/>
        <v>-431600.68871799763</v>
      </c>
      <c r="BT110" s="3" t="str">
        <f t="shared" ca="1" si="494"/>
        <v/>
      </c>
      <c r="BU110" s="3">
        <f t="shared" ca="1" si="458"/>
        <v>-1230943.3318224146</v>
      </c>
      <c r="BV110" s="3" t="str">
        <f t="shared" ca="1" si="494"/>
        <v/>
      </c>
      <c r="BX110" s="3" t="e">
        <f t="shared" ca="1" si="459"/>
        <v>#NUM!</v>
      </c>
      <c r="BY110" s="3" t="e">
        <f t="shared" ca="1" si="510"/>
        <v>#NUM!</v>
      </c>
      <c r="BZ110" s="3">
        <f t="shared" ca="1" si="460"/>
        <v>0</v>
      </c>
      <c r="CA110" s="3" t="str">
        <f t="shared" ca="1" si="510"/>
        <v/>
      </c>
      <c r="CB110" s="3">
        <f t="shared" ca="1" si="461"/>
        <v>0</v>
      </c>
      <c r="CC110" s="3" t="str">
        <f t="shared" ca="1" si="510"/>
        <v/>
      </c>
      <c r="CD110" s="3">
        <f>IF(RTD("tos.rtd",,CD$83,"."&amp;$B$82&amp;$AS$82&amp;"C"&amp;$A110)="N/A",0,RTD("tos.rtd",,CD$83,"."&amp;$B$82&amp;$AS$82&amp;"C"&amp;$A110))</f>
        <v>1</v>
      </c>
      <c r="CE110" s="3">
        <f>-IF(RTD("tos.rtd",,CE$83,"."&amp;$B$82&amp;$AS$82&amp;"P"&amp;$A110)="N/A",0,RTD("tos.rtd",,CE$83,"."&amp;$B$82&amp;$AS$82&amp;"P"&amp;$A110))</f>
        <v>0.01</v>
      </c>
      <c r="CF110" s="3">
        <f>IF(RTD("tos.rtd",,CF$83,"."&amp;$C$82&amp;$AU$82&amp;"C"&amp;$A110)="N/A",0,RTD("tos.rtd",,CF$83,"."&amp;$C$82&amp;$AU$82&amp;"C"&amp;$A110))</f>
        <v>0.56999999999999995</v>
      </c>
      <c r="CG110" s="3">
        <f>-IF(RTD("tos.rtd",,CG$83,"."&amp;$C$82&amp;$AU$82&amp;"P"&amp;$A110)="N/A",0,RTD("tos.rtd",,CG$83,"."&amp;$C$82&amp;$AU$82&amp;"P"&amp;$A110))</f>
        <v>0.31</v>
      </c>
      <c r="CH110" s="3">
        <f>IF(RTD("tos.rtd",,CH$83,"."&amp;$D$82&amp;$AW$82&amp;"C"&amp;$A110)="N/A",0,RTD("tos.rtd",,CH$83,"."&amp;$D$82&amp;$AW$82&amp;"C"&amp;$A110))</f>
        <v>0.56999999999999995</v>
      </c>
      <c r="CI110" s="3">
        <f>-IF(RTD("tos.rtd",,CI$83,"."&amp;$D$82&amp;$AW$82&amp;"P"&amp;$A110)="N/A",0,RTD("tos.rtd",,CI$83,"."&amp;$D$82&amp;$AW$82&amp;"P"&amp;$A110))</f>
        <v>0.4</v>
      </c>
      <c r="CK110" s="3">
        <f t="shared" si="495"/>
        <v>166166</v>
      </c>
      <c r="CL110" s="3"/>
      <c r="CM110" s="3">
        <f t="shared" si="496"/>
        <v>41849</v>
      </c>
      <c r="CN110" s="3"/>
      <c r="CO110" s="3">
        <f t="shared" si="497"/>
        <v>43269.999999999971</v>
      </c>
      <c r="CP110" s="3">
        <f t="shared" si="462"/>
        <v>251284.99999999997</v>
      </c>
      <c r="CQ110" s="3">
        <f t="shared" si="463"/>
        <v>0</v>
      </c>
      <c r="CR110" s="3"/>
      <c r="CS110" s="3">
        <f t="shared" si="464"/>
        <v>0</v>
      </c>
      <c r="CT110" s="3"/>
      <c r="CU110" s="3">
        <f t="shared" si="465"/>
        <v>0</v>
      </c>
      <c r="CV110" s="3"/>
      <c r="CW110" s="3" t="e">
        <f t="shared" ca="1" si="466"/>
        <v>#NUM!</v>
      </c>
      <c r="CY110" s="3" t="e">
        <f t="shared" ca="1" si="467"/>
        <v>#NUM!</v>
      </c>
      <c r="CZ110" s="70" t="e">
        <f t="shared" ca="1" si="511"/>
        <v>#NUM!</v>
      </c>
      <c r="DA110" s="3">
        <f>IF(RTD("tos.rtd",,DA$83,"."&amp;$B$82&amp;$AS$82&amp;"C"&amp;$A110)="N/A",0,RTD("tos.rtd",,DA$83,"."&amp;$B$82&amp;$AS$82&amp;"C"&amp;$A110))</f>
        <v>39.299999999999997</v>
      </c>
      <c r="DB110" s="3">
        <f>IF(RTD("tos.rtd",,DB$83,"."&amp;$B$82&amp;$AS$82&amp;"P"&amp;$A110)="N/A",0,RTD("tos.rtd",,DB$83,"."&amp;$B$82&amp;$AS$82&amp;"P"&amp;$A110))</f>
        <v>0.05</v>
      </c>
      <c r="DC110" s="3">
        <f>IF(RTD("tos.rtd",,DC$83,"."&amp;$B$82&amp;$AS$82&amp;"C"&amp;$A110)="N/A",0,RTD("tos.rtd",,DC$83,"."&amp;$B$82&amp;$AS$82&amp;"C"&amp;$A110))</f>
        <v>41.8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36.9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9"/>
        <v>-39.909999999999854</v>
      </c>
      <c r="DH110" s="3">
        <f t="shared" si="468"/>
        <v>-729.30612244897941</v>
      </c>
      <c r="DI110" s="3">
        <f t="shared" si="469"/>
        <v>44849</v>
      </c>
      <c r="DJ110" s="3">
        <f t="shared" si="470"/>
        <v>0</v>
      </c>
      <c r="DK110" s="3">
        <f t="shared" si="471"/>
        <v>44849</v>
      </c>
      <c r="DL110" s="3">
        <f t="shared" si="472"/>
        <v>44119.693877551021</v>
      </c>
      <c r="DM110" s="3">
        <f t="shared" si="473"/>
        <v>44849</v>
      </c>
      <c r="DN110" s="64" t="str">
        <f t="shared" si="474"/>
        <v>UNKNOWN</v>
      </c>
      <c r="DO110" s="64" t="str">
        <f t="shared" si="475"/>
        <v>UNKNOWN</v>
      </c>
      <c r="DP110" s="3">
        <f t="shared" si="476"/>
        <v>-26419.280612244889</v>
      </c>
      <c r="DQ110" s="3">
        <f t="shared" si="477"/>
        <v>2242.4500000000003</v>
      </c>
      <c r="DR110" s="3" t="e">
        <f t="shared" ca="1" si="478"/>
        <v>#NUM!</v>
      </c>
      <c r="DS110" s="3">
        <f t="shared" si="479"/>
        <v>448.49</v>
      </c>
      <c r="DT110" s="3">
        <f t="shared" si="500"/>
        <v>-1489</v>
      </c>
      <c r="DU110" s="3">
        <f t="shared" si="501"/>
        <v>44849</v>
      </c>
      <c r="DV110" s="3">
        <f t="shared" si="502"/>
        <v>-321</v>
      </c>
      <c r="DW110" s="3">
        <f t="shared" si="503"/>
        <v>1456</v>
      </c>
      <c r="DX110" s="3" t="e">
        <f t="shared" ca="1" si="512"/>
        <v>#NUM!</v>
      </c>
      <c r="DY110" s="3" t="e">
        <f t="shared" ca="1" si="480"/>
        <v>#NUM!</v>
      </c>
      <c r="DZ110" s="3">
        <f t="shared" ca="1" si="504"/>
        <v>1.1919773309670971E-3</v>
      </c>
      <c r="EA110" s="3">
        <f t="shared" ca="1" si="505"/>
        <v>-3.3411983562076633E-3</v>
      </c>
      <c r="EB110" s="3">
        <f t="shared" ca="1" si="481"/>
        <v>2.0055934257844302E-3</v>
      </c>
      <c r="EC110" s="3">
        <f t="shared" ca="1" si="482"/>
        <v>-2.9378358833934142E-3</v>
      </c>
      <c r="ED110" s="63">
        <f t="shared" si="506"/>
        <v>1135</v>
      </c>
      <c r="EE110" s="59">
        <f t="shared" si="483"/>
        <v>0.25</v>
      </c>
      <c r="EF110" s="59">
        <f t="shared" si="484"/>
        <v>0.36470000000000002</v>
      </c>
      <c r="EG110" s="59">
        <f t="shared" si="485"/>
        <v>0.43049999999999999</v>
      </c>
      <c r="EH110" s="59">
        <f t="shared" si="486"/>
        <v>0.14280000000000001</v>
      </c>
      <c r="EI110" s="59">
        <f t="shared" si="487"/>
        <v>0.2515</v>
      </c>
      <c r="EJ110" s="59">
        <f t="shared" si="488"/>
        <v>0.16589999999999999</v>
      </c>
      <c r="EK110" s="63" t="e">
        <f t="shared" ca="1" si="507"/>
        <v>#NUM!</v>
      </c>
      <c r="EL110" s="3" t="str">
        <f>RTD("tos.rtd",,EL$83,"."&amp;$B$82&amp;$AS$82&amp;"C"&amp;$A110)</f>
        <v>--</v>
      </c>
      <c r="EM110" s="3" t="str">
        <f>RTD("tos.rtd",,EM$83,"."&amp;$B$82&amp;$AS$82&amp;"P"&amp;$A110)</f>
        <v>36.47%</v>
      </c>
      <c r="EN110" s="3" t="str">
        <f>RTD("tos.rtd",,EN$83,"."&amp;$C$82&amp;$AU$82&amp;"C"&amp;$A110)</f>
        <v>43.05%</v>
      </c>
      <c r="EO110" s="3" t="str">
        <f>RTD("tos.rtd",,EO$83,"."&amp;$C$82&amp;$AU$82&amp;"P"&amp;$A110)</f>
        <v>14.28%</v>
      </c>
      <c r="EP110" s="3" t="str">
        <f>RTD("tos.rtd",,EP$83,"."&amp;$D$82&amp;$AW$82&amp;"C"&amp;$A110)</f>
        <v>25.15%</v>
      </c>
      <c r="EQ110" s="3" t="str">
        <f>RTD("tos.rtd",,EQ$83,"."&amp;$D$82&amp;$AW$82&amp;"P"&amp;$A110)</f>
        <v>16.59%</v>
      </c>
      <c r="ES110" s="63" t="str">
        <f t="shared" si="489"/>
        <v>5620,1135.00</v>
      </c>
      <c r="ET110" s="63" t="str">
        <f t="shared" ca="1" si="490"/>
        <v>5620,00.00</v>
      </c>
      <c r="EU110" s="67">
        <v>565.41999999999996</v>
      </c>
      <c r="EV110" s="67" t="s">
        <v>899</v>
      </c>
      <c r="EW110" s="67">
        <v>489.01</v>
      </c>
      <c r="EX110" s="67" t="s">
        <v>900</v>
      </c>
      <c r="EY110" s="67">
        <v>5663.94</v>
      </c>
      <c r="EZ110" s="67" t="s">
        <v>901</v>
      </c>
      <c r="FA110" s="67">
        <v>20063.564999999999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508"/>
        <v>5610</v>
      </c>
      <c r="B111" s="3">
        <f t="shared" si="451"/>
        <v>1780</v>
      </c>
      <c r="C111" s="3">
        <f t="shared" si="452"/>
        <v>1024</v>
      </c>
      <c r="D111" s="3">
        <f t="shared" si="453"/>
        <v>3267</v>
      </c>
      <c r="E111" s="3">
        <f t="shared" si="519"/>
        <v>6071</v>
      </c>
      <c r="F111" s="4">
        <f t="shared" si="522"/>
        <v>5699.2955718377152</v>
      </c>
      <c r="G111" s="4">
        <f t="shared" si="520"/>
        <v>566.40094983842505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-27</v>
      </c>
      <c r="AN111" s="20">
        <v>2334</v>
      </c>
      <c r="AO111" s="20">
        <v>5610</v>
      </c>
      <c r="AP111" s="20">
        <v>794</v>
      </c>
      <c r="AQ111" s="20">
        <v>-30254</v>
      </c>
      <c r="AR111" s="20"/>
      <c r="AS111" s="54">
        <f>IF(RTD("tos.rtd",,AS$83,"."&amp;$B$82&amp;$AS$82&amp;"C"&amp;$A111)="N/A",0,RTD("tos.rtd",,AS$83,"."&amp;$B$82&amp;$AS$82&amp;"C"&amp;$A111))</f>
        <v>675</v>
      </c>
      <c r="AT111" s="3">
        <f>-IF(RTD("tos.rtd",,AT$83,"."&amp;$B$82&amp;$AS$82&amp;"P"&amp;$A111)="N/A",0,RTD("tos.rtd",,AT$83,"."&amp;$B$82&amp;$AS$82&amp;"P"&amp;$A111))</f>
        <v>-1105</v>
      </c>
      <c r="AU111" s="54">
        <f>IF(RTD("tos.rtd",,AU$83,"."&amp;$C$82&amp;$AU$82&amp;"C"&amp;$A111)="N/A",0,RTD("tos.rtd",,AU$83,"."&amp;$C$82&amp;$AU$82&amp;"C"&amp;$A111))</f>
        <v>468</v>
      </c>
      <c r="AV111" s="3">
        <f>-IF(RTD("tos.rtd",,AV$83,"."&amp;$C$82&amp;$AU$82&amp;"P"&amp;$A111)="N/A",0,RTD("tos.rtd",,AV$83,"."&amp;$C$82&amp;$AU$82&amp;"P"&amp;$A111))</f>
        <v>-556</v>
      </c>
      <c r="AW111" s="54">
        <f>IF(RTD("tos.rtd",,AW$83,"."&amp;$D$82&amp;$AW$82&amp;"C"&amp;$A111)="N/A",0,RTD("tos.rtd",,AW$83,"."&amp;$D$82&amp;$AW$82&amp;"C"&amp;$A111))</f>
        <v>1503</v>
      </c>
      <c r="AX111" s="3">
        <f>-IF(RTD("tos.rtd",,AX$83,"."&amp;$D$82&amp;$AW$82&amp;"P"&amp;$A111)="N/A",0,RTD("tos.rtd",,AX$83,"."&amp;$D$82&amp;$AW$82&amp;"P"&amp;$A111))</f>
        <v>-1764</v>
      </c>
      <c r="AY111" s="79">
        <f t="shared" si="521"/>
        <v>-779</v>
      </c>
      <c r="AZ111" s="8">
        <f t="shared" si="455"/>
        <v>5610</v>
      </c>
      <c r="BA111" s="54">
        <f>IF(RTD("tos.rtd",,BA$83,"."&amp;$B$82&amp;$AS$82&amp;"C"&amp;$A111)="N/A",0,RTD("tos.rtd",,BA$83,"."&amp;$B$82&amp;$AS$82&amp;"C"&amp;$A111))</f>
        <v>0</v>
      </c>
      <c r="BB111" s="3">
        <f>-IF(RTD("tos.rtd",,BB$83,"."&amp;$B$82&amp;$AS$82&amp;"P"&amp;$A111)="N/A",0,RTD("tos.rtd",,BB$83,"."&amp;$B$82&amp;$AS$82&amp;"P"&amp;$A111))</f>
        <v>0</v>
      </c>
      <c r="BC111" s="54">
        <f>IF(RTD("tos.rtd",,BC$83,"."&amp;$C$82&amp;$AU$82&amp;"C"&amp;$A111)="N/A",0,RTD("tos.rtd",,BC$83,"."&amp;$C$82&amp;$AU$82&amp;"C"&amp;$A111))</f>
        <v>0</v>
      </c>
      <c r="BD111" s="3">
        <f>-IF(RTD("tos.rtd",,BD$83,"."&amp;$C$82&amp;$AU$82&amp;"P"&amp;$A111)="N/A",0,RTD("tos.rtd",,BD$83,"."&amp;$C$82&amp;$AU$82&amp;"P"&amp;$A111))</f>
        <v>0</v>
      </c>
      <c r="BE111" s="54">
        <f>IF(RTD("tos.rtd",,BE$83,"."&amp;$D$82&amp;$AW$82&amp;"C"&amp;$A111)="N/A",0,RTD("tos.rtd",,BE$83,"."&amp;$D$82&amp;$AW$82&amp;"C"&amp;$A111))</f>
        <v>0</v>
      </c>
      <c r="BF111" s="3">
        <f>-IF(RTD("tos.rtd",,BF$83,"."&amp;$D$82&amp;$AW$82&amp;"P"&amp;$A111)="N/A",0,RTD("tos.rtd",,BF$83,"."&amp;$D$82&amp;$AW$82&amp;"P"&amp;$A111))</f>
        <v>0</v>
      </c>
      <c r="BG111" s="3">
        <f ca="1">+Hoja2!Y112</f>
        <v>0</v>
      </c>
      <c r="BH111" s="55">
        <f t="shared" ca="1" si="493"/>
        <v>0</v>
      </c>
      <c r="BI111" s="32" t="str">
        <f t="shared" ca="1" si="513"/>
        <v/>
      </c>
      <c r="BJ111" s="3" t="e">
        <f ca="1">IF($BP$1=1,DX111,IF(RTD("tos.rtd",,BJ$83,"."&amp;$B$82&amp;$AS$82&amp;"C"&amp;$A111)="N/A",0,RTD("tos.rtd",,BJ$83,"."&amp;$B$82&amp;$AS$82&amp;"C"&amp;$A111)))</f>
        <v>#NUM!</v>
      </c>
      <c r="BK111" s="3" t="e">
        <f ca="1">IF($BP$1=1,DY111,-IF(RTD("tos.rtd",,BK$83,"."&amp;$B$82&amp;$AS$82&amp;"P"&amp;$A111)="N/A",0,RTD("tos.rtd",,BK$83,"."&amp;$B$82&amp;$AS$82&amp;"P"&amp;$A111)))</f>
        <v>#NUM!</v>
      </c>
      <c r="BL111" s="3">
        <f ca="1">IF($BP$1=1,DZ111,IF(RTD("tos.rtd",,BL$83,"."&amp;$C$82&amp;$AU$82&amp;"C"&amp;$A111)="N/A",0,RTD("tos.rtd",,BL$83,"."&amp;$C$82&amp;$AU$82&amp;"C"&amp;$A111)))</f>
        <v>1.1590011185784389E-3</v>
      </c>
      <c r="BM111" s="3">
        <f ca="1">IF($BP$1=1,EA111,-IF(RTD("tos.rtd",,BM$83,"."&amp;$C$82&amp;$AU$82&amp;"P"&amp;$A111)="N/A",0,RTD("tos.rtd",,BM$83,"."&amp;$C$82&amp;$AU$82&amp;"P"&amp;$A111)))</f>
        <v>-3.1098866238296295E-3</v>
      </c>
      <c r="BN111" s="3">
        <f ca="1">IF($BP$1=1,EB111,IF(RTD("tos.rtd",,BN$83,"."&amp;$D$82&amp;$AW$82&amp;"C"&amp;$A111)="N/A",0,RTD("tos.rtd",,BN$83,"."&amp;$D$82&amp;$AW$82&amp;"C"&amp;$A111)))</f>
        <v>1.9592126006753733E-3</v>
      </c>
      <c r="BO111" s="3">
        <f ca="1">IF($BP$1=1,EC111,-IF(RTD("tos.rtd",,BO$83,"."&amp;$D$82&amp;$AW$82&amp;"P"&amp;$A111)="N/A",0,RTD("tos.rtd",,BO$83,"."&amp;$D$82&amp;$AW$82&amp;"P"&amp;$A111)))</f>
        <v>-2.8184498850618235E-3</v>
      </c>
      <c r="BQ111" s="3" t="e">
        <f t="shared" ca="1" si="456"/>
        <v>#NUM!</v>
      </c>
      <c r="BR111" s="3" t="e">
        <f t="shared" ca="1" si="494"/>
        <v>#NUM!</v>
      </c>
      <c r="BS111" s="3">
        <f t="shared" ca="1" si="457"/>
        <v>-292143.51579128555</v>
      </c>
      <c r="BT111" s="3" t="str">
        <f t="shared" ca="1" si="494"/>
        <v/>
      </c>
      <c r="BU111" s="3">
        <f t="shared" ca="1" si="458"/>
        <v>-499028.40129462408</v>
      </c>
      <c r="BV111" s="3" t="str">
        <f t="shared" ca="1" si="494"/>
        <v/>
      </c>
      <c r="BX111" s="3" t="e">
        <f t="shared" ca="1" si="459"/>
        <v>#NUM!</v>
      </c>
      <c r="BY111" s="3" t="e">
        <f t="shared" ca="1" si="510"/>
        <v>#NUM!</v>
      </c>
      <c r="BZ111" s="3">
        <f t="shared" ca="1" si="460"/>
        <v>0</v>
      </c>
      <c r="CA111" s="3" t="str">
        <f t="shared" ca="1" si="510"/>
        <v/>
      </c>
      <c r="CB111" s="3">
        <f t="shared" ca="1" si="461"/>
        <v>0</v>
      </c>
      <c r="CC111" s="3" t="str">
        <f t="shared" ca="1" si="510"/>
        <v/>
      </c>
      <c r="CD111" s="3">
        <f>IF(RTD("tos.rtd",,CD$83,"."&amp;$B$82&amp;$AS$82&amp;"C"&amp;$A111)="N/A",0,RTD("tos.rtd",,CD$83,"."&amp;$B$82&amp;$AS$82&amp;"C"&amp;$A111))</f>
        <v>1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0.59</v>
      </c>
      <c r="CG111" s="3">
        <f>-IF(RTD("tos.rtd",,CG$83,"."&amp;$C$82&amp;$AU$82&amp;"P"&amp;$A111)="N/A",0,RTD("tos.rtd",,CG$83,"."&amp;$C$82&amp;$AU$82&amp;"P"&amp;$A111))</f>
        <v>0.28000000000000003</v>
      </c>
      <c r="CH111" s="3">
        <f>IF(RTD("tos.rtd",,CH$83,"."&amp;$D$82&amp;$AW$82&amp;"C"&amp;$A111)="N/A",0,RTD("tos.rtd",,CH$83,"."&amp;$D$82&amp;$AW$82&amp;"C"&amp;$A111))</f>
        <v>0.57999999999999996</v>
      </c>
      <c r="CI111" s="3">
        <f>-IF(RTD("tos.rtd",,CI$83,"."&amp;$D$82&amp;$AW$82&amp;"P"&amp;$A111)="N/A",0,RTD("tos.rtd",,CI$83,"."&amp;$D$82&amp;$AW$82&amp;"P"&amp;$A111))</f>
        <v>0.39</v>
      </c>
      <c r="CK111" s="3">
        <f t="shared" si="495"/>
        <v>67500</v>
      </c>
      <c r="CL111" s="3"/>
      <c r="CM111" s="3">
        <f t="shared" si="496"/>
        <v>12044</v>
      </c>
      <c r="CN111" s="3"/>
      <c r="CO111" s="3">
        <f t="shared" si="497"/>
        <v>18377.999999999985</v>
      </c>
      <c r="CP111" s="3">
        <f t="shared" si="462"/>
        <v>97921.999999999985</v>
      </c>
      <c r="CQ111" s="3">
        <f t="shared" si="463"/>
        <v>0</v>
      </c>
      <c r="CR111" s="3"/>
      <c r="CS111" s="3">
        <f t="shared" si="464"/>
        <v>0</v>
      </c>
      <c r="CT111" s="3"/>
      <c r="CU111" s="3">
        <f t="shared" si="465"/>
        <v>0</v>
      </c>
      <c r="CV111" s="3"/>
      <c r="CW111" s="3" t="e">
        <f t="shared" ca="1" si="466"/>
        <v>#NUM!</v>
      </c>
      <c r="CY111" s="3" t="e">
        <f t="shared" ca="1" si="467"/>
        <v>#NUM!</v>
      </c>
      <c r="CZ111" s="70" t="e">
        <f t="shared" ca="1" si="511"/>
        <v>#NUM!</v>
      </c>
      <c r="DA111" s="3">
        <f>IF(RTD("tos.rtd",,DA$83,"."&amp;$B$82&amp;$AS$82&amp;"C"&amp;$A111)="N/A",0,RTD("tos.rtd",,DA$83,"."&amp;$B$82&amp;$AS$82&amp;"C"&amp;$A111))</f>
        <v>56</v>
      </c>
      <c r="DB111" s="3">
        <f>IF(RTD("tos.rtd",,DB$83,"."&amp;$B$82&amp;$AS$82&amp;"P"&amp;$A111)="N/A",0,RTD("tos.rtd",,DB$83,"."&amp;$B$82&amp;$AS$82&amp;"P"&amp;$A111))</f>
        <v>0.05</v>
      </c>
      <c r="DC111" s="3">
        <f>IF(RTD("tos.rtd",,DC$83,"."&amp;$B$82&amp;$AS$82&amp;"C"&amp;$A111)="N/A",0,RTD("tos.rtd",,DC$83,"."&amp;$B$82&amp;$AS$82&amp;"C"&amp;$A111))</f>
        <v>52.1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46.9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9"/>
        <v>-49.909999999999854</v>
      </c>
      <c r="DH111" s="3">
        <f t="shared" si="468"/>
        <v>-1389.4999999999995</v>
      </c>
      <c r="DI111" s="3">
        <f t="shared" si="469"/>
        <v>30254</v>
      </c>
      <c r="DJ111" s="3">
        <f t="shared" si="470"/>
        <v>-794</v>
      </c>
      <c r="DK111" s="3">
        <f t="shared" si="471"/>
        <v>30254</v>
      </c>
      <c r="DL111" s="3">
        <f t="shared" si="472"/>
        <v>28864.5</v>
      </c>
      <c r="DM111" s="3">
        <f t="shared" si="473"/>
        <v>29460</v>
      </c>
      <c r="DN111" s="64" t="str">
        <f t="shared" si="474"/>
        <v>UNKNOWN</v>
      </c>
      <c r="DO111" s="64" t="str">
        <f t="shared" si="475"/>
        <v>UNKNOWN</v>
      </c>
      <c r="DP111" s="3">
        <f t="shared" si="476"/>
        <v>-76299.299999999974</v>
      </c>
      <c r="DQ111" s="3">
        <f t="shared" si="477"/>
        <v>-42951.3</v>
      </c>
      <c r="DR111" s="3" t="e">
        <f t="shared" ca="1" si="478"/>
        <v>#NUM!</v>
      </c>
      <c r="DS111" s="3">
        <f t="shared" si="479"/>
        <v>-794</v>
      </c>
      <c r="DT111" s="3">
        <f t="shared" si="500"/>
        <v>-794</v>
      </c>
      <c r="DU111" s="3">
        <f t="shared" si="501"/>
        <v>30254</v>
      </c>
      <c r="DV111" s="3">
        <f t="shared" si="502"/>
        <v>-27</v>
      </c>
      <c r="DW111" s="3">
        <f t="shared" si="503"/>
        <v>2334</v>
      </c>
      <c r="DX111" s="3" t="e">
        <f t="shared" ca="1" si="512"/>
        <v>#NUM!</v>
      </c>
      <c r="DY111" s="3" t="e">
        <f t="shared" ca="1" si="480"/>
        <v>#NUM!</v>
      </c>
      <c r="DZ111" s="3">
        <f t="shared" ca="1" si="504"/>
        <v>1.1590011185784389E-3</v>
      </c>
      <c r="EA111" s="3">
        <f t="shared" ca="1" si="505"/>
        <v>-3.1098866238296295E-3</v>
      </c>
      <c r="EB111" s="3">
        <f t="shared" ca="1" si="481"/>
        <v>1.9592126006753733E-3</v>
      </c>
      <c r="EC111" s="3">
        <f t="shared" ca="1" si="482"/>
        <v>-2.8184498850618235E-3</v>
      </c>
      <c r="ED111" s="63">
        <f t="shared" si="506"/>
        <v>2307</v>
      </c>
      <c r="EE111" s="59">
        <f t="shared" si="483"/>
        <v>0.25</v>
      </c>
      <c r="EF111" s="59">
        <f t="shared" si="484"/>
        <v>0.4456</v>
      </c>
      <c r="EG111" s="59">
        <f t="shared" si="485"/>
        <v>0.44059999999999999</v>
      </c>
      <c r="EH111" s="59">
        <f t="shared" si="486"/>
        <v>0.1484</v>
      </c>
      <c r="EI111" s="59">
        <f t="shared" si="487"/>
        <v>0.254</v>
      </c>
      <c r="EJ111" s="59">
        <f t="shared" si="488"/>
        <v>0.16789999999999999</v>
      </c>
      <c r="EK111" s="63" t="e">
        <f t="shared" ca="1" si="507"/>
        <v>#NUM!</v>
      </c>
      <c r="EL111" s="3" t="str">
        <f>RTD("tos.rtd",,EL$83,"."&amp;$B$82&amp;$AS$82&amp;"C"&amp;$A111)</f>
        <v>--</v>
      </c>
      <c r="EM111" s="3" t="str">
        <f>RTD("tos.rtd",,EM$83,"."&amp;$B$82&amp;$AS$82&amp;"P"&amp;$A111)</f>
        <v>44.56%</v>
      </c>
      <c r="EN111" s="3" t="str">
        <f>RTD("tos.rtd",,EN$83,"."&amp;$C$82&amp;$AU$82&amp;"C"&amp;$A111)</f>
        <v>44.06%</v>
      </c>
      <c r="EO111" s="3" t="str">
        <f>RTD("tos.rtd",,EO$83,"."&amp;$C$82&amp;$AU$82&amp;"P"&amp;$A111)</f>
        <v>14.84%</v>
      </c>
      <c r="EP111" s="3" t="str">
        <f>RTD("tos.rtd",,EP$83,"."&amp;$D$82&amp;$AW$82&amp;"C"&amp;$A111)</f>
        <v>25.40%</v>
      </c>
      <c r="EQ111" s="3" t="str">
        <f>RTD("tos.rtd",,EQ$83,"."&amp;$D$82&amp;$AW$82&amp;"P"&amp;$A111)</f>
        <v>16.79%</v>
      </c>
      <c r="ES111" s="63" t="str">
        <f t="shared" si="489"/>
        <v>5610,2307.00</v>
      </c>
      <c r="ET111" s="63" t="str">
        <f t="shared" ca="1" si="490"/>
        <v>5610,00.00</v>
      </c>
      <c r="EU111" s="67">
        <v>565.42999999999995</v>
      </c>
      <c r="EV111" s="67" t="s">
        <v>907</v>
      </c>
      <c r="EW111" s="67">
        <v>488.98</v>
      </c>
      <c r="EX111" s="67" t="s">
        <v>908</v>
      </c>
      <c r="EY111" s="67">
        <v>5663.94</v>
      </c>
      <c r="EZ111" s="67" t="s">
        <v>909</v>
      </c>
      <c r="FA111" s="67">
        <v>20063.564999999999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508"/>
        <v>5600</v>
      </c>
      <c r="B112" s="3">
        <f t="shared" si="451"/>
        <v>7525</v>
      </c>
      <c r="C112" s="3">
        <f t="shared" si="452"/>
        <v>44265</v>
      </c>
      <c r="D112" s="3">
        <f t="shared" si="453"/>
        <v>68664</v>
      </c>
      <c r="E112" s="3">
        <f t="shared" ref="E112:E122" si="523">SUM(B112:D112)</f>
        <v>120454</v>
      </c>
      <c r="F112" s="4">
        <f t="shared" ref="F112:F122" si="524">+$F$84/$A$84*A112</f>
        <v>5689.1363996954015</v>
      </c>
      <c r="G112" s="4">
        <f t="shared" ref="G112:G122" si="525">+$G$84/$A$84*A112</f>
        <v>565.39132247685927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-117</v>
      </c>
      <c r="AN112" s="20">
        <v>1204</v>
      </c>
      <c r="AO112" s="20">
        <v>5600</v>
      </c>
      <c r="AP112" s="20">
        <v>1372</v>
      </c>
      <c r="AQ112" s="20">
        <v>-50603</v>
      </c>
      <c r="AR112" s="20"/>
      <c r="AS112" s="54">
        <f>IF(RTD("tos.rtd",,AS$83,"."&amp;$B$82&amp;$AS$82&amp;"C"&amp;$A112)="N/A",0,RTD("tos.rtd",,AS$83,"."&amp;$B$82&amp;$AS$82&amp;"C"&amp;$A112))</f>
        <v>2808</v>
      </c>
      <c r="AT112" s="3">
        <f>-IF(RTD("tos.rtd",,AT$83,"."&amp;$B$82&amp;$AS$82&amp;"P"&amp;$A112)="N/A",0,RTD("tos.rtd",,AT$83,"."&amp;$B$82&amp;$AS$82&amp;"P"&amp;$A112))</f>
        <v>-4717</v>
      </c>
      <c r="AU112" s="54">
        <f>IF(RTD("tos.rtd",,AU$83,"."&amp;$C$82&amp;$AU$82&amp;"C"&amp;$A112)="N/A",0,RTD("tos.rtd",,AU$83,"."&amp;$C$82&amp;$AU$82&amp;"C"&amp;$A112))</f>
        <v>24338</v>
      </c>
      <c r="AV112" s="3">
        <f>-IF(RTD("tos.rtd",,AV$83,"."&amp;$C$82&amp;$AU$82&amp;"P"&amp;$A112)="N/A",0,RTD("tos.rtd",,AV$83,"."&amp;$C$82&amp;$AU$82&amp;"P"&amp;$A112))</f>
        <v>-19927</v>
      </c>
      <c r="AW112" s="54">
        <f>IF(RTD("tos.rtd",,AW$83,"."&amp;$D$82&amp;$AW$82&amp;"C"&amp;$A112)="N/A",0,RTD("tos.rtd",,AW$83,"."&amp;$D$82&amp;$AW$82&amp;"C"&amp;$A112))</f>
        <v>30628</v>
      </c>
      <c r="AX112" s="3">
        <f>-IF(RTD("tos.rtd",,AX$83,"."&amp;$D$82&amp;$AW$82&amp;"P"&amp;$A112)="N/A",0,RTD("tos.rtd",,AX$83,"."&amp;$D$82&amp;$AW$82&amp;"P"&amp;$A112))</f>
        <v>-38036</v>
      </c>
      <c r="AY112" s="79">
        <f t="shared" ref="AY112:AY122" si="526">SUM(AS112:AX112)</f>
        <v>-4906</v>
      </c>
      <c r="AZ112" s="8">
        <f t="shared" si="455"/>
        <v>5600</v>
      </c>
      <c r="BA112" s="54">
        <f>IF(RTD("tos.rtd",,BA$83,"."&amp;$B$82&amp;$AS$82&amp;"C"&amp;$A112)="N/A",0,RTD("tos.rtd",,BA$83,"."&amp;$B$82&amp;$AS$82&amp;"C"&amp;$A112))</f>
        <v>0</v>
      </c>
      <c r="BB112" s="3">
        <f>-IF(RTD("tos.rtd",,BB$83,"."&amp;$B$82&amp;$AS$82&amp;"P"&amp;$A112)="N/A",0,RTD("tos.rtd",,BB$83,"."&amp;$B$82&amp;$AS$82&amp;"P"&amp;$A112))</f>
        <v>0</v>
      </c>
      <c r="BC112" s="54">
        <f>IF(RTD("tos.rtd",,BC$83,"."&amp;$C$82&amp;$AU$82&amp;"C"&amp;$A112)="N/A",0,RTD("tos.rtd",,BC$83,"."&amp;$C$82&amp;$AU$82&amp;"C"&amp;$A112))</f>
        <v>0</v>
      </c>
      <c r="BD112" s="3">
        <f>-IF(RTD("tos.rtd",,BD$83,"."&amp;$C$82&amp;$AU$82&amp;"P"&amp;$A112)="N/A",0,RTD("tos.rtd",,BD$83,"."&amp;$C$82&amp;$AU$82&amp;"P"&amp;$A112))</f>
        <v>-1</v>
      </c>
      <c r="BE112" s="54">
        <f>IF(RTD("tos.rtd",,BE$83,"."&amp;$D$82&amp;$AW$82&amp;"C"&amp;$A112)="N/A",0,RTD("tos.rtd",,BE$83,"."&amp;$D$82&amp;$AW$82&amp;"C"&amp;$A112))</f>
        <v>0</v>
      </c>
      <c r="BF112" s="3">
        <f>-IF(RTD("tos.rtd",,BF$83,"."&amp;$D$82&amp;$AW$82&amp;"P"&amp;$A112)="N/A",0,RTD("tos.rtd",,BF$83,"."&amp;$D$82&amp;$AW$82&amp;"P"&amp;$A112))</f>
        <v>0</v>
      </c>
      <c r="BG112" s="3">
        <f ca="1">+Hoja2!Y113</f>
        <v>-6</v>
      </c>
      <c r="BH112" s="55">
        <f t="shared" ca="1" si="493"/>
        <v>-7</v>
      </c>
      <c r="BI112" s="32" t="str">
        <f t="shared" ca="1" si="513"/>
        <v/>
      </c>
      <c r="BJ112" s="3" t="e">
        <f ca="1">IF($BP$1=1,DX112,IF(RTD("tos.rtd",,BJ$83,"."&amp;$B$82&amp;$AS$82&amp;"C"&amp;$A112)="N/A",0,RTD("tos.rtd",,BJ$83,"."&amp;$B$82&amp;$AS$82&amp;"C"&amp;$A112)))</f>
        <v>#NUM!</v>
      </c>
      <c r="BK112" s="3" t="e">
        <f ca="1">IF($BP$1=1,DY112,-IF(RTD("tos.rtd",,BK$83,"."&amp;$B$82&amp;$AS$82&amp;"P"&amp;$A112)="N/A",0,RTD("tos.rtd",,BK$83,"."&amp;$B$82&amp;$AS$82&amp;"P"&amp;$A112)))</f>
        <v>#NUM!</v>
      </c>
      <c r="BL112" s="3">
        <f ca="1">IF($BP$1=1,DZ112,IF(RTD("tos.rtd",,BL$83,"."&amp;$C$82&amp;$AU$82&amp;"C"&amp;$A112)="N/A",0,RTD("tos.rtd",,BL$83,"."&amp;$C$82&amp;$AU$82&amp;"C"&amp;$A112)))</f>
        <v>1.1284146625940225E-3</v>
      </c>
      <c r="BM112" s="3">
        <f ca="1">IF($BP$1=1,EA112,-IF(RTD("tos.rtd",,BM$83,"."&amp;$C$82&amp;$AU$82&amp;"P"&amp;$A112)="N/A",0,RTD("tos.rtd",,BM$83,"."&amp;$C$82&amp;$AU$82&amp;"P"&amp;$A112)))</f>
        <v>-2.8966813755616221E-3</v>
      </c>
      <c r="BN112" s="3">
        <f ca="1">IF($BP$1=1,EB112,IF(RTD("tos.rtd",,BN$83,"."&amp;$D$82&amp;$AW$82&amp;"C"&amp;$A112)="N/A",0,RTD("tos.rtd",,BN$83,"."&amp;$D$82&amp;$AW$82&amp;"C"&amp;$A112)))</f>
        <v>1.9099565175636323E-3</v>
      </c>
      <c r="BO112" s="3">
        <f ca="1">IF($BP$1=1,EC112,-IF(RTD("tos.rtd",,BO$83,"."&amp;$D$82&amp;$AW$82&amp;"P"&amp;$A112)="N/A",0,RTD("tos.rtd",,BO$83,"."&amp;$D$82&amp;$AW$82&amp;"P"&amp;$A112)))</f>
        <v>-2.6916305260701132E-3</v>
      </c>
      <c r="BQ112" s="3" t="e">
        <f t="shared" ca="1" si="456"/>
        <v>#NUM!</v>
      </c>
      <c r="BR112" s="3" t="e">
        <f t="shared" ca="1" si="494"/>
        <v>#NUM!</v>
      </c>
      <c r="BS112" s="3">
        <f t="shared" ca="1" si="457"/>
        <v>-7449256.0351439808</v>
      </c>
      <c r="BT112" s="3" t="str">
        <f t="shared" ca="1" si="494"/>
        <v/>
      </c>
      <c r="BU112" s="3">
        <f t="shared" ca="1" si="458"/>
        <v>-10802758.178070972</v>
      </c>
      <c r="BV112" s="3" t="str">
        <f t="shared" ca="1" si="494"/>
        <v/>
      </c>
      <c r="BX112" s="3" t="e">
        <f t="shared" ca="1" si="459"/>
        <v>#NUM!</v>
      </c>
      <c r="BY112" s="3" t="e">
        <f t="shared" ca="1" si="510"/>
        <v>#NUM!</v>
      </c>
      <c r="BZ112" s="3">
        <f t="shared" ca="1" si="460"/>
        <v>-713.11854535143459</v>
      </c>
      <c r="CA112" s="3" t="str">
        <f t="shared" ca="1" si="510"/>
        <v/>
      </c>
      <c r="CB112" s="3">
        <f t="shared" ca="1" si="461"/>
        <v>0</v>
      </c>
      <c r="CC112" s="3" t="str">
        <f t="shared" ca="1" si="510"/>
        <v/>
      </c>
      <c r="CD112" s="3">
        <f>IF(RTD("tos.rtd",,CD$83,"."&amp;$B$82&amp;$AS$82&amp;"C"&amp;$A112)="N/A",0,RTD("tos.rtd",,CD$83,"."&amp;$B$82&amp;$AS$82&amp;"C"&amp;$A112))</f>
        <v>1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0.6</v>
      </c>
      <c r="CG112" s="3">
        <f>-IF(RTD("tos.rtd",,CG$83,"."&amp;$C$82&amp;$AU$82&amp;"P"&amp;$A112)="N/A",0,RTD("tos.rtd",,CG$83,"."&amp;$C$82&amp;$AU$82&amp;"P"&amp;$A112))</f>
        <v>0.25</v>
      </c>
      <c r="CH112" s="3">
        <f>IF(RTD("tos.rtd",,CH$83,"."&amp;$D$82&amp;$AW$82&amp;"C"&amp;$A112)="N/A",0,RTD("tos.rtd",,CH$83,"."&amp;$D$82&amp;$AW$82&amp;"C"&amp;$A112))</f>
        <v>0.59</v>
      </c>
      <c r="CI112" s="3">
        <f>-IF(RTD("tos.rtd",,CI$83,"."&amp;$D$82&amp;$AW$82&amp;"P"&amp;$A112)="N/A",0,RTD("tos.rtd",,CI$83,"."&amp;$D$82&amp;$AW$82&amp;"P"&amp;$A112))</f>
        <v>0.38</v>
      </c>
      <c r="CK112" s="3">
        <f t="shared" si="495"/>
        <v>280800</v>
      </c>
      <c r="CL112" s="3"/>
      <c r="CM112" s="3">
        <f t="shared" si="496"/>
        <v>962105</v>
      </c>
      <c r="CN112" s="3"/>
      <c r="CO112" s="3">
        <f t="shared" si="497"/>
        <v>361684</v>
      </c>
      <c r="CP112" s="3">
        <f t="shared" si="462"/>
        <v>1604589</v>
      </c>
      <c r="CQ112" s="3">
        <f t="shared" si="463"/>
        <v>0</v>
      </c>
      <c r="CR112" s="3"/>
      <c r="CS112" s="3">
        <f t="shared" si="464"/>
        <v>-1</v>
      </c>
      <c r="CT112" s="3"/>
      <c r="CU112" s="3">
        <f t="shared" si="465"/>
        <v>0</v>
      </c>
      <c r="CV112" s="3"/>
      <c r="CW112" s="3" t="e">
        <f t="shared" ref="CW112:CW122" ca="1" si="527">+BQ112+BS112+BU112</f>
        <v>#NUM!</v>
      </c>
      <c r="CY112" s="3" t="e">
        <f t="shared" ca="1" si="467"/>
        <v>#NUM!</v>
      </c>
      <c r="CZ112" s="70" t="e">
        <f t="shared" ca="1" si="511"/>
        <v>#NUM!</v>
      </c>
      <c r="DA112" s="3">
        <f>IF(RTD("tos.rtd",,DA$83,"."&amp;$B$82&amp;$AS$82&amp;"C"&amp;$A112)="N/A",0,RTD("tos.rtd",,DA$83,"."&amp;$B$82&amp;$AS$82&amp;"C"&amp;$A112))</f>
        <v>58.14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61.8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56.9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9"/>
        <v>-59.909999999999854</v>
      </c>
      <c r="DH112" s="3">
        <f t="shared" si="468"/>
        <v>-347.20000000000067</v>
      </c>
      <c r="DI112" s="3">
        <f t="shared" si="469"/>
        <v>50603</v>
      </c>
      <c r="DJ112" s="3">
        <f t="shared" si="470"/>
        <v>1372</v>
      </c>
      <c r="DK112" s="3">
        <f t="shared" si="471"/>
        <v>50603</v>
      </c>
      <c r="DL112" s="3">
        <f t="shared" si="472"/>
        <v>50255.8</v>
      </c>
      <c r="DM112" s="3">
        <f t="shared" si="473"/>
        <v>51975</v>
      </c>
      <c r="DN112" s="64" t="str">
        <f t="shared" si="474"/>
        <v>UNKNOWN</v>
      </c>
      <c r="DO112" s="64" t="str">
        <f t="shared" si="475"/>
        <v>UNKNOWN</v>
      </c>
      <c r="DP112" s="3">
        <f t="shared" si="476"/>
        <v>-17656.058000000037</v>
      </c>
      <c r="DQ112" s="3">
        <f t="shared" si="477"/>
        <v>82298.23</v>
      </c>
      <c r="DR112" s="3" t="e">
        <f t="shared" ca="1" si="478"/>
        <v>#NUM!</v>
      </c>
      <c r="DS112" s="3">
        <f t="shared" si="479"/>
        <v>1372</v>
      </c>
      <c r="DT112" s="3">
        <f t="shared" si="500"/>
        <v>-1372</v>
      </c>
      <c r="DU112" s="3">
        <f t="shared" si="501"/>
        <v>50603</v>
      </c>
      <c r="DV112" s="3">
        <f t="shared" si="502"/>
        <v>-117</v>
      </c>
      <c r="DW112" s="3">
        <f t="shared" si="503"/>
        <v>1204</v>
      </c>
      <c r="DX112" s="3" t="e">
        <f t="shared" ca="1" si="512"/>
        <v>#NUM!</v>
      </c>
      <c r="DY112" s="3" t="e">
        <f t="shared" ca="1" si="480"/>
        <v>#NUM!</v>
      </c>
      <c r="DZ112" s="3">
        <f t="shared" ca="1" si="504"/>
        <v>1.1284146625940225E-3</v>
      </c>
      <c r="EA112" s="3">
        <f t="shared" ca="1" si="505"/>
        <v>-2.8966813755616221E-3</v>
      </c>
      <c r="EB112" s="3">
        <f t="shared" ca="1" si="481"/>
        <v>1.9099565175636323E-3</v>
      </c>
      <c r="EC112" s="3">
        <f t="shared" ca="1" si="482"/>
        <v>-2.6916305260701132E-3</v>
      </c>
      <c r="ED112" s="63">
        <f t="shared" si="506"/>
        <v>1087</v>
      </c>
      <c r="EE112" s="59">
        <f t="shared" si="483"/>
        <v>0.25</v>
      </c>
      <c r="EF112" s="59">
        <f t="shared" si="484"/>
        <v>0.52539999999999998</v>
      </c>
      <c r="EG112" s="59">
        <f t="shared" si="485"/>
        <v>0.4501</v>
      </c>
      <c r="EH112" s="59">
        <f t="shared" si="486"/>
        <v>0.15359999999999999</v>
      </c>
      <c r="EI112" s="59">
        <f t="shared" si="487"/>
        <v>0.25650000000000001</v>
      </c>
      <c r="EJ112" s="59">
        <f t="shared" si="488"/>
        <v>0.1699</v>
      </c>
      <c r="EK112" s="63" t="e">
        <f t="shared" ca="1" si="507"/>
        <v>#NUM!</v>
      </c>
      <c r="EL112" s="3" t="str">
        <f>RTD("tos.rtd",,EL$83,"."&amp;$B$82&amp;$AS$82&amp;"C"&amp;$A112)</f>
        <v>--</v>
      </c>
      <c r="EM112" s="3" t="str">
        <f>RTD("tos.rtd",,EM$83,"."&amp;$B$82&amp;$AS$82&amp;"P"&amp;$A112)</f>
        <v>52.54%</v>
      </c>
      <c r="EN112" s="3" t="str">
        <f>RTD("tos.rtd",,EN$83,"."&amp;$C$82&amp;$AU$82&amp;"C"&amp;$A112)</f>
        <v>45.01%</v>
      </c>
      <c r="EO112" s="3" t="str">
        <f>RTD("tos.rtd",,EO$83,"."&amp;$C$82&amp;$AU$82&amp;"P"&amp;$A112)</f>
        <v>15.36%</v>
      </c>
      <c r="EP112" s="3" t="str">
        <f>RTD("tos.rtd",,EP$83,"."&amp;$D$82&amp;$AW$82&amp;"C"&amp;$A112)</f>
        <v>25.65%</v>
      </c>
      <c r="EQ112" s="3" t="str">
        <f>RTD("tos.rtd",,EQ$83,"."&amp;$D$82&amp;$AW$82&amp;"P"&amp;$A112)</f>
        <v>16.99%</v>
      </c>
      <c r="ES112" s="63" t="str">
        <f t="shared" si="489"/>
        <v>5600,1087.00</v>
      </c>
      <c r="ET112" s="63" t="str">
        <f t="shared" ca="1" si="490"/>
        <v>5600,00.00</v>
      </c>
      <c r="EU112" s="67">
        <v>565.47</v>
      </c>
      <c r="EV112" s="67" t="s">
        <v>915</v>
      </c>
      <c r="EW112" s="67">
        <v>489.04</v>
      </c>
      <c r="EX112" s="67" t="s">
        <v>916</v>
      </c>
      <c r="EY112" s="67">
        <v>5663.94</v>
      </c>
      <c r="EZ112" s="67" t="s">
        <v>917</v>
      </c>
      <c r="FA112" s="67">
        <v>20063.564999999999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508"/>
        <v>5590</v>
      </c>
      <c r="B113" s="3">
        <f t="shared" si="451"/>
        <v>1883</v>
      </c>
      <c r="C113" s="3">
        <f t="shared" si="452"/>
        <v>1884</v>
      </c>
      <c r="D113" s="3">
        <f t="shared" si="453"/>
        <v>6148</v>
      </c>
      <c r="E113" s="3">
        <f t="shared" si="523"/>
        <v>9915</v>
      </c>
      <c r="F113" s="4">
        <f t="shared" si="524"/>
        <v>5678.9772275530886</v>
      </c>
      <c r="G113" s="4">
        <f t="shared" si="525"/>
        <v>564.38169511529338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-27</v>
      </c>
      <c r="AN113" s="20">
        <v>7527</v>
      </c>
      <c r="AO113" s="20">
        <v>5590</v>
      </c>
      <c r="AP113" s="20">
        <v>1440</v>
      </c>
      <c r="AQ113" s="20">
        <v>-28137</v>
      </c>
      <c r="AR113" s="20"/>
      <c r="AS113" s="54">
        <f>IF(RTD("tos.rtd",,AS$83,"."&amp;$B$82&amp;$AS$82&amp;"C"&amp;$A113)="N/A",0,RTD("tos.rtd",,AS$83,"."&amp;$B$82&amp;$AS$82&amp;"C"&amp;$A113))</f>
        <v>728</v>
      </c>
      <c r="AT113" s="3">
        <f>-IF(RTD("tos.rtd",,AT$83,"."&amp;$B$82&amp;$AS$82&amp;"P"&amp;$A113)="N/A",0,RTD("tos.rtd",,AT$83,"."&amp;$B$82&amp;$AS$82&amp;"P"&amp;$A113))</f>
        <v>-1155</v>
      </c>
      <c r="AU113" s="54">
        <f>IF(RTD("tos.rtd",,AU$83,"."&amp;$C$82&amp;$AU$82&amp;"C"&amp;$A113)="N/A",0,RTD("tos.rtd",,AU$83,"."&amp;$C$82&amp;$AU$82&amp;"C"&amp;$A113))</f>
        <v>432</v>
      </c>
      <c r="AV113" s="3">
        <f>-IF(RTD("tos.rtd",,AV$83,"."&amp;$C$82&amp;$AU$82&amp;"P"&amp;$A113)="N/A",0,RTD("tos.rtd",,AV$83,"."&amp;$C$82&amp;$AU$82&amp;"P"&amp;$A113))</f>
        <v>-1452</v>
      </c>
      <c r="AW113" s="54">
        <f>IF(RTD("tos.rtd",,AW$83,"."&amp;$D$82&amp;$AW$82&amp;"C"&amp;$A113)="N/A",0,RTD("tos.rtd",,AW$83,"."&amp;$D$82&amp;$AW$82&amp;"C"&amp;$A113))</f>
        <v>3173</v>
      </c>
      <c r="AX113" s="3">
        <f>-IF(RTD("tos.rtd",,AX$83,"."&amp;$D$82&amp;$AW$82&amp;"P"&amp;$A113)="N/A",0,RTD("tos.rtd",,AX$83,"."&amp;$D$82&amp;$AW$82&amp;"P"&amp;$A113))</f>
        <v>-2975</v>
      </c>
      <c r="AY113" s="79">
        <f t="shared" si="526"/>
        <v>-1249</v>
      </c>
      <c r="AZ113" s="8">
        <f t="shared" si="455"/>
        <v>5590</v>
      </c>
      <c r="BA113" s="54">
        <f>IF(RTD("tos.rtd",,BA$83,"."&amp;$B$82&amp;$AS$82&amp;"C"&amp;$A113)="N/A",0,RTD("tos.rtd",,BA$83,"."&amp;$B$82&amp;$AS$82&amp;"C"&amp;$A113))</f>
        <v>0</v>
      </c>
      <c r="BB113" s="3">
        <f>-IF(RTD("tos.rtd",,BB$83,"."&amp;$B$82&amp;$AS$82&amp;"P"&amp;$A113)="N/A",0,RTD("tos.rtd",,BB$83,"."&amp;$B$82&amp;$AS$82&amp;"P"&amp;$A113))</f>
        <v>0</v>
      </c>
      <c r="BC113" s="54">
        <f>IF(RTD("tos.rtd",,BC$83,"."&amp;$C$82&amp;$AU$82&amp;"C"&amp;$A113)="N/A",0,RTD("tos.rtd",,BC$83,"."&amp;$C$82&amp;$AU$82&amp;"C"&amp;$A113))</f>
        <v>0</v>
      </c>
      <c r="BD113" s="3">
        <f>-IF(RTD("tos.rtd",,BD$83,"."&amp;$C$82&amp;$AU$82&amp;"P"&amp;$A113)="N/A",0,RTD("tos.rtd",,BD$83,"."&amp;$C$82&amp;$AU$82&amp;"P"&amp;$A113))</f>
        <v>-6</v>
      </c>
      <c r="BE113" s="54">
        <f>IF(RTD("tos.rtd",,BE$83,"."&amp;$D$82&amp;$AW$82&amp;"C"&amp;$A113)="N/A",0,RTD("tos.rtd",,BE$83,"."&amp;$D$82&amp;$AW$82&amp;"C"&amp;$A113))</f>
        <v>0</v>
      </c>
      <c r="BF113" s="3">
        <f>-IF(RTD("tos.rtd",,BF$83,"."&amp;$D$82&amp;$AW$82&amp;"P"&amp;$A113)="N/A",0,RTD("tos.rtd",,BF$83,"."&amp;$D$82&amp;$AW$82&amp;"P"&amp;$A113))</f>
        <v>0</v>
      </c>
      <c r="BG113" s="3">
        <f ca="1">+Hoja2!Y114</f>
        <v>0</v>
      </c>
      <c r="BH113" s="55">
        <f t="shared" ca="1" si="493"/>
        <v>-6</v>
      </c>
      <c r="BI113" s="32" t="str">
        <f t="shared" ca="1" si="513"/>
        <v/>
      </c>
      <c r="BJ113" s="3" t="e">
        <f ca="1">IF($BP$1=1,DX113,IF(RTD("tos.rtd",,BJ$83,"."&amp;$B$82&amp;$AS$82&amp;"C"&amp;$A113)="N/A",0,RTD("tos.rtd",,BJ$83,"."&amp;$B$82&amp;$AS$82&amp;"C"&amp;$A113)))</f>
        <v>#NUM!</v>
      </c>
      <c r="BK113" s="3" t="e">
        <f ca="1">IF($BP$1=1,DY113,-IF(RTD("tos.rtd",,BK$83,"."&amp;$B$82&amp;$AS$82&amp;"P"&amp;$A113)="N/A",0,RTD("tos.rtd",,BK$83,"."&amp;$B$82&amp;$AS$82&amp;"P"&amp;$A113)))</f>
        <v>#NUM!</v>
      </c>
      <c r="BL113" s="3">
        <f ca="1">IF($BP$1=1,DZ113,IF(RTD("tos.rtd",,BL$83,"."&amp;$C$82&amp;$AU$82&amp;"C"&amp;$A113)="N/A",0,RTD("tos.rtd",,BL$83,"."&amp;$C$82&amp;$AU$82&amp;"C"&amp;$A113)))</f>
        <v>1.092941693544829E-3</v>
      </c>
      <c r="BM113" s="3">
        <f ca="1">IF($BP$1=1,EA113,-IF(RTD("tos.rtd",,BM$83,"."&amp;$C$82&amp;$AU$82&amp;"P"&amp;$A113)="N/A",0,RTD("tos.rtd",,BM$83,"."&amp;$C$82&amp;$AU$82&amp;"P"&amp;$A113)))</f>
        <v>-2.7007644418767058E-3</v>
      </c>
      <c r="BN113" s="3">
        <f ca="1">IF($BP$1=1,EB113,IF(RTD("tos.rtd",,BN$83,"."&amp;$D$82&amp;$AW$82&amp;"C"&amp;$A113)="N/A",0,RTD("tos.rtd",,BN$83,"."&amp;$D$82&amp;$AW$82&amp;"C"&amp;$A113)))</f>
        <v>1.858313182795377E-3</v>
      </c>
      <c r="BO113" s="3">
        <f ca="1">IF($BP$1=1,EC113,-IF(RTD("tos.rtd",,BO$83,"."&amp;$D$82&amp;$AW$82&amp;"P"&amp;$A113)="N/A",0,RTD("tos.rtd",,BO$83,"."&amp;$D$82&amp;$AW$82&amp;"P"&amp;$A113)))</f>
        <v>-2.5606539722173474E-3</v>
      </c>
      <c r="BQ113" s="3" t="e">
        <f t="shared" ca="1" si="456"/>
        <v>#NUM!</v>
      </c>
      <c r="BR113" s="3" t="e">
        <f t="shared" ca="1" si="494"/>
        <v>#NUM!</v>
      </c>
      <c r="BS113" s="3">
        <f t="shared" ca="1" si="457"/>
        <v>-849179.34222783998</v>
      </c>
      <c r="BT113" s="3" t="str">
        <f t="shared" ca="1" si="494"/>
        <v/>
      </c>
      <c r="BU113" s="3">
        <f t="shared" ca="1" si="458"/>
        <v>-423811.29903640808</v>
      </c>
      <c r="BV113" s="3" t="str">
        <f t="shared" ca="1" si="494"/>
        <v/>
      </c>
      <c r="BX113" s="3" t="e">
        <f t="shared" ca="1" si="459"/>
        <v>#NUM!</v>
      </c>
      <c r="BY113" s="3" t="e">
        <f t="shared" ca="1" si="510"/>
        <v>#NUM!</v>
      </c>
      <c r="BZ113" s="3">
        <f t="shared" ca="1" si="460"/>
        <v>-3989.3207994018608</v>
      </c>
      <c r="CA113" s="3" t="str">
        <f t="shared" ca="1" si="510"/>
        <v/>
      </c>
      <c r="CB113" s="3">
        <f t="shared" ca="1" si="461"/>
        <v>0</v>
      </c>
      <c r="CC113" s="3" t="str">
        <f t="shared" ca="1" si="510"/>
        <v/>
      </c>
      <c r="CD113" s="3">
        <f>IF(RTD("tos.rtd",,CD$83,"."&amp;$B$82&amp;$AS$82&amp;"C"&amp;$A113)="N/A",0,RTD("tos.rtd",,CD$83,"."&amp;$B$82&amp;$AS$82&amp;"C"&amp;$A113))</f>
        <v>1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0.61</v>
      </c>
      <c r="CG113" s="3">
        <f>-IF(RTD("tos.rtd",,CG$83,"."&amp;$C$82&amp;$AU$82&amp;"P"&amp;$A113)="N/A",0,RTD("tos.rtd",,CG$83,"."&amp;$C$82&amp;$AU$82&amp;"P"&amp;$A113))</f>
        <v>0.23</v>
      </c>
      <c r="CH113" s="3">
        <f>IF(RTD("tos.rtd",,CH$83,"."&amp;$D$82&amp;$AW$82&amp;"C"&amp;$A113)="N/A",0,RTD("tos.rtd",,CH$83,"."&amp;$D$82&amp;$AW$82&amp;"C"&amp;$A113))</f>
        <v>0.6</v>
      </c>
      <c r="CI113" s="3">
        <f>-IF(RTD("tos.rtd",,CI$83,"."&amp;$D$82&amp;$AW$82&amp;"P"&amp;$A113)="N/A",0,RTD("tos.rtd",,CI$83,"."&amp;$D$82&amp;$AW$82&amp;"P"&amp;$A113))</f>
        <v>0.37</v>
      </c>
      <c r="CK113" s="3">
        <f t="shared" si="495"/>
        <v>72800</v>
      </c>
      <c r="CL113" s="3"/>
      <c r="CM113" s="3">
        <f t="shared" si="496"/>
        <v>-7044</v>
      </c>
      <c r="CN113" s="3"/>
      <c r="CO113" s="3">
        <f t="shared" si="497"/>
        <v>80305</v>
      </c>
      <c r="CP113" s="3">
        <f t="shared" si="462"/>
        <v>146061</v>
      </c>
      <c r="CQ113" s="3">
        <f t="shared" si="463"/>
        <v>0</v>
      </c>
      <c r="CR113" s="3"/>
      <c r="CS113" s="3">
        <f t="shared" si="464"/>
        <v>-6</v>
      </c>
      <c r="CT113" s="3"/>
      <c r="CU113" s="3">
        <f t="shared" si="465"/>
        <v>0</v>
      </c>
      <c r="CV113" s="3"/>
      <c r="CW113" s="3" t="e">
        <f t="shared" ca="1" si="527"/>
        <v>#NUM!</v>
      </c>
      <c r="CY113" s="3" t="e">
        <f t="shared" ca="1" si="467"/>
        <v>#NUM!</v>
      </c>
      <c r="CZ113" s="70" t="e">
        <f t="shared" ca="1" si="511"/>
        <v>#NUM!</v>
      </c>
      <c r="DA113" s="3">
        <f>IF(RTD("tos.rtd",,DA$83,"."&amp;$B$82&amp;$AS$82&amp;"C"&amp;$A113)="N/A",0,RTD("tos.rtd",,DA$83,"."&amp;$B$82&amp;$AS$82&amp;"C"&amp;$A113))</f>
        <v>71.77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71.8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66.900000000000006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9"/>
        <v>-69.909999999999854</v>
      </c>
      <c r="DH113" s="3">
        <f t="shared" si="468"/>
        <v>-1431.1836734693873</v>
      </c>
      <c r="DI113" s="3">
        <f t="shared" si="469"/>
        <v>16882.2</v>
      </c>
      <c r="DJ113" s="3">
        <f t="shared" si="470"/>
        <v>-1440</v>
      </c>
      <c r="DK113" s="3">
        <f t="shared" si="471"/>
        <v>28137</v>
      </c>
      <c r="DL113" s="3">
        <f t="shared" si="472"/>
        <v>15451.016326530613</v>
      </c>
      <c r="DM113" s="3">
        <f t="shared" si="473"/>
        <v>26697</v>
      </c>
      <c r="DN113" s="64" t="str">
        <f t="shared" si="474"/>
        <v>UNKNOWN</v>
      </c>
      <c r="DO113" s="64" t="str">
        <f t="shared" si="475"/>
        <v>UNKNOWN</v>
      </c>
      <c r="DP113" s="3">
        <f t="shared" si="476"/>
        <v>-102209.58624489792</v>
      </c>
      <c r="DQ113" s="3">
        <f t="shared" si="477"/>
        <v>-102504.68999999999</v>
      </c>
      <c r="DR113" s="3" t="e">
        <f t="shared" ca="1" si="478"/>
        <v>#NUM!</v>
      </c>
      <c r="DS113" s="3">
        <f t="shared" si="479"/>
        <v>-1440</v>
      </c>
      <c r="DT113" s="3">
        <f t="shared" si="500"/>
        <v>-1440</v>
      </c>
      <c r="DU113" s="3">
        <f t="shared" si="501"/>
        <v>28137</v>
      </c>
      <c r="DV113" s="3">
        <f t="shared" si="502"/>
        <v>-27</v>
      </c>
      <c r="DW113" s="3">
        <f t="shared" si="503"/>
        <v>7527</v>
      </c>
      <c r="DX113" s="3" t="e">
        <f t="shared" ca="1" si="512"/>
        <v>#NUM!</v>
      </c>
      <c r="DY113" s="3" t="e">
        <f t="shared" ca="1" si="480"/>
        <v>#NUM!</v>
      </c>
      <c r="DZ113" s="3">
        <f t="shared" ca="1" si="504"/>
        <v>1.092941693544829E-3</v>
      </c>
      <c r="EA113" s="3">
        <f t="shared" ca="1" si="505"/>
        <v>-2.7007644418767058E-3</v>
      </c>
      <c r="EB113" s="3">
        <f t="shared" ca="1" si="481"/>
        <v>1.858313182795377E-3</v>
      </c>
      <c r="EC113" s="3">
        <f t="shared" ca="1" si="482"/>
        <v>-2.5606539722173474E-3</v>
      </c>
      <c r="ED113" s="63">
        <f t="shared" si="506"/>
        <v>7500</v>
      </c>
      <c r="EE113" s="59">
        <f t="shared" si="483"/>
        <v>0.25</v>
      </c>
      <c r="EF113" s="59">
        <f t="shared" si="484"/>
        <v>0.60429999999999995</v>
      </c>
      <c r="EG113" s="59">
        <f t="shared" si="485"/>
        <v>0.46210000000000001</v>
      </c>
      <c r="EH113" s="59">
        <f t="shared" si="486"/>
        <v>0.1583</v>
      </c>
      <c r="EI113" s="59">
        <f t="shared" si="487"/>
        <v>0.25900000000000001</v>
      </c>
      <c r="EJ113" s="59">
        <f t="shared" si="488"/>
        <v>0.17180000000000001</v>
      </c>
      <c r="EK113" s="63" t="e">
        <f t="shared" ca="1" si="507"/>
        <v>#NUM!</v>
      </c>
      <c r="EL113" s="3" t="str">
        <f>RTD("tos.rtd",,EL$83,"."&amp;$B$82&amp;$AS$82&amp;"C"&amp;$A113)</f>
        <v>--</v>
      </c>
      <c r="EM113" s="3" t="str">
        <f>RTD("tos.rtd",,EM$83,"."&amp;$B$82&amp;$AS$82&amp;"P"&amp;$A113)</f>
        <v>60.43%</v>
      </c>
      <c r="EN113" s="3" t="str">
        <f>RTD("tos.rtd",,EN$83,"."&amp;$C$82&amp;$AU$82&amp;"C"&amp;$A113)</f>
        <v>46.21%</v>
      </c>
      <c r="EO113" s="3" t="str">
        <f>RTD("tos.rtd",,EO$83,"."&amp;$C$82&amp;$AU$82&amp;"P"&amp;$A113)</f>
        <v>15.83%</v>
      </c>
      <c r="EP113" s="3" t="str">
        <f>RTD("tos.rtd",,EP$83,"."&amp;$D$82&amp;$AW$82&amp;"C"&amp;$A113)</f>
        <v>25.90%</v>
      </c>
      <c r="EQ113" s="3" t="str">
        <f>RTD("tos.rtd",,EQ$83,"."&amp;$D$82&amp;$AW$82&amp;"P"&amp;$A113)</f>
        <v>17.18%</v>
      </c>
      <c r="ES113" s="63" t="str">
        <f t="shared" si="489"/>
        <v>5590,7500.00</v>
      </c>
      <c r="ET113" s="63" t="str">
        <f t="shared" ca="1" si="490"/>
        <v>5590,00.00</v>
      </c>
      <c r="EU113" s="67">
        <v>565.5</v>
      </c>
      <c r="EV113" s="67" t="s">
        <v>923</v>
      </c>
      <c r="EW113" s="67">
        <v>489.06</v>
      </c>
      <c r="EX113" s="67" t="s">
        <v>924</v>
      </c>
      <c r="EY113" s="67">
        <v>5663.94</v>
      </c>
      <c r="EZ113" s="67" t="s">
        <v>925</v>
      </c>
      <c r="FA113" s="67">
        <v>20063.564999999999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508"/>
        <v>5580</v>
      </c>
      <c r="B114" s="3">
        <f t="shared" si="451"/>
        <v>2105</v>
      </c>
      <c r="C114" s="3">
        <f t="shared" si="452"/>
        <v>1470</v>
      </c>
      <c r="D114" s="3">
        <f t="shared" si="453"/>
        <v>7349</v>
      </c>
      <c r="E114" s="3">
        <f t="shared" si="523"/>
        <v>10924</v>
      </c>
      <c r="F114" s="4">
        <f t="shared" si="524"/>
        <v>5668.8180554107757</v>
      </c>
      <c r="G114" s="4">
        <f t="shared" si="525"/>
        <v>563.37206775372761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-265</v>
      </c>
      <c r="AN114" s="20">
        <v>2306</v>
      </c>
      <c r="AO114" s="20">
        <v>5580</v>
      </c>
      <c r="AP114" s="20">
        <v>535</v>
      </c>
      <c r="AQ114" s="20">
        <v>-23489</v>
      </c>
      <c r="AR114" s="20"/>
      <c r="AS114" s="54">
        <f>IF(RTD("tos.rtd",,AS$83,"."&amp;$B$82&amp;$AS$82&amp;"C"&amp;$A114)="N/A",0,RTD("tos.rtd",,AS$83,"."&amp;$B$82&amp;$AS$82&amp;"C"&amp;$A114))</f>
        <v>404</v>
      </c>
      <c r="AT114" s="3">
        <f>-IF(RTD("tos.rtd",,AT$83,"."&amp;$B$82&amp;$AS$82&amp;"P"&amp;$A114)="N/A",0,RTD("tos.rtd",,AT$83,"."&amp;$B$82&amp;$AS$82&amp;"P"&amp;$A114))</f>
        <v>-1701</v>
      </c>
      <c r="AU114" s="54">
        <f>IF(RTD("tos.rtd",,AU$83,"."&amp;$C$82&amp;$AU$82&amp;"C"&amp;$A114)="N/A",0,RTD("tos.rtd",,AU$83,"."&amp;$C$82&amp;$AU$82&amp;"C"&amp;$A114))</f>
        <v>536</v>
      </c>
      <c r="AV114" s="3">
        <f>-IF(RTD("tos.rtd",,AV$83,"."&amp;$C$82&amp;$AU$82&amp;"P"&amp;$A114)="N/A",0,RTD("tos.rtd",,AV$83,"."&amp;$C$82&amp;$AU$82&amp;"P"&amp;$A114))</f>
        <v>-934</v>
      </c>
      <c r="AW114" s="54">
        <f>IF(RTD("tos.rtd",,AW$83,"."&amp;$D$82&amp;$AW$82&amp;"C"&amp;$A114)="N/A",0,RTD("tos.rtd",,AW$83,"."&amp;$D$82&amp;$AW$82&amp;"C"&amp;$A114))</f>
        <v>4274</v>
      </c>
      <c r="AX114" s="3">
        <f>-IF(RTD("tos.rtd",,AX$83,"."&amp;$D$82&amp;$AW$82&amp;"P"&amp;$A114)="N/A",0,RTD("tos.rtd",,AX$83,"."&amp;$D$82&amp;$AW$82&amp;"P"&amp;$A114))</f>
        <v>-3075</v>
      </c>
      <c r="AY114" s="79">
        <f t="shared" si="526"/>
        <v>-496</v>
      </c>
      <c r="AZ114" s="8">
        <f t="shared" si="455"/>
        <v>5580</v>
      </c>
      <c r="BA114" s="54">
        <f>IF(RTD("tos.rtd",,BA$83,"."&amp;$B$82&amp;$AS$82&amp;"C"&amp;$A114)="N/A",0,RTD("tos.rtd",,BA$83,"."&amp;$B$82&amp;$AS$82&amp;"C"&amp;$A114))</f>
        <v>0</v>
      </c>
      <c r="BB114" s="3">
        <f>-IF(RTD("tos.rtd",,BB$83,"."&amp;$B$82&amp;$AS$82&amp;"P"&amp;$A114)="N/A",0,RTD("tos.rtd",,BB$83,"."&amp;$B$82&amp;$AS$82&amp;"P"&amp;$A114))</f>
        <v>0</v>
      </c>
      <c r="BC114" s="54">
        <f>IF(RTD("tos.rtd",,BC$83,"."&amp;$C$82&amp;$AU$82&amp;"C"&amp;$A114)="N/A",0,RTD("tos.rtd",,BC$83,"."&amp;$C$82&amp;$AU$82&amp;"C"&amp;$A114))</f>
        <v>0</v>
      </c>
      <c r="BD114" s="3">
        <f>-IF(RTD("tos.rtd",,BD$83,"."&amp;$C$82&amp;$AU$82&amp;"P"&amp;$A114)="N/A",0,RTD("tos.rtd",,BD$83,"."&amp;$C$82&amp;$AU$82&amp;"P"&amp;$A114))</f>
        <v>0</v>
      </c>
      <c r="BE114" s="54">
        <f>IF(RTD("tos.rtd",,BE$83,"."&amp;$D$82&amp;$AW$82&amp;"C"&amp;$A114)="N/A",0,RTD("tos.rtd",,BE$83,"."&amp;$D$82&amp;$AW$82&amp;"C"&amp;$A114))</f>
        <v>0</v>
      </c>
      <c r="BF114" s="3">
        <f>-IF(RTD("tos.rtd",,BF$83,"."&amp;$D$82&amp;$AW$82&amp;"P"&amp;$A114)="N/A",0,RTD("tos.rtd",,BF$83,"."&amp;$D$82&amp;$AW$82&amp;"P"&amp;$A114))</f>
        <v>0</v>
      </c>
      <c r="BG114" s="3">
        <f ca="1">+Hoja2!Y115</f>
        <v>0</v>
      </c>
      <c r="BH114" s="55">
        <f t="shared" ca="1" si="493"/>
        <v>0</v>
      </c>
      <c r="BI114" s="32" t="str">
        <f t="shared" ca="1" si="513"/>
        <v/>
      </c>
      <c r="BJ114" s="3" t="e">
        <f ca="1">IF($BP$1=1,DX114,IF(RTD("tos.rtd",,BJ$83,"."&amp;$B$82&amp;$AS$82&amp;"C"&amp;$A114)="N/A",0,RTD("tos.rtd",,BJ$83,"."&amp;$B$82&amp;$AS$82&amp;"C"&amp;$A114)))</f>
        <v>#NUM!</v>
      </c>
      <c r="BK114" s="3" t="e">
        <f ca="1">IF($BP$1=1,DY114,-IF(RTD("tos.rtd",,BK$83,"."&amp;$B$82&amp;$AS$82&amp;"P"&amp;$A114)="N/A",0,RTD("tos.rtd",,BK$83,"."&amp;$B$82&amp;$AS$82&amp;"P"&amp;$A114)))</f>
        <v>#NUM!</v>
      </c>
      <c r="BL114" s="3">
        <f ca="1">IF($BP$1=1,DZ114,IF(RTD("tos.rtd",,BL$83,"."&amp;$C$82&amp;$AU$82&amp;"C"&amp;$A114)="N/A",0,RTD("tos.rtd",,BL$83,"."&amp;$C$82&amp;$AU$82&amp;"C"&amp;$A114)))</f>
        <v>1.0501774009671772E-3</v>
      </c>
      <c r="BM114" s="3">
        <f ca="1">IF($BP$1=1,EA114,-IF(RTD("tos.rtd",,BM$83,"."&amp;$C$82&amp;$AU$82&amp;"P"&amp;$A114)="N/A",0,RTD("tos.rtd",,BM$83,"."&amp;$C$82&amp;$AU$82&amp;"P"&amp;$A114)))</f>
        <v>-2.5178756030229885E-3</v>
      </c>
      <c r="BN114" s="3">
        <f ca="1">IF($BP$1=1,EB114,IF(RTD("tos.rtd",,BN$83,"."&amp;$D$82&amp;$AW$82&amp;"C"&amp;$A114)="N/A",0,RTD("tos.rtd",,BN$83,"."&amp;$D$82&amp;$AW$82&amp;"C"&amp;$A114)))</f>
        <v>1.8053095205274566E-3</v>
      </c>
      <c r="BO114" s="3">
        <f ca="1">IF($BP$1=1,EC114,-IF(RTD("tos.rtd",,BO$83,"."&amp;$D$82&amp;$AW$82&amp;"P"&amp;$A114)="N/A",0,RTD("tos.rtd",,BO$83,"."&amp;$D$82&amp;$AW$82&amp;"P"&amp;$A114)))</f>
        <v>-2.4261986002427562E-3</v>
      </c>
      <c r="BQ114" s="3" t="e">
        <f t="shared" ca="1" si="456"/>
        <v>#NUM!</v>
      </c>
      <c r="BR114" s="3" t="e">
        <f t="shared" ca="1" si="494"/>
        <v>#NUM!</v>
      </c>
      <c r="BS114" s="3">
        <f t="shared" ca="1" si="457"/>
        <v>-440375.31453349185</v>
      </c>
      <c r="BT114" s="3" t="str">
        <f t="shared" ca="1" si="494"/>
        <v/>
      </c>
      <c r="BU114" s="3">
        <f t="shared" ca="1" si="458"/>
        <v>62858.871882600011</v>
      </c>
      <c r="BV114" s="3" t="str">
        <f t="shared" ca="1" si="494"/>
        <v>Cruce +</v>
      </c>
      <c r="BX114" s="3" t="e">
        <f t="shared" ca="1" si="459"/>
        <v>#NUM!</v>
      </c>
      <c r="BY114" s="3" t="e">
        <f t="shared" ca="1" si="510"/>
        <v>#NUM!</v>
      </c>
      <c r="BZ114" s="3">
        <f t="shared" ca="1" si="460"/>
        <v>0</v>
      </c>
      <c r="CA114" s="3" t="str">
        <f t="shared" ca="1" si="510"/>
        <v/>
      </c>
      <c r="CB114" s="3">
        <f t="shared" ca="1" si="461"/>
        <v>0</v>
      </c>
      <c r="CC114" s="3" t="str">
        <f t="shared" ca="1" si="510"/>
        <v/>
      </c>
      <c r="CD114" s="3">
        <f>IF(RTD("tos.rtd",,CD$83,"."&amp;$B$82&amp;$AS$82&amp;"C"&amp;$A114)="N/A",0,RTD("tos.rtd",,CD$83,"."&amp;$B$82&amp;$AS$82&amp;"C"&amp;$A114))</f>
        <v>1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0.62</v>
      </c>
      <c r="CG114" s="3">
        <f>-IF(RTD("tos.rtd",,CG$83,"."&amp;$C$82&amp;$AU$82&amp;"P"&amp;$A114)="N/A",0,RTD("tos.rtd",,CG$83,"."&amp;$C$82&amp;$AU$82&amp;"P"&amp;$A114))</f>
        <v>0.21</v>
      </c>
      <c r="CH114" s="3">
        <f>IF(RTD("tos.rtd",,CH$83,"."&amp;$D$82&amp;$AW$82&amp;"C"&amp;$A114)="N/A",0,RTD("tos.rtd",,CH$83,"."&amp;$D$82&amp;$AW$82&amp;"C"&amp;$A114))</f>
        <v>0.6</v>
      </c>
      <c r="CI114" s="3">
        <f>-IF(RTD("tos.rtd",,CI$83,"."&amp;$D$82&amp;$AW$82&amp;"P"&amp;$A114)="N/A",0,RTD("tos.rtd",,CI$83,"."&amp;$D$82&amp;$AW$82&amp;"P"&amp;$A114))</f>
        <v>0.36</v>
      </c>
      <c r="CK114" s="3">
        <f t="shared" si="495"/>
        <v>40400</v>
      </c>
      <c r="CL114" s="3"/>
      <c r="CM114" s="3">
        <f t="shared" si="496"/>
        <v>13618</v>
      </c>
      <c r="CN114" s="3"/>
      <c r="CO114" s="3">
        <f t="shared" si="497"/>
        <v>145740</v>
      </c>
      <c r="CP114" s="3">
        <f t="shared" si="462"/>
        <v>199758</v>
      </c>
      <c r="CQ114" s="3">
        <f t="shared" si="463"/>
        <v>0</v>
      </c>
      <c r="CR114" s="3"/>
      <c r="CS114" s="3">
        <f t="shared" si="464"/>
        <v>0</v>
      </c>
      <c r="CT114" s="3"/>
      <c r="CU114" s="3">
        <f t="shared" si="465"/>
        <v>0</v>
      </c>
      <c r="CV114" s="3"/>
      <c r="CW114" s="3" t="e">
        <f t="shared" ca="1" si="527"/>
        <v>#NUM!</v>
      </c>
      <c r="CY114" s="3" t="e">
        <f t="shared" ca="1" si="467"/>
        <v>#NUM!</v>
      </c>
      <c r="CZ114" s="70" t="e">
        <f t="shared" ca="1" si="511"/>
        <v>#NUM!</v>
      </c>
      <c r="DA114" s="3">
        <f>IF(RTD("tos.rtd",,DA$83,"."&amp;$B$82&amp;$AS$82&amp;"C"&amp;$A114)="N/A",0,RTD("tos.rtd",,DA$83,"."&amp;$B$82&amp;$AS$82&amp;"C"&amp;$A114))</f>
        <v>81.58</v>
      </c>
      <c r="DB114" s="3">
        <f>IF(RTD("tos.rtd",,DB$83,"."&amp;$B$82&amp;$AS$82&amp;"P"&amp;$A114)="N/A",0,RTD("tos.rtd",,DB$83,"."&amp;$B$82&amp;$AS$82&amp;"P"&amp;$A114))</f>
        <v>0.05</v>
      </c>
      <c r="DC114" s="3">
        <f>IF(RTD("tos.rtd",,DC$83,"."&amp;$B$82&amp;$AS$82&amp;"C"&amp;$A114)="N/A",0,RTD("tos.rtd",,DC$83,"."&amp;$B$82&amp;$AS$82&amp;"C"&amp;$A114))</f>
        <v>81.8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76.900000000000006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9"/>
        <v>-79.909999999999854</v>
      </c>
      <c r="DH114" s="3">
        <f t="shared" si="468"/>
        <v>-510.97959183673476</v>
      </c>
      <c r="DI114" s="3">
        <f t="shared" si="469"/>
        <v>23489</v>
      </c>
      <c r="DJ114" s="3">
        <f t="shared" si="470"/>
        <v>-535</v>
      </c>
      <c r="DK114" s="3">
        <f t="shared" si="471"/>
        <v>23489</v>
      </c>
      <c r="DL114" s="3">
        <f t="shared" si="472"/>
        <v>22978.020408163266</v>
      </c>
      <c r="DM114" s="3">
        <f t="shared" si="473"/>
        <v>22954</v>
      </c>
      <c r="DN114" s="64" t="str">
        <f t="shared" si="474"/>
        <v>UNKNOWN</v>
      </c>
      <c r="DO114" s="64" t="str">
        <f t="shared" si="475"/>
        <v>UNKNOWN</v>
      </c>
      <c r="DP114" s="3">
        <f t="shared" si="476"/>
        <v>-40511.265102040823</v>
      </c>
      <c r="DQ114" s="3">
        <f t="shared" si="477"/>
        <v>-42470.85</v>
      </c>
      <c r="DR114" s="3" t="e">
        <f t="shared" ca="1" si="478"/>
        <v>#NUM!</v>
      </c>
      <c r="DS114" s="3">
        <f t="shared" si="479"/>
        <v>-535</v>
      </c>
      <c r="DT114" s="3">
        <f t="shared" si="500"/>
        <v>-535</v>
      </c>
      <c r="DU114" s="3">
        <f t="shared" si="501"/>
        <v>23489</v>
      </c>
      <c r="DV114" s="3">
        <f t="shared" si="502"/>
        <v>-265</v>
      </c>
      <c r="DW114" s="3">
        <f t="shared" si="503"/>
        <v>2306</v>
      </c>
      <c r="DX114" s="3" t="e">
        <f t="shared" ca="1" si="512"/>
        <v>#NUM!</v>
      </c>
      <c r="DY114" s="3" t="e">
        <f t="shared" ca="1" si="480"/>
        <v>#NUM!</v>
      </c>
      <c r="DZ114" s="3">
        <f t="shared" ca="1" si="504"/>
        <v>1.0501774009671772E-3</v>
      </c>
      <c r="EA114" s="3">
        <f t="shared" ca="1" si="505"/>
        <v>-2.5178756030229885E-3</v>
      </c>
      <c r="EB114" s="3">
        <f t="shared" ca="1" si="481"/>
        <v>1.8053095205274566E-3</v>
      </c>
      <c r="EC114" s="3">
        <f t="shared" ca="1" si="482"/>
        <v>-2.4261986002427562E-3</v>
      </c>
      <c r="ED114" s="63">
        <f t="shared" si="506"/>
        <v>2041</v>
      </c>
      <c r="EE114" s="59">
        <f t="shared" si="483"/>
        <v>0.25</v>
      </c>
      <c r="EF114" s="59">
        <f t="shared" si="484"/>
        <v>0.68279999999999996</v>
      </c>
      <c r="EG114" s="59">
        <f t="shared" si="485"/>
        <v>0.4783</v>
      </c>
      <c r="EH114" s="59">
        <f t="shared" si="486"/>
        <v>0.16270000000000001</v>
      </c>
      <c r="EI114" s="59">
        <f t="shared" si="487"/>
        <v>0.26140000000000002</v>
      </c>
      <c r="EJ114" s="59">
        <f t="shared" si="488"/>
        <v>0.17369999999999999</v>
      </c>
      <c r="EK114" s="63" t="e">
        <f t="shared" ca="1" si="507"/>
        <v>#NUM!</v>
      </c>
      <c r="EL114" s="3" t="str">
        <f>RTD("tos.rtd",,EL$83,"."&amp;$B$82&amp;$AS$82&amp;"C"&amp;$A114)</f>
        <v>--</v>
      </c>
      <c r="EM114" s="3" t="str">
        <f>RTD("tos.rtd",,EM$83,"."&amp;$B$82&amp;$AS$82&amp;"P"&amp;$A114)</f>
        <v>68.28%</v>
      </c>
      <c r="EN114" s="3" t="str">
        <f>RTD("tos.rtd",,EN$83,"."&amp;$C$82&amp;$AU$82&amp;"C"&amp;$A114)</f>
        <v>47.83%</v>
      </c>
      <c r="EO114" s="3" t="str">
        <f>RTD("tos.rtd",,EO$83,"."&amp;$C$82&amp;$AU$82&amp;"P"&amp;$A114)</f>
        <v>16.27%</v>
      </c>
      <c r="EP114" s="3" t="str">
        <f>RTD("tos.rtd",,EP$83,"."&amp;$D$82&amp;$AW$82&amp;"C"&amp;$A114)</f>
        <v>26.14%</v>
      </c>
      <c r="EQ114" s="3" t="str">
        <f>RTD("tos.rtd",,EQ$83,"."&amp;$D$82&amp;$AW$82&amp;"P"&amp;$A114)</f>
        <v>17.37%</v>
      </c>
      <c r="ES114" s="63" t="str">
        <f t="shared" si="489"/>
        <v>5580,2041.00</v>
      </c>
      <c r="ET114" s="63" t="str">
        <f t="shared" ca="1" si="490"/>
        <v>5580,00.00</v>
      </c>
      <c r="EU114" s="67">
        <v>565.54</v>
      </c>
      <c r="EV114" s="67" t="s">
        <v>931</v>
      </c>
      <c r="EW114" s="67">
        <v>489.1</v>
      </c>
      <c r="EX114" s="67" t="s">
        <v>932</v>
      </c>
      <c r="EY114" s="67">
        <v>5663.94</v>
      </c>
      <c r="EZ114" s="67" t="s">
        <v>933</v>
      </c>
      <c r="FA114" s="67">
        <v>20063.564999999999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508"/>
        <v>5570</v>
      </c>
      <c r="B115" s="3">
        <f t="shared" si="451"/>
        <v>2877</v>
      </c>
      <c r="C115" s="3">
        <f t="shared" si="452"/>
        <v>1916</v>
      </c>
      <c r="D115" s="3">
        <f t="shared" si="453"/>
        <v>7458</v>
      </c>
      <c r="E115" s="3">
        <f t="shared" si="523"/>
        <v>12251</v>
      </c>
      <c r="F115" s="4">
        <f t="shared" si="524"/>
        <v>5658.658883268462</v>
      </c>
      <c r="G115" s="4">
        <f t="shared" si="525"/>
        <v>562.36244039216183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-21</v>
      </c>
      <c r="AN115" s="20">
        <v>-6264</v>
      </c>
      <c r="AO115" s="20">
        <v>5570</v>
      </c>
      <c r="AP115" s="20">
        <v>279</v>
      </c>
      <c r="AQ115" s="20">
        <v>-27204</v>
      </c>
      <c r="AR115" s="20"/>
      <c r="AS115" s="54">
        <f>IF(RTD("tos.rtd",,AS$83,"."&amp;$B$82&amp;$AS$82&amp;"C"&amp;$A115)="N/A",0,RTD("tos.rtd",,AS$83,"."&amp;$B$82&amp;$AS$82&amp;"C"&amp;$A115))</f>
        <v>192</v>
      </c>
      <c r="AT115" s="3">
        <f>-IF(RTD("tos.rtd",,AT$83,"."&amp;$B$82&amp;$AS$82&amp;"P"&amp;$A115)="N/A",0,RTD("tos.rtd",,AT$83,"."&amp;$B$82&amp;$AS$82&amp;"P"&amp;$A115))</f>
        <v>-2685</v>
      </c>
      <c r="AU115" s="54">
        <f>IF(RTD("tos.rtd",,AU$83,"."&amp;$C$82&amp;$AU$82&amp;"C"&amp;$A115)="N/A",0,RTD("tos.rtd",,AU$83,"."&amp;$C$82&amp;$AU$82&amp;"C"&amp;$A115))</f>
        <v>249</v>
      </c>
      <c r="AV115" s="3">
        <f>-IF(RTD("tos.rtd",,AV$83,"."&amp;$C$82&amp;$AU$82&amp;"P"&amp;$A115)="N/A",0,RTD("tos.rtd",,AV$83,"."&amp;$C$82&amp;$AU$82&amp;"P"&amp;$A115))</f>
        <v>-1667</v>
      </c>
      <c r="AW115" s="54">
        <f>IF(RTD("tos.rtd",,AW$83,"."&amp;$D$82&amp;$AW$82&amp;"C"&amp;$A115)="N/A",0,RTD("tos.rtd",,AW$83,"."&amp;$D$82&amp;$AW$82&amp;"C"&amp;$A115))</f>
        <v>3647</v>
      </c>
      <c r="AX115" s="3">
        <f>-IF(RTD("tos.rtd",,AX$83,"."&amp;$D$82&amp;$AW$82&amp;"P"&amp;$A115)="N/A",0,RTD("tos.rtd",,AX$83,"."&amp;$D$82&amp;$AW$82&amp;"P"&amp;$A115))</f>
        <v>-3811</v>
      </c>
      <c r="AY115" s="79">
        <f t="shared" si="526"/>
        <v>-4075</v>
      </c>
      <c r="AZ115" s="8">
        <f t="shared" si="455"/>
        <v>5570</v>
      </c>
      <c r="BA115" s="54">
        <f>IF(RTD("tos.rtd",,BA$83,"."&amp;$B$82&amp;$AS$82&amp;"C"&amp;$A115)="N/A",0,RTD("tos.rtd",,BA$83,"."&amp;$B$82&amp;$AS$82&amp;"C"&amp;$A115))</f>
        <v>0</v>
      </c>
      <c r="BB115" s="3">
        <f>-IF(RTD("tos.rtd",,BB$83,"."&amp;$B$82&amp;$AS$82&amp;"P"&amp;$A115)="N/A",0,RTD("tos.rtd",,BB$83,"."&amp;$B$82&amp;$AS$82&amp;"P"&amp;$A115))</f>
        <v>0</v>
      </c>
      <c r="BC115" s="54">
        <f>IF(RTD("tos.rtd",,BC$83,"."&amp;$C$82&amp;$AU$82&amp;"C"&amp;$A115)="N/A",0,RTD("tos.rtd",,BC$83,"."&amp;$C$82&amp;$AU$82&amp;"C"&amp;$A115))</f>
        <v>0</v>
      </c>
      <c r="BD115" s="3">
        <f>-IF(RTD("tos.rtd",,BD$83,"."&amp;$C$82&amp;$AU$82&amp;"P"&amp;$A115)="N/A",0,RTD("tos.rtd",,BD$83,"."&amp;$C$82&amp;$AU$82&amp;"P"&amp;$A115))</f>
        <v>0</v>
      </c>
      <c r="BE115" s="54">
        <f>IF(RTD("tos.rtd",,BE$83,"."&amp;$D$82&amp;$AW$82&amp;"C"&amp;$A115)="N/A",0,RTD("tos.rtd",,BE$83,"."&amp;$D$82&amp;$AW$82&amp;"C"&amp;$A115))</f>
        <v>0</v>
      </c>
      <c r="BF115" s="3">
        <f>-IF(RTD("tos.rtd",,BF$83,"."&amp;$D$82&amp;$AW$82&amp;"P"&amp;$A115)="N/A",0,RTD("tos.rtd",,BF$83,"."&amp;$D$82&amp;$AW$82&amp;"P"&amp;$A115))</f>
        <v>0</v>
      </c>
      <c r="BG115" s="3">
        <f ca="1">+Hoja2!Y116</f>
        <v>0</v>
      </c>
      <c r="BH115" s="55">
        <f t="shared" ca="1" si="493"/>
        <v>0</v>
      </c>
      <c r="BI115" s="32" t="str">
        <f t="shared" ca="1" si="513"/>
        <v/>
      </c>
      <c r="BJ115" s="3" t="e">
        <f ca="1">IF($BP$1=1,DX115,IF(RTD("tos.rtd",,BJ$83,"."&amp;$B$82&amp;$AS$82&amp;"C"&amp;$A115)="N/A",0,RTD("tos.rtd",,BJ$83,"."&amp;$B$82&amp;$AS$82&amp;"C"&amp;$A115)))</f>
        <v>#NUM!</v>
      </c>
      <c r="BK115" s="3" t="e">
        <f ca="1">IF($BP$1=1,DY115,-IF(RTD("tos.rtd",,BK$83,"."&amp;$B$82&amp;$AS$82&amp;"P"&amp;$A115)="N/A",0,RTD("tos.rtd",,BK$83,"."&amp;$B$82&amp;$AS$82&amp;"P"&amp;$A115)))</f>
        <v>#NUM!</v>
      </c>
      <c r="BL115" s="3">
        <f ca="1">IF($BP$1=1,DZ115,IF(RTD("tos.rtd",,BL$83,"."&amp;$C$82&amp;$AU$82&amp;"C"&amp;$A115)="N/A",0,RTD("tos.rtd",,BL$83,"."&amp;$C$82&amp;$AU$82&amp;"C"&amp;$A115)))</f>
        <v>1.030268731365654E-3</v>
      </c>
      <c r="BM115" s="3">
        <f ca="1">IF($BP$1=1,EA115,-IF(RTD("tos.rtd",,BM$83,"."&amp;$C$82&amp;$AU$82&amp;"P"&amp;$A115)="N/A",0,RTD("tos.rtd",,BM$83,"."&amp;$C$82&amp;$AU$82&amp;"P"&amp;$A115)))</f>
        <v>-2.3437167809614232E-3</v>
      </c>
      <c r="BN115" s="3">
        <f ca="1">IF($BP$1=1,EB115,IF(RTD("tos.rtd",,BN$83,"."&amp;$D$82&amp;$AW$82&amp;"C"&amp;$A115)="N/A",0,RTD("tos.rtd",,BN$83,"."&amp;$D$82&amp;$AW$82&amp;"C"&amp;$A115)))</f>
        <v>1.7496741322625597E-3</v>
      </c>
      <c r="BO115" s="3">
        <f ca="1">IF($BP$1=1,EC115,-IF(RTD("tos.rtd",,BO$83,"."&amp;$D$82&amp;$AW$82&amp;"P"&amp;$A115)="N/A",0,RTD("tos.rtd",,BO$83,"."&amp;$D$82&amp;$AW$82&amp;"P"&amp;$A115)))</f>
        <v>-2.2901076379068684E-3</v>
      </c>
      <c r="BQ115" s="3" t="e">
        <f t="shared" ca="1" si="456"/>
        <v>#NUM!</v>
      </c>
      <c r="BR115" s="3" t="e">
        <f t="shared" ca="1" si="494"/>
        <v>#NUM!</v>
      </c>
      <c r="BS115" s="3">
        <f t="shared" ca="1" si="457"/>
        <v>-898682.10664636537</v>
      </c>
      <c r="BT115" s="3" t="str">
        <f t="shared" ca="1" si="494"/>
        <v/>
      </c>
      <c r="BU115" s="3">
        <f t="shared" ca="1" si="458"/>
        <v>-577681.84004545235</v>
      </c>
      <c r="BV115" s="3" t="str">
        <f t="shared" ca="1" si="494"/>
        <v>Cruce -</v>
      </c>
      <c r="BX115" s="3" t="e">
        <f t="shared" ca="1" si="459"/>
        <v>#NUM!</v>
      </c>
      <c r="BY115" s="3" t="e">
        <f t="shared" ca="1" si="510"/>
        <v>#NUM!</v>
      </c>
      <c r="BZ115" s="3">
        <f t="shared" ca="1" si="460"/>
        <v>0</v>
      </c>
      <c r="CA115" s="3" t="str">
        <f t="shared" ca="1" si="510"/>
        <v/>
      </c>
      <c r="CB115" s="3">
        <f t="shared" ca="1" si="461"/>
        <v>0</v>
      </c>
      <c r="CC115" s="3" t="str">
        <f t="shared" ca="1" si="510"/>
        <v/>
      </c>
      <c r="CD115" s="3">
        <f>IF(RTD("tos.rtd",,CD$83,"."&amp;$B$82&amp;$AS$82&amp;"C"&amp;$A115)="N/A",0,RTD("tos.rtd",,CD$83,"."&amp;$B$82&amp;$AS$82&amp;"C"&amp;$A115))</f>
        <v>1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0.63</v>
      </c>
      <c r="CG115" s="3">
        <f>-IF(RTD("tos.rtd",,CG$83,"."&amp;$C$82&amp;$AU$82&amp;"P"&amp;$A115)="N/A",0,RTD("tos.rtd",,CG$83,"."&amp;$C$82&amp;$AU$82&amp;"P"&amp;$A115))</f>
        <v>0.18</v>
      </c>
      <c r="CH115" s="3">
        <f>IF(RTD("tos.rtd",,CH$83,"."&amp;$D$82&amp;$AW$82&amp;"C"&amp;$A115)="N/A",0,RTD("tos.rtd",,CH$83,"."&amp;$D$82&amp;$AW$82&amp;"C"&amp;$A115))</f>
        <v>0.61</v>
      </c>
      <c r="CI115" s="3">
        <f>-IF(RTD("tos.rtd",,CI$83,"."&amp;$D$82&amp;$AW$82&amp;"P"&amp;$A115)="N/A",0,RTD("tos.rtd",,CI$83,"."&amp;$D$82&amp;$AW$82&amp;"P"&amp;$A115))</f>
        <v>0.35</v>
      </c>
      <c r="CK115" s="3">
        <f t="shared" si="495"/>
        <v>19200</v>
      </c>
      <c r="CL115" s="3"/>
      <c r="CM115" s="3">
        <f t="shared" si="496"/>
        <v>-14319</v>
      </c>
      <c r="CN115" s="3"/>
      <c r="CO115" s="3">
        <f t="shared" si="497"/>
        <v>89082</v>
      </c>
      <c r="CP115" s="3">
        <f t="shared" si="462"/>
        <v>93963</v>
      </c>
      <c r="CQ115" s="3">
        <f t="shared" si="463"/>
        <v>0</v>
      </c>
      <c r="CR115" s="3"/>
      <c r="CS115" s="3">
        <f t="shared" si="464"/>
        <v>0</v>
      </c>
      <c r="CT115" s="3"/>
      <c r="CU115" s="3">
        <f t="shared" si="465"/>
        <v>0</v>
      </c>
      <c r="CV115" s="3"/>
      <c r="CW115" s="3" t="e">
        <f t="shared" ca="1" si="527"/>
        <v>#NUM!</v>
      </c>
      <c r="CY115" s="3" t="e">
        <f t="shared" ca="1" si="467"/>
        <v>#NUM!</v>
      </c>
      <c r="CZ115" s="70" t="e">
        <f t="shared" ca="1" si="511"/>
        <v>#NUM!</v>
      </c>
      <c r="DA115" s="3">
        <f>IF(RTD("tos.rtd",,DA$83,"."&amp;$B$82&amp;$AS$82&amp;"C"&amp;$A115)="N/A",0,RTD("tos.rtd",,DA$83,"."&amp;$B$82&amp;$AS$82&amp;"C"&amp;$A115))</f>
        <v>92.65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91.8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86.9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9"/>
        <v>-89.909999999999854</v>
      </c>
      <c r="DH115" s="3">
        <f t="shared" si="468"/>
        <v>-327.39795918367406</v>
      </c>
      <c r="DI115" s="3">
        <f t="shared" si="469"/>
        <v>16322.4</v>
      </c>
      <c r="DJ115" s="3">
        <f t="shared" si="470"/>
        <v>-279</v>
      </c>
      <c r="DK115" s="3">
        <f t="shared" si="471"/>
        <v>27204</v>
      </c>
      <c r="DL115" s="3">
        <f t="shared" si="472"/>
        <v>15995.002040816325</v>
      </c>
      <c r="DM115" s="3">
        <f t="shared" si="473"/>
        <v>26925</v>
      </c>
      <c r="DN115" s="64" t="str">
        <f t="shared" si="474"/>
        <v>UNKNOWN</v>
      </c>
      <c r="DO115" s="64" t="str">
        <f t="shared" si="475"/>
        <v>UNKNOWN</v>
      </c>
      <c r="DP115" s="3">
        <f t="shared" si="476"/>
        <v>-29843.748918367404</v>
      </c>
      <c r="DQ115" s="3">
        <f t="shared" si="477"/>
        <v>-25033.230000000003</v>
      </c>
      <c r="DR115" s="3" t="e">
        <f t="shared" ca="1" si="478"/>
        <v>#NUM!</v>
      </c>
      <c r="DS115" s="3">
        <f t="shared" si="479"/>
        <v>-279</v>
      </c>
      <c r="DT115" s="3">
        <f t="shared" si="500"/>
        <v>-279</v>
      </c>
      <c r="DU115" s="3">
        <f t="shared" si="501"/>
        <v>27204</v>
      </c>
      <c r="DV115" s="3">
        <f t="shared" si="502"/>
        <v>-21</v>
      </c>
      <c r="DW115" s="3">
        <f t="shared" si="503"/>
        <v>-6264</v>
      </c>
      <c r="DX115" s="3" t="e">
        <f t="shared" ca="1" si="512"/>
        <v>#NUM!</v>
      </c>
      <c r="DY115" s="3" t="e">
        <f t="shared" ca="1" si="480"/>
        <v>#NUM!</v>
      </c>
      <c r="DZ115" s="3">
        <f t="shared" ca="1" si="504"/>
        <v>1.030268731365654E-3</v>
      </c>
      <c r="EA115" s="3">
        <f t="shared" ca="1" si="505"/>
        <v>-2.3437167809614232E-3</v>
      </c>
      <c r="EB115" s="3">
        <f t="shared" ca="1" si="481"/>
        <v>1.7496741322625597E-3</v>
      </c>
      <c r="EC115" s="3">
        <f t="shared" ca="1" si="482"/>
        <v>-2.2901076379068684E-3</v>
      </c>
      <c r="ED115" s="63">
        <f t="shared" si="506"/>
        <v>-6285</v>
      </c>
      <c r="EE115" s="59">
        <f t="shared" si="483"/>
        <v>0.25</v>
      </c>
      <c r="EF115" s="59">
        <f t="shared" si="484"/>
        <v>0.75900000000000001</v>
      </c>
      <c r="EG115" s="59">
        <f t="shared" si="485"/>
        <v>0.48420000000000002</v>
      </c>
      <c r="EH115" s="59">
        <f t="shared" si="486"/>
        <v>0.1673</v>
      </c>
      <c r="EI115" s="59">
        <f t="shared" si="487"/>
        <v>0.26400000000000001</v>
      </c>
      <c r="EJ115" s="59">
        <f t="shared" si="488"/>
        <v>0.17560000000000001</v>
      </c>
      <c r="EK115" s="63" t="e">
        <f t="shared" ca="1" si="507"/>
        <v>#NUM!</v>
      </c>
      <c r="EL115" s="3" t="str">
        <f>RTD("tos.rtd",,EL$83,"."&amp;$B$82&amp;$AS$82&amp;"C"&amp;$A115)</f>
        <v>--</v>
      </c>
      <c r="EM115" s="3" t="str">
        <f>RTD("tos.rtd",,EM$83,"."&amp;$B$82&amp;$AS$82&amp;"P"&amp;$A115)</f>
        <v>75.90%</v>
      </c>
      <c r="EN115" s="3" t="str">
        <f>RTD("tos.rtd",,EN$83,"."&amp;$C$82&amp;$AU$82&amp;"C"&amp;$A115)</f>
        <v>48.42%</v>
      </c>
      <c r="EO115" s="3" t="str">
        <f>RTD("tos.rtd",,EO$83,"."&amp;$C$82&amp;$AU$82&amp;"P"&amp;$A115)</f>
        <v>16.73%</v>
      </c>
      <c r="EP115" s="3" t="str">
        <f>RTD("tos.rtd",,EP$83,"."&amp;$D$82&amp;$AW$82&amp;"C"&amp;$A115)</f>
        <v>26.40%</v>
      </c>
      <c r="EQ115" s="3" t="str">
        <f>RTD("tos.rtd",,EQ$83,"."&amp;$D$82&amp;$AW$82&amp;"P"&amp;$A115)</f>
        <v>17.56%</v>
      </c>
      <c r="ES115" s="63" t="str">
        <f t="shared" si="489"/>
        <v>5570,-6285.00</v>
      </c>
      <c r="ET115" s="63" t="str">
        <f t="shared" ca="1" si="490"/>
        <v>5570,00.00</v>
      </c>
      <c r="EU115" s="67">
        <v>565.57000000000005</v>
      </c>
      <c r="EV115" s="67" t="s">
        <v>939</v>
      </c>
      <c r="EW115" s="67">
        <v>489.15</v>
      </c>
      <c r="EX115" s="67" t="s">
        <v>940</v>
      </c>
      <c r="EY115" s="67">
        <v>5663.94</v>
      </c>
      <c r="EZ115" s="67" t="s">
        <v>941</v>
      </c>
      <c r="FA115" s="67">
        <v>20063.564999999999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508"/>
        <v>5560</v>
      </c>
      <c r="B116" s="3">
        <f t="shared" si="451"/>
        <v>1086</v>
      </c>
      <c r="C116" s="3">
        <f t="shared" si="452"/>
        <v>739</v>
      </c>
      <c r="D116" s="3">
        <f t="shared" si="453"/>
        <v>6458</v>
      </c>
      <c r="E116" s="3">
        <f t="shared" si="523"/>
        <v>8283</v>
      </c>
      <c r="F116" s="4">
        <f t="shared" si="524"/>
        <v>5648.4997111261491</v>
      </c>
      <c r="G116" s="4">
        <f t="shared" si="525"/>
        <v>561.35281303059594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-39</v>
      </c>
      <c r="AN116" s="20">
        <v>896</v>
      </c>
      <c r="AO116" s="20">
        <v>5560</v>
      </c>
      <c r="AP116" s="20">
        <v>72</v>
      </c>
      <c r="AQ116" s="20">
        <v>-9797</v>
      </c>
      <c r="AR116" s="20"/>
      <c r="AS116" s="54">
        <f>IF(RTD("tos.rtd",,AS$83,"."&amp;$B$82&amp;$AS$82&amp;"C"&amp;$A116)="N/A",0,RTD("tos.rtd",,AS$83,"."&amp;$B$82&amp;$AS$82&amp;"C"&amp;$A116))</f>
        <v>244</v>
      </c>
      <c r="AT116" s="3">
        <f>-IF(RTD("tos.rtd",,AT$83,"."&amp;$B$82&amp;$AS$82&amp;"P"&amp;$A116)="N/A",0,RTD("tos.rtd",,AT$83,"."&amp;$B$82&amp;$AS$82&amp;"P"&amp;$A116))</f>
        <v>-842</v>
      </c>
      <c r="AU116" s="54">
        <f>IF(RTD("tos.rtd",,AU$83,"."&amp;$C$82&amp;$AU$82&amp;"C"&amp;$A116)="N/A",0,RTD("tos.rtd",,AU$83,"."&amp;$C$82&amp;$AU$82&amp;"C"&amp;$A116))</f>
        <v>272</v>
      </c>
      <c r="AV116" s="3">
        <f>-IF(RTD("tos.rtd",,AV$83,"."&amp;$C$82&amp;$AU$82&amp;"P"&amp;$A116)="N/A",0,RTD("tos.rtd",,AV$83,"."&amp;$C$82&amp;$AU$82&amp;"P"&amp;$A116))</f>
        <v>-467</v>
      </c>
      <c r="AW116" s="54">
        <f>IF(RTD("tos.rtd",,AW$83,"."&amp;$D$82&amp;$AW$82&amp;"C"&amp;$A116)="N/A",0,RTD("tos.rtd",,AW$83,"."&amp;$D$82&amp;$AW$82&amp;"C"&amp;$A116))</f>
        <v>3030</v>
      </c>
      <c r="AX116" s="3">
        <f>-IF(RTD("tos.rtd",,AX$83,"."&amp;$D$82&amp;$AW$82&amp;"P"&amp;$A116)="N/A",0,RTD("tos.rtd",,AX$83,"."&amp;$D$82&amp;$AW$82&amp;"P"&amp;$A116))</f>
        <v>-3428</v>
      </c>
      <c r="AY116" s="79">
        <f t="shared" si="526"/>
        <v>-1191</v>
      </c>
      <c r="AZ116" s="8">
        <f t="shared" si="455"/>
        <v>5560</v>
      </c>
      <c r="BA116" s="54">
        <f>IF(RTD("tos.rtd",,BA$83,"."&amp;$B$82&amp;$AS$82&amp;"C"&amp;$A116)="N/A",0,RTD("tos.rtd",,BA$83,"."&amp;$B$82&amp;$AS$82&amp;"C"&amp;$A116))</f>
        <v>0</v>
      </c>
      <c r="BB116" s="3">
        <f>-IF(RTD("tos.rtd",,BB$83,"."&amp;$B$82&amp;$AS$82&amp;"P"&amp;$A116)="N/A",0,RTD("tos.rtd",,BB$83,"."&amp;$B$82&amp;$AS$82&amp;"P"&amp;$A116))</f>
        <v>0</v>
      </c>
      <c r="BC116" s="54">
        <f>IF(RTD("tos.rtd",,BC$83,"."&amp;$C$82&amp;$AU$82&amp;"C"&amp;$A116)="N/A",0,RTD("tos.rtd",,BC$83,"."&amp;$C$82&amp;$AU$82&amp;"C"&amp;$A116))</f>
        <v>0</v>
      </c>
      <c r="BD116" s="3">
        <f>-IF(RTD("tos.rtd",,BD$83,"."&amp;$C$82&amp;$AU$82&amp;"P"&amp;$A116)="N/A",0,RTD("tos.rtd",,BD$83,"."&amp;$C$82&amp;$AU$82&amp;"P"&amp;$A116))</f>
        <v>0</v>
      </c>
      <c r="BE116" s="54">
        <f>IF(RTD("tos.rtd",,BE$83,"."&amp;$D$82&amp;$AW$82&amp;"C"&amp;$A116)="N/A",0,RTD("tos.rtd",,BE$83,"."&amp;$D$82&amp;$AW$82&amp;"C"&amp;$A116))</f>
        <v>0</v>
      </c>
      <c r="BF116" s="3">
        <f>-IF(RTD("tos.rtd",,BF$83,"."&amp;$D$82&amp;$AW$82&amp;"P"&amp;$A116)="N/A",0,RTD("tos.rtd",,BF$83,"."&amp;$D$82&amp;$AW$82&amp;"P"&amp;$A116))</f>
        <v>0</v>
      </c>
      <c r="BG116" s="3">
        <f ca="1">+Hoja2!Y117</f>
        <v>0</v>
      </c>
      <c r="BH116" s="55">
        <f t="shared" ca="1" si="493"/>
        <v>0</v>
      </c>
      <c r="BI116" s="32" t="str">
        <f t="shared" ca="1" si="513"/>
        <v/>
      </c>
      <c r="BJ116" s="3" t="e">
        <f ca="1">IF($BP$1=1,DX116,IF(RTD("tos.rtd",,BJ$83,"."&amp;$B$82&amp;$AS$82&amp;"C"&amp;$A116)="N/A",0,RTD("tos.rtd",,BJ$83,"."&amp;$B$82&amp;$AS$82&amp;"C"&amp;$A116)))</f>
        <v>#NUM!</v>
      </c>
      <c r="BK116" s="3" t="e">
        <f ca="1">IF($BP$1=1,DY116,-IF(RTD("tos.rtd",,BK$83,"."&amp;$B$82&amp;$AS$82&amp;"P"&amp;$A116)="N/A",0,RTD("tos.rtd",,BK$83,"."&amp;$B$82&amp;$AS$82&amp;"P"&amp;$A116)))</f>
        <v>#NUM!</v>
      </c>
      <c r="BL116" s="3">
        <f ca="1">IF($BP$1=1,DZ116,IF(RTD("tos.rtd",,BL$83,"."&amp;$C$82&amp;$AU$82&amp;"C"&amp;$A116)="N/A",0,RTD("tos.rtd",,BL$83,"."&amp;$C$82&amp;$AU$82&amp;"C"&amp;$A116)))</f>
        <v>9.9969609216314691E-4</v>
      </c>
      <c r="BM116" s="3">
        <f ca="1">IF($BP$1=1,EA116,-IF(RTD("tos.rtd",,BM$83,"."&amp;$C$82&amp;$AU$82&amp;"P"&amp;$A116)="N/A",0,RTD("tos.rtd",,BM$83,"."&amp;$C$82&amp;$AU$82&amp;"P"&amp;$A116)))</f>
        <v>-2.1820663573212601E-3</v>
      </c>
      <c r="BN116" s="3">
        <f ca="1">IF($BP$1=1,EB116,IF(RTD("tos.rtd",,BN$83,"."&amp;$D$82&amp;$AW$82&amp;"C"&amp;$A116)="N/A",0,RTD("tos.rtd",,BN$83,"."&amp;$D$82&amp;$AW$82&amp;"C"&amp;$A116)))</f>
        <v>1.6930391171330111E-3</v>
      </c>
      <c r="BO116" s="3">
        <f ca="1">IF($BP$1=1,EC116,-IF(RTD("tos.rtd",,BO$83,"."&amp;$D$82&amp;$AW$82&amp;"P"&amp;$A116)="N/A",0,RTD("tos.rtd",,BO$83,"."&amp;$D$82&amp;$AW$82&amp;"P"&amp;$A116)))</f>
        <v>-2.1540027634446937E-3</v>
      </c>
      <c r="BQ116" s="3" t="e">
        <f t="shared" ca="1" si="456"/>
        <v>#NUM!</v>
      </c>
      <c r="BR116" s="3" t="e">
        <f t="shared" ca="1" si="494"/>
        <v>#NUM!</v>
      </c>
      <c r="BS116" s="3">
        <f t="shared" ca="1" si="457"/>
        <v>-183926.44989120017</v>
      </c>
      <c r="BT116" s="3" t="str">
        <f t="shared" ca="1" si="494"/>
        <v/>
      </c>
      <c r="BU116" s="3">
        <f t="shared" ca="1" si="458"/>
        <v>-554903.43134287046</v>
      </c>
      <c r="BV116" s="3" t="str">
        <f t="shared" ca="1" si="494"/>
        <v/>
      </c>
      <c r="BX116" s="3" t="e">
        <f t="shared" ca="1" si="459"/>
        <v>#NUM!</v>
      </c>
      <c r="BY116" s="3" t="e">
        <f t="shared" ca="1" si="510"/>
        <v>#NUM!</v>
      </c>
      <c r="BZ116" s="3">
        <f t="shared" ca="1" si="460"/>
        <v>0</v>
      </c>
      <c r="CA116" s="3" t="str">
        <f t="shared" ca="1" si="510"/>
        <v/>
      </c>
      <c r="CB116" s="3">
        <f t="shared" ca="1" si="461"/>
        <v>0</v>
      </c>
      <c r="CC116" s="3" t="str">
        <f t="shared" ca="1" si="510"/>
        <v/>
      </c>
      <c r="CD116" s="3">
        <f>IF(RTD("tos.rtd",,CD$83,"."&amp;$B$82&amp;$AS$82&amp;"C"&amp;$A116)="N/A",0,RTD("tos.rtd",,CD$83,"."&amp;$B$82&amp;$AS$82&amp;"C"&amp;$A116))</f>
        <v>1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0.64</v>
      </c>
      <c r="CG116" s="3">
        <f>-IF(RTD("tos.rtd",,CG$83,"."&amp;$C$82&amp;$AU$82&amp;"P"&amp;$A116)="N/A",0,RTD("tos.rtd",,CG$83,"."&amp;$C$82&amp;$AU$82&amp;"P"&amp;$A116))</f>
        <v>0.17</v>
      </c>
      <c r="CH116" s="3">
        <f>IF(RTD("tos.rtd",,CH$83,"."&amp;$D$82&amp;$AW$82&amp;"C"&amp;$A116)="N/A",0,RTD("tos.rtd",,CH$83,"."&amp;$D$82&amp;$AW$82&amp;"C"&amp;$A116))</f>
        <v>0.62</v>
      </c>
      <c r="CI116" s="3">
        <f>-IF(RTD("tos.rtd",,CI$83,"."&amp;$D$82&amp;$AW$82&amp;"P"&amp;$A116)="N/A",0,RTD("tos.rtd",,CI$83,"."&amp;$D$82&amp;$AW$82&amp;"P"&amp;$A116))</f>
        <v>0.34</v>
      </c>
      <c r="CK116" s="3">
        <f t="shared" si="495"/>
        <v>24400</v>
      </c>
      <c r="CL116" s="3"/>
      <c r="CM116" s="3">
        <f t="shared" si="496"/>
        <v>9469</v>
      </c>
      <c r="CN116" s="3"/>
      <c r="CO116" s="3">
        <f t="shared" si="497"/>
        <v>71308</v>
      </c>
      <c r="CP116" s="3">
        <f t="shared" si="462"/>
        <v>105177</v>
      </c>
      <c r="CQ116" s="3">
        <f t="shared" si="463"/>
        <v>0</v>
      </c>
      <c r="CR116" s="3"/>
      <c r="CS116" s="3">
        <f t="shared" si="464"/>
        <v>0</v>
      </c>
      <c r="CT116" s="3"/>
      <c r="CU116" s="3">
        <f t="shared" si="465"/>
        <v>0</v>
      </c>
      <c r="CV116" s="3"/>
      <c r="CW116" s="3" t="e">
        <f t="shared" ca="1" si="527"/>
        <v>#NUM!</v>
      </c>
      <c r="CY116" s="3" t="e">
        <f t="shared" ca="1" si="467"/>
        <v>#NUM!</v>
      </c>
      <c r="CZ116" s="70" t="e">
        <f t="shared" ca="1" si="511"/>
        <v>#NUM!</v>
      </c>
      <c r="DA116" s="3">
        <f>IF(RTD("tos.rtd",,DA$83,"."&amp;$B$82&amp;$AS$82&amp;"C"&amp;$A116)="N/A",0,RTD("tos.rtd",,DA$83,"."&amp;$B$82&amp;$AS$82&amp;"C"&amp;$A116))</f>
        <v>107.3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102.1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96.9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9"/>
        <v>-99.909999999999854</v>
      </c>
      <c r="DH116" s="3">
        <f t="shared" si="468"/>
        <v>-144.0000000000002</v>
      </c>
      <c r="DI116" s="3">
        <f t="shared" si="469"/>
        <v>9797</v>
      </c>
      <c r="DJ116" s="3">
        <f t="shared" si="470"/>
        <v>-72</v>
      </c>
      <c r="DK116" s="3">
        <f t="shared" si="471"/>
        <v>9797</v>
      </c>
      <c r="DL116" s="3">
        <f t="shared" si="472"/>
        <v>9653</v>
      </c>
      <c r="DM116" s="3">
        <f t="shared" si="473"/>
        <v>9725</v>
      </c>
      <c r="DN116" s="64" t="str">
        <f t="shared" si="474"/>
        <v>UNKNOWN</v>
      </c>
      <c r="DO116" s="64" t="str">
        <f t="shared" si="475"/>
        <v>UNKNOWN</v>
      </c>
      <c r="DP116" s="3">
        <f t="shared" si="476"/>
        <v>-14961.35000000002</v>
      </c>
      <c r="DQ116" s="3">
        <f t="shared" si="477"/>
        <v>-7235.7499999999991</v>
      </c>
      <c r="DR116" s="3" t="e">
        <f t="shared" ca="1" si="478"/>
        <v>#NUM!</v>
      </c>
      <c r="DS116" s="3">
        <f t="shared" si="479"/>
        <v>-72</v>
      </c>
      <c r="DT116" s="3">
        <f t="shared" si="500"/>
        <v>-72</v>
      </c>
      <c r="DU116" s="3">
        <f t="shared" si="501"/>
        <v>9797</v>
      </c>
      <c r="DV116" s="3">
        <f t="shared" si="502"/>
        <v>-39</v>
      </c>
      <c r="DW116" s="3">
        <f t="shared" si="503"/>
        <v>896</v>
      </c>
      <c r="DX116" s="3" t="e">
        <f t="shared" ca="1" si="512"/>
        <v>#NUM!</v>
      </c>
      <c r="DY116" s="3" t="e">
        <f t="shared" ca="1" si="480"/>
        <v>#NUM!</v>
      </c>
      <c r="DZ116" s="3">
        <f t="shared" ca="1" si="504"/>
        <v>9.9969609216314691E-4</v>
      </c>
      <c r="EA116" s="3">
        <f t="shared" ca="1" si="505"/>
        <v>-2.1820663573212601E-3</v>
      </c>
      <c r="EB116" s="3">
        <f t="shared" ca="1" si="481"/>
        <v>1.6930391171330111E-3</v>
      </c>
      <c r="EC116" s="3">
        <f t="shared" ca="1" si="482"/>
        <v>-2.1540027634446937E-3</v>
      </c>
      <c r="ED116" s="63">
        <f t="shared" si="506"/>
        <v>857</v>
      </c>
      <c r="EE116" s="59">
        <f t="shared" si="483"/>
        <v>0.25</v>
      </c>
      <c r="EF116" s="59">
        <f t="shared" si="484"/>
        <v>0.83479999999999999</v>
      </c>
      <c r="EG116" s="59">
        <f t="shared" si="485"/>
        <v>0.49580000000000002</v>
      </c>
      <c r="EH116" s="59">
        <f t="shared" si="486"/>
        <v>0.1716</v>
      </c>
      <c r="EI116" s="59">
        <f t="shared" si="487"/>
        <v>0.2666</v>
      </c>
      <c r="EJ116" s="59">
        <f t="shared" si="488"/>
        <v>0.17749999999999999</v>
      </c>
      <c r="EK116" s="63" t="e">
        <f t="shared" ca="1" si="507"/>
        <v>#NUM!</v>
      </c>
      <c r="EL116" s="3" t="str">
        <f>RTD("tos.rtd",,EL$83,"."&amp;$B$82&amp;$AS$82&amp;"C"&amp;$A116)</f>
        <v>--</v>
      </c>
      <c r="EM116" s="3" t="str">
        <f>RTD("tos.rtd",,EM$83,"."&amp;$B$82&amp;$AS$82&amp;"P"&amp;$A116)</f>
        <v>83.48%</v>
      </c>
      <c r="EN116" s="3" t="str">
        <f>RTD("tos.rtd",,EN$83,"."&amp;$C$82&amp;$AU$82&amp;"C"&amp;$A116)</f>
        <v>49.58%</v>
      </c>
      <c r="EO116" s="3" t="str">
        <f>RTD("tos.rtd",,EO$83,"."&amp;$C$82&amp;$AU$82&amp;"P"&amp;$A116)</f>
        <v>17.16%</v>
      </c>
      <c r="EP116" s="3" t="str">
        <f>RTD("tos.rtd",,EP$83,"."&amp;$D$82&amp;$AW$82&amp;"C"&amp;$A116)</f>
        <v>26.66%</v>
      </c>
      <c r="EQ116" s="3" t="str">
        <f>RTD("tos.rtd",,EQ$83,"."&amp;$D$82&amp;$AW$82&amp;"P"&amp;$A116)</f>
        <v>17.75%</v>
      </c>
      <c r="ES116" s="63" t="str">
        <f t="shared" si="489"/>
        <v>5560,857.00</v>
      </c>
      <c r="ET116" s="63" t="str">
        <f t="shared" ca="1" si="490"/>
        <v>5560,00.00</v>
      </c>
      <c r="EU116" s="67">
        <v>565.73</v>
      </c>
      <c r="EV116" s="67" t="s">
        <v>947</v>
      </c>
      <c r="EW116" s="67">
        <v>489.28</v>
      </c>
      <c r="EX116" s="67" t="s">
        <v>948</v>
      </c>
      <c r="EY116" s="67">
        <v>5663.94</v>
      </c>
      <c r="EZ116" s="67" t="s">
        <v>949</v>
      </c>
      <c r="FA116" s="67">
        <v>20063.564999999999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508"/>
        <v>5550</v>
      </c>
      <c r="B117" s="3">
        <f t="shared" si="451"/>
        <v>6072</v>
      </c>
      <c r="C117" s="3">
        <f t="shared" si="452"/>
        <v>25139</v>
      </c>
      <c r="D117" s="3">
        <f t="shared" si="453"/>
        <v>46508</v>
      </c>
      <c r="E117" s="3">
        <f t="shared" ref="E117:E121" si="528">SUM(B117:D117)</f>
        <v>77719</v>
      </c>
      <c r="F117" s="4">
        <f t="shared" ref="F117:F121" si="529">+$F$84/$A$84*A117</f>
        <v>5638.3405389838354</v>
      </c>
      <c r="G117" s="4">
        <f t="shared" ref="G117:G121" si="530">+$G$84/$A$84*A117</f>
        <v>560.34318566903016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20</v>
      </c>
      <c r="AN117" s="20">
        <v>1522</v>
      </c>
      <c r="AO117" s="20">
        <v>5550</v>
      </c>
      <c r="AP117" s="20">
        <v>528</v>
      </c>
      <c r="AQ117" s="20">
        <v>-12254</v>
      </c>
      <c r="AR117" s="20"/>
      <c r="AS117" s="54">
        <f>IF(RTD("tos.rtd",,AS$83,"."&amp;$B$82&amp;$AS$82&amp;"C"&amp;$A117)="N/A",0,RTD("tos.rtd",,AS$83,"."&amp;$B$82&amp;$AS$82&amp;"C"&amp;$A117))</f>
        <v>1234</v>
      </c>
      <c r="AT117" s="3">
        <f>-IF(RTD("tos.rtd",,AT$83,"."&amp;$B$82&amp;$AS$82&amp;"P"&amp;$A117)="N/A",0,RTD("tos.rtd",,AT$83,"."&amp;$B$82&amp;$AS$82&amp;"P"&amp;$A117))</f>
        <v>-4838</v>
      </c>
      <c r="AU117" s="54">
        <f>IF(RTD("tos.rtd",,AU$83,"."&amp;$C$82&amp;$AU$82&amp;"C"&amp;$A117)="N/A",0,RTD("tos.rtd",,AU$83,"."&amp;$C$82&amp;$AU$82&amp;"C"&amp;$A117))</f>
        <v>11376</v>
      </c>
      <c r="AV117" s="3">
        <f>-IF(RTD("tos.rtd",,AV$83,"."&amp;$C$82&amp;$AU$82&amp;"P"&amp;$A117)="N/A",0,RTD("tos.rtd",,AV$83,"."&amp;$C$82&amp;$AU$82&amp;"P"&amp;$A117))</f>
        <v>-13763</v>
      </c>
      <c r="AW117" s="54">
        <f>IF(RTD("tos.rtd",,AW$83,"."&amp;$D$82&amp;$AW$82&amp;"C"&amp;$A117)="N/A",0,RTD("tos.rtd",,AW$83,"."&amp;$D$82&amp;$AW$82&amp;"C"&amp;$A117))</f>
        <v>21109</v>
      </c>
      <c r="AX117" s="3">
        <f>-IF(RTD("tos.rtd",,AX$83,"."&amp;$D$82&amp;$AW$82&amp;"P"&amp;$A117)="N/A",0,RTD("tos.rtd",,AX$83,"."&amp;$D$82&amp;$AW$82&amp;"P"&amp;$A117))</f>
        <v>-25399</v>
      </c>
      <c r="AY117" s="79">
        <f t="shared" ref="AY117:AY121" si="531">SUM(AS117:AX117)</f>
        <v>-10281</v>
      </c>
      <c r="AZ117" s="8">
        <f t="shared" si="455"/>
        <v>5550</v>
      </c>
      <c r="BA117" s="54">
        <f>IF(RTD("tos.rtd",,BA$83,"."&amp;$B$82&amp;$AS$82&amp;"C"&amp;$A117)="N/A",0,RTD("tos.rtd",,BA$83,"."&amp;$B$82&amp;$AS$82&amp;"C"&amp;$A117))</f>
        <v>0</v>
      </c>
      <c r="BB117" s="3">
        <f>-IF(RTD("tos.rtd",,BB$83,"."&amp;$B$82&amp;$AS$82&amp;"P"&amp;$A117)="N/A",0,RTD("tos.rtd",,BB$83,"."&amp;$B$82&amp;$AS$82&amp;"P"&amp;$A117))</f>
        <v>0</v>
      </c>
      <c r="BC117" s="54">
        <f>IF(RTD("tos.rtd",,BC$83,"."&amp;$C$82&amp;$AU$82&amp;"C"&amp;$A117)="N/A",0,RTD("tos.rtd",,BC$83,"."&amp;$C$82&amp;$AU$82&amp;"C"&amp;$A117))</f>
        <v>0</v>
      </c>
      <c r="BD117" s="3">
        <f>-IF(RTD("tos.rtd",,BD$83,"."&amp;$C$82&amp;$AU$82&amp;"P"&amp;$A117)="N/A",0,RTD("tos.rtd",,BD$83,"."&amp;$C$82&amp;$AU$82&amp;"P"&amp;$A117))</f>
        <v>0</v>
      </c>
      <c r="BE117" s="54">
        <f>IF(RTD("tos.rtd",,BE$83,"."&amp;$D$82&amp;$AW$82&amp;"C"&amp;$A117)="N/A",0,RTD("tos.rtd",,BE$83,"."&amp;$D$82&amp;$AW$82&amp;"C"&amp;$A117))</f>
        <v>0</v>
      </c>
      <c r="BF117" s="3">
        <f>-IF(RTD("tos.rtd",,BF$83,"."&amp;$D$82&amp;$AW$82&amp;"P"&amp;$A117)="N/A",0,RTD("tos.rtd",,BF$83,"."&amp;$D$82&amp;$AW$82&amp;"P"&amp;$A117))</f>
        <v>0</v>
      </c>
      <c r="BG117" s="3">
        <f ca="1">+Hoja2!Y118</f>
        <v>-1</v>
      </c>
      <c r="BH117" s="55">
        <f t="shared" ca="1" si="493"/>
        <v>-1</v>
      </c>
      <c r="BI117" s="32" t="str">
        <f t="shared" ca="1" si="513"/>
        <v/>
      </c>
      <c r="BJ117" s="3" t="e">
        <f ca="1">IF($BP$1=1,DX117,IF(RTD("tos.rtd",,BJ$83,"."&amp;$B$82&amp;$AS$82&amp;"C"&amp;$A117)="N/A",0,RTD("tos.rtd",,BJ$83,"."&amp;$B$82&amp;$AS$82&amp;"C"&amp;$A117)))</f>
        <v>#NUM!</v>
      </c>
      <c r="BK117" s="3" t="e">
        <f ca="1">IF($BP$1=1,DY117,-IF(RTD("tos.rtd",,BK$83,"."&amp;$B$82&amp;$AS$82&amp;"P"&amp;$A117)="N/A",0,RTD("tos.rtd",,BK$83,"."&amp;$B$82&amp;$AS$82&amp;"P"&amp;$A117)))</f>
        <v>#NUM!</v>
      </c>
      <c r="BL117" s="3">
        <f ca="1">IF($BP$1=1,DZ117,IF(RTD("tos.rtd",,BL$83,"."&amp;$C$82&amp;$AU$82&amp;"C"&amp;$A117)="N/A",0,RTD("tos.rtd",,BL$83,"."&amp;$C$82&amp;$AU$82&amp;"C"&amp;$A117)))</f>
        <v>9.7320390726402743E-4</v>
      </c>
      <c r="BM117" s="3">
        <f ca="1">IF($BP$1=1,EA117,-IF(RTD("tos.rtd",,BM$83,"."&amp;$C$82&amp;$AU$82&amp;"P"&amp;$A117)="N/A",0,RTD("tos.rtd",,BM$83,"."&amp;$C$82&amp;$AU$82&amp;"P"&amp;$A117)))</f>
        <v>-2.0312123623443422E-3</v>
      </c>
      <c r="BN117" s="3">
        <f ca="1">IF($BP$1=1,EB117,IF(RTD("tos.rtd",,BN$83,"."&amp;$D$82&amp;$AW$82&amp;"C"&amp;$A117)="N/A",0,RTD("tos.rtd",,BN$83,"."&amp;$D$82&amp;$AW$82&amp;"C"&amp;$A117)))</f>
        <v>1.635351172964769E-3</v>
      </c>
      <c r="BO117" s="3">
        <f ca="1">IF($BP$1=1,EC117,-IF(RTD("tos.rtd",,BO$83,"."&amp;$D$82&amp;$AW$82&amp;"P"&amp;$A117)="N/A",0,RTD("tos.rtd",,BO$83,"."&amp;$D$82&amp;$AW$82&amp;"P"&amp;$A117)))</f>
        <v>-2.0196180226629292E-3</v>
      </c>
      <c r="BQ117" s="3" t="e">
        <f t="shared" ca="1" si="456"/>
        <v>#NUM!</v>
      </c>
      <c r="BR117" s="3" t="e">
        <f t="shared" ca="1" si="494"/>
        <v>#NUM!</v>
      </c>
      <c r="BS117" s="3">
        <f t="shared" ca="1" si="457"/>
        <v>-4156682.4161716164</v>
      </c>
      <c r="BT117" s="3" t="str">
        <f t="shared" ca="1" si="494"/>
        <v/>
      </c>
      <c r="BU117" s="3">
        <f t="shared" ca="1" si="458"/>
        <v>-4129907.9017635901</v>
      </c>
      <c r="BV117" s="3" t="str">
        <f t="shared" ca="1" si="494"/>
        <v/>
      </c>
      <c r="BX117" s="3" t="e">
        <f t="shared" ca="1" si="459"/>
        <v>#NUM!</v>
      </c>
      <c r="BY117" s="3" t="e">
        <f t="shared" ca="1" si="510"/>
        <v>#NUM!</v>
      </c>
      <c r="BZ117" s="3">
        <f t="shared" ca="1" si="460"/>
        <v>0</v>
      </c>
      <c r="CA117" s="3" t="str">
        <f t="shared" ca="1" si="510"/>
        <v/>
      </c>
      <c r="CB117" s="3">
        <f t="shared" ca="1" si="461"/>
        <v>0</v>
      </c>
      <c r="CC117" s="3" t="str">
        <f t="shared" ca="1" si="510"/>
        <v/>
      </c>
      <c r="CD117" s="3">
        <f>IF(RTD("tos.rtd",,CD$83,"."&amp;$B$82&amp;$AS$82&amp;"C"&amp;$A117)="N/A",0,RTD("tos.rtd",,CD$83,"."&amp;$B$82&amp;$AS$82&amp;"C"&amp;$A117))</f>
        <v>1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0.65</v>
      </c>
      <c r="CG117" s="3">
        <f>-IF(RTD("tos.rtd",,CG$83,"."&amp;$C$82&amp;$AU$82&amp;"P"&amp;$A117)="N/A",0,RTD("tos.rtd",,CG$83,"."&amp;$C$82&amp;$AU$82&amp;"P"&amp;$A117))</f>
        <v>0.15</v>
      </c>
      <c r="CH117" s="3">
        <f>IF(RTD("tos.rtd",,CH$83,"."&amp;$D$82&amp;$AW$82&amp;"C"&amp;$A117)="N/A",0,RTD("tos.rtd",,CH$83,"."&amp;$D$82&amp;$AW$82&amp;"C"&amp;$A117))</f>
        <v>0.63</v>
      </c>
      <c r="CI117" s="3">
        <f>-IF(RTD("tos.rtd",,CI$83,"."&amp;$D$82&amp;$AW$82&amp;"P"&amp;$A117)="N/A",0,RTD("tos.rtd",,CI$83,"."&amp;$D$82&amp;$AW$82&amp;"P"&amp;$A117))</f>
        <v>0.33</v>
      </c>
      <c r="CK117" s="3">
        <f t="shared" ref="CK117:CK121" si="532">+AS117*CD117*100+AT117*CE117*100</f>
        <v>123400</v>
      </c>
      <c r="CL117" s="3"/>
      <c r="CM117" s="3">
        <f t="shared" ref="CM117:CM121" si="533">+AU117*CF117*100+AV117*CG117*100</f>
        <v>532995</v>
      </c>
      <c r="CN117" s="3"/>
      <c r="CO117" s="3">
        <f t="shared" ref="CO117:CO121" si="534">+AW117*CH117*100+AX117*CI117*100</f>
        <v>491700</v>
      </c>
      <c r="CP117" s="3">
        <f t="shared" si="462"/>
        <v>1148095</v>
      </c>
      <c r="CQ117" s="3">
        <f t="shared" si="463"/>
        <v>0</v>
      </c>
      <c r="CR117" s="3"/>
      <c r="CS117" s="3">
        <f t="shared" si="464"/>
        <v>0</v>
      </c>
      <c r="CT117" s="3"/>
      <c r="CU117" s="3">
        <f t="shared" si="465"/>
        <v>0</v>
      </c>
      <c r="CV117" s="3"/>
      <c r="CW117" s="3" t="e">
        <f t="shared" ref="CW117:CW121" ca="1" si="535">+BQ117+BS117+BU117</f>
        <v>#NUM!</v>
      </c>
      <c r="CY117" s="3" t="e">
        <f t="shared" ca="1" si="467"/>
        <v>#NUM!</v>
      </c>
      <c r="CZ117" s="70" t="e">
        <f t="shared" ca="1" si="511"/>
        <v>#NUM!</v>
      </c>
      <c r="DA117" s="3">
        <f>IF(RTD("tos.rtd",,DA$83,"."&amp;$B$82&amp;$AS$82&amp;"C"&amp;$A117)="N/A",0,RTD("tos.rtd",,DA$83,"."&amp;$B$82&amp;$AS$82&amp;"C"&amp;$A117))</f>
        <v>110.47</v>
      </c>
      <c r="DB117" s="3">
        <f>IF(RTD("tos.rtd",,DB$83,"."&amp;$B$82&amp;$AS$82&amp;"P"&amp;$A117)="N/A",0,RTD("tos.rtd",,DB$83,"."&amp;$B$82&amp;$AS$82&amp;"P"&amp;$A117))</f>
        <v>0.05</v>
      </c>
      <c r="DC117" s="3">
        <f>IF(RTD("tos.rtd",,DC$83,"."&amp;$B$82&amp;$AS$82&amp;"C"&amp;$A117)="N/A",0,RTD("tos.rtd",,DC$83,"."&amp;$B$82&amp;$AS$82&amp;"C"&amp;$A117))</f>
        <v>112.1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106.9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9"/>
        <v>-109.90999999999985</v>
      </c>
      <c r="DH117" s="3">
        <f t="shared" si="468"/>
        <v>-362.4923076923078</v>
      </c>
      <c r="DI117" s="3">
        <f t="shared" si="469"/>
        <v>12254</v>
      </c>
      <c r="DJ117" s="3">
        <f t="shared" si="470"/>
        <v>-528</v>
      </c>
      <c r="DK117" s="3">
        <f t="shared" si="471"/>
        <v>12254</v>
      </c>
      <c r="DL117" s="3">
        <f t="shared" si="472"/>
        <v>11891.507692307692</v>
      </c>
      <c r="DM117" s="3">
        <f t="shared" si="473"/>
        <v>11726</v>
      </c>
      <c r="DN117" s="64" t="str">
        <f t="shared" si="474"/>
        <v>UNKNOWN</v>
      </c>
      <c r="DO117" s="64" t="str">
        <f t="shared" si="475"/>
        <v>UNKNOWN</v>
      </c>
      <c r="DP117" s="3">
        <f t="shared" si="476"/>
        <v>-39431.825230769246</v>
      </c>
      <c r="DQ117" s="3">
        <f t="shared" si="477"/>
        <v>-57715.46</v>
      </c>
      <c r="DR117" s="3" t="e">
        <f t="shared" ca="1" si="478"/>
        <v>#NUM!</v>
      </c>
      <c r="DS117" s="3">
        <f t="shared" si="479"/>
        <v>-528</v>
      </c>
      <c r="DT117" s="3">
        <f t="shared" si="500"/>
        <v>-528</v>
      </c>
      <c r="DU117" s="3">
        <f t="shared" si="501"/>
        <v>12254</v>
      </c>
      <c r="DV117" s="3">
        <f t="shared" si="502"/>
        <v>20</v>
      </c>
      <c r="DW117" s="3">
        <f t="shared" si="503"/>
        <v>1522</v>
      </c>
      <c r="DX117" s="3" t="e">
        <f t="shared" ca="1" si="512"/>
        <v>#NUM!</v>
      </c>
      <c r="DY117" s="3" t="e">
        <f t="shared" ca="1" si="480"/>
        <v>#NUM!</v>
      </c>
      <c r="DZ117" s="3">
        <f t="shared" ca="1" si="504"/>
        <v>9.7320390726402743E-4</v>
      </c>
      <c r="EA117" s="3">
        <f t="shared" ca="1" si="505"/>
        <v>-2.0312123623443422E-3</v>
      </c>
      <c r="EB117" s="3">
        <f t="shared" ca="1" si="481"/>
        <v>1.635351172964769E-3</v>
      </c>
      <c r="EC117" s="3">
        <f t="shared" ca="1" si="482"/>
        <v>-2.0196180226629292E-3</v>
      </c>
      <c r="ED117" s="63">
        <f t="shared" si="506"/>
        <v>1542</v>
      </c>
      <c r="EE117" s="59">
        <f t="shared" si="483"/>
        <v>0.25</v>
      </c>
      <c r="EF117" s="59">
        <f t="shared" si="484"/>
        <v>0.91080000000000005</v>
      </c>
      <c r="EG117" s="59">
        <f t="shared" si="485"/>
        <v>0.50580000000000003</v>
      </c>
      <c r="EH117" s="59">
        <f t="shared" si="486"/>
        <v>0.1757</v>
      </c>
      <c r="EI117" s="59">
        <f t="shared" si="487"/>
        <v>0.26929999999999998</v>
      </c>
      <c r="EJ117" s="59">
        <f t="shared" si="488"/>
        <v>0.17929999999999999</v>
      </c>
      <c r="EK117" s="63" t="e">
        <f t="shared" ca="1" si="507"/>
        <v>#NUM!</v>
      </c>
      <c r="EL117" s="3" t="str">
        <f>RTD("tos.rtd",,EL$83,"."&amp;$B$82&amp;$AS$82&amp;"C"&amp;$A117)</f>
        <v>--</v>
      </c>
      <c r="EM117" s="3" t="str">
        <f>RTD("tos.rtd",,EM$83,"."&amp;$B$82&amp;$AS$82&amp;"P"&amp;$A117)</f>
        <v>91.08%</v>
      </c>
      <c r="EN117" s="3" t="str">
        <f>RTD("tos.rtd",,EN$83,"."&amp;$C$82&amp;$AU$82&amp;"C"&amp;$A117)</f>
        <v>50.58%</v>
      </c>
      <c r="EO117" s="3" t="str">
        <f>RTD("tos.rtd",,EO$83,"."&amp;$C$82&amp;$AU$82&amp;"P"&amp;$A117)</f>
        <v>17.57%</v>
      </c>
      <c r="EP117" s="3" t="str">
        <f>RTD("tos.rtd",,EP$83,"."&amp;$D$82&amp;$AW$82&amp;"C"&amp;$A117)</f>
        <v>26.93%</v>
      </c>
      <c r="EQ117" s="3" t="str">
        <f>RTD("tos.rtd",,EQ$83,"."&amp;$D$82&amp;$AW$82&amp;"P"&amp;$A117)</f>
        <v>17.93%</v>
      </c>
      <c r="ES117" s="63" t="str">
        <f t="shared" si="489"/>
        <v>5550,1542.00</v>
      </c>
      <c r="ET117" s="63" t="str">
        <f t="shared" ca="1" si="490"/>
        <v>5550,00.00</v>
      </c>
      <c r="EU117" s="67">
        <v>565.70000000000005</v>
      </c>
      <c r="EV117" s="67" t="s">
        <v>955</v>
      </c>
      <c r="EW117" s="67">
        <v>489.25</v>
      </c>
      <c r="EX117" s="67" t="s">
        <v>956</v>
      </c>
      <c r="EY117" s="67">
        <v>5663.94</v>
      </c>
      <c r="EZ117" s="67" t="s">
        <v>957</v>
      </c>
      <c r="FA117" s="67">
        <v>20063.564999999999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508"/>
        <v>5540</v>
      </c>
      <c r="B118" s="3">
        <f t="shared" si="451"/>
        <v>5162</v>
      </c>
      <c r="C118" s="3">
        <f t="shared" si="452"/>
        <v>4455</v>
      </c>
      <c r="D118" s="3">
        <f t="shared" si="453"/>
        <v>6602</v>
      </c>
      <c r="E118" s="3">
        <f t="shared" si="528"/>
        <v>16219</v>
      </c>
      <c r="F118" s="4">
        <f t="shared" si="529"/>
        <v>5628.1813668415225</v>
      </c>
      <c r="G118" s="4">
        <f t="shared" si="530"/>
        <v>559.33355830746427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-359</v>
      </c>
      <c r="AN118" s="20">
        <v>-514</v>
      </c>
      <c r="AO118" s="20">
        <v>5540</v>
      </c>
      <c r="AP118" s="20">
        <v>484</v>
      </c>
      <c r="AQ118" s="20">
        <v>-7363</v>
      </c>
      <c r="AR118" s="20"/>
      <c r="AS118" s="54">
        <f>IF(RTD("tos.rtd",,AS$83,"."&amp;$B$82&amp;$AS$82&amp;"C"&amp;$A118)="N/A",0,RTD("tos.rtd",,AS$83,"."&amp;$B$82&amp;$AS$82&amp;"C"&amp;$A118))</f>
        <v>751</v>
      </c>
      <c r="AT118" s="3">
        <f>-IF(RTD("tos.rtd",,AT$83,"."&amp;$B$82&amp;$AS$82&amp;"P"&amp;$A118)="N/A",0,RTD("tos.rtd",,AT$83,"."&amp;$B$82&amp;$AS$82&amp;"P"&amp;$A118))</f>
        <v>-4411</v>
      </c>
      <c r="AU118" s="54">
        <f>IF(RTD("tos.rtd",,AU$83,"."&amp;$C$82&amp;$AU$82&amp;"C"&amp;$A118)="N/A",0,RTD("tos.rtd",,AU$83,"."&amp;$C$82&amp;$AU$82&amp;"C"&amp;$A118))</f>
        <v>1578</v>
      </c>
      <c r="AV118" s="3">
        <f>-IF(RTD("tos.rtd",,AV$83,"."&amp;$C$82&amp;$AU$82&amp;"P"&amp;$A118)="N/A",0,RTD("tos.rtd",,AV$83,"."&amp;$C$82&amp;$AU$82&amp;"P"&amp;$A118))</f>
        <v>-2877</v>
      </c>
      <c r="AW118" s="54">
        <f>IF(RTD("tos.rtd",,AW$83,"."&amp;$D$82&amp;$AW$82&amp;"C"&amp;$A118)="N/A",0,RTD("tos.rtd",,AW$83,"."&amp;$D$82&amp;$AW$82&amp;"C"&amp;$A118))</f>
        <v>3278</v>
      </c>
      <c r="AX118" s="3">
        <f>-IF(RTD("tos.rtd",,AX$83,"."&amp;$D$82&amp;$AW$82&amp;"P"&amp;$A118)="N/A",0,RTD("tos.rtd",,AX$83,"."&amp;$D$82&amp;$AW$82&amp;"P"&amp;$A118))</f>
        <v>-3324</v>
      </c>
      <c r="AY118" s="79">
        <f t="shared" si="531"/>
        <v>-5005</v>
      </c>
      <c r="AZ118" s="8">
        <f t="shared" si="455"/>
        <v>5540</v>
      </c>
      <c r="BA118" s="54">
        <f>IF(RTD("tos.rtd",,BA$83,"."&amp;$B$82&amp;$AS$82&amp;"C"&amp;$A118)="N/A",0,RTD("tos.rtd",,BA$83,"."&amp;$B$82&amp;$AS$82&amp;"C"&amp;$A118))</f>
        <v>0</v>
      </c>
      <c r="BB118" s="3">
        <f>-IF(RTD("tos.rtd",,BB$83,"."&amp;$B$82&amp;$AS$82&amp;"P"&amp;$A118)="N/A",0,RTD("tos.rtd",,BB$83,"."&amp;$B$82&amp;$AS$82&amp;"P"&amp;$A118))</f>
        <v>0</v>
      </c>
      <c r="BC118" s="54">
        <f>IF(RTD("tos.rtd",,BC$83,"."&amp;$C$82&amp;$AU$82&amp;"C"&amp;$A118)="N/A",0,RTD("tos.rtd",,BC$83,"."&amp;$C$82&amp;$AU$82&amp;"C"&amp;$A118))</f>
        <v>0</v>
      </c>
      <c r="BD118" s="3">
        <f>-IF(RTD("tos.rtd",,BD$83,"."&amp;$C$82&amp;$AU$82&amp;"P"&amp;$A118)="N/A",0,RTD("tos.rtd",,BD$83,"."&amp;$C$82&amp;$AU$82&amp;"P"&amp;$A118))</f>
        <v>0</v>
      </c>
      <c r="BE118" s="54">
        <f>IF(RTD("tos.rtd",,BE$83,"."&amp;$D$82&amp;$AW$82&amp;"C"&amp;$A118)="N/A",0,RTD("tos.rtd",,BE$83,"."&amp;$D$82&amp;$AW$82&amp;"C"&amp;$A118))</f>
        <v>0</v>
      </c>
      <c r="BF118" s="3">
        <f>-IF(RTD("tos.rtd",,BF$83,"."&amp;$D$82&amp;$AW$82&amp;"P"&amp;$A118)="N/A",0,RTD("tos.rtd",,BF$83,"."&amp;$D$82&amp;$AW$82&amp;"P"&amp;$A118))</f>
        <v>0</v>
      </c>
      <c r="BG118" s="3">
        <f ca="1">+Hoja2!Y119</f>
        <v>0</v>
      </c>
      <c r="BH118" s="55">
        <f t="shared" ca="1" si="493"/>
        <v>0</v>
      </c>
      <c r="BI118" s="32" t="str">
        <f t="shared" ca="1" si="513"/>
        <v/>
      </c>
      <c r="BJ118" s="3" t="e">
        <f ca="1">IF($BP$1=1,DX118,IF(RTD("tos.rtd",,BJ$83,"."&amp;$B$82&amp;$AS$82&amp;"C"&amp;$A118)="N/A",0,RTD("tos.rtd",,BJ$83,"."&amp;$B$82&amp;$AS$82&amp;"C"&amp;$A118)))</f>
        <v>#NUM!</v>
      </c>
      <c r="BK118" s="3" t="e">
        <f ca="1">IF($BP$1=1,DY118,-IF(RTD("tos.rtd",,BK$83,"."&amp;$B$82&amp;$AS$82&amp;"P"&amp;$A118)="N/A",0,RTD("tos.rtd",,BK$83,"."&amp;$B$82&amp;$AS$82&amp;"P"&amp;$A118)))</f>
        <v>#NUM!</v>
      </c>
      <c r="BL118" s="3">
        <f ca="1">IF($BP$1=1,DZ118,IF(RTD("tos.rtd",,BL$83,"."&amp;$C$82&amp;$AU$82&amp;"C"&amp;$A118)="N/A",0,RTD("tos.rtd",,BL$83,"."&amp;$C$82&amp;$AU$82&amp;"C"&amp;$A118)))</f>
        <v>9.415166876569895E-4</v>
      </c>
      <c r="BM118" s="3">
        <f ca="1">IF($BP$1=1,EA118,-IF(RTD("tos.rtd",,BM$83,"."&amp;$C$82&amp;$AU$82&amp;"P"&amp;$A118)="N/A",0,RTD("tos.rtd",,BM$83,"."&amp;$C$82&amp;$AU$82&amp;"P"&amp;$A118)))</f>
        <v>-1.8895668408064599E-3</v>
      </c>
      <c r="BN118" s="3">
        <f ca="1">IF($BP$1=1,EB118,IF(RTD("tos.rtd",,BN$83,"."&amp;$D$82&amp;$AW$82&amp;"C"&amp;$A118)="N/A",0,RTD("tos.rtd",,BN$83,"."&amp;$D$82&amp;$AW$82&amp;"C"&amp;$A118)))</f>
        <v>1.5789365738809453E-3</v>
      </c>
      <c r="BO118" s="3">
        <f ca="1">IF($BP$1=1,EC118,-IF(RTD("tos.rtd",,BO$83,"."&amp;$D$82&amp;$AW$82&amp;"P"&amp;$A118)="N/A",0,RTD("tos.rtd",,BO$83,"."&amp;$D$82&amp;$AW$82&amp;"P"&amp;$A118)))</f>
        <v>-1.8875164956010662E-3</v>
      </c>
      <c r="BQ118" s="3" t="e">
        <f t="shared" ca="1" si="456"/>
        <v>#NUM!</v>
      </c>
      <c r="BR118" s="3" t="e">
        <f t="shared" ca="1" si="494"/>
        <v>#NUM!</v>
      </c>
      <c r="BS118" s="3">
        <f t="shared" ca="1" si="457"/>
        <v>-972569.88260052959</v>
      </c>
      <c r="BT118" s="3" t="str">
        <f t="shared" ca="1" si="494"/>
        <v/>
      </c>
      <c r="BU118" s="3">
        <f t="shared" ca="1" si="458"/>
        <v>-270397.1138036421</v>
      </c>
      <c r="BV118" s="3" t="str">
        <f t="shared" ca="1" si="494"/>
        <v/>
      </c>
      <c r="BX118" s="3" t="e">
        <f t="shared" ca="1" si="459"/>
        <v>#NUM!</v>
      </c>
      <c r="BY118" s="3" t="e">
        <f t="shared" ca="1" si="510"/>
        <v>#NUM!</v>
      </c>
      <c r="BZ118" s="3">
        <f t="shared" ca="1" si="460"/>
        <v>0</v>
      </c>
      <c r="CA118" s="3" t="str">
        <f t="shared" ca="1" si="510"/>
        <v/>
      </c>
      <c r="CB118" s="3">
        <f t="shared" ca="1" si="461"/>
        <v>0</v>
      </c>
      <c r="CC118" s="3" t="str">
        <f t="shared" ca="1" si="510"/>
        <v/>
      </c>
      <c r="CD118" s="3">
        <f>IF(RTD("tos.rtd",,CD$83,"."&amp;$B$82&amp;$AS$82&amp;"C"&amp;$A118)="N/A",0,RTD("tos.rtd",,CD$83,"."&amp;$B$82&amp;$AS$82&amp;"C"&amp;$A118))</f>
        <v>1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0.66</v>
      </c>
      <c r="CG118" s="3">
        <f>-IF(RTD("tos.rtd",,CG$83,"."&amp;$C$82&amp;$AU$82&amp;"P"&amp;$A118)="N/A",0,RTD("tos.rtd",,CG$83,"."&amp;$C$82&amp;$AU$82&amp;"P"&amp;$A118))</f>
        <v>0.13</v>
      </c>
      <c r="CH118" s="3">
        <f>IF(RTD("tos.rtd",,CH$83,"."&amp;$D$82&amp;$AW$82&amp;"C"&amp;$A118)="N/A",0,RTD("tos.rtd",,CH$83,"."&amp;$D$82&amp;$AW$82&amp;"C"&amp;$A118))</f>
        <v>0.63</v>
      </c>
      <c r="CI118" s="3">
        <f>-IF(RTD("tos.rtd",,CI$83,"."&amp;$D$82&amp;$AW$82&amp;"P"&amp;$A118)="N/A",0,RTD("tos.rtd",,CI$83,"."&amp;$D$82&amp;$AW$82&amp;"P"&amp;$A118))</f>
        <v>0.32</v>
      </c>
      <c r="CK118" s="3">
        <f t="shared" si="532"/>
        <v>75100</v>
      </c>
      <c r="CL118" s="3"/>
      <c r="CM118" s="3">
        <f t="shared" si="533"/>
        <v>66747</v>
      </c>
      <c r="CN118" s="3"/>
      <c r="CO118" s="3">
        <f t="shared" si="534"/>
        <v>100146</v>
      </c>
      <c r="CP118" s="3">
        <f t="shared" si="462"/>
        <v>241993</v>
      </c>
      <c r="CQ118" s="3">
        <f t="shared" si="463"/>
        <v>0</v>
      </c>
      <c r="CR118" s="3"/>
      <c r="CS118" s="3">
        <f t="shared" si="464"/>
        <v>0</v>
      </c>
      <c r="CT118" s="3"/>
      <c r="CU118" s="3">
        <f t="shared" si="465"/>
        <v>0</v>
      </c>
      <c r="CV118" s="3"/>
      <c r="CW118" s="3" t="e">
        <f t="shared" ca="1" si="535"/>
        <v>#NUM!</v>
      </c>
      <c r="CY118" s="3" t="e">
        <f t="shared" ca="1" si="467"/>
        <v>#NUM!</v>
      </c>
      <c r="CZ118" s="70" t="e">
        <f t="shared" ca="1" si="511"/>
        <v>#NUM!</v>
      </c>
      <c r="DA118" s="3">
        <f>IF(RTD("tos.rtd",,DA$83,"."&amp;$B$82&amp;$AS$82&amp;"C"&amp;$A118)="N/A",0,RTD("tos.rtd",,DA$83,"."&amp;$B$82&amp;$AS$82&amp;"C"&amp;$A118))</f>
        <v>120.42</v>
      </c>
      <c r="DB118" s="3">
        <f>IF(RTD("tos.rtd",,DB$83,"."&amp;$B$82&amp;$AS$82&amp;"P"&amp;$A118)="N/A",0,RTD("tos.rtd",,DB$83,"."&amp;$B$82&amp;$AS$82&amp;"P"&amp;$A118))</f>
        <v>0.03</v>
      </c>
      <c r="DC118" s="3">
        <f>IF(RTD("tos.rtd",,DC$83,"."&amp;$B$82&amp;$AS$82&amp;"C"&amp;$A118)="N/A",0,RTD("tos.rtd",,DC$83,"."&amp;$B$82&amp;$AS$82&amp;"C"&amp;$A118))</f>
        <v>122.6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116.9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9"/>
        <v>-119.90999999999985</v>
      </c>
      <c r="DH118" s="3">
        <f t="shared" si="468"/>
        <v>-298.89122807017571</v>
      </c>
      <c r="DI118" s="3">
        <f t="shared" si="469"/>
        <v>4417.8</v>
      </c>
      <c r="DJ118" s="3">
        <f t="shared" si="470"/>
        <v>-484</v>
      </c>
      <c r="DK118" s="3">
        <f t="shared" si="471"/>
        <v>7363</v>
      </c>
      <c r="DL118" s="3">
        <f t="shared" si="472"/>
        <v>4118.9087719298241</v>
      </c>
      <c r="DM118" s="3">
        <f t="shared" si="473"/>
        <v>6879</v>
      </c>
      <c r="DN118" s="64" t="str">
        <f t="shared" si="474"/>
        <v>UNKNOWN</v>
      </c>
      <c r="DO118" s="64" t="str">
        <f t="shared" si="475"/>
        <v>UNKNOWN</v>
      </c>
      <c r="DP118" s="3">
        <f t="shared" si="476"/>
        <v>-35859.947684210558</v>
      </c>
      <c r="DQ118" s="3">
        <f t="shared" si="477"/>
        <v>-58062.39</v>
      </c>
      <c r="DR118" s="3" t="e">
        <f t="shared" ca="1" si="478"/>
        <v>#NUM!</v>
      </c>
      <c r="DS118" s="3">
        <f t="shared" si="479"/>
        <v>-484</v>
      </c>
      <c r="DT118" s="3">
        <f t="shared" si="500"/>
        <v>-484</v>
      </c>
      <c r="DU118" s="3">
        <f t="shared" si="501"/>
        <v>7363</v>
      </c>
      <c r="DV118" s="3">
        <f t="shared" si="502"/>
        <v>-359</v>
      </c>
      <c r="DW118" s="3">
        <f t="shared" si="503"/>
        <v>-514</v>
      </c>
      <c r="DX118" s="3" t="e">
        <f t="shared" ca="1" si="512"/>
        <v>#NUM!</v>
      </c>
      <c r="DY118" s="3" t="e">
        <f t="shared" ca="1" si="480"/>
        <v>#NUM!</v>
      </c>
      <c r="DZ118" s="3">
        <f t="shared" ca="1" si="504"/>
        <v>9.415166876569895E-4</v>
      </c>
      <c r="EA118" s="3">
        <f t="shared" ca="1" si="505"/>
        <v>-1.8895668408064599E-3</v>
      </c>
      <c r="EB118" s="3">
        <f t="shared" ca="1" si="481"/>
        <v>1.5789365738809453E-3</v>
      </c>
      <c r="EC118" s="3">
        <f t="shared" ca="1" si="482"/>
        <v>-1.8875164956010662E-3</v>
      </c>
      <c r="ED118" s="63">
        <f t="shared" si="506"/>
        <v>-873</v>
      </c>
      <c r="EE118" s="59">
        <f t="shared" si="483"/>
        <v>0.25</v>
      </c>
      <c r="EF118" s="59">
        <f t="shared" si="484"/>
        <v>0.98640000000000005</v>
      </c>
      <c r="EG118" s="59">
        <f t="shared" si="485"/>
        <v>0.51949999999999996</v>
      </c>
      <c r="EH118" s="59">
        <f t="shared" si="486"/>
        <v>0.18</v>
      </c>
      <c r="EI118" s="59">
        <f t="shared" si="487"/>
        <v>0.27160000000000001</v>
      </c>
      <c r="EJ118" s="59">
        <f t="shared" si="488"/>
        <v>0.18110000000000001</v>
      </c>
      <c r="EK118" s="63" t="e">
        <f t="shared" ca="1" si="507"/>
        <v>#NUM!</v>
      </c>
      <c r="EL118" s="3" t="str">
        <f>RTD("tos.rtd",,EL$83,"."&amp;$B$82&amp;$AS$82&amp;"C"&amp;$A118)</f>
        <v>--</v>
      </c>
      <c r="EM118" s="3" t="str">
        <f>RTD("tos.rtd",,EM$83,"."&amp;$B$82&amp;$AS$82&amp;"P"&amp;$A118)</f>
        <v>98.64%</v>
      </c>
      <c r="EN118" s="3" t="str">
        <f>RTD("tos.rtd",,EN$83,"."&amp;$C$82&amp;$AU$82&amp;"C"&amp;$A118)</f>
        <v>51.95%</v>
      </c>
      <c r="EO118" s="3" t="str">
        <f>RTD("tos.rtd",,EO$83,"."&amp;$C$82&amp;$AU$82&amp;"P"&amp;$A118)</f>
        <v>18.00%</v>
      </c>
      <c r="EP118" s="3" t="str">
        <f>RTD("tos.rtd",,EP$83,"."&amp;$D$82&amp;$AW$82&amp;"C"&amp;$A118)</f>
        <v>27.16%</v>
      </c>
      <c r="EQ118" s="3" t="str">
        <f>RTD("tos.rtd",,EQ$83,"."&amp;$D$82&amp;$AW$82&amp;"P"&amp;$A118)</f>
        <v>18.11%</v>
      </c>
      <c r="ES118" s="63" t="str">
        <f t="shared" si="489"/>
        <v>5540,-873.00</v>
      </c>
      <c r="ET118" s="63" t="str">
        <f t="shared" ca="1" si="490"/>
        <v>5540,00.00</v>
      </c>
      <c r="EU118" s="67">
        <v>565.74</v>
      </c>
      <c r="EV118" s="67" t="s">
        <v>963</v>
      </c>
      <c r="EW118" s="67">
        <v>489.25</v>
      </c>
      <c r="EX118" s="67" t="s">
        <v>964</v>
      </c>
      <c r="EY118" s="67">
        <v>5663.94</v>
      </c>
      <c r="EZ118" s="67" t="s">
        <v>965</v>
      </c>
      <c r="FA118" s="67">
        <v>20063.564999999999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508"/>
        <v>5530</v>
      </c>
      <c r="B119" s="3">
        <f t="shared" si="451"/>
        <v>803</v>
      </c>
      <c r="C119" s="3">
        <f t="shared" si="452"/>
        <v>3524</v>
      </c>
      <c r="D119" s="3">
        <f t="shared" si="453"/>
        <v>8672</v>
      </c>
      <c r="E119" s="3">
        <f t="shared" si="528"/>
        <v>12999</v>
      </c>
      <c r="F119" s="4">
        <f t="shared" si="529"/>
        <v>5618.0221946992096</v>
      </c>
      <c r="G119" s="4">
        <f t="shared" si="530"/>
        <v>558.3239309458985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-6</v>
      </c>
      <c r="AN119" s="20">
        <v>-104</v>
      </c>
      <c r="AO119" s="20">
        <v>5530</v>
      </c>
      <c r="AP119" s="20">
        <v>88</v>
      </c>
      <c r="AQ119" s="20">
        <v>-4304</v>
      </c>
      <c r="AR119" s="20"/>
      <c r="AS119" s="54">
        <f>IF(RTD("tos.rtd",,AS$83,"."&amp;$B$82&amp;$AS$82&amp;"C"&amp;$A119)="N/A",0,RTD("tos.rtd",,AS$83,"."&amp;$B$82&amp;$AS$82&amp;"C"&amp;$A119))</f>
        <v>134</v>
      </c>
      <c r="AT119" s="3">
        <f>-IF(RTD("tos.rtd",,AT$83,"."&amp;$B$82&amp;$AS$82&amp;"P"&amp;$A119)="N/A",0,RTD("tos.rtd",,AT$83,"."&amp;$B$82&amp;$AS$82&amp;"P"&amp;$A119))</f>
        <v>-669</v>
      </c>
      <c r="AU119" s="54">
        <f>IF(RTD("tos.rtd",,AU$83,"."&amp;$C$82&amp;$AU$82&amp;"C"&amp;$A119)="N/A",0,RTD("tos.rtd",,AU$83,"."&amp;$C$82&amp;$AU$82&amp;"C"&amp;$A119))</f>
        <v>608</v>
      </c>
      <c r="AV119" s="3">
        <f>-IF(RTD("tos.rtd",,AV$83,"."&amp;$C$82&amp;$AU$82&amp;"P"&amp;$A119)="N/A",0,RTD("tos.rtd",,AV$83,"."&amp;$C$82&amp;$AU$82&amp;"P"&amp;$A119))</f>
        <v>-2916</v>
      </c>
      <c r="AW119" s="54">
        <f>IF(RTD("tos.rtd",,AW$83,"."&amp;$D$82&amp;$AW$82&amp;"C"&amp;$A119)="N/A",0,RTD("tos.rtd",,AW$83,"."&amp;$D$82&amp;$AW$82&amp;"C"&amp;$A119))</f>
        <v>5711</v>
      </c>
      <c r="AX119" s="3">
        <f>-IF(RTD("tos.rtd",,AX$83,"."&amp;$D$82&amp;$AW$82&amp;"P"&amp;$A119)="N/A",0,RTD("tos.rtd",,AX$83,"."&amp;$D$82&amp;$AW$82&amp;"P"&amp;$A119))</f>
        <v>-2961</v>
      </c>
      <c r="AY119" s="79">
        <f t="shared" si="531"/>
        <v>-93</v>
      </c>
      <c r="AZ119" s="8">
        <f t="shared" si="455"/>
        <v>5530</v>
      </c>
      <c r="BA119" s="54">
        <f>IF(RTD("tos.rtd",,BA$83,"."&amp;$B$82&amp;$AS$82&amp;"C"&amp;$A119)="N/A",0,RTD("tos.rtd",,BA$83,"."&amp;$B$82&amp;$AS$82&amp;"C"&amp;$A119))</f>
        <v>0</v>
      </c>
      <c r="BB119" s="3">
        <f>-IF(RTD("tos.rtd",,BB$83,"."&amp;$B$82&amp;$AS$82&amp;"P"&amp;$A119)="N/A",0,RTD("tos.rtd",,BB$83,"."&amp;$B$82&amp;$AS$82&amp;"P"&amp;$A119))</f>
        <v>0</v>
      </c>
      <c r="BC119" s="54">
        <f>IF(RTD("tos.rtd",,BC$83,"."&amp;$C$82&amp;$AU$82&amp;"C"&amp;$A119)="N/A",0,RTD("tos.rtd",,BC$83,"."&amp;$C$82&amp;$AU$82&amp;"C"&amp;$A119))</f>
        <v>0</v>
      </c>
      <c r="BD119" s="3">
        <f>-IF(RTD("tos.rtd",,BD$83,"."&amp;$C$82&amp;$AU$82&amp;"P"&amp;$A119)="N/A",0,RTD("tos.rtd",,BD$83,"."&amp;$C$82&amp;$AU$82&amp;"P"&amp;$A119))</f>
        <v>0</v>
      </c>
      <c r="BE119" s="54">
        <f>IF(RTD("tos.rtd",,BE$83,"."&amp;$D$82&amp;$AW$82&amp;"C"&amp;$A119)="N/A",0,RTD("tos.rtd",,BE$83,"."&amp;$D$82&amp;$AW$82&amp;"C"&amp;$A119))</f>
        <v>0</v>
      </c>
      <c r="BF119" s="3">
        <f>-IF(RTD("tos.rtd",,BF$83,"."&amp;$D$82&amp;$AW$82&amp;"P"&amp;$A119)="N/A",0,RTD("tos.rtd",,BF$83,"."&amp;$D$82&amp;$AW$82&amp;"P"&amp;$A119))</f>
        <v>0</v>
      </c>
      <c r="BG119" s="3">
        <f ca="1">+Hoja2!Y120</f>
        <v>0</v>
      </c>
      <c r="BH119" s="55">
        <f t="shared" ca="1" si="493"/>
        <v>0</v>
      </c>
      <c r="BI119" s="32" t="str">
        <f t="shared" ca="1" si="513"/>
        <v/>
      </c>
      <c r="BJ119" s="3" t="e">
        <f ca="1">IF($BP$1=1,DX119,IF(RTD("tos.rtd",,BJ$83,"."&amp;$B$82&amp;$AS$82&amp;"C"&amp;$A119)="N/A",0,RTD("tos.rtd",,BJ$83,"."&amp;$B$82&amp;$AS$82&amp;"C"&amp;$A119)))</f>
        <v>#NUM!</v>
      </c>
      <c r="BK119" s="3" t="e">
        <f ca="1">IF($BP$1=1,DY119,-IF(RTD("tos.rtd",,BK$83,"."&amp;$B$82&amp;$AS$82&amp;"P"&amp;$A119)="N/A",0,RTD("tos.rtd",,BK$83,"."&amp;$B$82&amp;$AS$82&amp;"P"&amp;$A119)))</f>
        <v>#NUM!</v>
      </c>
      <c r="BL119" s="3">
        <f ca="1">IF($BP$1=1,DZ119,IF(RTD("tos.rtd",,BL$83,"."&amp;$C$82&amp;$AU$82&amp;"C"&amp;$A119)="N/A",0,RTD("tos.rtd",,BL$83,"."&amp;$C$82&amp;$AU$82&amp;"C"&amp;$A119)))</f>
        <v>9.0858224927147034E-4</v>
      </c>
      <c r="BM119" s="3">
        <f ca="1">IF($BP$1=1,EA119,-IF(RTD("tos.rtd",,BM$83,"."&amp;$C$82&amp;$AU$82&amp;"P"&amp;$A119)="N/A",0,RTD("tos.rtd",,BM$83,"."&amp;$C$82&amp;$AU$82&amp;"P"&amp;$A119)))</f>
        <v>-1.7580589150855074E-3</v>
      </c>
      <c r="BN119" s="3">
        <f ca="1">IF($BP$1=1,EB119,IF(RTD("tos.rtd",,BN$83,"."&amp;$D$82&amp;$AW$82&amp;"C"&amp;$A119)="N/A",0,RTD("tos.rtd",,BN$83,"."&amp;$D$82&amp;$AW$82&amp;"C"&amp;$A119)))</f>
        <v>1.5212646337849271E-3</v>
      </c>
      <c r="BO119" s="3">
        <f ca="1">IF($BP$1=1,EC119,-IF(RTD("tos.rtd",,BO$83,"."&amp;$D$82&amp;$AW$82&amp;"P"&amp;$A119)="N/A",0,RTD("tos.rtd",,BO$83,"."&amp;$D$82&amp;$AW$82&amp;"P"&amp;$A119)))</f>
        <v>-1.7587159044175384E-3</v>
      </c>
      <c r="BQ119" s="3" t="e">
        <f t="shared" ca="1" si="456"/>
        <v>#NUM!</v>
      </c>
      <c r="BR119" s="3" t="e">
        <f t="shared" ca="1" si="494"/>
        <v>#NUM!</v>
      </c>
      <c r="BS119" s="3">
        <f t="shared" ca="1" si="457"/>
        <v>-1126068.8107051959</v>
      </c>
      <c r="BT119" s="3" t="str">
        <f t="shared" ca="1" si="494"/>
        <v/>
      </c>
      <c r="BU119" s="3">
        <f t="shared" ca="1" si="458"/>
        <v>856817.31330192205</v>
      </c>
      <c r="BV119" s="3" t="str">
        <f t="shared" ca="1" si="494"/>
        <v>Cruce +</v>
      </c>
      <c r="BX119" s="3" t="e">
        <f t="shared" ca="1" si="459"/>
        <v>#NUM!</v>
      </c>
      <c r="BY119" s="3" t="e">
        <f t="shared" ca="1" si="510"/>
        <v>#NUM!</v>
      </c>
      <c r="BZ119" s="3">
        <f t="shared" ca="1" si="460"/>
        <v>0</v>
      </c>
      <c r="CA119" s="3" t="str">
        <f t="shared" ca="1" si="510"/>
        <v/>
      </c>
      <c r="CB119" s="3">
        <f t="shared" ca="1" si="461"/>
        <v>0</v>
      </c>
      <c r="CC119" s="3" t="str">
        <f t="shared" ca="1" si="510"/>
        <v/>
      </c>
      <c r="CD119" s="3">
        <f>IF(RTD("tos.rtd",,CD$83,"."&amp;$B$82&amp;$AS$82&amp;"C"&amp;$A119)="N/A",0,RTD("tos.rtd",,CD$83,"."&amp;$B$82&amp;$AS$82&amp;"C"&amp;$A119))</f>
        <v>1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0.67</v>
      </c>
      <c r="CG119" s="3">
        <f>-IF(RTD("tos.rtd",,CG$83,"."&amp;$C$82&amp;$AU$82&amp;"P"&amp;$A119)="N/A",0,RTD("tos.rtd",,CG$83,"."&amp;$C$82&amp;$AU$82&amp;"P"&amp;$A119))</f>
        <v>0.12</v>
      </c>
      <c r="CH119" s="3">
        <f>IF(RTD("tos.rtd",,CH$83,"."&amp;$D$82&amp;$AW$82&amp;"C"&amp;$A119)="N/A",0,RTD("tos.rtd",,CH$83,"."&amp;$D$82&amp;$AW$82&amp;"C"&amp;$A119))</f>
        <v>0.64</v>
      </c>
      <c r="CI119" s="3">
        <f>-IF(RTD("tos.rtd",,CI$83,"."&amp;$D$82&amp;$AW$82&amp;"P"&amp;$A119)="N/A",0,RTD("tos.rtd",,CI$83,"."&amp;$D$82&amp;$AW$82&amp;"P"&amp;$A119))</f>
        <v>0.31</v>
      </c>
      <c r="CK119" s="3">
        <f t="shared" si="532"/>
        <v>13400</v>
      </c>
      <c r="CL119" s="3"/>
      <c r="CM119" s="3">
        <f t="shared" si="533"/>
        <v>5744.0000000000073</v>
      </c>
      <c r="CN119" s="3"/>
      <c r="CO119" s="3">
        <f t="shared" si="534"/>
        <v>273713</v>
      </c>
      <c r="CP119" s="3">
        <f t="shared" si="462"/>
        <v>292857</v>
      </c>
      <c r="CQ119" s="3">
        <f t="shared" si="463"/>
        <v>0</v>
      </c>
      <c r="CR119" s="3"/>
      <c r="CS119" s="3">
        <f t="shared" si="464"/>
        <v>0</v>
      </c>
      <c r="CT119" s="3"/>
      <c r="CU119" s="3">
        <f t="shared" si="465"/>
        <v>0</v>
      </c>
      <c r="CV119" s="3"/>
      <c r="CW119" s="3" t="e">
        <f t="shared" ca="1" si="535"/>
        <v>#NUM!</v>
      </c>
      <c r="CY119" s="3" t="e">
        <f t="shared" ca="1" si="467"/>
        <v>#NUM!</v>
      </c>
      <c r="CZ119" s="70" t="e">
        <f t="shared" ca="1" si="511"/>
        <v>#NUM!</v>
      </c>
      <c r="DA119" s="3">
        <f>IF(RTD("tos.rtd",,DA$83,"."&amp;$B$82&amp;$AS$82&amp;"C"&amp;$A119)="N/A",0,RTD("tos.rtd",,DA$83,"."&amp;$B$82&amp;$AS$82&amp;"C"&amp;$A119))</f>
        <v>130.43</v>
      </c>
      <c r="DB119" s="3">
        <f>IF(RTD("tos.rtd",,DB$83,"."&amp;$B$82&amp;$AS$82&amp;"P"&amp;$A119)="N/A",0,RTD("tos.rtd",,DB$83,"."&amp;$B$82&amp;$AS$82&amp;"P"&amp;$A119))</f>
        <v>0.05</v>
      </c>
      <c r="DC119" s="3">
        <f>IF(RTD("tos.rtd",,DC$83,"."&amp;$B$82&amp;$AS$82&amp;"C"&amp;$A119)="N/A",0,RTD("tos.rtd",,DC$83,"."&amp;$B$82&amp;$AS$82&amp;"C"&amp;$A119))</f>
        <v>132.5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123.4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9"/>
        <v>-129.90999999999985</v>
      </c>
      <c r="DH119" s="3">
        <f t="shared" si="468"/>
        <v>-67.982417582417639</v>
      </c>
      <c r="DI119" s="3">
        <f t="shared" si="469"/>
        <v>4304</v>
      </c>
      <c r="DJ119" s="3">
        <f t="shared" si="470"/>
        <v>-88</v>
      </c>
      <c r="DK119" s="3">
        <f t="shared" si="471"/>
        <v>4304</v>
      </c>
      <c r="DL119" s="3">
        <f t="shared" si="472"/>
        <v>4236.0175824175822</v>
      </c>
      <c r="DM119" s="3">
        <f t="shared" si="473"/>
        <v>4216</v>
      </c>
      <c r="DN119" s="64" t="str">
        <f t="shared" si="474"/>
        <v>UNKNOWN</v>
      </c>
      <c r="DO119" s="64" t="str">
        <f t="shared" si="475"/>
        <v>UNKNOWN</v>
      </c>
      <c r="DP119" s="3">
        <f t="shared" si="476"/>
        <v>-8651.7467252747319</v>
      </c>
      <c r="DQ119" s="3">
        <f t="shared" si="477"/>
        <v>-11262.64</v>
      </c>
      <c r="DR119" s="3" t="e">
        <f t="shared" ca="1" si="478"/>
        <v>#NUM!</v>
      </c>
      <c r="DS119" s="3">
        <f t="shared" si="479"/>
        <v>-88</v>
      </c>
      <c r="DT119" s="3">
        <f t="shared" si="500"/>
        <v>-88</v>
      </c>
      <c r="DU119" s="3">
        <f t="shared" si="501"/>
        <v>4304</v>
      </c>
      <c r="DV119" s="3">
        <f t="shared" si="502"/>
        <v>-6</v>
      </c>
      <c r="DW119" s="3">
        <f t="shared" si="503"/>
        <v>-104</v>
      </c>
      <c r="DX119" s="3" t="e">
        <f t="shared" ca="1" si="512"/>
        <v>#NUM!</v>
      </c>
      <c r="DY119" s="3" t="e">
        <f t="shared" ca="1" si="480"/>
        <v>#NUM!</v>
      </c>
      <c r="DZ119" s="3">
        <f t="shared" ca="1" si="504"/>
        <v>9.0858224927147034E-4</v>
      </c>
      <c r="EA119" s="3">
        <f t="shared" ca="1" si="505"/>
        <v>-1.7580589150855074E-3</v>
      </c>
      <c r="EB119" s="3">
        <f t="shared" ca="1" si="481"/>
        <v>1.5212646337849271E-3</v>
      </c>
      <c r="EC119" s="3">
        <f t="shared" ca="1" si="482"/>
        <v>-1.7587159044175384E-3</v>
      </c>
      <c r="ED119" s="63">
        <f t="shared" si="506"/>
        <v>-110</v>
      </c>
      <c r="EE119" s="59">
        <f t="shared" si="483"/>
        <v>0.25</v>
      </c>
      <c r="EF119" s="59">
        <f t="shared" si="484"/>
        <v>1.0616000000000001</v>
      </c>
      <c r="EG119" s="59">
        <f t="shared" si="485"/>
        <v>0.53510000000000002</v>
      </c>
      <c r="EH119" s="59">
        <f t="shared" si="486"/>
        <v>0.18390000000000001</v>
      </c>
      <c r="EI119" s="59">
        <f t="shared" si="487"/>
        <v>0.2742</v>
      </c>
      <c r="EJ119" s="59">
        <f t="shared" si="488"/>
        <v>0.18290000000000001</v>
      </c>
      <c r="EK119" s="63" t="e">
        <f t="shared" ca="1" si="507"/>
        <v>#NUM!</v>
      </c>
      <c r="EL119" s="3" t="str">
        <f>RTD("tos.rtd",,EL$83,"."&amp;$B$82&amp;$AS$82&amp;"C"&amp;$A119)</f>
        <v>--</v>
      </c>
      <c r="EM119" s="3" t="str">
        <f>RTD("tos.rtd",,EM$83,"."&amp;$B$82&amp;$AS$82&amp;"P"&amp;$A119)</f>
        <v>106.16%</v>
      </c>
      <c r="EN119" s="3" t="str">
        <f>RTD("tos.rtd",,EN$83,"."&amp;$C$82&amp;$AU$82&amp;"C"&amp;$A119)</f>
        <v>53.51%</v>
      </c>
      <c r="EO119" s="3" t="str">
        <f>RTD("tos.rtd",,EO$83,"."&amp;$C$82&amp;$AU$82&amp;"P"&amp;$A119)</f>
        <v>18.39%</v>
      </c>
      <c r="EP119" s="3" t="str">
        <f>RTD("tos.rtd",,EP$83,"."&amp;$D$82&amp;$AW$82&amp;"C"&amp;$A119)</f>
        <v>27.42%</v>
      </c>
      <c r="EQ119" s="3" t="str">
        <f>RTD("tos.rtd",,EQ$83,"."&amp;$D$82&amp;$AW$82&amp;"P"&amp;$A119)</f>
        <v>18.29%</v>
      </c>
      <c r="ES119" s="63" t="str">
        <f t="shared" si="489"/>
        <v>5530,-110.00</v>
      </c>
      <c r="ET119" s="63" t="str">
        <f t="shared" ca="1" si="490"/>
        <v>5530,00.00</v>
      </c>
      <c r="EU119" s="67">
        <v>565.66999999999996</v>
      </c>
      <c r="EV119" s="67" t="s">
        <v>971</v>
      </c>
      <c r="EW119" s="67">
        <v>489.15</v>
      </c>
      <c r="EX119" s="67" t="s">
        <v>972</v>
      </c>
      <c r="EY119" s="67">
        <v>5663.94</v>
      </c>
      <c r="EZ119" s="67" t="s">
        <v>973</v>
      </c>
      <c r="FA119" s="67">
        <v>20063.564999999999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508"/>
        <v>5520</v>
      </c>
      <c r="B120" s="3">
        <f t="shared" si="451"/>
        <v>992</v>
      </c>
      <c r="C120" s="3">
        <f t="shared" si="452"/>
        <v>1400</v>
      </c>
      <c r="D120" s="3">
        <f t="shared" si="453"/>
        <v>5131</v>
      </c>
      <c r="E120" s="3">
        <f t="shared" si="528"/>
        <v>7523</v>
      </c>
      <c r="F120" s="4">
        <f t="shared" si="529"/>
        <v>5607.8630225568959</v>
      </c>
      <c r="G120" s="4">
        <f t="shared" si="530"/>
        <v>557.31430358433272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-122</v>
      </c>
      <c r="AN120" s="20">
        <v>172</v>
      </c>
      <c r="AO120" s="20">
        <v>5520</v>
      </c>
      <c r="AP120" s="20">
        <v>150</v>
      </c>
      <c r="AQ120" s="20">
        <v>-3078</v>
      </c>
      <c r="AR120" s="20"/>
      <c r="AS120" s="54">
        <f>IF(RTD("tos.rtd",,AS$83,"."&amp;$B$82&amp;$AS$82&amp;"C"&amp;$A120)="N/A",0,RTD("tos.rtd",,AS$83,"."&amp;$B$82&amp;$AS$82&amp;"C"&amp;$A120))</f>
        <v>341</v>
      </c>
      <c r="AT120" s="3">
        <f>-IF(RTD("tos.rtd",,AT$83,"."&amp;$B$82&amp;$AS$82&amp;"P"&amp;$A120)="N/A",0,RTD("tos.rtd",,AT$83,"."&amp;$B$82&amp;$AS$82&amp;"P"&amp;$A120))</f>
        <v>-651</v>
      </c>
      <c r="AU120" s="54">
        <f>IF(RTD("tos.rtd",,AU$83,"."&amp;$C$82&amp;$AU$82&amp;"C"&amp;$A120)="N/A",0,RTD("tos.rtd",,AU$83,"."&amp;$C$82&amp;$AU$82&amp;"C"&amp;$A120))</f>
        <v>529</v>
      </c>
      <c r="AV120" s="3">
        <f>-IF(RTD("tos.rtd",,AV$83,"."&amp;$C$82&amp;$AU$82&amp;"P"&amp;$A120)="N/A",0,RTD("tos.rtd",,AV$83,"."&amp;$C$82&amp;$AU$82&amp;"P"&amp;$A120))</f>
        <v>-871</v>
      </c>
      <c r="AW120" s="54">
        <f>IF(RTD("tos.rtd",,AW$83,"."&amp;$D$82&amp;$AW$82&amp;"C"&amp;$A120)="N/A",0,RTD("tos.rtd",,AW$83,"."&amp;$D$82&amp;$AW$82&amp;"C"&amp;$A120))</f>
        <v>2264</v>
      </c>
      <c r="AX120" s="3">
        <f>-IF(RTD("tos.rtd",,AX$83,"."&amp;$D$82&amp;$AW$82&amp;"P"&amp;$A120)="N/A",0,RTD("tos.rtd",,AX$83,"."&amp;$D$82&amp;$AW$82&amp;"P"&amp;$A120))</f>
        <v>-2867</v>
      </c>
      <c r="AY120" s="79">
        <f t="shared" si="531"/>
        <v>-1255</v>
      </c>
      <c r="AZ120" s="8">
        <f t="shared" si="455"/>
        <v>5520</v>
      </c>
      <c r="BA120" s="54">
        <f>IF(RTD("tos.rtd",,BA$83,"."&amp;$B$82&amp;$AS$82&amp;"C"&amp;$A120)="N/A",0,RTD("tos.rtd",,BA$83,"."&amp;$B$82&amp;$AS$82&amp;"C"&amp;$A120))</f>
        <v>0</v>
      </c>
      <c r="BB120" s="3">
        <f>-IF(RTD("tos.rtd",,BB$83,"."&amp;$B$82&amp;$AS$82&amp;"P"&amp;$A120)="N/A",0,RTD("tos.rtd",,BB$83,"."&amp;$B$82&amp;$AS$82&amp;"P"&amp;$A120))</f>
        <v>0</v>
      </c>
      <c r="BC120" s="54">
        <f>IF(RTD("tos.rtd",,BC$83,"."&amp;$C$82&amp;$AU$82&amp;"C"&amp;$A120)="N/A",0,RTD("tos.rtd",,BC$83,"."&amp;$C$82&amp;$AU$82&amp;"C"&amp;$A120))</f>
        <v>0</v>
      </c>
      <c r="BD120" s="3">
        <f>-IF(RTD("tos.rtd",,BD$83,"."&amp;$C$82&amp;$AU$82&amp;"P"&amp;$A120)="N/A",0,RTD("tos.rtd",,BD$83,"."&amp;$C$82&amp;$AU$82&amp;"P"&amp;$A120))</f>
        <v>0</v>
      </c>
      <c r="BE120" s="54">
        <f>IF(RTD("tos.rtd",,BE$83,"."&amp;$D$82&amp;$AW$82&amp;"C"&amp;$A120)="N/A",0,RTD("tos.rtd",,BE$83,"."&amp;$D$82&amp;$AW$82&amp;"C"&amp;$A120))</f>
        <v>0</v>
      </c>
      <c r="BF120" s="3">
        <f>-IF(RTD("tos.rtd",,BF$83,"."&amp;$D$82&amp;$AW$82&amp;"P"&amp;$A120)="N/A",0,RTD("tos.rtd",,BF$83,"."&amp;$D$82&amp;$AW$82&amp;"P"&amp;$A120))</f>
        <v>0</v>
      </c>
      <c r="BG120" s="3">
        <f ca="1">+Hoja2!Y121</f>
        <v>0</v>
      </c>
      <c r="BH120" s="55">
        <f t="shared" ca="1" si="493"/>
        <v>0</v>
      </c>
      <c r="BI120" s="32" t="str">
        <f t="shared" ca="1" si="513"/>
        <v/>
      </c>
      <c r="BJ120" s="3" t="e">
        <f ca="1">IF($BP$1=1,DX120,IF(RTD("tos.rtd",,BJ$83,"."&amp;$B$82&amp;$AS$82&amp;"C"&amp;$A120)="N/A",0,RTD("tos.rtd",,BJ$83,"."&amp;$B$82&amp;$AS$82&amp;"C"&amp;$A120)))</f>
        <v>#NUM!</v>
      </c>
      <c r="BK120" s="3" t="e">
        <f ca="1">IF($BP$1=1,DY120,-IF(RTD("tos.rtd",,BK$83,"."&amp;$B$82&amp;$AS$82&amp;"P"&amp;$A120)="N/A",0,RTD("tos.rtd",,BK$83,"."&amp;$B$82&amp;$AS$82&amp;"P"&amp;$A120)))</f>
        <v>#NUM!</v>
      </c>
      <c r="BL120" s="3">
        <f ca="1">IF($BP$1=1,DZ120,IF(RTD("tos.rtd",,BL$83,"."&amp;$C$82&amp;$AU$82&amp;"C"&amp;$A120)="N/A",0,RTD("tos.rtd",,BL$83,"."&amp;$C$82&amp;$AU$82&amp;"C"&amp;$A120)))</f>
        <v>8.9300401967864411E-4</v>
      </c>
      <c r="BM120" s="3">
        <f ca="1">IF($BP$1=1,EA120,-IF(RTD("tos.rtd",,BM$83,"."&amp;$C$82&amp;$AU$82&amp;"P"&amp;$A120)="N/A",0,RTD("tos.rtd",,BM$83,"."&amp;$C$82&amp;$AU$82&amp;"P"&amp;$A120)))</f>
        <v>-1.635284688963677E-3</v>
      </c>
      <c r="BN120" s="3">
        <f ca="1">IF($BP$1=1,EB120,IF(RTD("tos.rtd",,BN$83,"."&amp;$D$82&amp;$AW$82&amp;"C"&amp;$A120)="N/A",0,RTD("tos.rtd",,BN$83,"."&amp;$D$82&amp;$AW$82&amp;"C"&amp;$A120)))</f>
        <v>1.4641359542768677E-3</v>
      </c>
      <c r="BO120" s="3">
        <f ca="1">IF($BP$1=1,EC120,-IF(RTD("tos.rtd",,BO$83,"."&amp;$D$82&amp;$AW$82&amp;"P"&amp;$A120)="N/A",0,RTD("tos.rtd",,BO$83,"."&amp;$D$82&amp;$AW$82&amp;"P"&amp;$A120)))</f>
        <v>-1.6340444298462563E-3</v>
      </c>
      <c r="BQ120" s="3" t="e">
        <f t="shared" ca="1" si="456"/>
        <v>#NUM!</v>
      </c>
      <c r="BR120" s="3" t="e">
        <f t="shared" ca="1" si="494"/>
        <v>#NUM!</v>
      </c>
      <c r="BS120" s="3">
        <f t="shared" ca="1" si="457"/>
        <v>-234351.5166433072</v>
      </c>
      <c r="BT120" s="3" t="str">
        <f t="shared" ca="1" si="494"/>
        <v/>
      </c>
      <c r="BU120" s="3">
        <f t="shared" ca="1" si="458"/>
        <v>-337273.3853368077</v>
      </c>
      <c r="BV120" s="3" t="str">
        <f t="shared" ca="1" si="494"/>
        <v>Cruce -</v>
      </c>
      <c r="BX120" s="3" t="e">
        <f t="shared" ca="1" si="459"/>
        <v>#NUM!</v>
      </c>
      <c r="BY120" s="3" t="e">
        <f t="shared" ca="1" si="510"/>
        <v>#NUM!</v>
      </c>
      <c r="BZ120" s="3">
        <f t="shared" ca="1" si="460"/>
        <v>0</v>
      </c>
      <c r="CA120" s="3" t="str">
        <f t="shared" ca="1" si="510"/>
        <v/>
      </c>
      <c r="CB120" s="3">
        <f t="shared" ca="1" si="461"/>
        <v>0</v>
      </c>
      <c r="CC120" s="3" t="str">
        <f t="shared" ca="1" si="510"/>
        <v/>
      </c>
      <c r="CD120" s="3">
        <f>IF(RTD("tos.rtd",,CD$83,"."&amp;$B$82&amp;$AS$82&amp;"C"&amp;$A120)="N/A",0,RTD("tos.rtd",,CD$83,"."&amp;$B$82&amp;$AS$82&amp;"C"&amp;$A120))</f>
        <v>1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0.68</v>
      </c>
      <c r="CG120" s="3">
        <f>-IF(RTD("tos.rtd",,CG$83,"."&amp;$C$82&amp;$AU$82&amp;"P"&amp;$A120)="N/A",0,RTD("tos.rtd",,CG$83,"."&amp;$C$82&amp;$AU$82&amp;"P"&amp;$A120))</f>
        <v>0.11</v>
      </c>
      <c r="CH120" s="3">
        <f>IF(RTD("tos.rtd",,CH$83,"."&amp;$D$82&amp;$AW$82&amp;"C"&amp;$A120)="N/A",0,RTD("tos.rtd",,CH$83,"."&amp;$D$82&amp;$AW$82&amp;"C"&amp;$A120))</f>
        <v>0.65</v>
      </c>
      <c r="CI120" s="3">
        <f>-IF(RTD("tos.rtd",,CI$83,"."&amp;$D$82&amp;$AW$82&amp;"P"&amp;$A120)="N/A",0,RTD("tos.rtd",,CI$83,"."&amp;$D$82&amp;$AW$82&amp;"P"&amp;$A120))</f>
        <v>0.3</v>
      </c>
      <c r="CK120" s="3">
        <f t="shared" si="532"/>
        <v>34100</v>
      </c>
      <c r="CL120" s="3"/>
      <c r="CM120" s="3">
        <f t="shared" si="533"/>
        <v>26391</v>
      </c>
      <c r="CN120" s="3"/>
      <c r="CO120" s="3">
        <f t="shared" si="534"/>
        <v>61150</v>
      </c>
      <c r="CP120" s="3">
        <f t="shared" si="462"/>
        <v>121641</v>
      </c>
      <c r="CQ120" s="3">
        <f t="shared" si="463"/>
        <v>0</v>
      </c>
      <c r="CR120" s="3"/>
      <c r="CS120" s="3">
        <f t="shared" si="464"/>
        <v>0</v>
      </c>
      <c r="CT120" s="3"/>
      <c r="CU120" s="3">
        <f t="shared" si="465"/>
        <v>0</v>
      </c>
      <c r="CV120" s="3"/>
      <c r="CW120" s="3" t="e">
        <f t="shared" ca="1" si="535"/>
        <v>#NUM!</v>
      </c>
      <c r="CY120" s="3" t="e">
        <f t="shared" ca="1" si="467"/>
        <v>#NUM!</v>
      </c>
      <c r="CZ120" s="70" t="e">
        <f t="shared" ca="1" si="511"/>
        <v>#NUM!</v>
      </c>
      <c r="DA120" s="3">
        <f>IF(RTD("tos.rtd",,DA$83,"."&amp;$B$82&amp;$AS$82&amp;"C"&amp;$A120)="N/A",0,RTD("tos.rtd",,DA$83,"."&amp;$B$82&amp;$AS$82&amp;"C"&amp;$A120))</f>
        <v>149.4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142.5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133.4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9"/>
        <v>-139.90999999999985</v>
      </c>
      <c r="DH120" s="3">
        <f t="shared" si="468"/>
        <v>-263.73626373626388</v>
      </c>
      <c r="DI120" s="3">
        <f t="shared" si="469"/>
        <v>1846.8</v>
      </c>
      <c r="DJ120" s="3">
        <f t="shared" si="470"/>
        <v>-150</v>
      </c>
      <c r="DK120" s="3">
        <f t="shared" si="471"/>
        <v>3078</v>
      </c>
      <c r="DL120" s="3">
        <f t="shared" si="472"/>
        <v>1583.063736263736</v>
      </c>
      <c r="DM120" s="3">
        <f t="shared" si="473"/>
        <v>2928</v>
      </c>
      <c r="DN120" s="64" t="str">
        <f t="shared" si="474"/>
        <v>UNKNOWN</v>
      </c>
      <c r="DO120" s="64" t="str">
        <f t="shared" si="475"/>
        <v>UNKNOWN</v>
      </c>
      <c r="DP120" s="3">
        <f t="shared" si="476"/>
        <v>-39346.793802197826</v>
      </c>
      <c r="DQ120" s="3">
        <f t="shared" si="477"/>
        <v>-22317.66</v>
      </c>
      <c r="DR120" s="3" t="e">
        <f t="shared" ca="1" si="478"/>
        <v>#NUM!</v>
      </c>
      <c r="DS120" s="3">
        <f t="shared" si="479"/>
        <v>-150</v>
      </c>
      <c r="DT120" s="3">
        <f t="shared" si="500"/>
        <v>-150</v>
      </c>
      <c r="DU120" s="3">
        <f t="shared" si="501"/>
        <v>3078</v>
      </c>
      <c r="DV120" s="3">
        <f t="shared" si="502"/>
        <v>-122</v>
      </c>
      <c r="DW120" s="3">
        <f t="shared" si="503"/>
        <v>172</v>
      </c>
      <c r="DX120" s="3" t="e">
        <f t="shared" ca="1" si="512"/>
        <v>#NUM!</v>
      </c>
      <c r="DY120" s="3" t="e">
        <f t="shared" ca="1" si="480"/>
        <v>#NUM!</v>
      </c>
      <c r="DZ120" s="3">
        <f t="shared" ca="1" si="504"/>
        <v>8.9300401967864411E-4</v>
      </c>
      <c r="EA120" s="3">
        <f t="shared" ca="1" si="505"/>
        <v>-1.635284688963677E-3</v>
      </c>
      <c r="EB120" s="3">
        <f t="shared" ca="1" si="481"/>
        <v>1.4641359542768677E-3</v>
      </c>
      <c r="EC120" s="3">
        <f t="shared" ca="1" si="482"/>
        <v>-1.6340444298462563E-3</v>
      </c>
      <c r="ED120" s="63">
        <f t="shared" si="506"/>
        <v>50</v>
      </c>
      <c r="EE120" s="59">
        <f t="shared" si="483"/>
        <v>0.25</v>
      </c>
      <c r="EF120" s="59">
        <f t="shared" si="484"/>
        <v>1.1366000000000001</v>
      </c>
      <c r="EG120" s="59">
        <f t="shared" si="485"/>
        <v>0.53990000000000005</v>
      </c>
      <c r="EH120" s="59">
        <f t="shared" si="486"/>
        <v>0.18790000000000001</v>
      </c>
      <c r="EI120" s="59">
        <f t="shared" si="487"/>
        <v>0.2767</v>
      </c>
      <c r="EJ120" s="59">
        <f t="shared" si="488"/>
        <v>0.1847</v>
      </c>
      <c r="EK120" s="63" t="e">
        <f t="shared" ca="1" si="507"/>
        <v>#NUM!</v>
      </c>
      <c r="EL120" s="3" t="str">
        <f>RTD("tos.rtd",,EL$83,"."&amp;$B$82&amp;$AS$82&amp;"C"&amp;$A120)</f>
        <v>--</v>
      </c>
      <c r="EM120" s="3" t="str">
        <f>RTD("tos.rtd",,EM$83,"."&amp;$B$82&amp;$AS$82&amp;"P"&amp;$A120)</f>
        <v>113.66%</v>
      </c>
      <c r="EN120" s="3" t="str">
        <f>RTD("tos.rtd",,EN$83,"."&amp;$C$82&amp;$AU$82&amp;"C"&amp;$A120)</f>
        <v>53.99%</v>
      </c>
      <c r="EO120" s="3" t="str">
        <f>RTD("tos.rtd",,EO$83,"."&amp;$C$82&amp;$AU$82&amp;"P"&amp;$A120)</f>
        <v>18.79%</v>
      </c>
      <c r="EP120" s="3" t="str">
        <f>RTD("tos.rtd",,EP$83,"."&amp;$D$82&amp;$AW$82&amp;"C"&amp;$A120)</f>
        <v>27.67%</v>
      </c>
      <c r="EQ120" s="3" t="str">
        <f>RTD("tos.rtd",,EQ$83,"."&amp;$D$82&amp;$AW$82&amp;"P"&amp;$A120)</f>
        <v>18.47%</v>
      </c>
      <c r="ES120" s="63" t="str">
        <f t="shared" si="489"/>
        <v>5520,50.00</v>
      </c>
      <c r="ET120" s="63" t="str">
        <f t="shared" ca="1" si="490"/>
        <v>5520,00.00</v>
      </c>
      <c r="EU120" s="67">
        <v>565.66999999999996</v>
      </c>
      <c r="EV120" s="67" t="s">
        <v>979</v>
      </c>
      <c r="EW120" s="67">
        <v>489.19</v>
      </c>
      <c r="EX120" s="67" t="s">
        <v>980</v>
      </c>
      <c r="EY120" s="67">
        <v>5663.94</v>
      </c>
      <c r="EZ120" s="67" t="s">
        <v>981</v>
      </c>
      <c r="FA120" s="67">
        <v>20063.564999999999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508"/>
        <v>5510</v>
      </c>
      <c r="B121" s="3">
        <f t="shared" si="451"/>
        <v>1221</v>
      </c>
      <c r="C121" s="3">
        <f t="shared" si="452"/>
        <v>704</v>
      </c>
      <c r="D121" s="3">
        <f t="shared" si="453"/>
        <v>9583</v>
      </c>
      <c r="E121" s="3">
        <f t="shared" si="528"/>
        <v>11508</v>
      </c>
      <c r="F121" s="4">
        <f t="shared" si="529"/>
        <v>5597.703850414583</v>
      </c>
      <c r="G121" s="4">
        <f t="shared" si="530"/>
        <v>556.30467622276683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-13</v>
      </c>
      <c r="AN121" s="20">
        <v>345</v>
      </c>
      <c r="AO121" s="20">
        <v>5510</v>
      </c>
      <c r="AP121" s="20">
        <v>29</v>
      </c>
      <c r="AQ121" s="20">
        <v>-2382</v>
      </c>
      <c r="AR121" s="20"/>
      <c r="AS121" s="54">
        <f>IF(RTD("tos.rtd",,AS$83,"."&amp;$B$82&amp;$AS$82&amp;"C"&amp;$A121)="N/A",0,RTD("tos.rtd",,AS$83,"."&amp;$B$82&amp;$AS$82&amp;"C"&amp;$A121))</f>
        <v>377</v>
      </c>
      <c r="AT121" s="3">
        <f>-IF(RTD("tos.rtd",,AT$83,"."&amp;$B$82&amp;$AS$82&amp;"P"&amp;$A121)="N/A",0,RTD("tos.rtd",,AT$83,"."&amp;$B$82&amp;$AS$82&amp;"P"&amp;$A121))</f>
        <v>-844</v>
      </c>
      <c r="AU121" s="54">
        <f>IF(RTD("tos.rtd",,AU$83,"."&amp;$C$82&amp;$AU$82&amp;"C"&amp;$A121)="N/A",0,RTD("tos.rtd",,AU$83,"."&amp;$C$82&amp;$AU$82&amp;"C"&amp;$A121))</f>
        <v>390</v>
      </c>
      <c r="AV121" s="3">
        <f>-IF(RTD("tos.rtd",,AV$83,"."&amp;$C$82&amp;$AU$82&amp;"P"&amp;$A121)="N/A",0,RTD("tos.rtd",,AV$83,"."&amp;$C$82&amp;$AU$82&amp;"P"&amp;$A121))</f>
        <v>-314</v>
      </c>
      <c r="AW121" s="54">
        <f>IF(RTD("tos.rtd",,AW$83,"."&amp;$D$82&amp;$AW$82&amp;"C"&amp;$A121)="N/A",0,RTD("tos.rtd",,AW$83,"."&amp;$D$82&amp;$AW$82&amp;"C"&amp;$A121))</f>
        <v>4804</v>
      </c>
      <c r="AX121" s="3">
        <f>-IF(RTD("tos.rtd",,AX$83,"."&amp;$D$82&amp;$AW$82&amp;"P"&amp;$A121)="N/A",0,RTD("tos.rtd",,AX$83,"."&amp;$D$82&amp;$AW$82&amp;"P"&amp;$A121))</f>
        <v>-4779</v>
      </c>
      <c r="AY121" s="79">
        <f t="shared" si="531"/>
        <v>-366</v>
      </c>
      <c r="AZ121" s="8">
        <f t="shared" si="455"/>
        <v>5510</v>
      </c>
      <c r="BA121" s="54">
        <f>IF(RTD("tos.rtd",,BA$83,"."&amp;$B$82&amp;$AS$82&amp;"C"&amp;$A121)="N/A",0,RTD("tos.rtd",,BA$83,"."&amp;$B$82&amp;$AS$82&amp;"C"&amp;$A121))</f>
        <v>0</v>
      </c>
      <c r="BB121" s="3">
        <f>-IF(RTD("tos.rtd",,BB$83,"."&amp;$B$82&amp;$AS$82&amp;"P"&amp;$A121)="N/A",0,RTD("tos.rtd",,BB$83,"."&amp;$B$82&amp;$AS$82&amp;"P"&amp;$A121))</f>
        <v>0</v>
      </c>
      <c r="BC121" s="54">
        <f>IF(RTD("tos.rtd",,BC$83,"."&amp;$C$82&amp;$AU$82&amp;"C"&amp;$A121)="N/A",0,RTD("tos.rtd",,BC$83,"."&amp;$C$82&amp;$AU$82&amp;"C"&amp;$A121))</f>
        <v>0</v>
      </c>
      <c r="BD121" s="3">
        <f>-IF(RTD("tos.rtd",,BD$83,"."&amp;$C$82&amp;$AU$82&amp;"P"&amp;$A121)="N/A",0,RTD("tos.rtd",,BD$83,"."&amp;$C$82&amp;$AU$82&amp;"P"&amp;$A121))</f>
        <v>0</v>
      </c>
      <c r="BE121" s="54">
        <f>IF(RTD("tos.rtd",,BE$83,"."&amp;$D$82&amp;$AW$82&amp;"C"&amp;$A121)="N/A",0,RTD("tos.rtd",,BE$83,"."&amp;$D$82&amp;$AW$82&amp;"C"&amp;$A121))</f>
        <v>0</v>
      </c>
      <c r="BF121" s="3">
        <f>-IF(RTD("tos.rtd",,BF$83,"."&amp;$D$82&amp;$AW$82&amp;"P"&amp;$A121)="N/A",0,RTD("tos.rtd",,BF$83,"."&amp;$D$82&amp;$AW$82&amp;"P"&amp;$A121))</f>
        <v>0</v>
      </c>
      <c r="BG121" s="3">
        <f ca="1">+Hoja2!Y122</f>
        <v>0</v>
      </c>
      <c r="BH121" s="55">
        <f t="shared" ca="1" si="493"/>
        <v>0</v>
      </c>
      <c r="BI121" s="32" t="str">
        <f t="shared" ca="1" si="513"/>
        <v/>
      </c>
      <c r="BJ121" s="3" t="e">
        <f ca="1">IF($BP$1=1,DX121,IF(RTD("tos.rtd",,BJ$83,"."&amp;$B$82&amp;$AS$82&amp;"C"&amp;$A121)="N/A",0,RTD("tos.rtd",,BJ$83,"."&amp;$B$82&amp;$AS$82&amp;"C"&amp;$A121)))</f>
        <v>#NUM!</v>
      </c>
      <c r="BK121" s="3" t="e">
        <f ca="1">IF($BP$1=1,DY121,-IF(RTD("tos.rtd",,BK$83,"."&amp;$B$82&amp;$AS$82&amp;"P"&amp;$A121)="N/A",0,RTD("tos.rtd",,BK$83,"."&amp;$B$82&amp;$AS$82&amp;"P"&amp;$A121)))</f>
        <v>#NUM!</v>
      </c>
      <c r="BL121" s="3">
        <f ca="1">IF($BP$1=1,DZ121,IF(RTD("tos.rtd",,BL$83,"."&amp;$C$82&amp;$AU$82&amp;"C"&amp;$A121)="N/A",0,RTD("tos.rtd",,BL$83,"."&amp;$C$82&amp;$AU$82&amp;"C"&amp;$A121)))</f>
        <v>8.6674924100381293E-4</v>
      </c>
      <c r="BM121" s="3">
        <f ca="1">IF($BP$1=1,EA121,-IF(RTD("tos.rtd",,BM$83,"."&amp;$C$82&amp;$AU$82&amp;"P"&amp;$A121)="N/A",0,RTD("tos.rtd",,BM$83,"."&amp;$C$82&amp;$AU$82&amp;"P"&amp;$A121)))</f>
        <v>-1.5212840439088955E-3</v>
      </c>
      <c r="BN121" s="3">
        <f ca="1">IF($BP$1=1,EB121,IF(RTD("tos.rtd",,BN$83,"."&amp;$D$82&amp;$AW$82&amp;"C"&amp;$A121)="N/A",0,RTD("tos.rtd",,BN$83,"."&amp;$D$82&amp;$AW$82&amp;"C"&amp;$A121)))</f>
        <v>1.4071861360243718E-3</v>
      </c>
      <c r="BO121" s="3">
        <f ca="1">IF($BP$1=1,EC121,-IF(RTD("tos.rtd",,BO$83,"."&amp;$D$82&amp;$AW$82&amp;"P"&amp;$A121)="N/A",0,RTD("tos.rtd",,BO$83,"."&amp;$D$82&amp;$AW$82&amp;"P"&amp;$A121)))</f>
        <v>-1.5139974710960469E-3</v>
      </c>
      <c r="BQ121" s="3" t="e">
        <f t="shared" ca="1" si="456"/>
        <v>#NUM!</v>
      </c>
      <c r="BR121" s="3" t="e">
        <f t="shared" ca="1" si="494"/>
        <v>#NUM!</v>
      </c>
      <c r="BS121" s="3">
        <f t="shared" ca="1" si="457"/>
        <v>-34379.931699723762</v>
      </c>
      <c r="BT121" s="3" t="str">
        <f t="shared" ca="1" si="494"/>
        <v/>
      </c>
      <c r="BU121" s="3">
        <f t="shared" ca="1" si="458"/>
        <v>-117004.61026426591</v>
      </c>
      <c r="BV121" s="3" t="str">
        <f t="shared" ca="1" si="494"/>
        <v/>
      </c>
      <c r="BX121" s="3" t="e">
        <f t="shared" ca="1" si="459"/>
        <v>#NUM!</v>
      </c>
      <c r="BY121" s="3" t="e">
        <f t="shared" ca="1" si="510"/>
        <v>#NUM!</v>
      </c>
      <c r="BZ121" s="3">
        <f t="shared" ca="1" si="460"/>
        <v>0</v>
      </c>
      <c r="CA121" s="3" t="str">
        <f t="shared" ca="1" si="510"/>
        <v/>
      </c>
      <c r="CB121" s="3">
        <f t="shared" ca="1" si="461"/>
        <v>0</v>
      </c>
      <c r="CC121" s="3" t="str">
        <f t="shared" ca="1" si="510"/>
        <v/>
      </c>
      <c r="CD121" s="3">
        <f>IF(RTD("tos.rtd",,CD$83,"."&amp;$B$82&amp;$AS$82&amp;"C"&amp;$A121)="N/A",0,RTD("tos.rtd",,CD$83,"."&amp;$B$82&amp;$AS$82&amp;"C"&amp;$A121))</f>
        <v>1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0.68</v>
      </c>
      <c r="CG121" s="3">
        <f>-IF(RTD("tos.rtd",,CG$83,"."&amp;$C$82&amp;$AU$82&amp;"P"&amp;$A121)="N/A",0,RTD("tos.rtd",,CG$83,"."&amp;$C$82&amp;$AU$82&amp;"P"&amp;$A121))</f>
        <v>0.1</v>
      </c>
      <c r="CH121" s="3">
        <f>IF(RTD("tos.rtd",,CH$83,"."&amp;$D$82&amp;$AW$82&amp;"C"&amp;$A121)="N/A",0,RTD("tos.rtd",,CH$83,"."&amp;$D$82&amp;$AW$82&amp;"C"&amp;$A121))</f>
        <v>0.65</v>
      </c>
      <c r="CI121" s="3">
        <f>-IF(RTD("tos.rtd",,CI$83,"."&amp;$D$82&amp;$AW$82&amp;"P"&amp;$A121)="N/A",0,RTD("tos.rtd",,CI$83,"."&amp;$D$82&amp;$AW$82&amp;"P"&amp;$A121))</f>
        <v>0.28999999999999998</v>
      </c>
      <c r="CK121" s="3">
        <f t="shared" si="532"/>
        <v>37700</v>
      </c>
      <c r="CL121" s="3"/>
      <c r="CM121" s="3">
        <f t="shared" si="533"/>
        <v>23380.000000000004</v>
      </c>
      <c r="CN121" s="3"/>
      <c r="CO121" s="3">
        <f t="shared" si="534"/>
        <v>173669</v>
      </c>
      <c r="CP121" s="3">
        <f t="shared" si="462"/>
        <v>234749</v>
      </c>
      <c r="CQ121" s="3">
        <f t="shared" si="463"/>
        <v>0</v>
      </c>
      <c r="CR121" s="3"/>
      <c r="CS121" s="3">
        <f t="shared" si="464"/>
        <v>0</v>
      </c>
      <c r="CT121" s="3"/>
      <c r="CU121" s="3">
        <f t="shared" si="465"/>
        <v>0</v>
      </c>
      <c r="CV121" s="3"/>
      <c r="CW121" s="3" t="e">
        <f t="shared" ca="1" si="535"/>
        <v>#NUM!</v>
      </c>
      <c r="CY121" s="3" t="e">
        <f t="shared" ca="1" si="467"/>
        <v>#NUM!</v>
      </c>
      <c r="CZ121" s="70" t="e">
        <f t="shared" ca="1" si="511"/>
        <v>#NUM!</v>
      </c>
      <c r="DA121" s="3">
        <f>IF(RTD("tos.rtd",,DA$83,"."&amp;$B$82&amp;$AS$82&amp;"C"&amp;$A121)="N/A",0,RTD("tos.rtd",,DA$83,"."&amp;$B$82&amp;$AS$82&amp;"C"&amp;$A121))</f>
        <v>163.13</v>
      </c>
      <c r="DB121" s="3">
        <f>IF(RTD("tos.rtd",,DB$83,"."&amp;$B$82&amp;$AS$82&amp;"P"&amp;$A121)="N/A",0,RTD("tos.rtd",,DB$83,"."&amp;$B$82&amp;$AS$82&amp;"P"&amp;$A121))</f>
        <v>0.02</v>
      </c>
      <c r="DC121" s="3">
        <f>IF(RTD("tos.rtd",,DC$83,"."&amp;$B$82&amp;$AS$82&amp;"C"&amp;$A121)="N/A",0,RTD("tos.rtd",,DC$83,"."&amp;$B$82&amp;$AS$82&amp;"C"&amp;$A121))</f>
        <v>152.6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143.4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9"/>
        <v>-149.90999999999985</v>
      </c>
      <c r="DH121" s="3">
        <f t="shared" si="468"/>
        <v>-62.192391304347872</v>
      </c>
      <c r="DI121" s="3">
        <f t="shared" si="469"/>
        <v>952.8</v>
      </c>
      <c r="DJ121" s="3">
        <f t="shared" si="470"/>
        <v>-29</v>
      </c>
      <c r="DK121" s="3">
        <f t="shared" si="471"/>
        <v>-2382</v>
      </c>
      <c r="DL121" s="3">
        <f t="shared" si="472"/>
        <v>890.60760869565206</v>
      </c>
      <c r="DM121" s="3">
        <f t="shared" si="473"/>
        <v>-2411</v>
      </c>
      <c r="DN121" s="64" t="str">
        <f t="shared" si="474"/>
        <v>UNKNOWN</v>
      </c>
      <c r="DO121" s="64" t="str">
        <f t="shared" si="475"/>
        <v>UNKNOWN</v>
      </c>
      <c r="DP121" s="3">
        <f t="shared" si="476"/>
        <v>-10126.388793478267</v>
      </c>
      <c r="DQ121" s="3">
        <f t="shared" si="477"/>
        <v>-4778.41</v>
      </c>
      <c r="DR121" s="3" t="e">
        <f t="shared" ca="1" si="478"/>
        <v>#NUM!</v>
      </c>
      <c r="DS121" s="3">
        <f t="shared" si="479"/>
        <v>-29</v>
      </c>
      <c r="DT121" s="3">
        <f t="shared" si="500"/>
        <v>-29</v>
      </c>
      <c r="DU121" s="3">
        <f t="shared" si="501"/>
        <v>2382</v>
      </c>
      <c r="DV121" s="3">
        <f t="shared" si="502"/>
        <v>-13</v>
      </c>
      <c r="DW121" s="3">
        <f t="shared" si="503"/>
        <v>345</v>
      </c>
      <c r="DX121" s="3" t="e">
        <f t="shared" ca="1" si="512"/>
        <v>#NUM!</v>
      </c>
      <c r="DY121" s="3" t="e">
        <f t="shared" ca="1" si="480"/>
        <v>#NUM!</v>
      </c>
      <c r="DZ121" s="3">
        <f t="shared" ca="1" si="504"/>
        <v>8.6674924100381293E-4</v>
      </c>
      <c r="EA121" s="3">
        <f t="shared" ca="1" si="505"/>
        <v>-1.5212840439088955E-3</v>
      </c>
      <c r="EB121" s="3">
        <f t="shared" ca="1" si="481"/>
        <v>1.4071861360243718E-3</v>
      </c>
      <c r="EC121" s="3">
        <f t="shared" ca="1" si="482"/>
        <v>-1.5139974710960469E-3</v>
      </c>
      <c r="ED121" s="63">
        <f t="shared" si="506"/>
        <v>332</v>
      </c>
      <c r="EE121" s="59">
        <f t="shared" si="483"/>
        <v>0.25</v>
      </c>
      <c r="EF121" s="59">
        <f t="shared" si="484"/>
        <v>1.2112000000000001</v>
      </c>
      <c r="EG121" s="59">
        <f t="shared" si="485"/>
        <v>0.55249999999999999</v>
      </c>
      <c r="EH121" s="59">
        <f t="shared" si="486"/>
        <v>0.19209999999999999</v>
      </c>
      <c r="EI121" s="59">
        <f t="shared" si="487"/>
        <v>0.27929999999999999</v>
      </c>
      <c r="EJ121" s="59">
        <f t="shared" si="488"/>
        <v>0.18640000000000001</v>
      </c>
      <c r="EK121" s="63" t="e">
        <f t="shared" ca="1" si="507"/>
        <v>#NUM!</v>
      </c>
      <c r="EL121" s="3" t="str">
        <f>RTD("tos.rtd",,EL$83,"."&amp;$B$82&amp;$AS$82&amp;"C"&amp;$A121)</f>
        <v>--</v>
      </c>
      <c r="EM121" s="3" t="str">
        <f>RTD("tos.rtd",,EM$83,"."&amp;$B$82&amp;$AS$82&amp;"P"&amp;$A121)</f>
        <v>121.12%</v>
      </c>
      <c r="EN121" s="3" t="str">
        <f>RTD("tos.rtd",,EN$83,"."&amp;$C$82&amp;$AU$82&amp;"C"&amp;$A121)</f>
        <v>55.25%</v>
      </c>
      <c r="EO121" s="3" t="str">
        <f>RTD("tos.rtd",,EO$83,"."&amp;$C$82&amp;$AU$82&amp;"P"&amp;$A121)</f>
        <v>19.21%</v>
      </c>
      <c r="EP121" s="3" t="str">
        <f>RTD("tos.rtd",,EP$83,"."&amp;$D$82&amp;$AW$82&amp;"C"&amp;$A121)</f>
        <v>27.93%</v>
      </c>
      <c r="EQ121" s="3" t="str">
        <f>RTD("tos.rtd",,EQ$83,"."&amp;$D$82&amp;$AW$82&amp;"P"&amp;$A121)</f>
        <v>18.64%</v>
      </c>
      <c r="ES121" s="63" t="str">
        <f t="shared" si="489"/>
        <v>5510,332.00</v>
      </c>
      <c r="ET121" s="63" t="str">
        <f t="shared" ca="1" si="490"/>
        <v>5510,00.00</v>
      </c>
      <c r="EU121" s="67">
        <v>565.64</v>
      </c>
      <c r="EV121" s="67" t="s">
        <v>987</v>
      </c>
      <c r="EW121" s="67">
        <v>489.14</v>
      </c>
      <c r="EX121" s="67" t="s">
        <v>988</v>
      </c>
      <c r="EY121" s="67">
        <v>5663.94</v>
      </c>
      <c r="EZ121" s="67" t="s">
        <v>989</v>
      </c>
      <c r="FA121" s="67">
        <v>20063.564999999999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508"/>
        <v>5500</v>
      </c>
      <c r="B122" s="3">
        <f t="shared" si="451"/>
        <v>7224</v>
      </c>
      <c r="C122" s="3">
        <f t="shared" si="452"/>
        <v>37349</v>
      </c>
      <c r="D122" s="3">
        <f t="shared" si="453"/>
        <v>74602</v>
      </c>
      <c r="E122" s="3">
        <f t="shared" si="523"/>
        <v>119175</v>
      </c>
      <c r="F122" s="4">
        <f t="shared" si="524"/>
        <v>5587.5446782722693</v>
      </c>
      <c r="G122" s="4">
        <f t="shared" si="525"/>
        <v>555.29504886120105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-121</v>
      </c>
      <c r="AN122" s="20">
        <v>347</v>
      </c>
      <c r="AO122" s="20">
        <v>5500</v>
      </c>
      <c r="AP122" s="20">
        <v>635</v>
      </c>
      <c r="AQ122" s="20">
        <v>-5766</v>
      </c>
      <c r="AR122" s="20"/>
      <c r="AS122" s="54">
        <f>IF(RTD("tos.rtd",,AS$83,"."&amp;$B$82&amp;$AS$82&amp;"C"&amp;$A122)="N/A",0,RTD("tos.rtd",,AS$83,"."&amp;$B$82&amp;$AS$82&amp;"C"&amp;$A122))</f>
        <v>1677</v>
      </c>
      <c r="AT122" s="3">
        <f>-IF(RTD("tos.rtd",,AT$83,"."&amp;$B$82&amp;$AS$82&amp;"P"&amp;$A122)="N/A",0,RTD("tos.rtd",,AT$83,"."&amp;$B$82&amp;$AS$82&amp;"P"&amp;$A122))</f>
        <v>-5547</v>
      </c>
      <c r="AU122" s="54">
        <f>IF(RTD("tos.rtd",,AU$83,"."&amp;$C$82&amp;$AU$82&amp;"C"&amp;$A122)="N/A",0,RTD("tos.rtd",,AU$83,"."&amp;$C$82&amp;$AU$82&amp;"C"&amp;$A122))</f>
        <v>13952</v>
      </c>
      <c r="AV122" s="3">
        <f>-IF(RTD("tos.rtd",,AV$83,"."&amp;$C$82&amp;$AU$82&amp;"P"&amp;$A122)="N/A",0,RTD("tos.rtd",,AV$83,"."&amp;$C$82&amp;$AU$82&amp;"P"&amp;$A122))</f>
        <v>-23397</v>
      </c>
      <c r="AW122" s="54">
        <f>IF(RTD("tos.rtd",,AW$83,"."&amp;$D$82&amp;$AW$82&amp;"C"&amp;$A122)="N/A",0,RTD("tos.rtd",,AW$83,"."&amp;$D$82&amp;$AW$82&amp;"C"&amp;$A122))</f>
        <v>32775</v>
      </c>
      <c r="AX122" s="3">
        <f>-IF(RTD("tos.rtd",,AX$83,"."&amp;$D$82&amp;$AW$82&amp;"P"&amp;$A122)="N/A",0,RTD("tos.rtd",,AX$83,"."&amp;$D$82&amp;$AW$82&amp;"P"&amp;$A122))</f>
        <v>-41827</v>
      </c>
      <c r="AY122" s="79">
        <f t="shared" si="526"/>
        <v>-22367</v>
      </c>
      <c r="AZ122" s="8">
        <f t="shared" si="455"/>
        <v>5500</v>
      </c>
      <c r="BA122" s="54">
        <f>IF(RTD("tos.rtd",,BA$83,"."&amp;$B$82&amp;$AS$82&amp;"C"&amp;$A122)="N/A",0,RTD("tos.rtd",,BA$83,"."&amp;$B$82&amp;$AS$82&amp;"C"&amp;$A122))</f>
        <v>0</v>
      </c>
      <c r="BB122" s="3">
        <f>-IF(RTD("tos.rtd",,BB$83,"."&amp;$B$82&amp;$AS$82&amp;"P"&amp;$A122)="N/A",0,RTD("tos.rtd",,BB$83,"."&amp;$B$82&amp;$AS$82&amp;"P"&amp;$A122))</f>
        <v>0</v>
      </c>
      <c r="BC122" s="54">
        <f>IF(RTD("tos.rtd",,BC$83,"."&amp;$C$82&amp;$AU$82&amp;"C"&amp;$A122)="N/A",0,RTD("tos.rtd",,BC$83,"."&amp;$C$82&amp;$AU$82&amp;"C"&amp;$A122))</f>
        <v>0</v>
      </c>
      <c r="BD122" s="3">
        <f>-IF(RTD("tos.rtd",,BD$83,"."&amp;$C$82&amp;$AU$82&amp;"P"&amp;$A122)="N/A",0,RTD("tos.rtd",,BD$83,"."&amp;$C$82&amp;$AU$82&amp;"P"&amp;$A122))</f>
        <v>0</v>
      </c>
      <c r="BE122" s="54">
        <f>IF(RTD("tos.rtd",,BE$83,"."&amp;$D$82&amp;$AW$82&amp;"C"&amp;$A122)="N/A",0,RTD("tos.rtd",,BE$83,"."&amp;$D$82&amp;$AW$82&amp;"C"&amp;$A122))</f>
        <v>0</v>
      </c>
      <c r="BF122" s="3">
        <f>-IF(RTD("tos.rtd",,BF$83,"."&amp;$D$82&amp;$AW$82&amp;"P"&amp;$A122)="N/A",0,RTD("tos.rtd",,BF$83,"."&amp;$D$82&amp;$AW$82&amp;"P"&amp;$A122))</f>
        <v>0</v>
      </c>
      <c r="BG122" s="3">
        <f ca="1">+Hoja2!Y123</f>
        <v>0</v>
      </c>
      <c r="BH122" s="55">
        <f t="shared" ca="1" si="493"/>
        <v>0</v>
      </c>
      <c r="BI122" s="32" t="str">
        <f t="shared" ca="1" si="513"/>
        <v/>
      </c>
      <c r="BJ122" s="3" t="e">
        <f ca="1">IF($BP$1=1,DX122,IF(RTD("tos.rtd",,BJ$83,"."&amp;$B$82&amp;$AS$82&amp;"C"&amp;$A122)="N/A",0,RTD("tos.rtd",,BJ$83,"."&amp;$B$82&amp;$AS$82&amp;"C"&amp;$A122)))</f>
        <v>#NUM!</v>
      </c>
      <c r="BK122" s="3" t="e">
        <f ca="1">IF($BP$1=1,DY122,-IF(RTD("tos.rtd",,BK$83,"."&amp;$B$82&amp;$AS$82&amp;"P"&amp;$A122)="N/A",0,RTD("tos.rtd",,BK$83,"."&amp;$B$82&amp;$AS$82&amp;"P"&amp;$A122)))</f>
        <v>#NUM!</v>
      </c>
      <c r="BL122" s="3">
        <f ca="1">IF($BP$1=1,DZ122,IF(RTD("tos.rtd",,BL$83,"."&amp;$C$82&amp;$AU$82&amp;"C"&amp;$A122)="N/A",0,RTD("tos.rtd",,BL$83,"."&amp;$C$82&amp;$AU$82&amp;"C"&amp;$A122)))</f>
        <v>8.4005115299477058E-4</v>
      </c>
      <c r="BM122" s="3">
        <f ca="1">IF($BP$1=1,EA122,-IF(RTD("tos.rtd",,BM$83,"."&amp;$C$82&amp;$AU$82&amp;"P"&amp;$A122)="N/A",0,RTD("tos.rtd",,BM$83,"."&amp;$C$82&amp;$AU$82&amp;"P"&amp;$A122)))</f>
        <v>-1.4161827730275313E-3</v>
      </c>
      <c r="BN122" s="3">
        <f ca="1">IF($BP$1=1,EB122,IF(RTD("tos.rtd",,BN$83,"."&amp;$D$82&amp;$AW$82&amp;"C"&amp;$A122)="N/A",0,RTD("tos.rtd",,BN$83,"."&amp;$D$82&amp;$AW$82&amp;"C"&amp;$A122)))</f>
        <v>1.350556122806346E-3</v>
      </c>
      <c r="BO122" s="3">
        <f ca="1">IF($BP$1=1,EC122,-IF(RTD("tos.rtd",,BO$83,"."&amp;$D$82&amp;$AW$82&amp;"P"&amp;$A122)="N/A",0,RTD("tos.rtd",,BO$83,"."&amp;$D$82&amp;$AW$82&amp;"P"&amp;$A122)))</f>
        <v>-1.3990490472024955E-3</v>
      </c>
      <c r="BQ122" s="3" t="e">
        <f t="shared" ca="1" si="456"/>
        <v>#NUM!</v>
      </c>
      <c r="BR122" s="3" t="e">
        <f t="shared" ca="1" si="494"/>
        <v>#NUM!</v>
      </c>
      <c r="BS122" s="3">
        <f t="shared" ca="1" si="457"/>
        <v>-5271807.0310938656</v>
      </c>
      <c r="BT122" s="3" t="str">
        <f t="shared" ca="1" si="494"/>
        <v/>
      </c>
      <c r="BU122" s="3">
        <f t="shared" ca="1" si="458"/>
        <v>-3509004.8897520415</v>
      </c>
      <c r="BV122" s="3" t="str">
        <f t="shared" ca="1" si="494"/>
        <v/>
      </c>
      <c r="BX122" s="3" t="e">
        <f t="shared" ca="1" si="459"/>
        <v>#NUM!</v>
      </c>
      <c r="BY122" s="3" t="e">
        <f t="shared" ca="1" si="510"/>
        <v>#NUM!</v>
      </c>
      <c r="BZ122" s="3">
        <f t="shared" ca="1" si="460"/>
        <v>0</v>
      </c>
      <c r="CA122" s="3" t="str">
        <f t="shared" ca="1" si="510"/>
        <v/>
      </c>
      <c r="CB122" s="3">
        <f t="shared" ca="1" si="461"/>
        <v>0</v>
      </c>
      <c r="CC122" s="3" t="str">
        <f t="shared" ca="1" si="510"/>
        <v/>
      </c>
      <c r="CD122" s="3">
        <f>IF(RTD("tos.rtd",,CD$83,"."&amp;$B$82&amp;$AS$82&amp;"C"&amp;$A122)="N/A",0,RTD("tos.rtd",,CD$83,"."&amp;$B$82&amp;$AS$82&amp;"C"&amp;$A122))</f>
        <v>1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0.69</v>
      </c>
      <c r="CG122" s="3">
        <f>-IF(RTD("tos.rtd",,CG$83,"."&amp;$C$82&amp;$AU$82&amp;"P"&amp;$A122)="N/A",0,RTD("tos.rtd",,CG$83,"."&amp;$C$82&amp;$AU$82&amp;"P"&amp;$A122))</f>
        <v>0.09</v>
      </c>
      <c r="CH122" s="3">
        <f>IF(RTD("tos.rtd",,CH$83,"."&amp;$D$82&amp;$AW$82&amp;"C"&amp;$A122)="N/A",0,RTD("tos.rtd",,CH$83,"."&amp;$D$82&amp;$AW$82&amp;"C"&amp;$A122))</f>
        <v>0.66</v>
      </c>
      <c r="CI122" s="3">
        <f>-IF(RTD("tos.rtd",,CI$83,"."&amp;$D$82&amp;$AW$82&amp;"P"&amp;$A122)="N/A",0,RTD("tos.rtd",,CI$83,"."&amp;$D$82&amp;$AW$82&amp;"P"&amp;$A122))</f>
        <v>0.28000000000000003</v>
      </c>
      <c r="CK122" s="3">
        <f t="shared" si="495"/>
        <v>167700</v>
      </c>
      <c r="CL122" s="3"/>
      <c r="CM122" s="3">
        <f t="shared" si="496"/>
        <v>752114.99999999988</v>
      </c>
      <c r="CN122" s="3"/>
      <c r="CO122" s="3">
        <f t="shared" si="497"/>
        <v>991993.99999999977</v>
      </c>
      <c r="CP122" s="3">
        <f t="shared" si="462"/>
        <v>1911808.9999999995</v>
      </c>
      <c r="CQ122" s="3">
        <f t="shared" si="463"/>
        <v>0</v>
      </c>
      <c r="CR122" s="3"/>
      <c r="CS122" s="3">
        <f t="shared" si="464"/>
        <v>0</v>
      </c>
      <c r="CT122" s="3"/>
      <c r="CU122" s="3">
        <f t="shared" si="465"/>
        <v>0</v>
      </c>
      <c r="CV122" s="3"/>
      <c r="CW122" s="3" t="e">
        <f t="shared" ca="1" si="527"/>
        <v>#NUM!</v>
      </c>
      <c r="CY122" s="3" t="e">
        <f t="shared" ca="1" si="467"/>
        <v>#NUM!</v>
      </c>
      <c r="CZ122" s="70" t="e">
        <f t="shared" ca="1" si="511"/>
        <v>#NUM!</v>
      </c>
      <c r="DA122" s="3">
        <f>IF(RTD("tos.rtd",,DA$83,"."&amp;$B$82&amp;$AS$82&amp;"C"&amp;$A122)="N/A",0,RTD("tos.rtd",,DA$83,"."&amp;$B$82&amp;$AS$82&amp;"C"&amp;$A122))</f>
        <v>163.24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165.5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153.4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9"/>
        <v>-159.90999999999985</v>
      </c>
      <c r="DH122" s="3">
        <f t="shared" si="468"/>
        <v>-516.39669421487645</v>
      </c>
      <c r="DI122" s="3">
        <f t="shared" si="469"/>
        <v>3459.6</v>
      </c>
      <c r="DJ122" s="3">
        <f t="shared" si="470"/>
        <v>-635</v>
      </c>
      <c r="DK122" s="3">
        <f t="shared" si="471"/>
        <v>5766</v>
      </c>
      <c r="DL122" s="3">
        <f t="shared" si="472"/>
        <v>2943.2033057851236</v>
      </c>
      <c r="DM122" s="3">
        <f t="shared" si="473"/>
        <v>5131</v>
      </c>
      <c r="DN122" s="64" t="str">
        <f t="shared" si="474"/>
        <v>UNKNOWN</v>
      </c>
      <c r="DO122" s="64" t="str">
        <f t="shared" si="475"/>
        <v>UNKNOWN</v>
      </c>
      <c r="DP122" s="3">
        <f t="shared" si="476"/>
        <v>-84192.808363636432</v>
      </c>
      <c r="DQ122" s="3">
        <f t="shared" si="477"/>
        <v>-103484.42000000001</v>
      </c>
      <c r="DR122" s="3" t="e">
        <f t="shared" ca="1" si="478"/>
        <v>#NUM!</v>
      </c>
      <c r="DS122" s="3">
        <f t="shared" si="479"/>
        <v>-635</v>
      </c>
      <c r="DT122" s="3">
        <f t="shared" si="500"/>
        <v>-635</v>
      </c>
      <c r="DU122" s="3">
        <f t="shared" si="501"/>
        <v>5766</v>
      </c>
      <c r="DV122" s="3">
        <f t="shared" si="502"/>
        <v>-121</v>
      </c>
      <c r="DW122" s="3">
        <f t="shared" si="503"/>
        <v>347</v>
      </c>
      <c r="DX122" s="3" t="e">
        <f t="shared" ca="1" si="512"/>
        <v>#NUM!</v>
      </c>
      <c r="DY122" s="3" t="e">
        <f t="shared" ca="1" si="480"/>
        <v>#NUM!</v>
      </c>
      <c r="DZ122" s="3">
        <f t="shared" ca="1" si="504"/>
        <v>8.4005115299477058E-4</v>
      </c>
      <c r="EA122" s="3">
        <f t="shared" ca="1" si="505"/>
        <v>-1.4161827730275313E-3</v>
      </c>
      <c r="EB122" s="3">
        <f t="shared" ca="1" si="481"/>
        <v>1.350556122806346E-3</v>
      </c>
      <c r="EC122" s="3">
        <f t="shared" ca="1" si="482"/>
        <v>-1.3990490472024955E-3</v>
      </c>
      <c r="ED122" s="63">
        <f t="shared" si="506"/>
        <v>226</v>
      </c>
      <c r="EE122" s="59">
        <f t="shared" si="483"/>
        <v>0.25</v>
      </c>
      <c r="EF122" s="59">
        <f t="shared" si="484"/>
        <v>1.2856000000000001</v>
      </c>
      <c r="EG122" s="59">
        <f t="shared" si="485"/>
        <v>0.56640000000000001</v>
      </c>
      <c r="EH122" s="59">
        <f t="shared" si="486"/>
        <v>0.1966</v>
      </c>
      <c r="EI122" s="59">
        <f t="shared" si="487"/>
        <v>0.28210000000000002</v>
      </c>
      <c r="EJ122" s="59">
        <f t="shared" si="488"/>
        <v>0.18809999999999999</v>
      </c>
      <c r="EK122" s="63" t="e">
        <f t="shared" ca="1" si="507"/>
        <v>#NUM!</v>
      </c>
      <c r="EL122" s="3" t="str">
        <f>RTD("tos.rtd",,EL$83,"."&amp;$B$82&amp;$AS$82&amp;"C"&amp;$A122)</f>
        <v>--</v>
      </c>
      <c r="EM122" s="3" t="str">
        <f>RTD("tos.rtd",,EM$83,"."&amp;$B$82&amp;$AS$82&amp;"P"&amp;$A122)</f>
        <v>128.56%</v>
      </c>
      <c r="EN122" s="3" t="str">
        <f>RTD("tos.rtd",,EN$83,"."&amp;$C$82&amp;$AU$82&amp;"C"&amp;$A122)</f>
        <v>56.64%</v>
      </c>
      <c r="EO122" s="3" t="str">
        <f>RTD("tos.rtd",,EO$83,"."&amp;$C$82&amp;$AU$82&amp;"P"&amp;$A122)</f>
        <v>19.66%</v>
      </c>
      <c r="EP122" s="3" t="str">
        <f>RTD("tos.rtd",,EP$83,"."&amp;$D$82&amp;$AW$82&amp;"C"&amp;$A122)</f>
        <v>28.21%</v>
      </c>
      <c r="EQ122" s="3" t="str">
        <f>RTD("tos.rtd",,EQ$83,"."&amp;$D$82&amp;$AW$82&amp;"P"&amp;$A122)</f>
        <v>18.81%</v>
      </c>
      <c r="ES122" s="63" t="str">
        <f t="shared" si="489"/>
        <v>5500,226.00</v>
      </c>
      <c r="ET122" s="63" t="str">
        <f t="shared" ca="1" si="490"/>
        <v>5500,00.00</v>
      </c>
      <c r="EU122" s="67">
        <v>565.69000000000005</v>
      </c>
      <c r="EV122" s="67" t="s">
        <v>995</v>
      </c>
      <c r="EW122" s="67">
        <v>489.2</v>
      </c>
      <c r="EX122" s="67" t="s">
        <v>996</v>
      </c>
      <c r="EY122" s="67">
        <v>5663.94</v>
      </c>
      <c r="EZ122" s="67" t="s">
        <v>997</v>
      </c>
      <c r="FA122" s="67">
        <v>20063.564999999999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508"/>
        <v>5490</v>
      </c>
      <c r="B123" s="3">
        <f t="shared" si="451"/>
        <v>1198</v>
      </c>
      <c r="C123" s="3">
        <f t="shared" si="452"/>
        <v>1197</v>
      </c>
      <c r="D123" s="3">
        <f t="shared" si="453"/>
        <v>4945</v>
      </c>
      <c r="E123" s="3">
        <f t="shared" si="519"/>
        <v>7340</v>
      </c>
      <c r="F123" s="4">
        <f t="shared" si="522"/>
        <v>5577.3855061299564</v>
      </c>
      <c r="G123" s="4">
        <f t="shared" si="520"/>
        <v>554.28542149963528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241</v>
      </c>
      <c r="AN123" s="20">
        <v>-338</v>
      </c>
      <c r="AO123" s="20">
        <v>5490</v>
      </c>
      <c r="AP123" s="20">
        <v>269</v>
      </c>
      <c r="AQ123" s="20">
        <v>-1809</v>
      </c>
      <c r="AR123" s="20"/>
      <c r="AS123" s="54">
        <f>IF(RTD("tos.rtd",,AS$83,"."&amp;$B$82&amp;$AS$82&amp;"C"&amp;$A123)="N/A",0,RTD("tos.rtd",,AS$83,"."&amp;$B$82&amp;$AS$82&amp;"C"&amp;$A123))</f>
        <v>352</v>
      </c>
      <c r="AT123" s="3">
        <f>-IF(RTD("tos.rtd",,AT$83,"."&amp;$B$82&amp;$AS$82&amp;"P"&amp;$A123)="N/A",0,RTD("tos.rtd",,AT$83,"."&amp;$B$82&amp;$AS$82&amp;"P"&amp;$A123))</f>
        <v>-846</v>
      </c>
      <c r="AU123" s="54">
        <f>IF(RTD("tos.rtd",,AU$83,"."&amp;$C$82&amp;$AU$82&amp;"C"&amp;$A123)="N/A",0,RTD("tos.rtd",,AU$83,"."&amp;$C$82&amp;$AU$82&amp;"C"&amp;$A123))</f>
        <v>617</v>
      </c>
      <c r="AV123" s="3">
        <f>-IF(RTD("tos.rtd",,AV$83,"."&amp;$C$82&amp;$AU$82&amp;"P"&amp;$A123)="N/A",0,RTD("tos.rtd",,AV$83,"."&amp;$C$82&amp;$AU$82&amp;"P"&amp;$A123))</f>
        <v>-580</v>
      </c>
      <c r="AW123" s="54">
        <f>IF(RTD("tos.rtd",,AW$83,"."&amp;$D$82&amp;$AW$82&amp;"C"&amp;$A123)="N/A",0,RTD("tos.rtd",,AW$83,"."&amp;$D$82&amp;$AW$82&amp;"C"&amp;$A123))</f>
        <v>2414</v>
      </c>
      <c r="AX123" s="3">
        <f>-IF(RTD("tos.rtd",,AX$83,"."&amp;$D$82&amp;$AW$82&amp;"P"&amp;$A123)="N/A",0,RTD("tos.rtd",,AX$83,"."&amp;$D$82&amp;$AW$82&amp;"P"&amp;$A123))</f>
        <v>-2531</v>
      </c>
      <c r="AY123" s="79">
        <f t="shared" si="521"/>
        <v>-574</v>
      </c>
      <c r="AZ123" s="8">
        <f t="shared" si="455"/>
        <v>5490</v>
      </c>
      <c r="BA123" s="54">
        <f>IF(RTD("tos.rtd",,BA$83,"."&amp;$B$82&amp;$AS$82&amp;"C"&amp;$A123)="N/A",0,RTD("tos.rtd",,BA$83,"."&amp;$B$82&amp;$AS$82&amp;"C"&amp;$A123))</f>
        <v>0</v>
      </c>
      <c r="BB123" s="3">
        <f>-IF(RTD("tos.rtd",,BB$83,"."&amp;$B$82&amp;$AS$82&amp;"P"&amp;$A123)="N/A",0,RTD("tos.rtd",,BB$83,"."&amp;$B$82&amp;$AS$82&amp;"P"&amp;$A123))</f>
        <v>0</v>
      </c>
      <c r="BC123" s="54">
        <f>IF(RTD("tos.rtd",,BC$83,"."&amp;$C$82&amp;$AU$82&amp;"C"&amp;$A123)="N/A",0,RTD("tos.rtd",,BC$83,"."&amp;$C$82&amp;$AU$82&amp;"C"&amp;$A123))</f>
        <v>0</v>
      </c>
      <c r="BD123" s="3">
        <f>-IF(RTD("tos.rtd",,BD$83,"."&amp;$C$82&amp;$AU$82&amp;"P"&amp;$A123)="N/A",0,RTD("tos.rtd",,BD$83,"."&amp;$C$82&amp;$AU$82&amp;"P"&amp;$A123))</f>
        <v>0</v>
      </c>
      <c r="BE123" s="54">
        <f>IF(RTD("tos.rtd",,BE$83,"."&amp;$D$82&amp;$AW$82&amp;"C"&amp;$A123)="N/A",0,RTD("tos.rtd",,BE$83,"."&amp;$D$82&amp;$AW$82&amp;"C"&amp;$A123))</f>
        <v>0</v>
      </c>
      <c r="BF123" s="3">
        <f>-IF(RTD("tos.rtd",,BF$83,"."&amp;$D$82&amp;$AW$82&amp;"P"&amp;$A123)="N/A",0,RTD("tos.rtd",,BF$83,"."&amp;$D$82&amp;$AW$82&amp;"P"&amp;$A123))</f>
        <v>0</v>
      </c>
      <c r="BG123" s="3">
        <f ca="1">+Hoja2!Y124</f>
        <v>0</v>
      </c>
      <c r="BH123" s="55">
        <f t="shared" ca="1" si="493"/>
        <v>0</v>
      </c>
      <c r="BI123" s="32" t="str">
        <f t="shared" ca="1" si="513"/>
        <v/>
      </c>
      <c r="BJ123" s="3" t="e">
        <f ca="1">IF($BP$1=1,DX123,IF(RTD("tos.rtd",,BJ$83,"."&amp;$B$82&amp;$AS$82&amp;"C"&amp;$A123)="N/A",0,RTD("tos.rtd",,BJ$83,"."&amp;$B$82&amp;$AS$82&amp;"C"&amp;$A123)))</f>
        <v>#NUM!</v>
      </c>
      <c r="BK123" s="3" t="e">
        <f ca="1">IF($BP$1=1,DY123,-IF(RTD("tos.rtd",,BK$83,"."&amp;$B$82&amp;$AS$82&amp;"P"&amp;$A123)="N/A",0,RTD("tos.rtd",,BK$83,"."&amp;$B$82&amp;$AS$82&amp;"P"&amp;$A123)))</f>
        <v>#NUM!</v>
      </c>
      <c r="BL123" s="3">
        <f ca="1">IF($BP$1=1,DZ123,IF(RTD("tos.rtd",,BL$83,"."&amp;$C$82&amp;$AU$82&amp;"C"&amp;$A123)="N/A",0,RTD("tos.rtd",,BL$83,"."&amp;$C$82&amp;$AU$82&amp;"C"&amp;$A123)))</f>
        <v>8.1946501964532954E-4</v>
      </c>
      <c r="BM123" s="3">
        <f ca="1">IF($BP$1=1,EA123,-IF(RTD("tos.rtd",,BM$83,"."&amp;$C$82&amp;$AU$82&amp;"P"&amp;$A123)="N/A",0,RTD("tos.rtd",,BM$83,"."&amp;$C$82&amp;$AU$82&amp;"P"&amp;$A123)))</f>
        <v>-1.3182364836207274E-3</v>
      </c>
      <c r="BN123" s="3">
        <f ca="1">IF($BP$1=1,EB123,IF(RTD("tos.rtd",,BN$83,"."&amp;$D$82&amp;$AW$82&amp;"C"&amp;$A123)="N/A",0,RTD("tos.rtd",,BN$83,"."&amp;$D$82&amp;$AW$82&amp;"C"&amp;$A123)))</f>
        <v>1.2954403220663681E-3</v>
      </c>
      <c r="BO123" s="3">
        <f ca="1">IF($BP$1=1,EC123,-IF(RTD("tos.rtd",,BO$83,"."&amp;$D$82&amp;$AW$82&amp;"P"&amp;$A123)="N/A",0,RTD("tos.rtd",,BO$83,"."&amp;$D$82&amp;$AW$82&amp;"P"&amp;$A123)))</f>
        <v>-1.2895910342051661E-3</v>
      </c>
      <c r="BQ123" s="3" t="e">
        <f t="shared" ca="1" si="456"/>
        <v>#NUM!</v>
      </c>
      <c r="BR123" s="3" t="e">
        <f t="shared" ca="1" si="494"/>
        <v>#NUM!</v>
      </c>
      <c r="BS123" s="3">
        <f t="shared" ca="1" si="457"/>
        <v>-63753.765067168788</v>
      </c>
      <c r="BT123" s="3" t="str">
        <f t="shared" ca="1" si="494"/>
        <v/>
      </c>
      <c r="BU123" s="3">
        <f t="shared" ca="1" si="458"/>
        <v>-33668.700328426552</v>
      </c>
      <c r="BV123" s="3" t="str">
        <f t="shared" ca="1" si="494"/>
        <v/>
      </c>
      <c r="BX123" s="3" t="e">
        <f t="shared" ca="1" si="459"/>
        <v>#NUM!</v>
      </c>
      <c r="BY123" s="3" t="e">
        <f t="shared" ca="1" si="510"/>
        <v>#NUM!</v>
      </c>
      <c r="BZ123" s="3">
        <f t="shared" ca="1" si="460"/>
        <v>0</v>
      </c>
      <c r="CA123" s="3" t="str">
        <f t="shared" ca="1" si="510"/>
        <v/>
      </c>
      <c r="CB123" s="3">
        <f t="shared" ca="1" si="461"/>
        <v>0</v>
      </c>
      <c r="CC123" s="3" t="str">
        <f t="shared" ca="1" si="510"/>
        <v/>
      </c>
      <c r="CD123" s="3">
        <f>IF(RTD("tos.rtd",,CD$83,"."&amp;$B$82&amp;$AS$82&amp;"C"&amp;$A123)="N/A",0,RTD("tos.rtd",,CD$83,"."&amp;$B$82&amp;$AS$82&amp;"C"&amp;$A123))</f>
        <v>1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0.7</v>
      </c>
      <c r="CG123" s="3">
        <f>-IF(RTD("tos.rtd",,CG$83,"."&amp;$C$82&amp;$AU$82&amp;"P"&amp;$A123)="N/A",0,RTD("tos.rtd",,CG$83,"."&amp;$C$82&amp;$AU$82&amp;"P"&amp;$A123))</f>
        <v>0.08</v>
      </c>
      <c r="CH123" s="3">
        <f>IF(RTD("tos.rtd",,CH$83,"."&amp;$D$82&amp;$AW$82&amp;"C"&amp;$A123)="N/A",0,RTD("tos.rtd",,CH$83,"."&amp;$D$82&amp;$AW$82&amp;"C"&amp;$A123))</f>
        <v>0.66</v>
      </c>
      <c r="CI123" s="3">
        <f>-IF(RTD("tos.rtd",,CI$83,"."&amp;$D$82&amp;$AW$82&amp;"P"&amp;$A123)="N/A",0,RTD("tos.rtd",,CI$83,"."&amp;$D$82&amp;$AW$82&amp;"P"&amp;$A123))</f>
        <v>0.28000000000000003</v>
      </c>
      <c r="CK123" s="3">
        <f t="shared" si="495"/>
        <v>35200</v>
      </c>
      <c r="CL123" s="3"/>
      <c r="CM123" s="3">
        <f t="shared" si="496"/>
        <v>38550</v>
      </c>
      <c r="CN123" s="3"/>
      <c r="CO123" s="3">
        <f t="shared" si="497"/>
        <v>88456</v>
      </c>
      <c r="CP123" s="3">
        <f t="shared" si="462"/>
        <v>162206</v>
      </c>
      <c r="CQ123" s="3">
        <f t="shared" si="463"/>
        <v>0</v>
      </c>
      <c r="CR123" s="3"/>
      <c r="CS123" s="3">
        <f t="shared" si="464"/>
        <v>0</v>
      </c>
      <c r="CT123" s="3"/>
      <c r="CU123" s="3">
        <f t="shared" si="465"/>
        <v>0</v>
      </c>
      <c r="CV123" s="3"/>
      <c r="CW123" s="3" t="e">
        <f t="shared" ca="1" si="466"/>
        <v>#NUM!</v>
      </c>
      <c r="CY123" s="3" t="e">
        <f t="shared" ca="1" si="467"/>
        <v>#NUM!</v>
      </c>
      <c r="CZ123" s="70" t="e">
        <f t="shared" ca="1" si="511"/>
        <v>#NUM!</v>
      </c>
      <c r="DA123" s="3">
        <f>IF(RTD("tos.rtd",,DA$83,"."&amp;$B$82&amp;$AS$82&amp;"C"&amp;$A123)="N/A",0,RTD("tos.rtd",,DA$83,"."&amp;$B$82&amp;$AS$82&amp;"C"&amp;$A123))</f>
        <v>179.93</v>
      </c>
      <c r="DB123" s="3">
        <f>IF(RTD("tos.rtd",,DB$83,"."&amp;$B$82&amp;$AS$82&amp;"P"&amp;$A123)="N/A",0,RTD("tos.rtd",,DB$83,"."&amp;$B$82&amp;$AS$82&amp;"P"&amp;$A123))</f>
        <v>0.03</v>
      </c>
      <c r="DC123" s="3">
        <f>IF(RTD("tos.rtd",,DC$83,"."&amp;$B$82&amp;$AS$82&amp;"C"&amp;$A123)="N/A",0,RTD("tos.rtd",,DC$83,"."&amp;$B$82&amp;$AS$82&amp;"C"&amp;$A123))</f>
        <v>175.5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163.4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9"/>
        <v>-169.90999999999985</v>
      </c>
      <c r="DH123" s="3">
        <f t="shared" si="468"/>
        <v>-367.48512396694235</v>
      </c>
      <c r="DI123" s="3">
        <f t="shared" si="469"/>
        <v>1085.3999999999999</v>
      </c>
      <c r="DJ123" s="3">
        <f t="shared" si="470"/>
        <v>-269</v>
      </c>
      <c r="DK123" s="3">
        <f t="shared" si="471"/>
        <v>1809</v>
      </c>
      <c r="DL123" s="3">
        <f t="shared" si="472"/>
        <v>717.91487603305745</v>
      </c>
      <c r="DM123" s="3">
        <f t="shared" si="473"/>
        <v>1540</v>
      </c>
      <c r="DN123" s="64" t="str">
        <f t="shared" si="474"/>
        <v>UNKNOWN</v>
      </c>
      <c r="DO123" s="64" t="str">
        <f t="shared" si="475"/>
        <v>UNKNOWN</v>
      </c>
      <c r="DP123" s="3">
        <f t="shared" si="476"/>
        <v>-66089.036355371936</v>
      </c>
      <c r="DQ123" s="3">
        <f t="shared" si="477"/>
        <v>-48346.9</v>
      </c>
      <c r="DR123" s="3" t="e">
        <f t="shared" ca="1" si="478"/>
        <v>#NUM!</v>
      </c>
      <c r="DS123" s="3">
        <f t="shared" si="479"/>
        <v>-269</v>
      </c>
      <c r="DT123" s="3">
        <f t="shared" si="500"/>
        <v>-269</v>
      </c>
      <c r="DU123" s="3">
        <f t="shared" si="501"/>
        <v>1809</v>
      </c>
      <c r="DV123" s="3">
        <f t="shared" si="502"/>
        <v>241</v>
      </c>
      <c r="DW123" s="3">
        <f t="shared" si="503"/>
        <v>-338</v>
      </c>
      <c r="DX123" s="3" t="e">
        <f t="shared" ca="1" si="512"/>
        <v>#NUM!</v>
      </c>
      <c r="DY123" s="3" t="e">
        <f t="shared" ca="1" si="480"/>
        <v>#NUM!</v>
      </c>
      <c r="DZ123" s="3">
        <f t="shared" ca="1" si="504"/>
        <v>8.1946501964532954E-4</v>
      </c>
      <c r="EA123" s="3">
        <f t="shared" ca="1" si="505"/>
        <v>-1.3182364836207274E-3</v>
      </c>
      <c r="EB123" s="3">
        <f t="shared" ca="1" si="481"/>
        <v>1.2954403220663681E-3</v>
      </c>
      <c r="EC123" s="3">
        <f t="shared" ca="1" si="482"/>
        <v>-1.2895910342051661E-3</v>
      </c>
      <c r="ED123" s="63">
        <f t="shared" si="506"/>
        <v>-97</v>
      </c>
      <c r="EE123" s="59">
        <f t="shared" si="483"/>
        <v>0.25</v>
      </c>
      <c r="EF123" s="59">
        <f t="shared" si="484"/>
        <v>1.3624000000000001</v>
      </c>
      <c r="EG123" s="59">
        <f t="shared" si="485"/>
        <v>0.57630000000000003</v>
      </c>
      <c r="EH123" s="59">
        <f t="shared" si="486"/>
        <v>0.2006</v>
      </c>
      <c r="EI123" s="59">
        <f t="shared" si="487"/>
        <v>0.28460000000000002</v>
      </c>
      <c r="EJ123" s="59">
        <f t="shared" si="488"/>
        <v>0.1898</v>
      </c>
      <c r="EK123" s="63" t="e">
        <f t="shared" ca="1" si="507"/>
        <v>#NUM!</v>
      </c>
      <c r="EL123" s="3" t="str">
        <f>RTD("tos.rtd",,EL$83,"."&amp;$B$82&amp;$AS$82&amp;"C"&amp;$A123)</f>
        <v>--</v>
      </c>
      <c r="EM123" s="3" t="str">
        <f>RTD("tos.rtd",,EM$83,"."&amp;$B$82&amp;$AS$82&amp;"P"&amp;$A123)</f>
        <v>136.24%</v>
      </c>
      <c r="EN123" s="3" t="str">
        <f>RTD("tos.rtd",,EN$83,"."&amp;$C$82&amp;$AU$82&amp;"C"&amp;$A123)</f>
        <v>57.63%</v>
      </c>
      <c r="EO123" s="3" t="str">
        <f>RTD("tos.rtd",,EO$83,"."&amp;$C$82&amp;$AU$82&amp;"P"&amp;$A123)</f>
        <v>20.06%</v>
      </c>
      <c r="EP123" s="3" t="str">
        <f>RTD("tos.rtd",,EP$83,"."&amp;$D$82&amp;$AW$82&amp;"C"&amp;$A123)</f>
        <v>28.46%</v>
      </c>
      <c r="EQ123" s="3" t="str">
        <f>RTD("tos.rtd",,EQ$83,"."&amp;$D$82&amp;$AW$82&amp;"P"&amp;$A123)</f>
        <v>18.98%</v>
      </c>
      <c r="ES123" s="63" t="str">
        <f t="shared" si="489"/>
        <v>5490,-97.00</v>
      </c>
      <c r="ET123" s="63" t="str">
        <f t="shared" ca="1" si="490"/>
        <v>5490,00.00</v>
      </c>
      <c r="EU123" s="67">
        <v>565.76</v>
      </c>
      <c r="EV123" s="67" t="s">
        <v>1003</v>
      </c>
      <c r="EW123" s="67">
        <v>489.3</v>
      </c>
      <c r="EX123" s="67" t="s">
        <v>1004</v>
      </c>
      <c r="EY123" s="67">
        <v>5663.94</v>
      </c>
      <c r="EZ123" s="67" t="s">
        <v>1005</v>
      </c>
      <c r="FA123" s="67">
        <v>20063.564999999999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508"/>
        <v>5480</v>
      </c>
      <c r="B124" s="3">
        <f t="shared" si="451"/>
        <v>1893</v>
      </c>
      <c r="C124" s="3">
        <f t="shared" si="452"/>
        <v>1226</v>
      </c>
      <c r="D124" s="3">
        <f t="shared" si="453"/>
        <v>12989</v>
      </c>
      <c r="E124" s="3">
        <f t="shared" si="519"/>
        <v>16108</v>
      </c>
      <c r="F124" s="4">
        <f t="shared" si="522"/>
        <v>5567.2263339876436</v>
      </c>
      <c r="G124" s="4">
        <f t="shared" si="520"/>
        <v>553.27579413806939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510</v>
      </c>
      <c r="AN124" s="20">
        <v>-437</v>
      </c>
      <c r="AO124" s="20">
        <v>5480</v>
      </c>
      <c r="AP124" s="20">
        <v>554</v>
      </c>
      <c r="AQ124" s="20">
        <v>-1885</v>
      </c>
      <c r="AR124" s="20"/>
      <c r="AS124" s="54">
        <f>IF(RTD("tos.rtd",,AS$83,"."&amp;$B$82&amp;$AS$82&amp;"C"&amp;$A124)="N/A",0,RTD("tos.rtd",,AS$83,"."&amp;$B$82&amp;$AS$82&amp;"C"&amp;$A124))</f>
        <v>766</v>
      </c>
      <c r="AT124" s="3">
        <f>-IF(RTD("tos.rtd",,AT$83,"."&amp;$B$82&amp;$AS$82&amp;"P"&amp;$A124)="N/A",0,RTD("tos.rtd",,AT$83,"."&amp;$B$82&amp;$AS$82&amp;"P"&amp;$A124))</f>
        <v>-1127</v>
      </c>
      <c r="AU124" s="54">
        <f>IF(RTD("tos.rtd",,AU$83,"."&amp;$C$82&amp;$AU$82&amp;"C"&amp;$A124)="N/A",0,RTD("tos.rtd",,AU$83,"."&amp;$C$82&amp;$AU$82&amp;"C"&amp;$A124))</f>
        <v>362</v>
      </c>
      <c r="AV124" s="3">
        <f>-IF(RTD("tos.rtd",,AV$83,"."&amp;$C$82&amp;$AU$82&amp;"P"&amp;$A124)="N/A",0,RTD("tos.rtd",,AV$83,"."&amp;$C$82&amp;$AU$82&amp;"P"&amp;$A124))</f>
        <v>-864</v>
      </c>
      <c r="AW124" s="54">
        <f>IF(RTD("tos.rtd",,AW$83,"."&amp;$D$82&amp;$AW$82&amp;"C"&amp;$A124)="N/A",0,RTD("tos.rtd",,AW$83,"."&amp;$D$82&amp;$AW$82&amp;"C"&amp;$A124))</f>
        <v>6363</v>
      </c>
      <c r="AX124" s="3">
        <f>-IF(RTD("tos.rtd",,AX$83,"."&amp;$D$82&amp;$AW$82&amp;"P"&amp;$A124)="N/A",0,RTD("tos.rtd",,AX$83,"."&amp;$D$82&amp;$AW$82&amp;"P"&amp;$A124))</f>
        <v>-6626</v>
      </c>
      <c r="AY124" s="79">
        <f t="shared" si="521"/>
        <v>-1126</v>
      </c>
      <c r="AZ124" s="8">
        <f t="shared" si="455"/>
        <v>5480</v>
      </c>
      <c r="BA124" s="54">
        <f>IF(RTD("tos.rtd",,BA$83,"."&amp;$B$82&amp;$AS$82&amp;"C"&amp;$A124)="N/A",0,RTD("tos.rtd",,BA$83,"."&amp;$B$82&amp;$AS$82&amp;"C"&amp;$A124))</f>
        <v>0</v>
      </c>
      <c r="BB124" s="3">
        <f>-IF(RTD("tos.rtd",,BB$83,"."&amp;$B$82&amp;$AS$82&amp;"P"&amp;$A124)="N/A",0,RTD("tos.rtd",,BB$83,"."&amp;$B$82&amp;$AS$82&amp;"P"&amp;$A124))</f>
        <v>0</v>
      </c>
      <c r="BC124" s="54">
        <f>IF(RTD("tos.rtd",,BC$83,"."&amp;$C$82&amp;$AU$82&amp;"C"&amp;$A124)="N/A",0,RTD("tos.rtd",,BC$83,"."&amp;$C$82&amp;$AU$82&amp;"C"&amp;$A124))</f>
        <v>0</v>
      </c>
      <c r="BD124" s="3">
        <f>-IF(RTD("tos.rtd",,BD$83,"."&amp;$C$82&amp;$AU$82&amp;"P"&amp;$A124)="N/A",0,RTD("tos.rtd",,BD$83,"."&amp;$C$82&amp;$AU$82&amp;"P"&amp;$A124))</f>
        <v>0</v>
      </c>
      <c r="BE124" s="54">
        <f>IF(RTD("tos.rtd",,BE$83,"."&amp;$D$82&amp;$AW$82&amp;"C"&amp;$A124)="N/A",0,RTD("tos.rtd",,BE$83,"."&amp;$D$82&amp;$AW$82&amp;"C"&amp;$A124))</f>
        <v>0</v>
      </c>
      <c r="BF124" s="3">
        <f>-IF(RTD("tos.rtd",,BF$83,"."&amp;$D$82&amp;$AW$82&amp;"P"&amp;$A124)="N/A",0,RTD("tos.rtd",,BF$83,"."&amp;$D$82&amp;$AW$82&amp;"P"&amp;$A124))</f>
        <v>0</v>
      </c>
      <c r="BG124" s="3">
        <f ca="1">+Hoja2!Y125</f>
        <v>0</v>
      </c>
      <c r="BH124" s="55">
        <f t="shared" ca="1" si="493"/>
        <v>0</v>
      </c>
      <c r="BI124" s="32" t="str">
        <f t="shared" ca="1" si="513"/>
        <v/>
      </c>
      <c r="BJ124" s="3" t="e">
        <f ca="1">IF($BP$1=1,DX124,IF(RTD("tos.rtd",,BJ$83,"."&amp;$B$82&amp;$AS$82&amp;"C"&amp;$A124)="N/A",0,RTD("tos.rtd",,BJ$83,"."&amp;$B$82&amp;$AS$82&amp;"C"&amp;$A124)))</f>
        <v>#NUM!</v>
      </c>
      <c r="BK124" s="3" t="e">
        <f ca="1">IF($BP$1=1,DY124,-IF(RTD("tos.rtd",,BK$83,"."&amp;$B$82&amp;$AS$82&amp;"P"&amp;$A124)="N/A",0,RTD("tos.rtd",,BK$83,"."&amp;$B$82&amp;$AS$82&amp;"P"&amp;$A124)))</f>
        <v>#NUM!</v>
      </c>
      <c r="BL124" s="3">
        <f ca="1">IF($BP$1=1,DZ124,IF(RTD("tos.rtd",,BL$83,"."&amp;$C$82&amp;$AU$82&amp;"C"&amp;$A124)="N/A",0,RTD("tos.rtd",,BL$83,"."&amp;$C$82&amp;$AU$82&amp;"C"&amp;$A124)))</f>
        <v>7.9641570515948232E-4</v>
      </c>
      <c r="BM124" s="3">
        <f ca="1">IF($BP$1=1,EA124,-IF(RTD("tos.rtd",,BM$83,"."&amp;$C$82&amp;$AU$82&amp;"P"&amp;$A124)="N/A",0,RTD("tos.rtd",,BM$83,"."&amp;$C$82&amp;$AU$82&amp;"P"&amp;$A124)))</f>
        <v>-1.2269632664888336E-3</v>
      </c>
      <c r="BN124" s="3">
        <f ca="1">IF($BP$1=1,EB124,IF(RTD("tos.rtd",,BN$83,"."&amp;$D$82&amp;$AW$82&amp;"C"&amp;$A124)="N/A",0,RTD("tos.rtd",,BN$83,"."&amp;$D$82&amp;$AW$82&amp;"C"&amp;$A124)))</f>
        <v>1.2411717597186204E-3</v>
      </c>
      <c r="BO124" s="3">
        <f ca="1">IF($BP$1=1,EC124,-IF(RTD("tos.rtd",,BO$83,"."&amp;$D$82&amp;$AW$82&amp;"P"&amp;$A124)="N/A",0,RTD("tos.rtd",,BO$83,"."&amp;$D$82&amp;$AW$82&amp;"P"&amp;$A124)))</f>
        <v>-1.1858876743459708E-3</v>
      </c>
      <c r="BQ124" s="3" t="e">
        <f t="shared" ca="1" si="456"/>
        <v>#NUM!</v>
      </c>
      <c r="BR124" s="3" t="e">
        <f t="shared" ca="1" si="494"/>
        <v>#NUM!</v>
      </c>
      <c r="BS124" s="3">
        <f t="shared" ca="1" si="457"/>
        <v>-190003.79544456193</v>
      </c>
      <c r="BT124" s="3" t="str">
        <f t="shared" ca="1" si="494"/>
        <v/>
      </c>
      <c r="BU124" s="3">
        <f t="shared" ca="1" si="458"/>
        <v>9818.872877872549</v>
      </c>
      <c r="BV124" s="3" t="str">
        <f t="shared" ca="1" si="494"/>
        <v>Cruce +</v>
      </c>
      <c r="BX124" s="3" t="e">
        <f t="shared" ca="1" si="459"/>
        <v>#NUM!</v>
      </c>
      <c r="BY124" s="3" t="e">
        <f t="shared" ca="1" si="510"/>
        <v>#NUM!</v>
      </c>
      <c r="BZ124" s="3">
        <f t="shared" ca="1" si="460"/>
        <v>0</v>
      </c>
      <c r="CA124" s="3" t="str">
        <f t="shared" ca="1" si="510"/>
        <v/>
      </c>
      <c r="CB124" s="3">
        <f t="shared" ca="1" si="461"/>
        <v>0</v>
      </c>
      <c r="CC124" s="3" t="str">
        <f t="shared" ca="1" si="510"/>
        <v/>
      </c>
      <c r="CD124" s="3">
        <f>IF(RTD("tos.rtd",,CD$83,"."&amp;$B$82&amp;$AS$82&amp;"C"&amp;$A124)="N/A",0,RTD("tos.rtd",,CD$83,"."&amp;$B$82&amp;$AS$82&amp;"C"&amp;$A124))</f>
        <v>1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0.7</v>
      </c>
      <c r="CG124" s="3">
        <f>-IF(RTD("tos.rtd",,CG$83,"."&amp;$C$82&amp;$AU$82&amp;"P"&amp;$A124)="N/A",0,RTD("tos.rtd",,CG$83,"."&amp;$C$82&amp;$AU$82&amp;"P"&amp;$A124))</f>
        <v>7.0000000000000007E-2</v>
      </c>
      <c r="CH124" s="3">
        <f>IF(RTD("tos.rtd",,CH$83,"."&amp;$D$82&amp;$AW$82&amp;"C"&amp;$A124)="N/A",0,RTD("tos.rtd",,CH$83,"."&amp;$D$82&amp;$AW$82&amp;"C"&amp;$A124))</f>
        <v>0.67</v>
      </c>
      <c r="CI124" s="3">
        <f>-IF(RTD("tos.rtd",,CI$83,"."&amp;$D$82&amp;$AW$82&amp;"P"&amp;$A124)="N/A",0,RTD("tos.rtd",,CI$83,"."&amp;$D$82&amp;$AW$82&amp;"P"&amp;$A124))</f>
        <v>0.27</v>
      </c>
      <c r="CK124" s="3">
        <f t="shared" si="495"/>
        <v>76600</v>
      </c>
      <c r="CL124" s="3"/>
      <c r="CM124" s="3">
        <f t="shared" si="496"/>
        <v>19291.999999999996</v>
      </c>
      <c r="CN124" s="3"/>
      <c r="CO124" s="3">
        <f t="shared" si="497"/>
        <v>247418.99999999997</v>
      </c>
      <c r="CP124" s="3">
        <f t="shared" si="462"/>
        <v>343311</v>
      </c>
      <c r="CQ124" s="3">
        <f t="shared" si="463"/>
        <v>0</v>
      </c>
      <c r="CR124" s="3"/>
      <c r="CS124" s="3">
        <f t="shared" si="464"/>
        <v>0</v>
      </c>
      <c r="CT124" s="3"/>
      <c r="CU124" s="3">
        <f t="shared" si="465"/>
        <v>0</v>
      </c>
      <c r="CV124" s="3"/>
      <c r="CW124" s="3" t="e">
        <f t="shared" ca="1" si="466"/>
        <v>#NUM!</v>
      </c>
      <c r="CY124" s="3" t="e">
        <f t="shared" ca="1" si="467"/>
        <v>#NUM!</v>
      </c>
      <c r="CZ124" s="70" t="e">
        <f t="shared" ca="1" si="511"/>
        <v>#NUM!</v>
      </c>
      <c r="DA124" s="3">
        <f>IF(RTD("tos.rtd",,DA$83,"."&amp;$B$82&amp;$AS$82&amp;"C"&amp;$A124)="N/A",0,RTD("tos.rtd",,DA$83,"."&amp;$B$82&amp;$AS$82&amp;"C"&amp;$A124))</f>
        <v>186</v>
      </c>
      <c r="DB124" s="3">
        <f>IF(RTD("tos.rtd",,DB$83,"."&amp;$B$82&amp;$AS$82&amp;"P"&amp;$A124)="N/A",0,RTD("tos.rtd",,DB$83,"."&amp;$B$82&amp;$AS$82&amp;"P"&amp;$A124))</f>
        <v>0.03</v>
      </c>
      <c r="DC124" s="3">
        <f>IF(RTD("tos.rtd",,DC$83,"."&amp;$B$82&amp;$AS$82&amp;"C"&amp;$A124)="N/A",0,RTD("tos.rtd",,DC$83,"."&amp;$B$82&amp;$AS$82&amp;"C"&amp;$A124))</f>
        <v>185.5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173.4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9"/>
        <v>-179.90999999999985</v>
      </c>
      <c r="DH124" s="3">
        <f t="shared" si="468"/>
        <v>-576.89256198347107</v>
      </c>
      <c r="DI124" s="3">
        <f t="shared" si="469"/>
        <v>1131</v>
      </c>
      <c r="DJ124" s="3">
        <f t="shared" si="470"/>
        <v>-554</v>
      </c>
      <c r="DK124" s="3">
        <f t="shared" si="471"/>
        <v>1885</v>
      </c>
      <c r="DL124" s="3">
        <f t="shared" si="472"/>
        <v>554.10743801652893</v>
      </c>
      <c r="DM124" s="3">
        <f t="shared" si="473"/>
        <v>1331</v>
      </c>
      <c r="DN124" s="64" t="str">
        <f t="shared" si="474"/>
        <v>UNKNOWN</v>
      </c>
      <c r="DO124" s="64" t="str">
        <f t="shared" si="475"/>
        <v>UNKNOWN</v>
      </c>
      <c r="DP124" s="3">
        <f t="shared" si="476"/>
        <v>-107268.08652892563</v>
      </c>
      <c r="DQ124" s="3">
        <f t="shared" si="477"/>
        <v>-102987.45</v>
      </c>
      <c r="DR124" s="3" t="e">
        <f t="shared" ca="1" si="478"/>
        <v>#NUM!</v>
      </c>
      <c r="DS124" s="3">
        <f t="shared" si="479"/>
        <v>-554</v>
      </c>
      <c r="DT124" s="3">
        <f t="shared" si="500"/>
        <v>-554</v>
      </c>
      <c r="DU124" s="3">
        <f t="shared" si="501"/>
        <v>1885</v>
      </c>
      <c r="DV124" s="3">
        <f t="shared" si="502"/>
        <v>510</v>
      </c>
      <c r="DW124" s="3">
        <f t="shared" si="503"/>
        <v>-437</v>
      </c>
      <c r="DX124" s="3" t="e">
        <f t="shared" ca="1" si="512"/>
        <v>#NUM!</v>
      </c>
      <c r="DY124" s="3" t="e">
        <f t="shared" ca="1" si="480"/>
        <v>#NUM!</v>
      </c>
      <c r="DZ124" s="3">
        <f t="shared" ca="1" si="504"/>
        <v>7.9641570515948232E-4</v>
      </c>
      <c r="EA124" s="3">
        <f t="shared" ca="1" si="505"/>
        <v>-1.2269632664888336E-3</v>
      </c>
      <c r="EB124" s="3">
        <f t="shared" ca="1" si="481"/>
        <v>1.2411717597186204E-3</v>
      </c>
      <c r="EC124" s="3">
        <f t="shared" ca="1" si="482"/>
        <v>-1.1858876743459708E-3</v>
      </c>
      <c r="ED124" s="63">
        <f t="shared" si="506"/>
        <v>73</v>
      </c>
      <c r="EE124" s="59">
        <f t="shared" si="483"/>
        <v>0.25</v>
      </c>
      <c r="EF124" s="59">
        <f t="shared" si="484"/>
        <v>1.4367000000000001</v>
      </c>
      <c r="EG124" s="59">
        <f t="shared" si="485"/>
        <v>0.58899999999999997</v>
      </c>
      <c r="EH124" s="59">
        <f t="shared" si="486"/>
        <v>0.2044</v>
      </c>
      <c r="EI124" s="59">
        <f t="shared" si="487"/>
        <v>0.28720000000000001</v>
      </c>
      <c r="EJ124" s="59">
        <f t="shared" si="488"/>
        <v>0.1915</v>
      </c>
      <c r="EK124" s="63" t="e">
        <f t="shared" ca="1" si="507"/>
        <v>#NUM!</v>
      </c>
      <c r="EL124" s="3" t="str">
        <f>RTD("tos.rtd",,EL$83,"."&amp;$B$82&amp;$AS$82&amp;"C"&amp;$A124)</f>
        <v>--</v>
      </c>
      <c r="EM124" s="3" t="str">
        <f>RTD("tos.rtd",,EM$83,"."&amp;$B$82&amp;$AS$82&amp;"P"&amp;$A124)</f>
        <v>143.67%</v>
      </c>
      <c r="EN124" s="3" t="str">
        <f>RTD("tos.rtd",,EN$83,"."&amp;$C$82&amp;$AU$82&amp;"C"&amp;$A124)</f>
        <v>58.90%</v>
      </c>
      <c r="EO124" s="3" t="str">
        <f>RTD("tos.rtd",,EO$83,"."&amp;$C$82&amp;$AU$82&amp;"P"&amp;$A124)</f>
        <v>20.44%</v>
      </c>
      <c r="EP124" s="3" t="str">
        <f>RTD("tos.rtd",,EP$83,"."&amp;$D$82&amp;$AW$82&amp;"C"&amp;$A124)</f>
        <v>28.72%</v>
      </c>
      <c r="EQ124" s="3" t="str">
        <f>RTD("tos.rtd",,EQ$83,"."&amp;$D$82&amp;$AW$82&amp;"P"&amp;$A124)</f>
        <v>19.15%</v>
      </c>
      <c r="ES124" s="63" t="str">
        <f t="shared" si="489"/>
        <v>5480,73.00</v>
      </c>
      <c r="ET124" s="63" t="str">
        <f t="shared" ca="1" si="490"/>
        <v>5480,00.00</v>
      </c>
      <c r="EU124" s="67">
        <v>565.74</v>
      </c>
      <c r="EV124" s="67" t="s">
        <v>1011</v>
      </c>
      <c r="EW124" s="67">
        <v>489.27</v>
      </c>
      <c r="EX124" s="67" t="s">
        <v>1012</v>
      </c>
      <c r="EY124" s="67">
        <v>5663.94</v>
      </c>
      <c r="EZ124" s="67" t="s">
        <v>1013</v>
      </c>
      <c r="FA124" s="67">
        <v>20063.564999999999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508"/>
        <v>5470</v>
      </c>
      <c r="B125" s="3">
        <f t="shared" si="451"/>
        <v>773</v>
      </c>
      <c r="C125" s="3">
        <f t="shared" si="452"/>
        <v>2535</v>
      </c>
      <c r="D125" s="3">
        <f t="shared" si="453"/>
        <v>11660</v>
      </c>
      <c r="E125" s="3">
        <f t="shared" si="519"/>
        <v>14968</v>
      </c>
      <c r="F125" s="4">
        <f t="shared" si="522"/>
        <v>5557.0671618453298</v>
      </c>
      <c r="G125" s="4">
        <f t="shared" si="520"/>
        <v>552.26616677650361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4</v>
      </c>
      <c r="AN125" s="20">
        <v>-22</v>
      </c>
      <c r="AO125" s="20">
        <v>5470</v>
      </c>
      <c r="AP125" s="20">
        <v>14</v>
      </c>
      <c r="AQ125" s="20">
        <v>-595</v>
      </c>
      <c r="AR125" s="20"/>
      <c r="AS125" s="54">
        <f>IF(RTD("tos.rtd",,AS$83,"."&amp;$B$82&amp;$AS$82&amp;"C"&amp;$A125)="N/A",0,RTD("tos.rtd",,AS$83,"."&amp;$B$82&amp;$AS$82&amp;"C"&amp;$A125))</f>
        <v>128</v>
      </c>
      <c r="AT125" s="3">
        <f>-IF(RTD("tos.rtd",,AT$83,"."&amp;$B$82&amp;$AS$82&amp;"P"&amp;$A125)="N/A",0,RTD("tos.rtd",,AT$83,"."&amp;$B$82&amp;$AS$82&amp;"P"&amp;$A125))</f>
        <v>-645</v>
      </c>
      <c r="AU125" s="54">
        <f>IF(RTD("tos.rtd",,AU$83,"."&amp;$C$82&amp;$AU$82&amp;"C"&amp;$A125)="N/A",0,RTD("tos.rtd",,AU$83,"."&amp;$C$82&amp;$AU$82&amp;"C"&amp;$A125))</f>
        <v>483</v>
      </c>
      <c r="AV125" s="3">
        <f>-IF(RTD("tos.rtd",,AV$83,"."&amp;$C$82&amp;$AU$82&amp;"P"&amp;$A125)="N/A",0,RTD("tos.rtd",,AV$83,"."&amp;$C$82&amp;$AU$82&amp;"P"&amp;$A125))</f>
        <v>-2052</v>
      </c>
      <c r="AW125" s="54">
        <f>IF(RTD("tos.rtd",,AW$83,"."&amp;$D$82&amp;$AW$82&amp;"C"&amp;$A125)="N/A",0,RTD("tos.rtd",,AW$83,"."&amp;$D$82&amp;$AW$82&amp;"C"&amp;$A125))</f>
        <v>5934</v>
      </c>
      <c r="AX125" s="3">
        <f>-IF(RTD("tos.rtd",,AX$83,"."&amp;$D$82&amp;$AW$82&amp;"P"&amp;$A125)="N/A",0,RTD("tos.rtd",,AX$83,"."&amp;$D$82&amp;$AW$82&amp;"P"&amp;$A125))</f>
        <v>-5726</v>
      </c>
      <c r="AY125" s="79">
        <f t="shared" si="521"/>
        <v>-1878</v>
      </c>
      <c r="AZ125" s="8">
        <f t="shared" si="455"/>
        <v>5470</v>
      </c>
      <c r="BA125" s="54">
        <f>IF(RTD("tos.rtd",,BA$83,"."&amp;$B$82&amp;$AS$82&amp;"C"&amp;$A125)="N/A",0,RTD("tos.rtd",,BA$83,"."&amp;$B$82&amp;$AS$82&amp;"C"&amp;$A125))</f>
        <v>0</v>
      </c>
      <c r="BB125" s="3">
        <f>-IF(RTD("tos.rtd",,BB$83,"."&amp;$B$82&amp;$AS$82&amp;"P"&amp;$A125)="N/A",0,RTD("tos.rtd",,BB$83,"."&amp;$B$82&amp;$AS$82&amp;"P"&amp;$A125))</f>
        <v>0</v>
      </c>
      <c r="BC125" s="54">
        <f>IF(RTD("tos.rtd",,BC$83,"."&amp;$C$82&amp;$AU$82&amp;"C"&amp;$A125)="N/A",0,RTD("tos.rtd",,BC$83,"."&amp;$C$82&amp;$AU$82&amp;"C"&amp;$A125))</f>
        <v>0</v>
      </c>
      <c r="BD125" s="3">
        <f>-IF(RTD("tos.rtd",,BD$83,"."&amp;$C$82&amp;$AU$82&amp;"P"&amp;$A125)="N/A",0,RTD("tos.rtd",,BD$83,"."&amp;$C$82&amp;$AU$82&amp;"P"&amp;$A125))</f>
        <v>0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0</v>
      </c>
      <c r="BG125" s="3">
        <f ca="1">+Hoja2!Y126</f>
        <v>0</v>
      </c>
      <c r="BH125" s="55">
        <f t="shared" ca="1" si="493"/>
        <v>0</v>
      </c>
      <c r="BI125" s="32" t="str">
        <f t="shared" ca="1" si="513"/>
        <v/>
      </c>
      <c r="BJ125" s="3" t="e">
        <f ca="1">IF($BP$1=1,DX125,IF(RTD("tos.rtd",,BJ$83,"."&amp;$B$82&amp;$AS$82&amp;"C"&amp;$A125)="N/A",0,RTD("tos.rtd",,BJ$83,"."&amp;$B$82&amp;$AS$82&amp;"C"&amp;$A125)))</f>
        <v>#NUM!</v>
      </c>
      <c r="BK125" s="3" t="e">
        <f ca="1">IF($BP$1=1,DY125,-IF(RTD("tos.rtd",,BK$83,"."&amp;$B$82&amp;$AS$82&amp;"P"&amp;$A125)="N/A",0,RTD("tos.rtd",,BK$83,"."&amp;$B$82&amp;$AS$82&amp;"P"&amp;$A125)))</f>
        <v>#NUM!</v>
      </c>
      <c r="BL125" s="3">
        <f ca="1">IF($BP$1=1,DZ125,IF(RTD("tos.rtd",,BL$83,"."&amp;$C$82&amp;$AU$82&amp;"C"&amp;$A125)="N/A",0,RTD("tos.rtd",,BL$83,"."&amp;$C$82&amp;$AU$82&amp;"C"&amp;$A125)))</f>
        <v>7.7429654376016325E-4</v>
      </c>
      <c r="BM125" s="3">
        <f ca="1">IF($BP$1=1,EA125,-IF(RTD("tos.rtd",,BM$83,"."&amp;$C$82&amp;$AU$82&amp;"P"&amp;$A125)="N/A",0,RTD("tos.rtd",,BM$83,"."&amp;$C$82&amp;$AU$82&amp;"P"&amp;$A125)))</f>
        <v>-1.1425631386559605E-3</v>
      </c>
      <c r="BN125" s="3">
        <f ca="1">IF($BP$1=1,EB125,IF(RTD("tos.rtd",,BN$83,"."&amp;$D$82&amp;$AW$82&amp;"C"&amp;$A125)="N/A",0,RTD("tos.rtd",,BN$83,"."&amp;$D$82&amp;$AW$82&amp;"C"&amp;$A125)))</f>
        <v>1.188076497357356E-3</v>
      </c>
      <c r="BO125" s="3">
        <f ca="1">IF($BP$1=1,EC125,-IF(RTD("tos.rtd",,BO$83,"."&amp;$D$82&amp;$AW$82&amp;"P"&amp;$A125)="N/A",0,RTD("tos.rtd",,BO$83,"."&amp;$D$82&amp;$AW$82&amp;"P"&amp;$A125)))</f>
        <v>-1.0880915786167643E-3</v>
      </c>
      <c r="BQ125" s="3" t="e">
        <f t="shared" ca="1" si="456"/>
        <v>#NUM!</v>
      </c>
      <c r="BR125" s="3" t="e">
        <f t="shared" ca="1" si="494"/>
        <v>#NUM!</v>
      </c>
      <c r="BS125" s="3">
        <f t="shared" ca="1" si="457"/>
        <v>-485120.2652524148</v>
      </c>
      <c r="BT125" s="3" t="str">
        <f t="shared" ca="1" si="494"/>
        <v/>
      </c>
      <c r="BU125" s="3">
        <f t="shared" ca="1" si="458"/>
        <v>201781.21564232279</v>
      </c>
      <c r="BV125" s="3" t="str">
        <f t="shared" ca="1" si="494"/>
        <v/>
      </c>
      <c r="BX125" s="3" t="e">
        <f t="shared" ca="1" si="459"/>
        <v>#NUM!</v>
      </c>
      <c r="BY125" s="3" t="e">
        <f t="shared" ca="1" si="510"/>
        <v>#NUM!</v>
      </c>
      <c r="BZ125" s="3">
        <f t="shared" ca="1" si="460"/>
        <v>0</v>
      </c>
      <c r="CA125" s="3" t="str">
        <f t="shared" ca="1" si="510"/>
        <v/>
      </c>
      <c r="CB125" s="3">
        <f t="shared" ca="1" si="461"/>
        <v>0</v>
      </c>
      <c r="CC125" s="3" t="str">
        <f t="shared" ca="1" si="510"/>
        <v/>
      </c>
      <c r="CD125" s="3">
        <f>IF(RTD("tos.rtd",,CD$83,"."&amp;$B$82&amp;$AS$82&amp;"C"&amp;$A125)="N/A",0,RTD("tos.rtd",,CD$83,"."&amp;$B$82&amp;$AS$82&amp;"C"&amp;$A125))</f>
        <v>1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0.71</v>
      </c>
      <c r="CG125" s="3">
        <f>-IF(RTD("tos.rtd",,CG$83,"."&amp;$C$82&amp;$AU$82&amp;"P"&amp;$A125)="N/A",0,RTD("tos.rtd",,CG$83,"."&amp;$C$82&amp;$AU$82&amp;"P"&amp;$A125))</f>
        <v>7.0000000000000007E-2</v>
      </c>
      <c r="CH125" s="3">
        <f>IF(RTD("tos.rtd",,CH$83,"."&amp;$D$82&amp;$AW$82&amp;"C"&amp;$A125)="N/A",0,RTD("tos.rtd",,CH$83,"."&amp;$D$82&amp;$AW$82&amp;"C"&amp;$A125))</f>
        <v>0.68</v>
      </c>
      <c r="CI125" s="3">
        <f>-IF(RTD("tos.rtd",,CI$83,"."&amp;$D$82&amp;$AW$82&amp;"P"&amp;$A125)="N/A",0,RTD("tos.rtd",,CI$83,"."&amp;$D$82&amp;$AW$82&amp;"P"&amp;$A125))</f>
        <v>0.26</v>
      </c>
      <c r="CK125" s="3">
        <f t="shared" si="495"/>
        <v>12800</v>
      </c>
      <c r="CL125" s="3"/>
      <c r="CM125" s="3">
        <f t="shared" si="496"/>
        <v>19929</v>
      </c>
      <c r="CN125" s="3"/>
      <c r="CO125" s="3">
        <f t="shared" si="497"/>
        <v>254636.00000000006</v>
      </c>
      <c r="CP125" s="3">
        <f t="shared" si="462"/>
        <v>287365.00000000006</v>
      </c>
      <c r="CQ125" s="3">
        <f t="shared" si="463"/>
        <v>0</v>
      </c>
      <c r="CR125" s="3"/>
      <c r="CS125" s="3">
        <f t="shared" si="464"/>
        <v>0</v>
      </c>
      <c r="CT125" s="3"/>
      <c r="CU125" s="3">
        <f t="shared" si="465"/>
        <v>0</v>
      </c>
      <c r="CV125" s="3"/>
      <c r="CW125" s="3" t="e">
        <f t="shared" ca="1" si="466"/>
        <v>#NUM!</v>
      </c>
      <c r="CY125" s="3" t="e">
        <f t="shared" ca="1" si="467"/>
        <v>#NUM!</v>
      </c>
      <c r="CZ125" s="70" t="e">
        <f t="shared" ca="1" si="511"/>
        <v>#NUM!</v>
      </c>
      <c r="DA125" s="3">
        <f>IF(RTD("tos.rtd",,DA$83,"."&amp;$B$82&amp;$AS$82&amp;"C"&amp;$A125)="N/A",0,RTD("tos.rtd",,DA$83,"."&amp;$B$82&amp;$AS$82&amp;"C"&amp;$A125))</f>
        <v>196.8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195.5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183.4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9"/>
        <v>-189.90999999999985</v>
      </c>
      <c r="DH125" s="3">
        <f t="shared" si="468"/>
        <v>-15.504132231404972</v>
      </c>
      <c r="DI125" s="3">
        <f t="shared" si="469"/>
        <v>357</v>
      </c>
      <c r="DJ125" s="3">
        <f t="shared" si="470"/>
        <v>-14</v>
      </c>
      <c r="DK125" s="3">
        <f t="shared" si="471"/>
        <v>595</v>
      </c>
      <c r="DL125" s="3">
        <f t="shared" si="472"/>
        <v>341.49586776859502</v>
      </c>
      <c r="DM125" s="3">
        <f t="shared" si="473"/>
        <v>581</v>
      </c>
      <c r="DN125" s="64" t="str">
        <f t="shared" si="474"/>
        <v>UNKNOWN</v>
      </c>
      <c r="DO125" s="64" t="str">
        <f t="shared" si="475"/>
        <v>UNKNOWN</v>
      </c>
      <c r="DP125" s="3">
        <f t="shared" si="476"/>
        <v>-3040.5032231404984</v>
      </c>
      <c r="DQ125" s="3">
        <f t="shared" si="477"/>
        <v>-2737.3500000000004</v>
      </c>
      <c r="DR125" s="3" t="e">
        <f t="shared" ca="1" si="478"/>
        <v>#NUM!</v>
      </c>
      <c r="DS125" s="3">
        <f t="shared" si="479"/>
        <v>-14</v>
      </c>
      <c r="DT125" s="3">
        <f t="shared" si="500"/>
        <v>-14</v>
      </c>
      <c r="DU125" s="3">
        <f t="shared" si="501"/>
        <v>595</v>
      </c>
      <c r="DV125" s="3">
        <f t="shared" si="502"/>
        <v>4</v>
      </c>
      <c r="DW125" s="3">
        <f t="shared" si="503"/>
        <v>-22</v>
      </c>
      <c r="DX125" s="3" t="e">
        <f t="shared" ca="1" si="512"/>
        <v>#NUM!</v>
      </c>
      <c r="DY125" s="3" t="e">
        <f t="shared" ca="1" si="480"/>
        <v>#NUM!</v>
      </c>
      <c r="DZ125" s="3">
        <f t="shared" ca="1" si="504"/>
        <v>7.7429654376016325E-4</v>
      </c>
      <c r="EA125" s="3">
        <f t="shared" ca="1" si="505"/>
        <v>-1.1425631386559605E-3</v>
      </c>
      <c r="EB125" s="3">
        <f t="shared" ca="1" si="481"/>
        <v>1.188076497357356E-3</v>
      </c>
      <c r="EC125" s="3">
        <f t="shared" ca="1" si="482"/>
        <v>-1.0880915786167643E-3</v>
      </c>
      <c r="ED125" s="63">
        <f t="shared" si="506"/>
        <v>-18</v>
      </c>
      <c r="EE125" s="59">
        <f t="shared" si="483"/>
        <v>0.25</v>
      </c>
      <c r="EF125" s="59">
        <f t="shared" si="484"/>
        <v>1.5107999999999999</v>
      </c>
      <c r="EG125" s="59">
        <f t="shared" si="485"/>
        <v>0.6018</v>
      </c>
      <c r="EH125" s="59">
        <f t="shared" si="486"/>
        <v>0.20830000000000001</v>
      </c>
      <c r="EI125" s="59">
        <f t="shared" si="487"/>
        <v>0.2898</v>
      </c>
      <c r="EJ125" s="59">
        <f t="shared" si="488"/>
        <v>0.19320000000000001</v>
      </c>
      <c r="EK125" s="63" t="e">
        <f t="shared" ca="1" si="507"/>
        <v>#NUM!</v>
      </c>
      <c r="EL125" s="3" t="str">
        <f>RTD("tos.rtd",,EL$83,"."&amp;$B$82&amp;$AS$82&amp;"C"&amp;$A125)</f>
        <v>--</v>
      </c>
      <c r="EM125" s="3" t="str">
        <f>RTD("tos.rtd",,EM$83,"."&amp;$B$82&amp;$AS$82&amp;"P"&amp;$A125)</f>
        <v>151.08%</v>
      </c>
      <c r="EN125" s="3" t="str">
        <f>RTD("tos.rtd",,EN$83,"."&amp;$C$82&amp;$AU$82&amp;"C"&amp;$A125)</f>
        <v>60.18%</v>
      </c>
      <c r="EO125" s="3" t="str">
        <f>RTD("tos.rtd",,EO$83,"."&amp;$C$82&amp;$AU$82&amp;"P"&amp;$A125)</f>
        <v>20.83%</v>
      </c>
      <c r="EP125" s="3" t="str">
        <f>RTD("tos.rtd",,EP$83,"."&amp;$D$82&amp;$AW$82&amp;"C"&amp;$A125)</f>
        <v>28.98%</v>
      </c>
      <c r="EQ125" s="3" t="str">
        <f>RTD("tos.rtd",,EQ$83,"."&amp;$D$82&amp;$AW$82&amp;"P"&amp;$A125)</f>
        <v>19.32%</v>
      </c>
      <c r="ES125" s="63" t="str">
        <f t="shared" si="489"/>
        <v>5470,-18.00</v>
      </c>
      <c r="ET125" s="63" t="str">
        <f t="shared" ca="1" si="490"/>
        <v>5470,00.00</v>
      </c>
      <c r="EU125" s="67">
        <v>565.67999999999995</v>
      </c>
      <c r="EV125" s="67" t="s">
        <v>1019</v>
      </c>
      <c r="EW125" s="67">
        <v>489.22</v>
      </c>
      <c r="EX125" s="67" t="s">
        <v>1020</v>
      </c>
      <c r="EY125" s="67">
        <v>5663.94</v>
      </c>
      <c r="EZ125" s="67" t="s">
        <v>1021</v>
      </c>
      <c r="FA125" s="67">
        <v>20063.564999999999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508"/>
        <v>5460</v>
      </c>
      <c r="B126" s="3">
        <f t="shared" si="451"/>
        <v>1520</v>
      </c>
      <c r="C126" s="3">
        <f t="shared" si="452"/>
        <v>1796</v>
      </c>
      <c r="D126" s="3">
        <f t="shared" si="453"/>
        <v>10189</v>
      </c>
      <c r="E126" s="3">
        <f t="shared" si="519"/>
        <v>13505</v>
      </c>
      <c r="F126" s="4">
        <f t="shared" si="522"/>
        <v>5546.9079897030169</v>
      </c>
      <c r="G126" s="4">
        <f t="shared" si="520"/>
        <v>551.25653941493772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-28</v>
      </c>
      <c r="AN126" s="20">
        <v>-32</v>
      </c>
      <c r="AO126" s="20">
        <v>5460</v>
      </c>
      <c r="AP126" s="20">
        <v>44</v>
      </c>
      <c r="AQ126" s="20">
        <v>-382</v>
      </c>
      <c r="AR126" s="20"/>
      <c r="AS126" s="54">
        <f>IF(RTD("tos.rtd",,AS$83,"."&amp;$B$82&amp;$AS$82&amp;"C"&amp;$A126)="N/A",0,RTD("tos.rtd",,AS$83,"."&amp;$B$82&amp;$AS$82&amp;"C"&amp;$A126))</f>
        <v>318</v>
      </c>
      <c r="AT126" s="3">
        <f>-IF(RTD("tos.rtd",,AT$83,"."&amp;$B$82&amp;$AS$82&amp;"P"&amp;$A126)="N/A",0,RTD("tos.rtd",,AT$83,"."&amp;$B$82&amp;$AS$82&amp;"P"&amp;$A126))</f>
        <v>-1202</v>
      </c>
      <c r="AU126" s="54">
        <f>IF(RTD("tos.rtd",,AU$83,"."&amp;$C$82&amp;$AU$82&amp;"C"&amp;$A126)="N/A",0,RTD("tos.rtd",,AU$83,"."&amp;$C$82&amp;$AU$82&amp;"C"&amp;$A126))</f>
        <v>480</v>
      </c>
      <c r="AV126" s="3">
        <f>-IF(RTD("tos.rtd",,AV$83,"."&amp;$C$82&amp;$AU$82&amp;"P"&amp;$A126)="N/A",0,RTD("tos.rtd",,AV$83,"."&amp;$C$82&amp;$AU$82&amp;"P"&amp;$A126))</f>
        <v>-1316</v>
      </c>
      <c r="AW126" s="54">
        <f>IF(RTD("tos.rtd",,AW$83,"."&amp;$D$82&amp;$AW$82&amp;"C"&amp;$A126)="N/A",0,RTD("tos.rtd",,AW$83,"."&amp;$D$82&amp;$AW$82&amp;"C"&amp;$A126))</f>
        <v>5138</v>
      </c>
      <c r="AX126" s="3">
        <f>-IF(RTD("tos.rtd",,AX$83,"."&amp;$D$82&amp;$AW$82&amp;"P"&amp;$A126)="N/A",0,RTD("tos.rtd",,AX$83,"."&amp;$D$82&amp;$AW$82&amp;"P"&amp;$A126))</f>
        <v>-5051</v>
      </c>
      <c r="AY126" s="79">
        <f t="shared" si="521"/>
        <v>-1633</v>
      </c>
      <c r="AZ126" s="8">
        <f t="shared" si="455"/>
        <v>5460</v>
      </c>
      <c r="BA126" s="54">
        <f>IF(RTD("tos.rtd",,BA$83,"."&amp;$B$82&amp;$AS$82&amp;"C"&amp;$A126)="N/A",0,RTD("tos.rtd",,BA$83,"."&amp;$B$82&amp;$AS$82&amp;"C"&amp;$A126))</f>
        <v>0</v>
      </c>
      <c r="BB126" s="3">
        <f>-IF(RTD("tos.rtd",,BB$83,"."&amp;$B$82&amp;$AS$82&amp;"P"&amp;$A126)="N/A",0,RTD("tos.rtd",,BB$83,"."&amp;$B$82&amp;$AS$82&amp;"P"&amp;$A126))</f>
        <v>0</v>
      </c>
      <c r="BC126" s="54">
        <f>IF(RTD("tos.rtd",,BC$83,"."&amp;$C$82&amp;$AU$82&amp;"C"&amp;$A126)="N/A",0,RTD("tos.rtd",,BC$83,"."&amp;$C$82&amp;$AU$82&amp;"C"&amp;$A126))</f>
        <v>0</v>
      </c>
      <c r="BD126" s="3">
        <f>-IF(RTD("tos.rtd",,BD$83,"."&amp;$C$82&amp;$AU$82&amp;"P"&amp;$A126)="N/A",0,RTD("tos.rtd",,BD$83,"."&amp;$C$82&amp;$AU$82&amp;"P"&amp;$A126))</f>
        <v>0</v>
      </c>
      <c r="BE126" s="54">
        <f>IF(RTD("tos.rtd",,BE$83,"."&amp;$D$82&amp;$AW$82&amp;"C"&amp;$A126)="N/A",0,RTD("tos.rtd",,BE$83,"."&amp;$D$82&amp;$AW$82&amp;"C"&amp;$A126))</f>
        <v>0</v>
      </c>
      <c r="BF126" s="3">
        <f>-IF(RTD("tos.rtd",,BF$83,"."&amp;$D$82&amp;$AW$82&amp;"P"&amp;$A126)="N/A",0,RTD("tos.rtd",,BF$83,"."&amp;$D$82&amp;$AW$82&amp;"P"&amp;$A126))</f>
        <v>0</v>
      </c>
      <c r="BG126" s="3">
        <f ca="1">+Hoja2!Y127</f>
        <v>-1</v>
      </c>
      <c r="BH126" s="55">
        <f t="shared" ca="1" si="493"/>
        <v>-1</v>
      </c>
      <c r="BI126" s="32" t="str">
        <f t="shared" ca="1" si="513"/>
        <v/>
      </c>
      <c r="BJ126" s="3" t="e">
        <f ca="1">IF($BP$1=1,DX126,IF(RTD("tos.rtd",,BJ$83,"."&amp;$B$82&amp;$AS$82&amp;"C"&amp;$A126)="N/A",0,RTD("tos.rtd",,BJ$83,"."&amp;$B$82&amp;$AS$82&amp;"C"&amp;$A126)))</f>
        <v>#NUM!</v>
      </c>
      <c r="BK126" s="3" t="e">
        <f ca="1">IF($BP$1=1,DY126,-IF(RTD("tos.rtd",,BK$83,"."&amp;$B$82&amp;$AS$82&amp;"P"&amp;$A126)="N/A",0,RTD("tos.rtd",,BK$83,"."&amp;$B$82&amp;$AS$82&amp;"P"&amp;$A126)))</f>
        <v>#NUM!</v>
      </c>
      <c r="BL126" s="3">
        <f ca="1">IF($BP$1=1,DZ126,IF(RTD("tos.rtd",,BL$83,"."&amp;$C$82&amp;$AU$82&amp;"C"&amp;$A126)="N/A",0,RTD("tos.rtd",,BL$83,"."&amp;$C$82&amp;$AU$82&amp;"C"&amp;$A126)))</f>
        <v>7.5316632624862088E-4</v>
      </c>
      <c r="BM126" s="3">
        <f ca="1">IF($BP$1=1,EA126,-IF(RTD("tos.rtd",,BM$83,"."&amp;$C$82&amp;$AU$82&amp;"P"&amp;$A126)="N/A",0,RTD("tos.rtd",,BM$83,"."&amp;$C$82&amp;$AU$82&amp;"P"&amp;$A126)))</f>
        <v>-1.0665855313044675E-3</v>
      </c>
      <c r="BN126" s="3">
        <f ca="1">IF($BP$1=1,EB126,IF(RTD("tos.rtd",,BN$83,"."&amp;$D$82&amp;$AW$82&amp;"C"&amp;$A126)="N/A",0,RTD("tos.rtd",,BN$83,"."&amp;$D$82&amp;$AW$82&amp;"C"&amp;$A126)))</f>
        <v>1.1362086289060927E-3</v>
      </c>
      <c r="BO126" s="3">
        <f ca="1">IF($BP$1=1,EC126,-IF(RTD("tos.rtd",,BO$83,"."&amp;$D$82&amp;$AW$82&amp;"P"&amp;$A126)="N/A",0,RTD("tos.rtd",,BO$83,"."&amp;$D$82&amp;$AW$82&amp;"P"&amp;$A126)))</f>
        <v>-9.9578169183654947E-4</v>
      </c>
      <c r="BQ126" s="3" t="e">
        <f t="shared" ca="1" si="456"/>
        <v>#NUM!</v>
      </c>
      <c r="BR126" s="3" t="e">
        <f t="shared" ca="1" si="494"/>
        <v>#NUM!</v>
      </c>
      <c r="BS126" s="3">
        <f t="shared" ca="1" si="457"/>
        <v>-256550.69846109062</v>
      </c>
      <c r="BT126" s="3" t="str">
        <f t="shared" ca="1" si="494"/>
        <v/>
      </c>
      <c r="BU126" s="3">
        <f t="shared" ca="1" si="458"/>
        <v>198953.30556934094</v>
      </c>
      <c r="BV126" s="3" t="str">
        <f t="shared" ca="1" si="494"/>
        <v/>
      </c>
      <c r="BX126" s="3" t="e">
        <f t="shared" ca="1" si="459"/>
        <v>#NUM!</v>
      </c>
      <c r="BY126" s="3" t="e">
        <f t="shared" ca="1" si="510"/>
        <v>#NUM!</v>
      </c>
      <c r="BZ126" s="3">
        <f t="shared" ca="1" si="460"/>
        <v>0</v>
      </c>
      <c r="CA126" s="3" t="str">
        <f t="shared" ca="1" si="510"/>
        <v/>
      </c>
      <c r="CB126" s="3">
        <f t="shared" ca="1" si="461"/>
        <v>0</v>
      </c>
      <c r="CC126" s="3" t="str">
        <f t="shared" ca="1" si="510"/>
        <v/>
      </c>
      <c r="CD126" s="3">
        <f>IF(RTD("tos.rtd",,CD$83,"."&amp;$B$82&amp;$AS$82&amp;"C"&amp;$A126)="N/A",0,RTD("tos.rtd",,CD$83,"."&amp;$B$82&amp;$AS$82&amp;"C"&amp;$A126))</f>
        <v>1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0.71</v>
      </c>
      <c r="CG126" s="3">
        <f>-IF(RTD("tos.rtd",,CG$83,"."&amp;$C$82&amp;$AU$82&amp;"P"&amp;$A126)="N/A",0,RTD("tos.rtd",,CG$83,"."&amp;$C$82&amp;$AU$82&amp;"P"&amp;$A126))</f>
        <v>0.06</v>
      </c>
      <c r="CH126" s="3">
        <f>IF(RTD("tos.rtd",,CH$83,"."&amp;$D$82&amp;$AW$82&amp;"C"&amp;$A126)="N/A",0,RTD("tos.rtd",,CH$83,"."&amp;$D$82&amp;$AW$82&amp;"C"&amp;$A126))</f>
        <v>0.68</v>
      </c>
      <c r="CI126" s="3">
        <f>-IF(RTD("tos.rtd",,CI$83,"."&amp;$D$82&amp;$AW$82&amp;"P"&amp;$A126)="N/A",0,RTD("tos.rtd",,CI$83,"."&amp;$D$82&amp;$AW$82&amp;"P"&amp;$A126))</f>
        <v>0.25</v>
      </c>
      <c r="CK126" s="3">
        <f t="shared" si="495"/>
        <v>31800</v>
      </c>
      <c r="CL126" s="3"/>
      <c r="CM126" s="3">
        <f t="shared" si="496"/>
        <v>26183.999999999993</v>
      </c>
      <c r="CN126" s="3"/>
      <c r="CO126" s="3">
        <f t="shared" si="497"/>
        <v>223109</v>
      </c>
      <c r="CP126" s="3">
        <f t="shared" si="462"/>
        <v>281093</v>
      </c>
      <c r="CQ126" s="3">
        <f t="shared" si="463"/>
        <v>0</v>
      </c>
      <c r="CR126" s="3"/>
      <c r="CS126" s="3">
        <f t="shared" si="464"/>
        <v>0</v>
      </c>
      <c r="CT126" s="3"/>
      <c r="CU126" s="3">
        <f t="shared" si="465"/>
        <v>0</v>
      </c>
      <c r="CV126" s="3"/>
      <c r="CW126" s="3" t="e">
        <f t="shared" ca="1" si="466"/>
        <v>#NUM!</v>
      </c>
      <c r="CY126" s="3" t="e">
        <f t="shared" ca="1" si="467"/>
        <v>#NUM!</v>
      </c>
      <c r="CZ126" s="70" t="e">
        <f t="shared" ca="1" si="511"/>
        <v>#NUM!</v>
      </c>
      <c r="DA126" s="3">
        <f>IF(RTD("tos.rtd",,DA$83,"."&amp;$B$82&amp;$AS$82&amp;"C"&amp;$A126)="N/A",0,RTD("tos.rtd",,DA$83,"."&amp;$B$82&amp;$AS$82&amp;"C"&amp;$A126))</f>
        <v>202.5</v>
      </c>
      <c r="DB126" s="3">
        <f>IF(RTD("tos.rtd",,DB$83,"."&amp;$B$82&amp;$AS$82&amp;"P"&amp;$A126)="N/A",0,RTD("tos.rtd",,DB$83,"."&amp;$B$82&amp;$AS$82&amp;"P"&amp;$A126))</f>
        <v>0.03</v>
      </c>
      <c r="DC126" s="3">
        <f>IF(RTD("tos.rtd",,DC$83,"."&amp;$B$82&amp;$AS$82&amp;"C"&amp;$A126)="N/A",0,RTD("tos.rtd",,DC$83,"."&amp;$B$82&amp;$AS$82&amp;"C"&amp;$A126))</f>
        <v>205.6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193.4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9"/>
        <v>-199.90999999999985</v>
      </c>
      <c r="DH126" s="3">
        <f t="shared" si="468"/>
        <v>-32.819672131147556</v>
      </c>
      <c r="DI126" s="3">
        <f t="shared" si="469"/>
        <v>229.2</v>
      </c>
      <c r="DJ126" s="3">
        <f t="shared" si="470"/>
        <v>-44</v>
      </c>
      <c r="DK126" s="3">
        <f t="shared" si="471"/>
        <v>382</v>
      </c>
      <c r="DL126" s="3">
        <f t="shared" si="472"/>
        <v>196.38032786885242</v>
      </c>
      <c r="DM126" s="3">
        <f t="shared" si="473"/>
        <v>338</v>
      </c>
      <c r="DN126" s="64" t="str">
        <f t="shared" si="474"/>
        <v>UNKNOWN</v>
      </c>
      <c r="DO126" s="64" t="str">
        <f t="shared" si="475"/>
        <v>UNKNOWN</v>
      </c>
      <c r="DP126" s="3">
        <f t="shared" si="476"/>
        <v>-6639.1076065573798</v>
      </c>
      <c r="DQ126" s="3">
        <f t="shared" si="477"/>
        <v>-8898.5400000000009</v>
      </c>
      <c r="DR126" s="3" t="e">
        <f t="shared" ca="1" si="478"/>
        <v>#NUM!</v>
      </c>
      <c r="DS126" s="3">
        <f t="shared" si="479"/>
        <v>-44</v>
      </c>
      <c r="DT126" s="3">
        <f t="shared" si="500"/>
        <v>-44</v>
      </c>
      <c r="DU126" s="3">
        <f t="shared" si="501"/>
        <v>382</v>
      </c>
      <c r="DV126" s="3">
        <f t="shared" si="502"/>
        <v>-28</v>
      </c>
      <c r="DW126" s="3">
        <f t="shared" si="503"/>
        <v>-32</v>
      </c>
      <c r="DX126" s="3" t="e">
        <f t="shared" ca="1" si="512"/>
        <v>#NUM!</v>
      </c>
      <c r="DY126" s="3" t="e">
        <f t="shared" ca="1" si="480"/>
        <v>#NUM!</v>
      </c>
      <c r="DZ126" s="3">
        <f t="shared" ca="1" si="504"/>
        <v>7.5316632624862088E-4</v>
      </c>
      <c r="EA126" s="3">
        <f t="shared" ca="1" si="505"/>
        <v>-1.0665855313044675E-3</v>
      </c>
      <c r="EB126" s="3">
        <f t="shared" ca="1" si="481"/>
        <v>1.1362086289060927E-3</v>
      </c>
      <c r="EC126" s="3">
        <f t="shared" ca="1" si="482"/>
        <v>-9.9578169183654947E-4</v>
      </c>
      <c r="ED126" s="63">
        <f t="shared" si="506"/>
        <v>-60</v>
      </c>
      <c r="EE126" s="59">
        <f t="shared" si="483"/>
        <v>0.25</v>
      </c>
      <c r="EF126" s="59">
        <f t="shared" si="484"/>
        <v>1.5847</v>
      </c>
      <c r="EG126" s="59">
        <f t="shared" si="485"/>
        <v>0.61460000000000004</v>
      </c>
      <c r="EH126" s="59">
        <f t="shared" si="486"/>
        <v>0.21290000000000001</v>
      </c>
      <c r="EI126" s="59">
        <f t="shared" si="487"/>
        <v>0.29249999999999998</v>
      </c>
      <c r="EJ126" s="59">
        <f t="shared" si="488"/>
        <v>0.1948</v>
      </c>
      <c r="EK126" s="63" t="e">
        <f t="shared" ca="1" si="507"/>
        <v>#NUM!</v>
      </c>
      <c r="EL126" s="3" t="str">
        <f>RTD("tos.rtd",,EL$83,"."&amp;$B$82&amp;$AS$82&amp;"C"&amp;$A126)</f>
        <v>--</v>
      </c>
      <c r="EM126" s="3" t="str">
        <f>RTD("tos.rtd",,EM$83,"."&amp;$B$82&amp;$AS$82&amp;"P"&amp;$A126)</f>
        <v>158.47%</v>
      </c>
      <c r="EN126" s="3" t="str">
        <f>RTD("tos.rtd",,EN$83,"."&amp;$C$82&amp;$AU$82&amp;"C"&amp;$A126)</f>
        <v>61.46%</v>
      </c>
      <c r="EO126" s="3" t="str">
        <f>RTD("tos.rtd",,EO$83,"."&amp;$C$82&amp;$AU$82&amp;"P"&amp;$A126)</f>
        <v>21.29%</v>
      </c>
      <c r="EP126" s="3" t="str">
        <f>RTD("tos.rtd",,EP$83,"."&amp;$D$82&amp;$AW$82&amp;"C"&amp;$A126)</f>
        <v>29.25%</v>
      </c>
      <c r="EQ126" s="3" t="str">
        <f>RTD("tos.rtd",,EQ$83,"."&amp;$D$82&amp;$AW$82&amp;"P"&amp;$A126)</f>
        <v>19.48%</v>
      </c>
      <c r="ES126" s="63" t="str">
        <f t="shared" si="489"/>
        <v>5460,-60.00</v>
      </c>
      <c r="ET126" s="63" t="str">
        <f t="shared" ca="1" si="490"/>
        <v>5460,00.00</v>
      </c>
      <c r="EU126" s="67">
        <v>565.58000000000004</v>
      </c>
      <c r="EV126" s="67" t="s">
        <v>1027</v>
      </c>
      <c r="EW126" s="67">
        <v>489.11</v>
      </c>
      <c r="EX126" s="67" t="s">
        <v>1028</v>
      </c>
      <c r="EY126" s="67">
        <v>5663.94</v>
      </c>
      <c r="EZ126" s="67" t="s">
        <v>1029</v>
      </c>
      <c r="FA126" s="67">
        <v>20063.564999999999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508"/>
        <v>5450</v>
      </c>
      <c r="B127" s="3">
        <f t="shared" si="451"/>
        <v>7943</v>
      </c>
      <c r="C127" s="3">
        <f t="shared" si="452"/>
        <v>24291</v>
      </c>
      <c r="D127" s="3">
        <f t="shared" si="453"/>
        <v>42819</v>
      </c>
      <c r="E127" s="3">
        <f t="shared" si="519"/>
        <v>75053</v>
      </c>
      <c r="F127" s="4">
        <f t="shared" si="522"/>
        <v>5536.7488175607032</v>
      </c>
      <c r="G127" s="4">
        <f t="shared" si="520"/>
        <v>550.24691205337194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-1</v>
      </c>
      <c r="AN127" s="20">
        <v>711</v>
      </c>
      <c r="AO127" s="20">
        <v>5450</v>
      </c>
      <c r="AP127" s="20">
        <v>35</v>
      </c>
      <c r="AQ127" s="20">
        <v>-3133</v>
      </c>
      <c r="AR127" s="20"/>
      <c r="AS127" s="54">
        <f>IF(RTD("tos.rtd",,AS$83,"."&amp;$B$82&amp;$AS$82&amp;"C"&amp;$A127)="N/A",0,RTD("tos.rtd",,AS$83,"."&amp;$B$82&amp;$AS$82&amp;"C"&amp;$A127))</f>
        <v>983</v>
      </c>
      <c r="AT127" s="3">
        <f>-IF(RTD("tos.rtd",,AT$83,"."&amp;$B$82&amp;$AS$82&amp;"P"&amp;$A127)="N/A",0,RTD("tos.rtd",,AT$83,"."&amp;$B$82&amp;$AS$82&amp;"P"&amp;$A127))</f>
        <v>-6960</v>
      </c>
      <c r="AU127" s="54">
        <f>IF(RTD("tos.rtd",,AU$83,"."&amp;$C$82&amp;$AU$82&amp;"C"&amp;$A127)="N/A",0,RTD("tos.rtd",,AU$83,"."&amp;$C$82&amp;$AU$82&amp;"C"&amp;$A127))</f>
        <v>9266</v>
      </c>
      <c r="AV127" s="3">
        <f>-IF(RTD("tos.rtd",,AV$83,"."&amp;$C$82&amp;$AU$82&amp;"P"&amp;$A127)="N/A",0,RTD("tos.rtd",,AV$83,"."&amp;$C$82&amp;$AU$82&amp;"P"&amp;$A127))</f>
        <v>-15025</v>
      </c>
      <c r="AW127" s="54">
        <f>IF(RTD("tos.rtd",,AW$83,"."&amp;$D$82&amp;$AW$82&amp;"C"&amp;$A127)="N/A",0,RTD("tos.rtd",,AW$83,"."&amp;$D$82&amp;$AW$82&amp;"C"&amp;$A127))</f>
        <v>16320</v>
      </c>
      <c r="AX127" s="3">
        <f>-IF(RTD("tos.rtd",,AX$83,"."&amp;$D$82&amp;$AW$82&amp;"P"&amp;$A127)="N/A",0,RTD("tos.rtd",,AX$83,"."&amp;$D$82&amp;$AW$82&amp;"P"&amp;$A127))</f>
        <v>-26499</v>
      </c>
      <c r="AY127" s="79">
        <f t="shared" si="521"/>
        <v>-21915</v>
      </c>
      <c r="AZ127" s="8">
        <f t="shared" si="455"/>
        <v>5450</v>
      </c>
      <c r="BA127" s="54">
        <f>IF(RTD("tos.rtd",,BA$83,"."&amp;$B$82&amp;$AS$82&amp;"C"&amp;$A127)="N/A",0,RTD("tos.rtd",,BA$83,"."&amp;$B$82&amp;$AS$82&amp;"C"&amp;$A127))</f>
        <v>0</v>
      </c>
      <c r="BB127" s="3">
        <f>-IF(RTD("tos.rtd",,BB$83,"."&amp;$B$82&amp;$AS$82&amp;"P"&amp;$A127)="N/A",0,RTD("tos.rtd",,BB$83,"."&amp;$B$82&amp;$AS$82&amp;"P"&amp;$A127))</f>
        <v>0</v>
      </c>
      <c r="BC127" s="54">
        <f>IF(RTD("tos.rtd",,BC$83,"."&amp;$C$82&amp;$AU$82&amp;"C"&amp;$A127)="N/A",0,RTD("tos.rtd",,BC$83,"."&amp;$C$82&amp;$AU$82&amp;"C"&amp;$A127))</f>
        <v>0</v>
      </c>
      <c r="BD127" s="3">
        <f>-IF(RTD("tos.rtd",,BD$83,"."&amp;$C$82&amp;$AU$82&amp;"P"&amp;$A127)="N/A",0,RTD("tos.rtd",,BD$83,"."&amp;$C$82&amp;$AU$82&amp;"P"&amp;$A127))</f>
        <v>0</v>
      </c>
      <c r="BE127" s="54">
        <f>IF(RTD("tos.rtd",,BE$83,"."&amp;$D$82&amp;$AW$82&amp;"C"&amp;$A127)="N/A",0,RTD("tos.rtd",,BE$83,"."&amp;$D$82&amp;$AW$82&amp;"C"&amp;$A127))</f>
        <v>0</v>
      </c>
      <c r="BF127" s="3">
        <f>-IF(RTD("tos.rtd",,BF$83,"."&amp;$D$82&amp;$AW$82&amp;"P"&amp;$A127)="N/A",0,RTD("tos.rtd",,BF$83,"."&amp;$D$82&amp;$AW$82&amp;"P"&amp;$A127))</f>
        <v>0</v>
      </c>
      <c r="BG127" s="3">
        <f ca="1">+Hoja2!Y128</f>
        <v>-4</v>
      </c>
      <c r="BH127" s="55">
        <f t="shared" ca="1" si="493"/>
        <v>-4</v>
      </c>
      <c r="BI127" s="32" t="str">
        <f t="shared" ca="1" si="513"/>
        <v/>
      </c>
      <c r="BJ127" s="3" t="e">
        <f ca="1">IF($BP$1=1,DX127,IF(RTD("tos.rtd",,BJ$83,"."&amp;$B$82&amp;$AS$82&amp;"C"&amp;$A127)="N/A",0,RTD("tos.rtd",,BJ$83,"."&amp;$B$82&amp;$AS$82&amp;"C"&amp;$A127)))</f>
        <v>#NUM!</v>
      </c>
      <c r="BK127" s="3" t="e">
        <f ca="1">IF($BP$1=1,DY127,-IF(RTD("tos.rtd",,BK$83,"."&amp;$B$82&amp;$AS$82&amp;"P"&amp;$A127)="N/A",0,RTD("tos.rtd",,BK$83,"."&amp;$B$82&amp;$AS$82&amp;"P"&amp;$A127)))</f>
        <v>#NUM!</v>
      </c>
      <c r="BL127" s="3">
        <f ca="1">IF($BP$1=1,DZ127,IF(RTD("tos.rtd",,BL$83,"."&amp;$C$82&amp;$AU$82&amp;"C"&amp;$A127)="N/A",0,RTD("tos.rtd",,BL$83,"."&amp;$C$82&amp;$AU$82&amp;"C"&amp;$A127)))</f>
        <v>7.3037114157891488E-4</v>
      </c>
      <c r="BM127" s="3">
        <f ca="1">IF($BP$1=1,EA127,-IF(RTD("tos.rtd",,BM$83,"."&amp;$C$82&amp;$AU$82&amp;"P"&amp;$A127)="N/A",0,RTD("tos.rtd",,BM$83,"."&amp;$C$82&amp;$AU$82&amp;"P"&amp;$A127)))</f>
        <v>-9.9435751341627929E-4</v>
      </c>
      <c r="BN127" s="3">
        <f ca="1">IF($BP$1=1,EB127,IF(RTD("tos.rtd",,BN$83,"."&amp;$D$82&amp;$AW$82&amp;"C"&amp;$A127)="N/A",0,RTD("tos.rtd",,BN$83,"."&amp;$D$82&amp;$AW$82&amp;"C"&amp;$A127)))</f>
        <v>1.085744070274114E-3</v>
      </c>
      <c r="BO127" s="3">
        <f ca="1">IF($BP$1=1,EC127,-IF(RTD("tos.rtd",,BO$83,"."&amp;$D$82&amp;$AW$82&amp;"P"&amp;$A127)="N/A",0,RTD("tos.rtd",,BO$83,"."&amp;$D$82&amp;$AW$82&amp;"P"&amp;$A127)))</f>
        <v>-9.0884144613957089E-4</v>
      </c>
      <c r="BQ127" s="3" t="e">
        <f t="shared" ca="1" si="456"/>
        <v>#NUM!</v>
      </c>
      <c r="BR127" s="3" t="e">
        <f t="shared" ca="1" si="494"/>
        <v>#NUM!</v>
      </c>
      <c r="BS127" s="3">
        <f t="shared" ca="1" si="457"/>
        <v>-2011969.4752773948</v>
      </c>
      <c r="BT127" s="3" t="str">
        <f t="shared" ca="1" si="494"/>
        <v/>
      </c>
      <c r="BU127" s="3">
        <f t="shared" ca="1" si="458"/>
        <v>-1566730.6199985668</v>
      </c>
      <c r="BV127" s="3" t="str">
        <f t="shared" ca="1" si="494"/>
        <v>Cruce -</v>
      </c>
      <c r="BX127" s="3" t="e">
        <f t="shared" ca="1" si="459"/>
        <v>#NUM!</v>
      </c>
      <c r="BY127" s="3" t="e">
        <f t="shared" ca="1" si="510"/>
        <v>#NUM!</v>
      </c>
      <c r="BZ127" s="3">
        <f t="shared" ca="1" si="460"/>
        <v>0</v>
      </c>
      <c r="CA127" s="3" t="str">
        <f t="shared" ca="1" si="510"/>
        <v/>
      </c>
      <c r="CB127" s="3">
        <f t="shared" ca="1" si="461"/>
        <v>0</v>
      </c>
      <c r="CC127" s="3" t="str">
        <f t="shared" ca="1" si="510"/>
        <v/>
      </c>
      <c r="CD127" s="3">
        <f>IF(RTD("tos.rtd",,CD$83,"."&amp;$B$82&amp;$AS$82&amp;"C"&amp;$A127)="N/A",0,RTD("tos.rtd",,CD$83,"."&amp;$B$82&amp;$AS$82&amp;"C"&amp;$A127))</f>
        <v>1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0.72</v>
      </c>
      <c r="CG127" s="3">
        <f>-IF(RTD("tos.rtd",,CG$83,"."&amp;$C$82&amp;$AU$82&amp;"P"&amp;$A127)="N/A",0,RTD("tos.rtd",,CG$83,"."&amp;$C$82&amp;$AU$82&amp;"P"&amp;$A127))</f>
        <v>0.06</v>
      </c>
      <c r="CH127" s="3">
        <f>IF(RTD("tos.rtd",,CH$83,"."&amp;$D$82&amp;$AW$82&amp;"C"&amp;$A127)="N/A",0,RTD("tos.rtd",,CH$83,"."&amp;$D$82&amp;$AW$82&amp;"C"&amp;$A127))</f>
        <v>0.69</v>
      </c>
      <c r="CI127" s="3">
        <f>-IF(RTD("tos.rtd",,CI$83,"."&amp;$D$82&amp;$AW$82&amp;"P"&amp;$A127)="N/A",0,RTD("tos.rtd",,CI$83,"."&amp;$D$82&amp;$AW$82&amp;"P"&amp;$A127))</f>
        <v>0.24</v>
      </c>
      <c r="CK127" s="3">
        <f t="shared" si="495"/>
        <v>98300</v>
      </c>
      <c r="CL127" s="3"/>
      <c r="CM127" s="3">
        <f t="shared" si="496"/>
        <v>577002</v>
      </c>
      <c r="CN127" s="3"/>
      <c r="CO127" s="3">
        <f t="shared" si="497"/>
        <v>490104</v>
      </c>
      <c r="CP127" s="3">
        <f t="shared" si="462"/>
        <v>1165406</v>
      </c>
      <c r="CQ127" s="3">
        <f t="shared" si="463"/>
        <v>0</v>
      </c>
      <c r="CR127" s="3"/>
      <c r="CS127" s="3">
        <f t="shared" si="464"/>
        <v>0</v>
      </c>
      <c r="CT127" s="3"/>
      <c r="CU127" s="3">
        <f t="shared" si="465"/>
        <v>0</v>
      </c>
      <c r="CV127" s="3"/>
      <c r="CW127" s="3" t="e">
        <f t="shared" ca="1" si="466"/>
        <v>#NUM!</v>
      </c>
      <c r="CY127" s="3" t="e">
        <f t="shared" ca="1" si="467"/>
        <v>#NUM!</v>
      </c>
      <c r="CZ127" s="70" t="e">
        <f t="shared" ca="1" si="511"/>
        <v>#NUM!</v>
      </c>
      <c r="DA127" s="3">
        <f>IF(RTD("tos.rtd",,DA$83,"."&amp;$B$82&amp;$AS$82&amp;"C"&amp;$A127)="N/A",0,RTD("tos.rtd",,DA$83,"."&amp;$B$82&amp;$AS$82&amp;"C"&amp;$A127))</f>
        <v>213.99</v>
      </c>
      <c r="DB127" s="3">
        <f>IF(RTD("tos.rtd",,DB$83,"."&amp;$B$82&amp;$AS$82&amp;"P"&amp;$A127)="N/A",0,RTD("tos.rtd",,DB$83,"."&amp;$B$82&amp;$AS$82&amp;"P"&amp;$A127))</f>
        <v>0.03</v>
      </c>
      <c r="DC127" s="3">
        <f>IF(RTD("tos.rtd",,DC$83,"."&amp;$B$82&amp;$AS$82&amp;"C"&amp;$A127)="N/A",0,RTD("tos.rtd",,DC$83,"."&amp;$B$82&amp;$AS$82&amp;"C"&amp;$A127))</f>
        <v>215.5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201.9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9"/>
        <v>-209.90999999999985</v>
      </c>
      <c r="DH127" s="3">
        <f t="shared" si="468"/>
        <v>-31.113970588235315</v>
      </c>
      <c r="DI127" s="3">
        <f t="shared" si="469"/>
        <v>1879.8</v>
      </c>
      <c r="DJ127" s="3">
        <f t="shared" si="470"/>
        <v>-35</v>
      </c>
      <c r="DK127" s="3">
        <f t="shared" si="471"/>
        <v>3133</v>
      </c>
      <c r="DL127" s="3">
        <f t="shared" si="472"/>
        <v>1848.6860294117646</v>
      </c>
      <c r="DM127" s="3">
        <f t="shared" si="473"/>
        <v>3098</v>
      </c>
      <c r="DN127" s="64" t="str">
        <f t="shared" si="474"/>
        <v>UNKNOWN</v>
      </c>
      <c r="DO127" s="64" t="str">
        <f t="shared" si="475"/>
        <v>UNKNOWN</v>
      </c>
      <c r="DP127" s="3">
        <f t="shared" si="476"/>
        <v>-6601.6845661764746</v>
      </c>
      <c r="DQ127" s="3">
        <f t="shared" si="477"/>
        <v>-7395.6600000000008</v>
      </c>
      <c r="DR127" s="3" t="e">
        <f t="shared" ca="1" si="478"/>
        <v>#NUM!</v>
      </c>
      <c r="DS127" s="3">
        <f t="shared" si="479"/>
        <v>-35</v>
      </c>
      <c r="DT127" s="3">
        <f t="shared" si="500"/>
        <v>-35</v>
      </c>
      <c r="DU127" s="3">
        <f t="shared" si="501"/>
        <v>3133</v>
      </c>
      <c r="DV127" s="3">
        <f t="shared" si="502"/>
        <v>-1</v>
      </c>
      <c r="DW127" s="3">
        <f t="shared" si="503"/>
        <v>711</v>
      </c>
      <c r="DX127" s="3" t="e">
        <f t="shared" ca="1" si="512"/>
        <v>#NUM!</v>
      </c>
      <c r="DY127" s="3" t="e">
        <f t="shared" ca="1" si="480"/>
        <v>#NUM!</v>
      </c>
      <c r="DZ127" s="3">
        <f t="shared" ca="1" si="504"/>
        <v>7.3037114157891488E-4</v>
      </c>
      <c r="EA127" s="3">
        <f t="shared" ca="1" si="505"/>
        <v>-9.9435751341627929E-4</v>
      </c>
      <c r="EB127" s="3">
        <f t="shared" ca="1" si="481"/>
        <v>1.085744070274114E-3</v>
      </c>
      <c r="EC127" s="3">
        <f t="shared" ca="1" si="482"/>
        <v>-9.0884144613957089E-4</v>
      </c>
      <c r="ED127" s="63">
        <f t="shared" si="506"/>
        <v>710</v>
      </c>
      <c r="EE127" s="59">
        <f t="shared" si="483"/>
        <v>0.25</v>
      </c>
      <c r="EF127" s="59">
        <f t="shared" si="484"/>
        <v>1.6586000000000001</v>
      </c>
      <c r="EG127" s="59">
        <f t="shared" si="485"/>
        <v>0.63019999999999998</v>
      </c>
      <c r="EH127" s="59">
        <f t="shared" si="486"/>
        <v>0.21679999999999999</v>
      </c>
      <c r="EI127" s="59">
        <f t="shared" si="487"/>
        <v>0.29530000000000001</v>
      </c>
      <c r="EJ127" s="59">
        <f t="shared" si="488"/>
        <v>0.1963</v>
      </c>
      <c r="EK127" s="63" t="e">
        <f t="shared" ca="1" si="507"/>
        <v>#NUM!</v>
      </c>
      <c r="EL127" s="3" t="str">
        <f>RTD("tos.rtd",,EL$83,"."&amp;$B$82&amp;$AS$82&amp;"C"&amp;$A127)</f>
        <v>--</v>
      </c>
      <c r="EM127" s="3" t="str">
        <f>RTD("tos.rtd",,EM$83,"."&amp;$B$82&amp;$AS$82&amp;"P"&amp;$A127)</f>
        <v>165.86%</v>
      </c>
      <c r="EN127" s="3" t="str">
        <f>RTD("tos.rtd",,EN$83,"."&amp;$C$82&amp;$AU$82&amp;"C"&amp;$A127)</f>
        <v>63.02%</v>
      </c>
      <c r="EO127" s="3" t="str">
        <f>RTD("tos.rtd",,EO$83,"."&amp;$C$82&amp;$AU$82&amp;"P"&amp;$A127)</f>
        <v>21.68%</v>
      </c>
      <c r="EP127" s="3" t="str">
        <f>RTD("tos.rtd",,EP$83,"."&amp;$D$82&amp;$AW$82&amp;"C"&amp;$A127)</f>
        <v>29.53%</v>
      </c>
      <c r="EQ127" s="3" t="str">
        <f>RTD("tos.rtd",,EQ$83,"."&amp;$D$82&amp;$AW$82&amp;"P"&amp;$A127)</f>
        <v>19.63%</v>
      </c>
      <c r="ES127" s="63" t="str">
        <f t="shared" si="489"/>
        <v>5450,710.00</v>
      </c>
      <c r="ET127" s="63" t="str">
        <f t="shared" ca="1" si="490"/>
        <v>5450,00.00</v>
      </c>
      <c r="EU127" s="67">
        <v>565.61</v>
      </c>
      <c r="EV127" s="67" t="s">
        <v>1035</v>
      </c>
      <c r="EW127" s="67">
        <v>489.12</v>
      </c>
      <c r="EX127" s="67" t="s">
        <v>1036</v>
      </c>
      <c r="EY127" s="67">
        <v>5663.94</v>
      </c>
      <c r="EZ127" s="67" t="s">
        <v>1037</v>
      </c>
      <c r="FA127" s="67">
        <v>20063.564999999999</v>
      </c>
      <c r="FB127" s="67" t="s">
        <v>1038</v>
      </c>
      <c r="FC127" s="67" t="s">
        <v>1039</v>
      </c>
      <c r="FD127" s="67" t="s">
        <v>1040</v>
      </c>
      <c r="FE127" s="68" t="s">
        <v>1041</v>
      </c>
      <c r="FF127" s="68" t="s">
        <v>1042</v>
      </c>
    </row>
    <row r="128" spans="1:162" s="63" customFormat="1" ht="12" customHeight="1" thickBot="1" x14ac:dyDescent="0.25">
      <c r="A128" s="2">
        <f t="shared" si="508"/>
        <v>5440</v>
      </c>
      <c r="B128" s="3">
        <f t="shared" si="451"/>
        <v>2910</v>
      </c>
      <c r="C128" s="3">
        <f t="shared" si="452"/>
        <v>4272</v>
      </c>
      <c r="D128" s="3">
        <f t="shared" si="453"/>
        <v>7950</v>
      </c>
      <c r="E128" s="3">
        <f t="shared" si="519"/>
        <v>15132</v>
      </c>
      <c r="F128" s="4">
        <f t="shared" si="522"/>
        <v>5526.5896454183903</v>
      </c>
      <c r="G128" s="4">
        <f t="shared" si="520"/>
        <v>549.23728469180617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1</v>
      </c>
      <c r="AN128" s="20">
        <v>-937</v>
      </c>
      <c r="AO128" s="20">
        <v>5440</v>
      </c>
      <c r="AP128" s="20">
        <v>19</v>
      </c>
      <c r="AQ128" s="20">
        <v>-2438</v>
      </c>
      <c r="AR128" s="20"/>
      <c r="AS128" s="54">
        <f>IF(RTD("tos.rtd",,AS$83,"."&amp;$B$82&amp;$AS$82&amp;"C"&amp;$A128)="N/A",0,RTD("tos.rtd",,AS$83,"."&amp;$B$82&amp;$AS$82&amp;"C"&amp;$A128))</f>
        <v>287</v>
      </c>
      <c r="AT128" s="3">
        <f>-IF(RTD("tos.rtd",,AT$83,"."&amp;$B$82&amp;$AS$82&amp;"P"&amp;$A128)="N/A",0,RTD("tos.rtd",,AT$83,"."&amp;$B$82&amp;$AS$82&amp;"P"&amp;$A128))</f>
        <v>-2623</v>
      </c>
      <c r="AU128" s="54">
        <f>IF(RTD("tos.rtd",,AU$83,"."&amp;$C$82&amp;$AU$82&amp;"C"&amp;$A128)="N/A",0,RTD("tos.rtd",,AU$83,"."&amp;$C$82&amp;$AU$82&amp;"C"&amp;$A128))</f>
        <v>952</v>
      </c>
      <c r="AV128" s="3">
        <f>-IF(RTD("tos.rtd",,AV$83,"."&amp;$C$82&amp;$AU$82&amp;"P"&amp;$A128)="N/A",0,RTD("tos.rtd",,AV$83,"."&amp;$C$82&amp;$AU$82&amp;"P"&amp;$A128))</f>
        <v>-3320</v>
      </c>
      <c r="AW128" s="54">
        <f>IF(RTD("tos.rtd",,AW$83,"."&amp;$D$82&amp;$AW$82&amp;"C"&amp;$A128)="N/A",0,RTD("tos.rtd",,AW$83,"."&amp;$D$82&amp;$AW$82&amp;"C"&amp;$A128))</f>
        <v>3841</v>
      </c>
      <c r="AX128" s="3">
        <f>-IF(RTD("tos.rtd",,AX$83,"."&amp;$D$82&amp;$AW$82&amp;"P"&amp;$A128)="N/A",0,RTD("tos.rtd",,AX$83,"."&amp;$D$82&amp;$AW$82&amp;"P"&amp;$A128))</f>
        <v>-4109</v>
      </c>
      <c r="AY128" s="79">
        <f t="shared" si="521"/>
        <v>-4972</v>
      </c>
      <c r="AZ128" s="8">
        <f t="shared" si="455"/>
        <v>5440</v>
      </c>
      <c r="BA128" s="54">
        <f>IF(RTD("tos.rtd",,BA$83,"."&amp;$B$82&amp;$AS$82&amp;"C"&amp;$A128)="N/A",0,RTD("tos.rtd",,BA$83,"."&amp;$B$82&amp;$AS$82&amp;"C"&amp;$A128))</f>
        <v>0</v>
      </c>
      <c r="BB128" s="3">
        <f>-IF(RTD("tos.rtd",,BB$83,"."&amp;$B$82&amp;$AS$82&amp;"P"&amp;$A128)="N/A",0,RTD("tos.rtd",,BB$83,"."&amp;$B$82&amp;$AS$82&amp;"P"&amp;$A128))</f>
        <v>0</v>
      </c>
      <c r="BC128" s="54">
        <f>IF(RTD("tos.rtd",,BC$83,"."&amp;$C$82&amp;$AU$82&amp;"C"&amp;$A128)="N/A",0,RTD("tos.rtd",,BC$83,"."&amp;$C$82&amp;$AU$82&amp;"C"&amp;$A128))</f>
        <v>0</v>
      </c>
      <c r="BD128" s="3">
        <f>-IF(RTD("tos.rtd",,BD$83,"."&amp;$C$82&amp;$AU$82&amp;"P"&amp;$A128)="N/A",0,RTD("tos.rtd",,BD$83,"."&amp;$C$82&amp;$AU$82&amp;"P"&amp;$A128))</f>
        <v>0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0</v>
      </c>
      <c r="BG128" s="3">
        <f ca="1">+Hoja2!Y129</f>
        <v>0</v>
      </c>
      <c r="BH128" s="55">
        <f t="shared" ca="1" si="493"/>
        <v>0</v>
      </c>
      <c r="BI128" s="32" t="str">
        <f t="shared" ca="1" si="513"/>
        <v/>
      </c>
      <c r="BJ128" s="3" t="e">
        <f ca="1">IF($BP$1=1,DX128,IF(RTD("tos.rtd",,BJ$83,"."&amp;$B$82&amp;$AS$82&amp;"C"&amp;$A128)="N/A",0,RTD("tos.rtd",,BJ$83,"."&amp;$B$82&amp;$AS$82&amp;"C"&amp;$A128)))</f>
        <v>#NUM!</v>
      </c>
      <c r="BK128" s="3" t="e">
        <f ca="1">IF($BP$1=1,DY128,-IF(RTD("tos.rtd",,BK$83,"."&amp;$B$82&amp;$AS$82&amp;"P"&amp;$A128)="N/A",0,RTD("tos.rtd",,BK$83,"."&amp;$B$82&amp;$AS$82&amp;"P"&amp;$A128)))</f>
        <v>#NUM!</v>
      </c>
      <c r="BL128" s="3">
        <f ca="1">IF($BP$1=1,DZ128,IF(RTD("tos.rtd",,BL$83,"."&amp;$C$82&amp;$AU$82&amp;"C"&amp;$A128)="N/A",0,RTD("tos.rtd",,BL$83,"."&amp;$C$82&amp;$AU$82&amp;"C"&amp;$A128)))</f>
        <v>7.1338562549240622E-4</v>
      </c>
      <c r="BM128" s="3">
        <f ca="1">IF($BP$1=1,EA128,-IF(RTD("tos.rtd",,BM$83,"."&amp;$C$82&amp;$AU$82&amp;"P"&amp;$A128)="N/A",0,RTD("tos.rtd",,BM$83,"."&amp;$C$82&amp;$AU$82&amp;"P"&amp;$A128)))</f>
        <v>-9.3056835524005807E-4</v>
      </c>
      <c r="BN128" s="3">
        <f ca="1">IF($BP$1=1,EB128,IF(RTD("tos.rtd",,BN$83,"."&amp;$D$82&amp;$AW$82&amp;"C"&amp;$A128)="N/A",0,RTD("tos.rtd",,BN$83,"."&amp;$D$82&amp;$AW$82&amp;"C"&amp;$A128)))</f>
        <v>1.0368255232149958E-3</v>
      </c>
      <c r="BO128" s="3">
        <f ca="1">IF($BP$1=1,EC128,-IF(RTD("tos.rtd",,BO$83,"."&amp;$D$82&amp;$AW$82&amp;"P"&amp;$A128)="N/A",0,RTD("tos.rtd",,BO$83,"."&amp;$D$82&amp;$AW$82&amp;"P"&amp;$A128)))</f>
        <v>-8.2820355015768505E-4</v>
      </c>
      <c r="BQ128" s="3" t="e">
        <f t="shared" ca="1" si="456"/>
        <v>#NUM!</v>
      </c>
      <c r="BR128" s="3" t="e">
        <f t="shared" ca="1" si="494"/>
        <v>#NUM!</v>
      </c>
      <c r="BS128" s="3">
        <f t="shared" ca="1" si="457"/>
        <v>-593389.69622892933</v>
      </c>
      <c r="BT128" s="3" t="str">
        <f t="shared" ca="1" si="494"/>
        <v/>
      </c>
      <c r="BU128" s="3">
        <f t="shared" ca="1" si="458"/>
        <v>142629.1674665605</v>
      </c>
      <c r="BV128" s="3" t="str">
        <f t="shared" ca="1" si="494"/>
        <v>Cruce +</v>
      </c>
      <c r="BX128" s="3" t="e">
        <f t="shared" ca="1" si="459"/>
        <v>#NUM!</v>
      </c>
      <c r="BY128" s="3" t="e">
        <f t="shared" ca="1" si="510"/>
        <v>#NUM!</v>
      </c>
      <c r="BZ128" s="3">
        <f t="shared" ca="1" si="460"/>
        <v>0</v>
      </c>
      <c r="CA128" s="3" t="str">
        <f t="shared" ca="1" si="510"/>
        <v/>
      </c>
      <c r="CB128" s="3">
        <f t="shared" ca="1" si="461"/>
        <v>0</v>
      </c>
      <c r="CC128" s="3" t="str">
        <f t="shared" ca="1" si="510"/>
        <v/>
      </c>
      <c r="CD128" s="3">
        <f>IF(RTD("tos.rtd",,CD$83,"."&amp;$B$82&amp;$AS$82&amp;"C"&amp;$A128)="N/A",0,RTD("tos.rtd",,CD$83,"."&amp;$B$82&amp;$AS$82&amp;"C"&amp;$A128))</f>
        <v>0.98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0.73</v>
      </c>
      <c r="CG128" s="3">
        <f>-IF(RTD("tos.rtd",,CG$83,"."&amp;$C$82&amp;$AU$82&amp;"P"&amp;$A128)="N/A",0,RTD("tos.rtd",,CG$83,"."&amp;$C$82&amp;$AU$82&amp;"P"&amp;$A128))</f>
        <v>0.05</v>
      </c>
      <c r="CH128" s="3">
        <f>IF(RTD("tos.rtd",,CH$83,"."&amp;$D$82&amp;$AW$82&amp;"C"&amp;$A128)="N/A",0,RTD("tos.rtd",,CH$83,"."&amp;$D$82&amp;$AW$82&amp;"C"&amp;$A128))</f>
        <v>0.69</v>
      </c>
      <c r="CI128" s="3">
        <f>-IF(RTD("tos.rtd",,CI$83,"."&amp;$D$82&amp;$AW$82&amp;"P"&amp;$A128)="N/A",0,RTD("tos.rtd",,CI$83,"."&amp;$D$82&amp;$AW$82&amp;"P"&amp;$A128))</f>
        <v>0.24</v>
      </c>
      <c r="CK128" s="3">
        <f t="shared" si="495"/>
        <v>28126</v>
      </c>
      <c r="CL128" s="3"/>
      <c r="CM128" s="3">
        <f t="shared" si="496"/>
        <v>52896</v>
      </c>
      <c r="CN128" s="3"/>
      <c r="CO128" s="3">
        <f t="shared" si="497"/>
        <v>166413</v>
      </c>
      <c r="CP128" s="3">
        <f t="shared" si="462"/>
        <v>247435</v>
      </c>
      <c r="CQ128" s="3">
        <f t="shared" si="463"/>
        <v>0</v>
      </c>
      <c r="CR128" s="3"/>
      <c r="CS128" s="3">
        <f t="shared" si="464"/>
        <v>0</v>
      </c>
      <c r="CT128" s="3"/>
      <c r="CU128" s="3">
        <f t="shared" si="465"/>
        <v>0</v>
      </c>
      <c r="CV128" s="3"/>
      <c r="CW128" s="3" t="e">
        <f t="shared" ca="1" si="466"/>
        <v>#NUM!</v>
      </c>
      <c r="CY128" s="3" t="e">
        <f t="shared" ca="1" si="467"/>
        <v>#NUM!</v>
      </c>
      <c r="CZ128" s="70" t="e">
        <f t="shared" ca="1" si="511"/>
        <v>#NUM!</v>
      </c>
      <c r="DA128" s="3">
        <f>IF(RTD("tos.rtd",,DA$83,"."&amp;$B$82&amp;$AS$82&amp;"C"&amp;$A128)="N/A",0,RTD("tos.rtd",,DA$83,"."&amp;$B$82&amp;$AS$82&amp;"C"&amp;$A128))</f>
        <v>225.5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229.9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211.8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9"/>
        <v>-219.90999999999985</v>
      </c>
      <c r="DH128" s="3">
        <f t="shared" si="468"/>
        <v>-14.381215469613252</v>
      </c>
      <c r="DI128" s="3">
        <f t="shared" si="469"/>
        <v>2438</v>
      </c>
      <c r="DJ128" s="3">
        <f t="shared" si="470"/>
        <v>-19</v>
      </c>
      <c r="DK128" s="3">
        <f t="shared" si="471"/>
        <v>2438</v>
      </c>
      <c r="DL128" s="3">
        <f t="shared" si="472"/>
        <v>2423.6187845303866</v>
      </c>
      <c r="DM128" s="3">
        <f t="shared" si="473"/>
        <v>2419</v>
      </c>
      <c r="DN128" s="64" t="str">
        <f t="shared" si="474"/>
        <v>UNKNOWN</v>
      </c>
      <c r="DO128" s="64" t="str">
        <f t="shared" si="475"/>
        <v>UNKNOWN</v>
      </c>
      <c r="DP128" s="3">
        <f t="shared" si="476"/>
        <v>-3121.0640883977885</v>
      </c>
      <c r="DQ128" s="3">
        <f t="shared" si="477"/>
        <v>-4162.6000000000004</v>
      </c>
      <c r="DR128" s="3" t="e">
        <f t="shared" ca="1" si="478"/>
        <v>#NUM!</v>
      </c>
      <c r="DS128" s="3">
        <f t="shared" si="479"/>
        <v>-18.62</v>
      </c>
      <c r="DT128" s="3">
        <f t="shared" si="500"/>
        <v>-19</v>
      </c>
      <c r="DU128" s="3">
        <f t="shared" si="501"/>
        <v>2438</v>
      </c>
      <c r="DV128" s="3">
        <f t="shared" si="502"/>
        <v>1</v>
      </c>
      <c r="DW128" s="3">
        <f t="shared" si="503"/>
        <v>-937</v>
      </c>
      <c r="DX128" s="3" t="e">
        <f t="shared" ca="1" si="512"/>
        <v>#NUM!</v>
      </c>
      <c r="DY128" s="3" t="e">
        <f t="shared" ca="1" si="480"/>
        <v>#NUM!</v>
      </c>
      <c r="DZ128" s="3">
        <f t="shared" ca="1" si="504"/>
        <v>7.1338562549240622E-4</v>
      </c>
      <c r="EA128" s="3">
        <f t="shared" ca="1" si="505"/>
        <v>-9.3056835524005807E-4</v>
      </c>
      <c r="EB128" s="3">
        <f t="shared" ca="1" si="481"/>
        <v>1.0368255232149958E-3</v>
      </c>
      <c r="EC128" s="3">
        <f t="shared" ca="1" si="482"/>
        <v>-8.2820355015768505E-4</v>
      </c>
      <c r="ED128" s="63">
        <f t="shared" si="506"/>
        <v>-936</v>
      </c>
      <c r="EE128" s="59">
        <f t="shared" si="483"/>
        <v>2.6204000000000001</v>
      </c>
      <c r="EF128" s="59">
        <f t="shared" si="484"/>
        <v>1.7323</v>
      </c>
      <c r="EG128" s="59">
        <f t="shared" si="485"/>
        <v>0.64049999999999996</v>
      </c>
      <c r="EH128" s="59">
        <f t="shared" si="486"/>
        <v>0.22159999999999999</v>
      </c>
      <c r="EI128" s="59">
        <f t="shared" si="487"/>
        <v>0.29780000000000001</v>
      </c>
      <c r="EJ128" s="59">
        <f t="shared" si="488"/>
        <v>0.19789999999999999</v>
      </c>
      <c r="EK128" s="63" t="e">
        <f t="shared" ca="1" si="507"/>
        <v>#NUM!</v>
      </c>
      <c r="EL128" s="3" t="str">
        <f>RTD("tos.rtd",,EL$83,"."&amp;$B$82&amp;$AS$82&amp;"C"&amp;$A128)</f>
        <v>262.04%</v>
      </c>
      <c r="EM128" s="3" t="str">
        <f>RTD("tos.rtd",,EM$83,"."&amp;$B$82&amp;$AS$82&amp;"P"&amp;$A128)</f>
        <v>173.23%</v>
      </c>
      <c r="EN128" s="3" t="str">
        <f>RTD("tos.rtd",,EN$83,"."&amp;$C$82&amp;$AU$82&amp;"C"&amp;$A128)</f>
        <v>64.05%</v>
      </c>
      <c r="EO128" s="3" t="str">
        <f>RTD("tos.rtd",,EO$83,"."&amp;$C$82&amp;$AU$82&amp;"P"&amp;$A128)</f>
        <v>22.16%</v>
      </c>
      <c r="EP128" s="3" t="str">
        <f>RTD("tos.rtd",,EP$83,"."&amp;$D$82&amp;$AW$82&amp;"C"&amp;$A128)</f>
        <v>29.78%</v>
      </c>
      <c r="EQ128" s="3" t="str">
        <f>RTD("tos.rtd",,EQ$83,"."&amp;$D$82&amp;$AW$82&amp;"P"&amp;$A128)</f>
        <v>19.79%</v>
      </c>
      <c r="ES128" s="63" t="str">
        <f t="shared" si="489"/>
        <v>5440,-936.00</v>
      </c>
      <c r="ET128" s="63" t="str">
        <f t="shared" ca="1" si="490"/>
        <v>5440,00.00</v>
      </c>
      <c r="EU128" s="67">
        <v>565.53</v>
      </c>
      <c r="EV128" s="67" t="s">
        <v>1043</v>
      </c>
      <c r="EW128" s="67">
        <v>489.04</v>
      </c>
      <c r="EX128" s="67" t="s">
        <v>1044</v>
      </c>
      <c r="EY128" s="67">
        <v>5663.94</v>
      </c>
      <c r="EZ128" s="67" t="s">
        <v>1045</v>
      </c>
      <c r="FA128" s="67">
        <v>20063.564999999999</v>
      </c>
      <c r="FB128" s="67" t="s">
        <v>1046</v>
      </c>
      <c r="FC128" s="67" t="s">
        <v>1047</v>
      </c>
      <c r="FD128" s="67" t="s">
        <v>1048</v>
      </c>
      <c r="FE128" s="68" t="s">
        <v>1049</v>
      </c>
      <c r="FF128" s="68" t="s">
        <v>1050</v>
      </c>
    </row>
    <row r="129" spans="1:162" s="63" customFormat="1" ht="12" customHeight="1" thickBot="1" x14ac:dyDescent="0.25">
      <c r="A129" s="2">
        <f t="shared" si="508"/>
        <v>5430</v>
      </c>
      <c r="B129" s="3">
        <f t="shared" si="451"/>
        <v>1990</v>
      </c>
      <c r="C129" s="3">
        <f t="shared" si="452"/>
        <v>1398</v>
      </c>
      <c r="D129" s="3">
        <f t="shared" si="453"/>
        <v>11825</v>
      </c>
      <c r="E129" s="3">
        <f t="shared" si="519"/>
        <v>15213</v>
      </c>
      <c r="F129" s="11">
        <f t="shared" si="522"/>
        <v>5516.4304732760775</v>
      </c>
      <c r="G129" s="4">
        <f t="shared" si="520"/>
        <v>548.22765733024028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9</v>
      </c>
      <c r="AN129" s="20">
        <v>-385</v>
      </c>
      <c r="AO129" s="20">
        <v>5430</v>
      </c>
      <c r="AP129" s="20">
        <v>19</v>
      </c>
      <c r="AQ129" s="20">
        <v>-951</v>
      </c>
      <c r="AR129" s="20"/>
      <c r="AS129" s="54">
        <f>IF(RTD("tos.rtd",,AS$83,"."&amp;$B$82&amp;$AS$82&amp;"C"&amp;$A129)="N/A",0,RTD("tos.rtd",,AS$83,"."&amp;$B$82&amp;$AS$82&amp;"C"&amp;$A129))</f>
        <v>1100</v>
      </c>
      <c r="AT129" s="3">
        <f>-IF(RTD("tos.rtd",,AT$83,"."&amp;$B$82&amp;$AS$82&amp;"P"&amp;$A129)="N/A",0,RTD("tos.rtd",,AT$83,"."&amp;$B$82&amp;$AS$82&amp;"P"&amp;$A129))</f>
        <v>-890</v>
      </c>
      <c r="AU129" s="54">
        <f>IF(RTD("tos.rtd",,AU$83,"."&amp;$C$82&amp;$AU$82&amp;"C"&amp;$A129)="N/A",0,RTD("tos.rtd",,AU$83,"."&amp;$C$82&amp;$AU$82&amp;"C"&amp;$A129))</f>
        <v>543</v>
      </c>
      <c r="AV129" s="3">
        <f>-IF(RTD("tos.rtd",,AV$83,"."&amp;$C$82&amp;$AU$82&amp;"P"&amp;$A129)="N/A",0,RTD("tos.rtd",,AV$83,"."&amp;$C$82&amp;$AU$82&amp;"P"&amp;$A129))</f>
        <v>-855</v>
      </c>
      <c r="AW129" s="54">
        <f>IF(RTD("tos.rtd",,AW$83,"."&amp;$D$82&amp;$AW$82&amp;"C"&amp;$A129)="N/A",0,RTD("tos.rtd",,AW$83,"."&amp;$D$82&amp;$AW$82&amp;"C"&amp;$A129))</f>
        <v>6766</v>
      </c>
      <c r="AX129" s="3">
        <f>-IF(RTD("tos.rtd",,AX$83,"."&amp;$D$82&amp;$AW$82&amp;"P"&amp;$A129)="N/A",0,RTD("tos.rtd",,AX$83,"."&amp;$D$82&amp;$AW$82&amp;"P"&amp;$A129))</f>
        <v>-5059</v>
      </c>
      <c r="AY129" s="79">
        <f t="shared" si="521"/>
        <v>1605</v>
      </c>
      <c r="AZ129" s="8">
        <f t="shared" si="455"/>
        <v>5430</v>
      </c>
      <c r="BA129" s="54">
        <f>IF(RTD("tos.rtd",,BA$83,"."&amp;$B$82&amp;$AS$82&amp;"C"&amp;$A129)="N/A",0,RTD("tos.rtd",,BA$83,"."&amp;$B$82&amp;$AS$82&amp;"C"&amp;$A129))</f>
        <v>0</v>
      </c>
      <c r="BB129" s="3">
        <f>-IF(RTD("tos.rtd",,BB$83,"."&amp;$B$82&amp;$AS$82&amp;"P"&amp;$A129)="N/A",0,RTD("tos.rtd",,BB$83,"."&amp;$B$82&amp;$AS$82&amp;"P"&amp;$A129))</f>
        <v>0</v>
      </c>
      <c r="BC129" s="54">
        <f>IF(RTD("tos.rtd",,BC$83,"."&amp;$C$82&amp;$AU$82&amp;"C"&amp;$A129)="N/A",0,RTD("tos.rtd",,BC$83,"."&amp;$C$82&amp;$AU$82&amp;"C"&amp;$A129))</f>
        <v>0</v>
      </c>
      <c r="BD129" s="3">
        <f>-IF(RTD("tos.rtd",,BD$83,"."&amp;$C$82&amp;$AU$82&amp;"P"&amp;$A129)="N/A",0,RTD("tos.rtd",,BD$83,"."&amp;$C$82&amp;$AU$82&amp;"P"&amp;$A129))</f>
        <v>0</v>
      </c>
      <c r="BE129" s="54">
        <f>IF(RTD("tos.rtd",,BE$83,"."&amp;$D$82&amp;$AW$82&amp;"C"&amp;$A129)="N/A",0,RTD("tos.rtd",,BE$83,"."&amp;$D$82&amp;$AW$82&amp;"C"&amp;$A129))</f>
        <v>0</v>
      </c>
      <c r="BF129" s="3">
        <f>-IF(RTD("tos.rtd",,BF$83,"."&amp;$D$82&amp;$AW$82&amp;"P"&amp;$A129)="N/A",0,RTD("tos.rtd",,BF$83,"."&amp;$D$82&amp;$AW$82&amp;"P"&amp;$A129))</f>
        <v>0</v>
      </c>
      <c r="BG129" s="3">
        <f ca="1">+Hoja2!Y130</f>
        <v>-1</v>
      </c>
      <c r="BH129" s="55">
        <f t="shared" ca="1" si="493"/>
        <v>-1</v>
      </c>
      <c r="BI129" s="32" t="str">
        <f t="shared" ca="1" si="513"/>
        <v/>
      </c>
      <c r="BJ129" s="3" t="e">
        <f ca="1">IF($BP$1=1,DX129,IF(RTD("tos.rtd",,BJ$83,"."&amp;$B$82&amp;$AS$82&amp;"C"&amp;$A129)="N/A",0,RTD("tos.rtd",,BJ$83,"."&amp;$B$82&amp;$AS$82&amp;"C"&amp;$A129)))</f>
        <v>#NUM!</v>
      </c>
      <c r="BK129" s="3" t="e">
        <f ca="1">IF($BP$1=1,DY129,-IF(RTD("tos.rtd",,BK$83,"."&amp;$B$82&amp;$AS$82&amp;"P"&amp;$A129)="N/A",0,RTD("tos.rtd",,BK$83,"."&amp;$B$82&amp;$AS$82&amp;"P"&amp;$A129)))</f>
        <v>#NUM!</v>
      </c>
      <c r="BL129" s="3">
        <f ca="1">IF($BP$1=1,DZ129,IF(RTD("tos.rtd",,BL$83,"."&amp;$C$82&amp;$AU$82&amp;"C"&amp;$A129)="N/A",0,RTD("tos.rtd",,BL$83,"."&amp;$C$82&amp;$AU$82&amp;"C"&amp;$A129)))</f>
        <v>6.947447446964812E-4</v>
      </c>
      <c r="BM129" s="3">
        <f ca="1">IF($BP$1=1,EA129,-IF(RTD("tos.rtd",,BM$83,"."&amp;$C$82&amp;$AU$82&amp;"P"&amp;$A129)="N/A",0,RTD("tos.rtd",,BM$83,"."&amp;$C$82&amp;$AU$82&amp;"P"&amp;$A129)))</f>
        <v>-8.6945030408461395E-4</v>
      </c>
      <c r="BN129" s="3">
        <f ca="1">IF($BP$1=1,EB129,IF(RTD("tos.rtd",,BN$83,"."&amp;$D$82&amp;$AW$82&amp;"C"&amp;$A129)="N/A",0,RTD("tos.rtd",,BN$83,"."&amp;$D$82&amp;$AW$82&amp;"C"&amp;$A129)))</f>
        <v>9.8939844764101286E-4</v>
      </c>
      <c r="BO129" s="3">
        <f ca="1">IF($BP$1=1,EC129,-IF(RTD("tos.rtd",,BO$83,"."&amp;$D$82&amp;$AW$82&amp;"P"&amp;$A129)="N/A",0,RTD("tos.rtd",,BO$83,"."&amp;$D$82&amp;$AW$82&amp;"P"&amp;$A129)))</f>
        <v>-7.532650897848944E-4</v>
      </c>
      <c r="BQ129" s="3" t="e">
        <f t="shared" ca="1" si="456"/>
        <v>#NUM!</v>
      </c>
      <c r="BR129" s="3" t="e">
        <f t="shared" ca="1" si="494"/>
        <v>#NUM!</v>
      </c>
      <c r="BS129" s="3">
        <f t="shared" ca="1" si="457"/>
        <v>-90136.482442730907</v>
      </c>
      <c r="BT129" s="3" t="str">
        <f t="shared" ca="1" si="494"/>
        <v/>
      </c>
      <c r="BU129" s="3">
        <f t="shared" ca="1" si="458"/>
        <v>709873.93775620102</v>
      </c>
      <c r="BV129" s="3" t="str">
        <f t="shared" ca="1" si="494"/>
        <v/>
      </c>
      <c r="BX129" s="3" t="e">
        <f t="shared" ca="1" si="459"/>
        <v>#NUM!</v>
      </c>
      <c r="BY129" s="3" t="e">
        <f t="shared" ca="1" si="510"/>
        <v>#NUM!</v>
      </c>
      <c r="BZ129" s="3">
        <f t="shared" ca="1" si="460"/>
        <v>0</v>
      </c>
      <c r="CA129" s="3" t="str">
        <f t="shared" ca="1" si="510"/>
        <v/>
      </c>
      <c r="CB129" s="3">
        <f t="shared" ca="1" si="461"/>
        <v>0</v>
      </c>
      <c r="CC129" s="3" t="str">
        <f t="shared" ca="1" si="510"/>
        <v/>
      </c>
      <c r="CD129" s="3">
        <f>IF(RTD("tos.rtd",,CD$83,"."&amp;$B$82&amp;$AS$82&amp;"C"&amp;$A129)="N/A",0,RTD("tos.rtd",,CD$83,"."&amp;$B$82&amp;$AS$82&amp;"C"&amp;$A129))</f>
        <v>0.98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0.73</v>
      </c>
      <c r="CG129" s="3">
        <f>-IF(RTD("tos.rtd",,CG$83,"."&amp;$C$82&amp;$AU$82&amp;"P"&amp;$A129)="N/A",0,RTD("tos.rtd",,CG$83,"."&amp;$C$82&amp;$AU$82&amp;"P"&amp;$A129))</f>
        <v>0.05</v>
      </c>
      <c r="CH129" s="3">
        <f>IF(RTD("tos.rtd",,CH$83,"."&amp;$D$82&amp;$AW$82&amp;"C"&amp;$A129)="N/A",0,RTD("tos.rtd",,CH$83,"."&amp;$D$82&amp;$AW$82&amp;"C"&amp;$A129))</f>
        <v>0.7</v>
      </c>
      <c r="CI129" s="3">
        <f>-IF(RTD("tos.rtd",,CI$83,"."&amp;$D$82&amp;$AW$82&amp;"P"&amp;$A129)="N/A",0,RTD("tos.rtd",,CI$83,"."&amp;$D$82&amp;$AW$82&amp;"P"&amp;$A129))</f>
        <v>0.23</v>
      </c>
      <c r="CK129" s="3">
        <f t="shared" si="495"/>
        <v>107800</v>
      </c>
      <c r="CL129" s="3"/>
      <c r="CM129" s="3">
        <f t="shared" si="496"/>
        <v>35364</v>
      </c>
      <c r="CN129" s="3"/>
      <c r="CO129" s="3">
        <f t="shared" si="497"/>
        <v>357263</v>
      </c>
      <c r="CP129" s="3">
        <f t="shared" si="462"/>
        <v>500427</v>
      </c>
      <c r="CQ129" s="3">
        <f t="shared" si="463"/>
        <v>0</v>
      </c>
      <c r="CR129" s="3"/>
      <c r="CS129" s="3">
        <f t="shared" si="464"/>
        <v>0</v>
      </c>
      <c r="CT129" s="3"/>
      <c r="CU129" s="3">
        <f t="shared" si="465"/>
        <v>0</v>
      </c>
      <c r="CV129" s="3"/>
      <c r="CW129" s="3" t="e">
        <f t="shared" ca="1" si="466"/>
        <v>#NUM!</v>
      </c>
      <c r="CY129" s="3" t="e">
        <f t="shared" ca="1" si="467"/>
        <v>#NUM!</v>
      </c>
      <c r="CZ129" s="70" t="e">
        <f t="shared" ca="1" si="511"/>
        <v>#NUM!</v>
      </c>
      <c r="DA129" s="3">
        <f>IF(RTD("tos.rtd",,DA$83,"."&amp;$B$82&amp;$AS$82&amp;"C"&amp;$A129)="N/A",0,RTD("tos.rtd",,DA$83,"."&amp;$B$82&amp;$AS$82&amp;"C"&amp;$A129))</f>
        <v>229.1</v>
      </c>
      <c r="DB129" s="3">
        <f>IF(RTD("tos.rtd",,DB$83,"."&amp;$B$82&amp;$AS$82&amp;"P"&amp;$A129)="N/A",0,RTD("tos.rtd",,DB$83,"."&amp;$B$82&amp;$AS$82&amp;"P"&amp;$A129))</f>
        <v>0.03</v>
      </c>
      <c r="DC129" s="3">
        <f>IF(RTD("tos.rtd",,DC$83,"."&amp;$B$82&amp;$AS$82&amp;"C"&amp;$A129)="N/A",0,RTD("tos.rtd",,DC$83,"."&amp;$B$82&amp;$AS$82&amp;"C"&amp;$A129))</f>
        <v>239.9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221.8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9"/>
        <v>-229.90999999999985</v>
      </c>
      <c r="DH129" s="3">
        <f t="shared" si="468"/>
        <v>-7.6629834254143496</v>
      </c>
      <c r="DI129" s="3">
        <f t="shared" si="469"/>
        <v>570.6</v>
      </c>
      <c r="DJ129" s="3">
        <f t="shared" si="470"/>
        <v>0</v>
      </c>
      <c r="DK129" s="3">
        <f t="shared" si="471"/>
        <v>951</v>
      </c>
      <c r="DL129" s="3">
        <f t="shared" si="472"/>
        <v>562.93701657458564</v>
      </c>
      <c r="DM129" s="3">
        <f t="shared" si="473"/>
        <v>951</v>
      </c>
      <c r="DN129" s="64" t="str">
        <f t="shared" si="474"/>
        <v>UNKNOWN</v>
      </c>
      <c r="DO129" s="64" t="str">
        <f t="shared" si="475"/>
        <v>UNKNOWN</v>
      </c>
      <c r="DP129" s="3">
        <f t="shared" si="476"/>
        <v>-1738.4715027624275</v>
      </c>
      <c r="DQ129" s="3">
        <f t="shared" si="477"/>
        <v>28.529999999999998</v>
      </c>
      <c r="DR129" s="3" t="e">
        <f t="shared" ca="1" si="478"/>
        <v>#NUM!</v>
      </c>
      <c r="DS129" s="3">
        <f t="shared" si="479"/>
        <v>0</v>
      </c>
      <c r="DT129" s="3">
        <f t="shared" si="500"/>
        <v>-19</v>
      </c>
      <c r="DU129" s="3">
        <f t="shared" si="501"/>
        <v>951</v>
      </c>
      <c r="DV129" s="3">
        <f t="shared" si="502"/>
        <v>9</v>
      </c>
      <c r="DW129" s="3">
        <f t="shared" si="503"/>
        <v>-385</v>
      </c>
      <c r="DX129" s="3" t="e">
        <f t="shared" ca="1" si="512"/>
        <v>#NUM!</v>
      </c>
      <c r="DY129" s="3" t="e">
        <f t="shared" ca="1" si="480"/>
        <v>#NUM!</v>
      </c>
      <c r="DZ129" s="3">
        <f t="shared" ca="1" si="504"/>
        <v>6.947447446964812E-4</v>
      </c>
      <c r="EA129" s="3">
        <f t="shared" ca="1" si="505"/>
        <v>-8.6945030408461395E-4</v>
      </c>
      <c r="EB129" s="3">
        <f t="shared" ca="1" si="481"/>
        <v>9.8939844764101286E-4</v>
      </c>
      <c r="EC129" s="3">
        <f t="shared" ca="1" si="482"/>
        <v>-7.532650897848944E-4</v>
      </c>
      <c r="ED129" s="63">
        <f t="shared" si="506"/>
        <v>-376</v>
      </c>
      <c r="EE129" s="59">
        <f t="shared" si="483"/>
        <v>2.7231000000000001</v>
      </c>
      <c r="EF129" s="59">
        <f t="shared" si="484"/>
        <v>1.8059000000000001</v>
      </c>
      <c r="EG129" s="59">
        <f t="shared" si="485"/>
        <v>0.65349999999999997</v>
      </c>
      <c r="EH129" s="59">
        <f t="shared" si="486"/>
        <v>0.22570000000000001</v>
      </c>
      <c r="EI129" s="59">
        <f t="shared" si="487"/>
        <v>0.30049999999999999</v>
      </c>
      <c r="EJ129" s="59">
        <f t="shared" si="488"/>
        <v>0.19950000000000001</v>
      </c>
      <c r="EK129" s="63" t="e">
        <f t="shared" ca="1" si="507"/>
        <v>#NUM!</v>
      </c>
      <c r="EL129" s="3" t="str">
        <f>RTD("tos.rtd",,EL$83,"."&amp;$B$82&amp;$AS$82&amp;"C"&amp;$A129)</f>
        <v>272.31%</v>
      </c>
      <c r="EM129" s="3" t="str">
        <f>RTD("tos.rtd",,EM$83,"."&amp;$B$82&amp;$AS$82&amp;"P"&amp;$A129)</f>
        <v>180.59%</v>
      </c>
      <c r="EN129" s="3" t="str">
        <f>RTD("tos.rtd",,EN$83,"."&amp;$C$82&amp;$AU$82&amp;"C"&amp;$A129)</f>
        <v>65.35%</v>
      </c>
      <c r="EO129" s="3" t="str">
        <f>RTD("tos.rtd",,EO$83,"."&amp;$C$82&amp;$AU$82&amp;"P"&amp;$A129)</f>
        <v>22.57%</v>
      </c>
      <c r="EP129" s="3" t="str">
        <f>RTD("tos.rtd",,EP$83,"."&amp;$D$82&amp;$AW$82&amp;"C"&amp;$A129)</f>
        <v>30.05%</v>
      </c>
      <c r="EQ129" s="3" t="str">
        <f>RTD("tos.rtd",,EQ$83,"."&amp;$D$82&amp;$AW$82&amp;"P"&amp;$A129)</f>
        <v>19.95%</v>
      </c>
      <c r="ES129" s="63" t="str">
        <f t="shared" si="489"/>
        <v>5430,-376.00</v>
      </c>
      <c r="ET129" s="63" t="str">
        <f t="shared" ca="1" si="490"/>
        <v>5430,00.00</v>
      </c>
      <c r="EU129" s="67">
        <v>565.59</v>
      </c>
      <c r="EV129" s="67" t="s">
        <v>1051</v>
      </c>
      <c r="EW129" s="67">
        <v>489.08</v>
      </c>
      <c r="EX129" s="67" t="s">
        <v>1052</v>
      </c>
      <c r="EY129" s="67">
        <v>5663.94</v>
      </c>
      <c r="EZ129" s="67" t="s">
        <v>1053</v>
      </c>
      <c r="FA129" s="67">
        <v>20063.564999999999</v>
      </c>
      <c r="FB129" s="67" t="s">
        <v>1054</v>
      </c>
      <c r="FC129" s="67" t="s">
        <v>1055</v>
      </c>
      <c r="FD129" s="67" t="s">
        <v>1056</v>
      </c>
      <c r="FE129" s="68" t="s">
        <v>1057</v>
      </c>
      <c r="FF129" s="68" t="s">
        <v>1058</v>
      </c>
    </row>
    <row r="130" spans="1:162" s="63" customFormat="1" ht="12" customHeight="1" thickBot="1" x14ac:dyDescent="0.25">
      <c r="A130" s="2">
        <f t="shared" si="508"/>
        <v>5420</v>
      </c>
      <c r="B130" s="3">
        <f t="shared" si="451"/>
        <v>1900</v>
      </c>
      <c r="C130" s="3">
        <f t="shared" si="452"/>
        <v>744</v>
      </c>
      <c r="D130" s="3">
        <f t="shared" si="453"/>
        <v>5152</v>
      </c>
      <c r="E130" s="3">
        <f>SUM(B130:D130)</f>
        <v>7796</v>
      </c>
      <c r="F130" s="11">
        <f>+$F$84/$A$84*A130</f>
        <v>5506.2713011337637</v>
      </c>
      <c r="G130" s="4">
        <f t="shared" si="520"/>
        <v>547.2180299686745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-21</v>
      </c>
      <c r="AN130" s="20">
        <v>-795</v>
      </c>
      <c r="AO130" s="20">
        <v>5420</v>
      </c>
      <c r="AP130" s="20">
        <v>32</v>
      </c>
      <c r="AQ130" s="20">
        <v>-1302</v>
      </c>
      <c r="AR130" s="20"/>
      <c r="AS130" s="56">
        <f>IF(RTD("tos.rtd",,AS$83,"."&amp;$B$82&amp;$AS$82&amp;"C"&amp;$A130)="N/A",0,RTD("tos.rtd",,AS$83,"."&amp;$B$82&amp;$AS$82&amp;"C"&amp;$A130))</f>
        <v>147</v>
      </c>
      <c r="AT130" s="35">
        <f>-IF(RTD("tos.rtd",,AT$83,"."&amp;$B$82&amp;$AS$82&amp;"P"&amp;$A130)="N/A",0,RTD("tos.rtd",,AT$83,"."&amp;$B$82&amp;$AS$82&amp;"P"&amp;$A130))</f>
        <v>-1753</v>
      </c>
      <c r="AU130" s="56">
        <f>IF(RTD("tos.rtd",,AU$83,"."&amp;$C$82&amp;$AU$82&amp;"C"&amp;$A130)="N/A",0,RTD("tos.rtd",,AU$83,"."&amp;$C$82&amp;$AU$82&amp;"C"&amp;$A130))</f>
        <v>288</v>
      </c>
      <c r="AV130" s="35">
        <f>-IF(RTD("tos.rtd",,AV$83,"."&amp;$C$82&amp;$AU$82&amp;"P"&amp;$A130)="N/A",0,RTD("tos.rtd",,AV$83,"."&amp;$C$82&amp;$AU$82&amp;"P"&amp;$A130))</f>
        <v>-456</v>
      </c>
      <c r="AW130" s="56">
        <f>IF(RTD("tos.rtd",,AW$83,"."&amp;$D$82&amp;$AW$82&amp;"C"&amp;$A130)="N/A",0,RTD("tos.rtd",,AW$83,"."&amp;$D$82&amp;$AW$82&amp;"C"&amp;$A130))</f>
        <v>2404</v>
      </c>
      <c r="AX130" s="35">
        <f>-IF(RTD("tos.rtd",,AX$83,"."&amp;$D$82&amp;$AW$82&amp;"P"&amp;$A130)="N/A",0,RTD("tos.rtd",,AX$83,"."&amp;$D$82&amp;$AW$82&amp;"P"&amp;$A130))</f>
        <v>-2748</v>
      </c>
      <c r="AY130" s="81">
        <f t="shared" si="521"/>
        <v>-2118</v>
      </c>
      <c r="AZ130" s="8">
        <f t="shared" si="455"/>
        <v>5420</v>
      </c>
      <c r="BA130" s="56">
        <f>IF(RTD("tos.rtd",,BA$83,"."&amp;$B$82&amp;$AS$82&amp;"C"&amp;$A130)="N/A",0,RTD("tos.rtd",,BA$83,"."&amp;$B$82&amp;$AS$82&amp;"C"&amp;$A130))</f>
        <v>0</v>
      </c>
      <c r="BB130" s="35">
        <f>-IF(RTD("tos.rtd",,BB$83,"."&amp;$B$82&amp;$AS$82&amp;"P"&amp;$A130)="N/A",0,RTD("tos.rtd",,BB$83,"."&amp;$B$82&amp;$AS$82&amp;"P"&amp;$A130))</f>
        <v>0</v>
      </c>
      <c r="BC130" s="56">
        <f>IF(RTD("tos.rtd",,BC$83,"."&amp;$C$82&amp;$AU$82&amp;"C"&amp;$A130)="N/A",0,RTD("tos.rtd",,BC$83,"."&amp;$C$82&amp;$AU$82&amp;"C"&amp;$A130))</f>
        <v>0</v>
      </c>
      <c r="BD130" s="35">
        <f>-IF(RTD("tos.rtd",,BD$83,"."&amp;$C$82&amp;$AU$82&amp;"P"&amp;$A130)="N/A",0,RTD("tos.rtd",,BD$83,"."&amp;$C$82&amp;$AU$82&amp;"P"&amp;$A130))</f>
        <v>0</v>
      </c>
      <c r="BE130" s="56">
        <f>IF(RTD("tos.rtd",,BE$83,"."&amp;$D$82&amp;$AW$82&amp;"C"&amp;$A130)="N/A",0,RTD("tos.rtd",,BE$83,"."&amp;$D$82&amp;$AW$82&amp;"C"&amp;$A130))</f>
        <v>0</v>
      </c>
      <c r="BF130" s="35">
        <f>-IF(RTD("tos.rtd",,BF$83,"."&amp;$D$82&amp;$AW$82&amp;"P"&amp;$A130)="N/A",0,RTD("tos.rtd",,BF$83,"."&amp;$D$82&amp;$AW$82&amp;"P"&amp;$A130))</f>
        <v>0</v>
      </c>
      <c r="BG130" s="3">
        <f ca="1">+Hoja2!Y131</f>
        <v>0</v>
      </c>
      <c r="BH130" s="57">
        <f t="shared" ca="1" si="493"/>
        <v>0</v>
      </c>
      <c r="BI130" s="32" t="str">
        <f t="shared" ca="1" si="513"/>
        <v/>
      </c>
      <c r="BJ130" s="3" t="e">
        <f ca="1">IF($BP$1=1,DX130,IF(RTD("tos.rtd",,BJ$83,"."&amp;$B$82&amp;$AS$82&amp;"C"&amp;$A130)="N/A",0,RTD("tos.rtd",,BJ$83,"."&amp;$B$82&amp;$AS$82&amp;"C"&amp;$A130)))</f>
        <v>#NUM!</v>
      </c>
      <c r="BK130" s="3" t="e">
        <f ca="1">IF($BP$1=1,DY130,-IF(RTD("tos.rtd",,BK$83,"."&amp;$B$82&amp;$AS$82&amp;"P"&amp;$A130)="N/A",0,RTD("tos.rtd",,BK$83,"."&amp;$B$82&amp;$AS$82&amp;"P"&amp;$A130)))</f>
        <v>#NUM!</v>
      </c>
      <c r="BL130" s="3">
        <f ca="1">IF($BP$1=1,DZ130,IF(RTD("tos.rtd",,BL$83,"."&amp;$C$82&amp;$AU$82&amp;"C"&amp;$A130)="N/A",0,RTD("tos.rtd",,BL$83,"."&amp;$C$82&amp;$AU$82&amp;"C"&amp;$A130)))</f>
        <v>6.7721384325230909E-4</v>
      </c>
      <c r="BM130" s="3">
        <f ca="1">IF($BP$1=1,EA130,-IF(RTD("tos.rtd",,BM$83,"."&amp;$C$82&amp;$AU$82&amp;"P"&amp;$A130)="N/A",0,RTD("tos.rtd",,BM$83,"."&amp;$C$82&amp;$AU$82&amp;"P"&amp;$A130)))</f>
        <v>-8.1468445160541201E-4</v>
      </c>
      <c r="BN130" s="3">
        <f ca="1">IF($BP$1=1,EB130,IF(RTD("tos.rtd",,BN$83,"."&amp;$D$82&amp;$AW$82&amp;"C"&amp;$A130)="N/A",0,RTD("tos.rtd",,BN$83,"."&amp;$D$82&amp;$AW$82&amp;"C"&amp;$A130)))</f>
        <v>9.4350183110496265E-4</v>
      </c>
      <c r="BO130" s="3">
        <f ca="1">IF($BP$1=1,EC130,-IF(RTD("tos.rtd",,BO$83,"."&amp;$D$82&amp;$AW$82&amp;"P"&amp;$A130)="N/A",0,RTD("tos.rtd",,BO$83,"."&amp;$D$82&amp;$AW$82&amp;"P"&amp;$A130)))</f>
        <v>-6.8330464646199789E-4</v>
      </c>
      <c r="BQ130" s="3" t="e">
        <f t="shared" ca="1" si="456"/>
        <v>#NUM!</v>
      </c>
      <c r="BR130" s="3" t="e">
        <f t="shared" ca="1" si="494"/>
        <v>#NUM!</v>
      </c>
      <c r="BS130" s="3">
        <f t="shared" ca="1" si="457"/>
        <v>-43441.383077901075</v>
      </c>
      <c r="BT130" s="3" t="str">
        <f t="shared" ca="1" si="494"/>
        <v/>
      </c>
      <c r="BU130" s="3">
        <f t="shared" ca="1" si="458"/>
        <v>96124.584748502297</v>
      </c>
      <c r="BV130" s="3" t="str">
        <f t="shared" ca="1" si="494"/>
        <v/>
      </c>
      <c r="BX130" s="3" t="e">
        <f t="shared" ca="1" si="459"/>
        <v>#NUM!</v>
      </c>
      <c r="BY130" s="3" t="e">
        <f t="shared" ca="1" si="510"/>
        <v>#NUM!</v>
      </c>
      <c r="BZ130" s="3">
        <f t="shared" ca="1" si="460"/>
        <v>0</v>
      </c>
      <c r="CA130" s="3" t="str">
        <f t="shared" ca="1" si="510"/>
        <v/>
      </c>
      <c r="CB130" s="3">
        <f t="shared" ca="1" si="461"/>
        <v>0</v>
      </c>
      <c r="CC130" s="3" t="str">
        <f t="shared" ca="1" si="510"/>
        <v/>
      </c>
      <c r="CD130" s="3">
        <f>IF(RTD("tos.rtd",,CD$83,"."&amp;$B$82&amp;$AS$82&amp;"C"&amp;$A130)="N/A",0,RTD("tos.rtd",,CD$83,"."&amp;$B$82&amp;$AS$82&amp;"C"&amp;$A130))</f>
        <v>0.98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0.73</v>
      </c>
      <c r="CG130" s="3">
        <f>-IF(RTD("tos.rtd",,CG$83,"."&amp;$C$82&amp;$AU$82&amp;"P"&amp;$A130)="N/A",0,RTD("tos.rtd",,CG$83,"."&amp;$C$82&amp;$AU$82&amp;"P"&amp;$A130))</f>
        <v>0.04</v>
      </c>
      <c r="CH130" s="3">
        <f>IF(RTD("tos.rtd",,CH$83,"."&amp;$D$82&amp;$AW$82&amp;"C"&amp;$A130)="N/A",0,RTD("tos.rtd",,CH$83,"."&amp;$D$82&amp;$AW$82&amp;"C"&amp;$A130))</f>
        <v>0.7</v>
      </c>
      <c r="CI130" s="3">
        <f>-IF(RTD("tos.rtd",,CI$83,"."&amp;$D$82&amp;$AW$82&amp;"P"&amp;$A130)="N/A",0,RTD("tos.rtd",,CI$83,"."&amp;$D$82&amp;$AW$82&amp;"P"&amp;$A130))</f>
        <v>0.22</v>
      </c>
      <c r="CK130" s="3">
        <f t="shared" si="495"/>
        <v>14406</v>
      </c>
      <c r="CL130" s="3"/>
      <c r="CM130" s="3">
        <f t="shared" si="496"/>
        <v>19200</v>
      </c>
      <c r="CN130" s="3"/>
      <c r="CO130" s="3">
        <f t="shared" si="497"/>
        <v>107824</v>
      </c>
      <c r="CP130" s="3">
        <f t="shared" si="462"/>
        <v>141430</v>
      </c>
      <c r="CQ130" s="3">
        <f t="shared" si="463"/>
        <v>0</v>
      </c>
      <c r="CR130" s="3"/>
      <c r="CS130" s="3">
        <f t="shared" si="464"/>
        <v>0</v>
      </c>
      <c r="CT130" s="3"/>
      <c r="CU130" s="3">
        <f t="shared" si="465"/>
        <v>0</v>
      </c>
      <c r="CV130" s="3"/>
      <c r="CW130" s="3" t="e">
        <f t="shared" ca="1" si="466"/>
        <v>#NUM!</v>
      </c>
      <c r="CY130" s="3" t="e">
        <f t="shared" ca="1" si="467"/>
        <v>#NUM!</v>
      </c>
      <c r="CZ130" s="70" t="e">
        <f t="shared" ca="1" si="511"/>
        <v>#NUM!</v>
      </c>
      <c r="DA130" s="3">
        <f>IF(RTD("tos.rtd",,DA$83,"."&amp;$B$82&amp;$AS$82&amp;"C"&amp;$A130)="N/A",0,RTD("tos.rtd",,DA$83,"."&amp;$B$82&amp;$AS$82&amp;"C"&amp;$A130))</f>
        <v>247.63</v>
      </c>
      <c r="DB130" s="3">
        <f>IF(RTD("tos.rtd",,DB$83,"."&amp;$B$82&amp;$AS$82&amp;"P"&amp;$A130)="N/A",0,RTD("tos.rtd",,DB$83,"."&amp;$B$82&amp;$AS$82&amp;"P"&amp;$A130))</f>
        <v>0.03</v>
      </c>
      <c r="DC130" s="3">
        <f>IF(RTD("tos.rtd",,DC$83,"."&amp;$B$82&amp;$AS$82&amp;"C"&amp;$A130)="N/A",0,RTD("tos.rtd",,DC$83,"."&amp;$B$82&amp;$AS$82&amp;"C"&amp;$A130))</f>
        <v>249.9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231.8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9"/>
        <v>-239.90999999999985</v>
      </c>
      <c r="DH130" s="3">
        <f t="shared" si="468"/>
        <v>-27.986740331491692</v>
      </c>
      <c r="DI130" s="3">
        <f t="shared" si="469"/>
        <v>781.19999999999993</v>
      </c>
      <c r="DJ130" s="3">
        <f t="shared" si="470"/>
        <v>-32</v>
      </c>
      <c r="DK130" s="3">
        <f t="shared" si="471"/>
        <v>1302</v>
      </c>
      <c r="DL130" s="3">
        <f t="shared" si="472"/>
        <v>753.21325966850827</v>
      </c>
      <c r="DM130" s="3">
        <f t="shared" si="473"/>
        <v>1270</v>
      </c>
      <c r="DN130" s="64" t="str">
        <f t="shared" si="474"/>
        <v>UNKNOWN</v>
      </c>
      <c r="DO130" s="64" t="str">
        <f t="shared" si="475"/>
        <v>UNKNOWN</v>
      </c>
      <c r="DP130" s="3">
        <f t="shared" si="476"/>
        <v>-6906.9205082872877</v>
      </c>
      <c r="DQ130" s="3">
        <f t="shared" si="477"/>
        <v>-7885.0999999999995</v>
      </c>
      <c r="DR130" s="3" t="e">
        <f t="shared" ca="1" si="478"/>
        <v>#NUM!</v>
      </c>
      <c r="DS130" s="3">
        <f t="shared" si="479"/>
        <v>-31.36</v>
      </c>
      <c r="DT130" s="3">
        <f t="shared" si="500"/>
        <v>-32</v>
      </c>
      <c r="DU130" s="3">
        <f t="shared" si="501"/>
        <v>1302</v>
      </c>
      <c r="DV130" s="3">
        <f t="shared" si="502"/>
        <v>-21</v>
      </c>
      <c r="DW130" s="3">
        <f t="shared" si="503"/>
        <v>-795</v>
      </c>
      <c r="DX130" s="3" t="e">
        <f t="shared" ca="1" si="512"/>
        <v>#NUM!</v>
      </c>
      <c r="DY130" s="3" t="e">
        <f t="shared" ca="1" si="480"/>
        <v>#NUM!</v>
      </c>
      <c r="DZ130" s="3">
        <f t="shared" ca="1" si="504"/>
        <v>6.7721384325230909E-4</v>
      </c>
      <c r="EA130" s="3">
        <f t="shared" ca="1" si="505"/>
        <v>-8.1468445160541201E-4</v>
      </c>
      <c r="EB130" s="3">
        <f t="shared" ca="1" si="481"/>
        <v>9.4350183110496265E-4</v>
      </c>
      <c r="EC130" s="3">
        <f t="shared" ca="1" si="482"/>
        <v>-6.8330464646199789E-4</v>
      </c>
      <c r="ED130" s="63">
        <f t="shared" si="506"/>
        <v>-816</v>
      </c>
      <c r="EE130" s="59">
        <f t="shared" si="483"/>
        <v>2.8254999999999999</v>
      </c>
      <c r="EF130" s="59">
        <f t="shared" si="484"/>
        <v>1.8794999999999999</v>
      </c>
      <c r="EG130" s="59">
        <f t="shared" si="485"/>
        <v>0.66610000000000003</v>
      </c>
      <c r="EH130" s="59">
        <f t="shared" si="486"/>
        <v>0.2303</v>
      </c>
      <c r="EI130" s="59">
        <f t="shared" si="487"/>
        <v>0.30309999999999998</v>
      </c>
      <c r="EJ130" s="59">
        <f t="shared" si="488"/>
        <v>0.20100000000000001</v>
      </c>
      <c r="EK130" s="63" t="e">
        <f t="shared" ca="1" si="507"/>
        <v>#NUM!</v>
      </c>
      <c r="EL130" s="3" t="str">
        <f>RTD("tos.rtd",,EL$83,"."&amp;$B$82&amp;$AS$82&amp;"C"&amp;$A130)</f>
        <v>282.55%</v>
      </c>
      <c r="EM130" s="3" t="str">
        <f>RTD("tos.rtd",,EM$83,"."&amp;$B$82&amp;$AS$82&amp;"P"&amp;$A130)</f>
        <v>187.95%</v>
      </c>
      <c r="EN130" s="3" t="str">
        <f>RTD("tos.rtd",,EN$83,"."&amp;$C$82&amp;$AU$82&amp;"C"&amp;$A130)</f>
        <v>66.61%</v>
      </c>
      <c r="EO130" s="3" t="str">
        <f>RTD("tos.rtd",,EO$83,"."&amp;$C$82&amp;$AU$82&amp;"P"&amp;$A130)</f>
        <v>23.03%</v>
      </c>
      <c r="EP130" s="3" t="str">
        <f>RTD("tos.rtd",,EP$83,"."&amp;$D$82&amp;$AW$82&amp;"C"&amp;$A130)</f>
        <v>30.31%</v>
      </c>
      <c r="EQ130" s="3" t="str">
        <f>RTD("tos.rtd",,EQ$83,"."&amp;$D$82&amp;$AW$82&amp;"P"&amp;$A130)</f>
        <v>20.10%</v>
      </c>
      <c r="ES130" s="63" t="str">
        <f t="shared" si="489"/>
        <v>5420,-816.00</v>
      </c>
      <c r="ET130" s="63" t="str">
        <f t="shared" ca="1" si="490"/>
        <v>5420,00.00</v>
      </c>
      <c r="EU130" s="67">
        <v>565.55999999999995</v>
      </c>
      <c r="EV130" s="67" t="s">
        <v>1059</v>
      </c>
      <c r="EW130" s="67">
        <v>489.09</v>
      </c>
      <c r="EX130" s="67" t="s">
        <v>1060</v>
      </c>
      <c r="EY130" s="67">
        <v>5663.94</v>
      </c>
      <c r="EZ130" s="67" t="s">
        <v>1061</v>
      </c>
      <c r="FA130" s="67">
        <v>20063.564999999999</v>
      </c>
      <c r="FB130" s="67" t="s">
        <v>1062</v>
      </c>
      <c r="FC130" s="67" t="s">
        <v>1063</v>
      </c>
      <c r="FD130" s="67" t="s">
        <v>1064</v>
      </c>
      <c r="FE130" s="68" t="s">
        <v>1065</v>
      </c>
      <c r="FF130" s="68" t="s">
        <v>1066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-7</v>
      </c>
      <c r="BI131" s="1">
        <f ca="1">IFERROR(IF(MIN(BH85:BH130)&lt;&gt;0,INDEX(A85:A130,MATCH(MIN(BH85:BH130),BH85:BH130,0)),""),"")</f>
        <v>5600</v>
      </c>
      <c r="BP131" s="64" t="e">
        <f ca="1">INDEX(BQ131:BU131,MATCH(MAX(BQ84:BU84),BQ84:BU84,0))</f>
        <v>#NUM!</v>
      </c>
      <c r="BQ131" s="1" t="e">
        <f ca="1">IF(AND(BQ84&gt;0,ABS(MAX(BQ85:BQ130))&gt;ABS(MIN(BQ85:BQ130))),IF(MAX(BQ85:BQ130)&lt;&gt;0,INDEX($A85:$A130,MATCH(MAX(BQ85:BQ130),BQ85:BQ130,0)),""),"")</f>
        <v>#NUM!</v>
      </c>
      <c r="BS131" s="1" t="str">
        <f ca="1">IF(AND(BS84&gt;0,ABS(MAX(BS85:BS130))&gt;ABS(MIN(BS85:BS130))),IF(MAX(BS85:BS130)&lt;&gt;0,INDEX($A85:$A130,MATCH(MAX(BS85:BS130),BS85:BS130,0)),""),"")</f>
        <v/>
      </c>
      <c r="BU131" s="1" t="str">
        <f ca="1">IF(AND(BU84&gt;0,ABS(MAX(BU85:BU130))&gt;ABS(MIN(BU85:BU130))),IF(MAX(BU85:BU130)&lt;&gt;0,INDEX($A85:$A130,MATCH(MAX(BU85:BU130),BU85:BU130,0)),""),"")</f>
        <v/>
      </c>
      <c r="BW131" s="64" t="e">
        <f ca="1">INDEX(BX131:CB131,MATCH(MAX(BX84:CB84),BX84:CB84,0))</f>
        <v>#NUM!</v>
      </c>
      <c r="BX131" s="1" t="e">
        <f ca="1">IF(AND(BX84&gt;0,ABS(MAX(BX85:BX130))&gt;ABS(MIN(BX85:BX130))),IF(MAX(BX85:BX130)&lt;&gt;0,INDEX($A85:$A130,MATCH(MAX(BX85:BX130),BX85:BX130,0)),""),"")</f>
        <v>#NUM!</v>
      </c>
      <c r="BY131" s="1" t="e">
        <f ca="1">INDEX($A$85:$A$130,MATCH("Cruce -",BY85:BY130,)+1)</f>
        <v>#N/A</v>
      </c>
      <c r="BZ131" s="1" t="str">
        <f ca="1">IF(AND(BZ84&gt;0,ABS(MAX(BZ85:BZ130))&gt;ABS(MIN(BZ85:BZ130))),IF(MAX(BZ85:BZ130)&lt;&gt;0,INDEX($A85:$A130,MATCH(MAX(BZ85:BZ130),BZ85:BZ130,0)),""),"")</f>
        <v/>
      </c>
      <c r="CB131" s="1" t="str">
        <f ca="1">IF(AND(CB84&gt;0,ABS(MAX(CB85:CB130))&gt;ABS(MIN(CB85:CB130))),IF(MAX(CB85:CB130)&lt;&gt;0,INDEX($A85:$A130,MATCH(MAX(CB85:CB130),CB85:CB130,0)),""),"")</f>
        <v/>
      </c>
      <c r="CJ131" s="64">
        <f>INDEX(CK131:CO131,MATCH(MAX(CK84:CO84),CK84:CO84,0))</f>
        <v>5500</v>
      </c>
      <c r="CK131" s="1">
        <f>IF(AND(CK84&gt;0,ABS(MAX(CK85:CK130))&gt;ABS(MIN(CK85:CK130))),IF(MAX(CK85:CK130)&lt;&gt;0,INDEX($A85:$A130,MATCH(MAX(CK85:CK130),CK85:CK130,0)),""),"")</f>
        <v>5650</v>
      </c>
      <c r="CM131" s="1" t="str">
        <f>IF(AND(CM84&gt;0,ABS(MAX(CM85:CM130))&gt;ABS(MIN(CM85:CM130))),IF(MAX(CM85:CM130)&lt;&gt;0,INDEX($A85:$A130,MATCH(MAX(CM85:CM130),CM85:CM130,0)),""),"")</f>
        <v/>
      </c>
      <c r="CO131" s="1">
        <f>IF(AND(CO84&gt;0,ABS(MAX(CO85:CO130))&gt;ABS(MIN(CO85:CO130))),IF(MAX(CO85:CO130)&lt;&gt;0,INDEX($A85:$A130,MATCH(MAX(CO85:CO130),CO85:CO130,0)),""),"")</f>
        <v>5500</v>
      </c>
      <c r="CP131" s="1" t="str">
        <f>IF(ABS(MAX(CP85:CP130))&gt;ABS(MIN(CP85:CP130)),IF(MAX(CP85:CP130)&lt;&gt;0,INDEX($A85:$A130,MATCH(MAX(CP85:CP130),CP85:CP130,0)),""),"")</f>
        <v/>
      </c>
      <c r="CW131" s="1" t="e">
        <f ca="1">IF(ABS(MAX(CW85:CW130))&gt;ABS(MIN(CW85:CW130)),IF(MAX(CW85:CW130)&lt;&gt;0,INDEX($A85:$A130,MATCH(MAX(CW85:CW130),CW85:CW130,0)),""),"")</f>
        <v>#NUM!</v>
      </c>
      <c r="CY131" s="1" t="e">
        <f ca="1">IF(ABS(MAX(CY85:CY130))&gt;ABS(MIN(CY85:CY130)),IF(MAX(CY85:CY130)&lt;&gt;0,INDEX($A85:$A130,MATCH(MAX(CY85:CY130),CY85:CY130,0)),""),"")</f>
        <v>#NUM!</v>
      </c>
      <c r="DH131" s="1" t="e">
        <f t="shared" ref="DH131:DM131" si="536">IF(ABS(MAX(DH85:DH130))&gt;ABS(MIN(DH85:DH130)),IF(MAX(DH85:DH130)&lt;&gt;0,INDEX($A85:$A130,MATCH(MAX(DH85:DH130),DH85:DH130,0)),""),"")</f>
        <v>#DIV/0!</v>
      </c>
      <c r="DI131" s="1" t="e">
        <f t="shared" si="536"/>
        <v>#DIV/0!</v>
      </c>
      <c r="DJ131" s="89">
        <f>IF(AND(ABS(MAX(DJ85:DJ130))&gt;$DG$83,ABS(INDEX($DG$85:$DG$130,MATCH(MAX(DJ85:DJ130),DJ85:DJ130,0)))&lt;10,1),IF(MAX(DJ85:DJ130)&lt;&gt;0,INDEX($A85:$A130,MATCH(MAX(DJ85:DJ130),DJ85:DJ130,0)),""),"")</f>
        <v>5650</v>
      </c>
      <c r="DK131" s="89">
        <f>IF(AND(ABS(MAX(DK85:DK130))&gt;$DG$83,ABS(INDEX($DG$85:$DG$130,MATCH(MAX(DK85:DK130),DK85:DK130,0)))&lt;10,1),IF(MAX(DK85:DK130)&lt;&gt;0,INDEX($A85:$A130,MATCH(MAX(DK85:DK130),DK85:DK130,0)),""),"")</f>
        <v>5650</v>
      </c>
      <c r="DL131" s="1" t="e">
        <f t="shared" si="536"/>
        <v>#DIV/0!</v>
      </c>
      <c r="DM131" s="1">
        <f t="shared" si="536"/>
        <v>5650</v>
      </c>
      <c r="DN131" s="64" t="str">
        <f>DJ131&amp;","&amp;DJ132&amp;","&amp;DK131&amp;","&amp;DK132</f>
        <v>5650,,5650,</v>
      </c>
      <c r="DP131" s="1" t="e">
        <f>IF(ABS(MAX(DP85:DP130))&gt;ABS(MIN(DP85:DP130)),IF(MAX(DP85:DP130)&lt;&gt;0,INDEX($A85:$A130,MATCH(MAX(DP85:DP130),DP85:DP130,0)),""),"")</f>
        <v>#DIV/0!</v>
      </c>
      <c r="DQ131" s="1">
        <f>IF(ABS(MAX(DQ85:DQ130))&gt;ABS(MIN(DQ85:DQ130)),IF(MAX(DQ85:DQ130)&lt;&gt;0,INDEX($A85:$A130,MATCH(MAX(DQ85:DQ130),DQ85:DQ130,0)),""),"")</f>
        <v>5680</v>
      </c>
      <c r="DR131" s="1" t="e">
        <f ca="1">IF(ABS(MAX(DR85:DR130))&gt;ABS(MIN(DR85:DR130)),IF(MAX(DR85:DR130)&lt;&gt;0,INDEX($A85:$A130,MATCH(MAX(DR85:DR130),DR85:DR130,0)),""),"")</f>
        <v>#NUM!</v>
      </c>
      <c r="DS131" s="1">
        <f>IF(ABS(MAX(DS85:DS130))&gt;ABS(MIN(DS85:DS130)),IF(MAX(DS85:DS130)&lt;&gt;0,INDEX($A85:$A130,MATCH(MAX(DS85:DS130),DS85:DS130,0)),""),"")</f>
        <v>5650</v>
      </c>
      <c r="ED131" s="103">
        <f>IFERROR(IF(MAX(ED85:ED130)&lt;&gt;0,INDEX($A85:$A130,MATCH(MAX(ED85:ED130),ED85:ED130,0)),""),"")</f>
        <v>5590</v>
      </c>
      <c r="EU131" s="67">
        <v>565.47</v>
      </c>
      <c r="EV131" s="67" t="s">
        <v>1067</v>
      </c>
      <c r="EW131" s="67">
        <v>488.95</v>
      </c>
      <c r="EX131" s="67" t="s">
        <v>1068</v>
      </c>
      <c r="EY131" s="67">
        <v>5663.94</v>
      </c>
      <c r="EZ131" s="67" t="s">
        <v>1069</v>
      </c>
      <c r="FA131" s="67">
        <v>20063.564999999999</v>
      </c>
      <c r="FB131" s="67" t="s">
        <v>1070</v>
      </c>
      <c r="FC131" s="67" t="s">
        <v>1071</v>
      </c>
      <c r="FD131" s="67" t="s">
        <v>1072</v>
      </c>
      <c r="FE131" s="68" t="s">
        <v>1073</v>
      </c>
      <c r="FF131" s="68" t="s">
        <v>1074</v>
      </c>
    </row>
    <row r="132" spans="1:162" x14ac:dyDescent="0.2">
      <c r="AP132" s="1">
        <v>5680</v>
      </c>
      <c r="AQ132" s="1">
        <v>5650</v>
      </c>
      <c r="BA132" s="1">
        <f>INDEX($A$85:$A$130,MATCH(MAX(BA85:BA130),BA85:BA130,0))</f>
        <v>5870</v>
      </c>
      <c r="BB132" s="38">
        <f>INDEX($A$85:$A$130,MATCH(MIN(BB85:BB130),BB85:BB130,0))</f>
        <v>5870</v>
      </c>
      <c r="BC132" s="1">
        <f>INDEX($A$85:$A$130,MATCH(MAX(BC85:BC130),BC85:BC130,0))</f>
        <v>5700</v>
      </c>
      <c r="BD132" s="38">
        <f>INDEX($A$85:$A$130,MATCH(MIN(BD85:BD130),BD85:BD130,0))</f>
        <v>5590</v>
      </c>
      <c r="BE132" s="1">
        <f>INDEX($A$85:$A$130,MATCH(MAX(BE85:BE130),BE85:BE130,0))</f>
        <v>5870</v>
      </c>
      <c r="BF132" s="38">
        <f>INDEX($A$85:$A$130,MATCH(MIN(BF85:BF130),BF85:BF130,0))</f>
        <v>5870</v>
      </c>
      <c r="BG132" s="38"/>
      <c r="BK132" s="38"/>
      <c r="BM132" s="38"/>
      <c r="BO132" s="38"/>
      <c r="BP132" s="64" t="e">
        <f ca="1">INDEX(BQ132:BU132,MATCH(MIN(BQ84:BU84),BQ84:BU84,0))</f>
        <v>#NUM!</v>
      </c>
      <c r="BQ132" s="1" t="e">
        <f ca="1">IF(AND(BQ84&lt;0,ABS(MIN(BQ85:BQ130))&gt;ABS(MAX(BQ85:BQ130))),IF(MIN(BQ85:BQ130)&lt;&gt;0,INDEX($A85:$A130,MATCH(MIN(BQ85:BQ130),BQ85:BQ130,0)),""),"")</f>
        <v>#NUM!</v>
      </c>
      <c r="BR132" s="38"/>
      <c r="BS132" s="1">
        <f ca="1">IF(AND(BS84&lt;0,ABS(MIN(BS85:BS130))&gt;ABS(MAX(BS85:BS130))),IF(MIN(BS85:BS130)&lt;&gt;0,INDEX($A85:$A130,MATCH(MIN(BS85:BS130),BS85:BS130,0)),""),"")</f>
        <v>5700</v>
      </c>
      <c r="BT132" s="38"/>
      <c r="BU132" s="1">
        <f ca="1">IF(AND(BU84&lt;0,ABS(MIN(BU85:BU130))&gt;ABS(MAX(BU85:BU130))),IF(MIN(BU85:BU130)&lt;&gt;0,INDEX($A85:$A130,MATCH(MIN(BU85:BU130),BU85:BU130,0)),""),"")</f>
        <v>5700</v>
      </c>
      <c r="BV132" s="38"/>
      <c r="BW132" s="64" t="e">
        <f ca="1">INDEX(BX132:CB132,MATCH(MIN(BX84:CB84),BX84:CB84,0))</f>
        <v>#NUM!</v>
      </c>
      <c r="BX132" s="1" t="e">
        <f ca="1">IF(AND(BX84&lt;0,ABS(MIN(BX85:BX130))&gt;ABS(MAX(BX85:BX130))),IF(MIN(BX85:BX130)&lt;&gt;0,INDEX($A85:$A130,MATCH(MIN(BX85:BX130),BX85:BX130,0)),""),"")</f>
        <v>#NUM!</v>
      </c>
      <c r="BY132" s="38" t="e">
        <f ca="1">INDEX($A$85:$A$130,MATCH("Cruce -",BY85:BY130,)-1)</f>
        <v>#N/A</v>
      </c>
      <c r="BZ132" s="1">
        <f ca="1">IF(AND(BZ84&lt;0,ABS(MIN(BZ85:BZ130))&gt;ABS(MAX(BZ85:BZ130))),IF(MIN(BZ85:BZ130)&lt;&gt;0,INDEX($A85:$A130,MATCH(MIN(BZ85:BZ130),BZ85:BZ130,0)),""),"")</f>
        <v>5590</v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>
        <f>INDEX(CK132:CO132,MATCH(MIN(CK84:CO84),CK84:CO84,0))</f>
        <v>5800</v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>
        <f>IF(AND(CM84&lt;0,ABS(MIN(CM85:CM130))&gt;ABS(MAX(CM85:CM130))),IF(MIN(CM85:CM130)&lt;&gt;0,INDEX($A85:$A130,MATCH(MIN(CM85:CM130),CM85:CM130,0)),""),"")</f>
        <v>5800</v>
      </c>
      <c r="CN132" s="38"/>
      <c r="CO132" s="1" t="str">
        <f>IF(AND(CO84&lt;0,ABS(MIN(CO85:CO130))&gt;ABS(MAX(CO85:CO130))),IF(MIN(CO85:CO130)&lt;&gt;0,INDEX($A85:$A130,MATCH(MIN(CO85:CO130),CO85:CO130,0)),""),"")</f>
        <v/>
      </c>
      <c r="CP132" s="38">
        <f>IF(ABS(MIN(CP85:CP130))&gt;ABS(MAX(CP85:CP130)),IF(MIN(CP85:CP130)&lt;&gt;0,INDEX($A85:$A130,MATCH(MIN(CP85:CP130),CP85:CP130,0)),""),"")</f>
        <v>5800</v>
      </c>
      <c r="CR132" s="38"/>
      <c r="CT132" s="38"/>
      <c r="CV132" s="38"/>
      <c r="CW132" s="38" t="e">
        <f ca="1">IF(ABS(MIN(CW85:CW130))&gt;ABS(MAX(CW85:CW130)),IF(MIN(CW85:CW130)&lt;&gt;0,INDEX($A85:$A130,MATCH(MIN(CW85:CW130),CW85:CW130,0)),""),"")</f>
        <v>#NUM!</v>
      </c>
      <c r="CY132" s="38" t="e">
        <f ca="1">IF(ABS(MIN(CY85:CY130))&gt;ABS(MAX(CY85:CY130)),IF(MIN(CY85:CY130)&lt;&gt;0,INDEX($A85:$A130,MATCH(MIN(CY85:CY130),CY85:CY130,0)),""),"")</f>
        <v>#NUM!</v>
      </c>
      <c r="DB132" s="38"/>
      <c r="DD132" s="38"/>
      <c r="DH132" s="1" t="e">
        <f t="shared" ref="DH132:DM132" si="537">IF(ABS(MIN(DH85:DH130))&gt;ABS(MAX(DH85:DH130)),IF(MIN(DH85:DH130)&lt;&gt;0,INDEX($A85:$A130,MATCH(MIN(DH85:DH130),DH85:DH130,0)),""),"")</f>
        <v>#DIV/0!</v>
      </c>
      <c r="DI132" s="38" t="e">
        <f t="shared" si="537"/>
        <v>#DIV/0!</v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e">
        <f t="shared" si="537"/>
        <v>#DIV/0!</v>
      </c>
      <c r="DM132" s="1" t="str">
        <f t="shared" si="537"/>
        <v/>
      </c>
      <c r="DN132" s="64" t="str">
        <f ca="1">BI82&amp;","&amp;BI131&amp;","&amp;ED131&amp;","&amp;ED132</f>
        <v>5700,5600,5590,5650</v>
      </c>
      <c r="DP132" s="1" t="e">
        <f>IF(ABS(MIN(DP85:DP130))&gt;ABS(MAX(DP85:DP130)),IF(MIN(DP85:DP130)&lt;&gt;0,INDEX($A85:$A130,MATCH(MIN(DP85:DP130),DP85:DP130,0)),""),"")</f>
        <v>#DIV/0!</v>
      </c>
      <c r="DQ132" s="38" t="str">
        <f>IF(ABS(MIN(DQ85:DQ130))&gt;ABS(MAX(DQ85:DQ130)),IF(MIN(DQ85:DQ130)&lt;&gt;0,INDEX($A85:$A130,MATCH(MIN(DQ85:DQ130),DQ85:DQ130,0)),""),"")</f>
        <v/>
      </c>
      <c r="DR132" s="1" t="e">
        <f ca="1">IF(ABS(MIN(DR85:DR130))&gt;ABS(MAX(DR85:DR130)),IF(MIN(DR85:DR130)&lt;&gt;0,INDEX($A85:$A130,MATCH(MIN(DR85:DR130),DR85:DR130,0)),""),"")</f>
        <v>#NUM!</v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D132" s="103">
        <f>IFERROR(IF(MIN(ED85:ED130)&lt;&gt;0,INDEX($A85:$A130,MATCH(MIN(ED85:ED130),ED85:ED130,0)),""),"")</f>
        <v>5650</v>
      </c>
      <c r="EF132" s="38"/>
      <c r="EH132" s="38"/>
      <c r="EM132" s="38"/>
      <c r="EO132" s="38"/>
      <c r="EU132" s="67">
        <v>565.4</v>
      </c>
      <c r="EV132" s="67" t="s">
        <v>1075</v>
      </c>
      <c r="EW132" s="67">
        <v>488.89</v>
      </c>
      <c r="EX132" s="67" t="s">
        <v>1076</v>
      </c>
      <c r="EY132" s="67">
        <v>5663.94</v>
      </c>
      <c r="EZ132" s="67" t="s">
        <v>1077</v>
      </c>
      <c r="FA132" s="67">
        <v>20063.564999999999</v>
      </c>
      <c r="FB132" s="67" t="s">
        <v>1078</v>
      </c>
      <c r="FC132" s="67" t="s">
        <v>1079</v>
      </c>
      <c r="FD132" s="67" t="s">
        <v>1080</v>
      </c>
      <c r="FE132" s="68" t="s">
        <v>1081</v>
      </c>
      <c r="FF132" s="68" t="s">
        <v>1082</v>
      </c>
    </row>
    <row r="133" spans="1:162" ht="13.5" thickBot="1" x14ac:dyDescent="0.25">
      <c r="A133" s="49">
        <v>25</v>
      </c>
      <c r="D133" s="50">
        <f>+F136-100</f>
        <v>20371.75</v>
      </c>
      <c r="E133" s="82">
        <v>20000</v>
      </c>
      <c r="EU133" s="67">
        <v>565.44000000000005</v>
      </c>
      <c r="EV133" s="67" t="s">
        <v>1083</v>
      </c>
      <c r="EW133" s="67">
        <v>488.95</v>
      </c>
      <c r="EX133" s="67" t="s">
        <v>1084</v>
      </c>
      <c r="EY133" s="67">
        <v>5663.94</v>
      </c>
      <c r="EZ133" s="67" t="s">
        <v>1085</v>
      </c>
      <c r="FA133" s="67">
        <v>20063.564999999999</v>
      </c>
      <c r="FB133" s="67" t="s">
        <v>1086</v>
      </c>
      <c r="FC133" s="67" t="s">
        <v>1087</v>
      </c>
      <c r="FD133" s="67" t="s">
        <v>1088</v>
      </c>
      <c r="FE133" s="68" t="s">
        <v>1089</v>
      </c>
      <c r="FF133" s="68" t="s">
        <v>1090</v>
      </c>
    </row>
    <row r="134" spans="1:162" ht="13.5" thickBot="1" x14ac:dyDescent="0.25">
      <c r="A134" s="20" t="s">
        <v>14</v>
      </c>
      <c r="B134" s="45" t="s">
        <v>58</v>
      </c>
      <c r="C134" s="45" t="s">
        <v>14</v>
      </c>
      <c r="D134" s="45" t="s">
        <v>14</v>
      </c>
      <c r="E134" s="20">
        <f>RTD("tos.rtd", ,"MARK", A135)</f>
        <v>20061.449000000001</v>
      </c>
      <c r="F134" s="20">
        <f>+[3]Sheet1!$AD$2</f>
        <v>5826.8235213891576</v>
      </c>
      <c r="AP134" s="1">
        <v>250509</v>
      </c>
      <c r="AS134" s="22" t="str">
        <f>+B135</f>
        <v>250509</v>
      </c>
      <c r="AT134" s="22"/>
      <c r="AU134" s="22" t="str">
        <f>+C135</f>
        <v>250516</v>
      </c>
      <c r="AV134" s="22"/>
      <c r="AW134" s="22" t="str">
        <f>+D135</f>
        <v>250620</v>
      </c>
      <c r="AX134" s="22"/>
      <c r="BA134" s="22" t="str">
        <f>+B135</f>
        <v>250509</v>
      </c>
      <c r="BB134" s="22"/>
      <c r="BC134" s="22" t="str">
        <f>+C135</f>
        <v>250516</v>
      </c>
      <c r="BD134" s="22"/>
      <c r="BE134" s="22" t="str">
        <f>+D135</f>
        <v>250620</v>
      </c>
      <c r="BF134" s="22"/>
      <c r="BG134" s="96"/>
      <c r="BH134" s="1">
        <f ca="1">MAX(BH137:BH189)</f>
        <v>1169</v>
      </c>
      <c r="BI134" s="1">
        <f ca="1">IFERROR(IF(MAX(BH137:BH189)&lt;&gt;0,INDEX(A137:A189,MATCH(MAX(BH137:BH189),BH137:BH189,0)),""),"")</f>
        <v>20200</v>
      </c>
      <c r="BJ134" s="22"/>
      <c r="BK134" s="22"/>
      <c r="BL134" s="22"/>
      <c r="BM134" s="22"/>
      <c r="BN134" s="22"/>
      <c r="BO134" s="22"/>
      <c r="BQ134" s="22" t="e">
        <f ca="1">IF(BR134&gt;BS134,IF(MAX(BQ137:BQ189)&lt;&gt;0,INDEX(A137:A189,MATCH(MAX(BQ137:BQ189),BQ137:BQ189,0)),A136),IF(MIN(BQ137:BQ189)&lt;&gt;0,INDEX(A137:A189,MATCH(MIN(BQ137:BQ189),BQ137:BQ189,0))))</f>
        <v>#NUM!</v>
      </c>
      <c r="BR134" s="22" t="e">
        <f ca="1">+MAX(BQ137:BQ189)</f>
        <v>#NUM!</v>
      </c>
      <c r="BS134" s="22" t="e">
        <f ca="1">ABS(MIN(BQ137:BQ189))</f>
        <v>#NUM!</v>
      </c>
      <c r="BT134" s="22"/>
      <c r="BU134" s="22"/>
      <c r="BV134" s="22"/>
      <c r="BX134" s="22" t="e">
        <f ca="1">IF(BY134&gt;BZ134,IF(MAX(BX137:BX189)&lt;&gt;0,INDEX(G137:G189,MATCH(MAX(BX137:BX189),BX137:BX189,0)),G136),IF(MIN(BX137:BX189)&lt;&gt;0,INDEX(G137:G189,MATCH(MIN(BX137:BX189),BX137:BX189,0))))</f>
        <v>#NUM!</v>
      </c>
      <c r="BY134" s="22" t="e">
        <f ca="1">+MAX(BX137:BX189)</f>
        <v>#NUM!</v>
      </c>
      <c r="BZ134" s="22" t="e">
        <f ca="1">ABS(MIN(BX137:BX189))</f>
        <v>#NUM!</v>
      </c>
      <c r="CA134" s="22"/>
      <c r="CB134" s="22"/>
      <c r="CC134" s="22" t="e">
        <f ca="1">+AVERAGE(BY190:BY191,CA190:CA191,CC190:CC191)</f>
        <v>#N/A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9308</v>
      </c>
      <c r="CM134" s="22">
        <f>ABS(MIN(CK137:CK189))</f>
        <v>1978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489.70370983671216</v>
      </c>
      <c r="CR134" s="22">
        <f>+MAX(CQ137:CQ189)</f>
        <v>1174</v>
      </c>
      <c r="CS134" s="22">
        <f>ABS(MIN(CQ137:CQ189))</f>
        <v>2735</v>
      </c>
      <c r="CT134" s="22"/>
      <c r="CU134" s="22"/>
      <c r="CV134" s="22"/>
      <c r="CW134" s="22" t="e">
        <f ca="1">IF(CX134&gt;CY134,IF(MAX(CW137:CW189)&lt;&gt;0,INDEX(M137:M189,MATCH(MAX(CW137:CW189),CW137:CW189,0)),M136),IF(MIN(CW137:CW189)&lt;&gt;0,INDEX(M137:M189,MATCH(MIN(CW137:CW189),CW137:CW189,0))))</f>
        <v>#NUM!</v>
      </c>
      <c r="CX134" s="61" t="e">
        <f ca="1">+MAX(CW137:CW189)</f>
        <v>#NUM!</v>
      </c>
      <c r="CY134" s="22" t="e">
        <f ca="1">ABS(MIN(CW137:CW189))</f>
        <v>#NUM!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565.41999999999996</v>
      </c>
      <c r="EV134" s="67" t="s">
        <v>1091</v>
      </c>
      <c r="EW134" s="67">
        <v>488.96</v>
      </c>
      <c r="EX134" s="67" t="s">
        <v>1092</v>
      </c>
      <c r="EY134" s="67">
        <v>5663.94</v>
      </c>
      <c r="EZ134" s="67" t="s">
        <v>1093</v>
      </c>
      <c r="FA134" s="67">
        <v>20063.564999999999</v>
      </c>
      <c r="FB134" s="67" t="s">
        <v>1094</v>
      </c>
      <c r="FC134" s="67" t="s">
        <v>1095</v>
      </c>
      <c r="FD134" s="67" t="s">
        <v>1096</v>
      </c>
      <c r="FE134" s="68" t="s">
        <v>1097</v>
      </c>
      <c r="FF134" s="68" t="s">
        <v>1098</v>
      </c>
    </row>
    <row r="135" spans="1:162" ht="13.5" thickBot="1" x14ac:dyDescent="0.25">
      <c r="A135" s="45" t="s">
        <v>14</v>
      </c>
      <c r="B135" s="45" t="str">
        <f>+B83</f>
        <v>250509</v>
      </c>
      <c r="C135" s="45" t="str">
        <f>+C83</f>
        <v>250516</v>
      </c>
      <c r="D135" s="45" t="str">
        <f>+D83</f>
        <v>250620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565.32000000000005</v>
      </c>
      <c r="EV135" s="67" t="s">
        <v>1099</v>
      </c>
      <c r="EW135" s="67">
        <v>488.85</v>
      </c>
      <c r="EX135" s="67" t="s">
        <v>1100</v>
      </c>
      <c r="EY135" s="67">
        <v>5663.94</v>
      </c>
      <c r="EZ135" s="67" t="s">
        <v>1101</v>
      </c>
      <c r="FA135" s="67">
        <v>20063.564999999999</v>
      </c>
      <c r="FB135" s="67" t="s">
        <v>1102</v>
      </c>
      <c r="FC135" s="67" t="s">
        <v>1103</v>
      </c>
      <c r="FD135" s="67" t="s">
        <v>1104</v>
      </c>
      <c r="FE135" s="68" t="s">
        <v>1105</v>
      </c>
      <c r="FF135" s="68" t="s">
        <v>1106</v>
      </c>
    </row>
    <row r="136" spans="1:162" ht="13.5" thickBot="1" x14ac:dyDescent="0.25">
      <c r="A136" s="46">
        <f>+E134</f>
        <v>20061.449000000001</v>
      </c>
      <c r="B136" s="27">
        <f>+AS136/AT136</f>
        <v>-1.3062330623306233</v>
      </c>
      <c r="C136" s="27">
        <f>+AU136/AV136</f>
        <v>-1.5535966149506346</v>
      </c>
      <c r="D136" s="27">
        <f>+AW136/AX136</f>
        <v>-1.043628808864266</v>
      </c>
      <c r="E136" s="28">
        <v>0</v>
      </c>
      <c r="F136" s="47">
        <f>RTD("tos.rtd", ,"MARK", F135)</f>
        <v>20471.75</v>
      </c>
      <c r="G136" s="58">
        <f>RTD("tos.rtd", ,"MARK", G135)</f>
        <v>496.17</v>
      </c>
      <c r="AO136" s="1">
        <v>0</v>
      </c>
      <c r="AP136" s="1">
        <v>7776</v>
      </c>
      <c r="AQ136" s="1">
        <v>-10431</v>
      </c>
      <c r="AS136" s="13">
        <f t="shared" ref="AS136:AX136" si="538">SUM(AS137:AS189)</f>
        <v>964</v>
      </c>
      <c r="AT136" s="29">
        <f t="shared" si="538"/>
        <v>-738</v>
      </c>
      <c r="AU136" s="13">
        <f t="shared" si="538"/>
        <v>2203</v>
      </c>
      <c r="AV136" s="29">
        <f t="shared" si="538"/>
        <v>-1418</v>
      </c>
      <c r="AW136" s="13">
        <f t="shared" si="538"/>
        <v>6028</v>
      </c>
      <c r="AX136" s="29">
        <f t="shared" si="538"/>
        <v>-5776</v>
      </c>
      <c r="AY136" s="29">
        <f>SUM(AY137:AY189)</f>
        <v>1263</v>
      </c>
      <c r="AZ136" s="1">
        <v>0</v>
      </c>
      <c r="BA136" s="13">
        <f t="shared" ref="BA136:BF136" si="539">SUM(BA137:BA189)</f>
        <v>7776</v>
      </c>
      <c r="BB136" s="29">
        <f t="shared" si="539"/>
        <v>-10431</v>
      </c>
      <c r="BC136" s="13">
        <f t="shared" si="539"/>
        <v>297</v>
      </c>
      <c r="BD136" s="29">
        <f t="shared" si="539"/>
        <v>-552</v>
      </c>
      <c r="BE136" s="13">
        <f t="shared" si="539"/>
        <v>175</v>
      </c>
      <c r="BF136" s="29">
        <f t="shared" si="539"/>
        <v>-197</v>
      </c>
      <c r="BG136" s="29"/>
      <c r="BH136" s="29">
        <f ca="1">SUM(BH137:BH189)</f>
        <v>-2910</v>
      </c>
      <c r="BJ136" s="30" t="e">
        <f t="shared" ref="BJ136:BO136" ca="1" si="540">SUM(BJ137:BJ189)</f>
        <v>#NUM!</v>
      </c>
      <c r="BK136" s="31" t="e">
        <f t="shared" ca="1" si="540"/>
        <v>#NUM!</v>
      </c>
      <c r="BL136" s="30">
        <f t="shared" ca="1" si="540"/>
        <v>2.435918683783124E-2</v>
      </c>
      <c r="BM136" s="31">
        <f t="shared" ca="1" si="540"/>
        <v>-2.3220607854633733E-2</v>
      </c>
      <c r="BN136" s="30">
        <f t="shared" ca="1" si="540"/>
        <v>2.7501597344603317E-2</v>
      </c>
      <c r="BO136" s="31">
        <f t="shared" ca="1" si="540"/>
        <v>-2.6672927302009014E-2</v>
      </c>
      <c r="BQ136" s="30" t="e">
        <f ca="1">SUM(BQ137:BQ189)</f>
        <v>#NUM!</v>
      </c>
      <c r="BR136" s="31"/>
      <c r="BS136" s="30">
        <f ca="1">SUM(BS137:BS189)</f>
        <v>12139034.884829931</v>
      </c>
      <c r="BT136" s="31"/>
      <c r="BU136" s="30">
        <f ca="1">SUM(BU137:BU189)</f>
        <v>9928181.9487627707</v>
      </c>
      <c r="BV136" s="31"/>
      <c r="BX136" s="30" t="e">
        <f ca="1">SUM(BX137:BX189)</f>
        <v>#NUM!</v>
      </c>
      <c r="BY136" s="31"/>
      <c r="BZ136" s="30">
        <f ca="1">SUM(BZ137:BZ189)</f>
        <v>-17648.769878993433</v>
      </c>
      <c r="CA136" s="31"/>
      <c r="CB136" s="30">
        <f ca="1">SUM(CB137:CB189)</f>
        <v>-373.7702227635657</v>
      </c>
      <c r="CC136" s="31"/>
      <c r="CD136" s="30">
        <f t="shared" ref="CD136:CI136" si="541">SUM(CD154:CD188)</f>
        <v>31.73</v>
      </c>
      <c r="CE136" s="31">
        <f t="shared" si="541"/>
        <v>4.6599999999999975</v>
      </c>
      <c r="CF136" s="30">
        <f t="shared" si="541"/>
        <v>24.969999999999995</v>
      </c>
      <c r="CG136" s="31">
        <f t="shared" si="541"/>
        <v>10.38</v>
      </c>
      <c r="CH136" s="30">
        <f t="shared" si="541"/>
        <v>21.910000000000004</v>
      </c>
      <c r="CI136" s="31">
        <f t="shared" si="541"/>
        <v>13.209999999999999</v>
      </c>
      <c r="CK136" s="30">
        <f>SUM(CK137:CK188)</f>
        <v>28380</v>
      </c>
      <c r="CL136" s="31"/>
      <c r="CM136" s="30">
        <f>SUM(CM137:CM188)</f>
        <v>69908</v>
      </c>
      <c r="CN136" s="31"/>
      <c r="CO136" s="30">
        <f>SUM(CO137:CO188)</f>
        <v>121711</v>
      </c>
      <c r="CP136" s="31">
        <f t="shared" ref="CP136:CP189" si="542">+CK136+CM136+CO136</f>
        <v>219999</v>
      </c>
      <c r="CQ136" s="30">
        <f>SUM(CQ137:CQ189)</f>
        <v>-2655</v>
      </c>
      <c r="CR136" s="31"/>
      <c r="CS136" s="30">
        <f>SUM(CS137:CS189)</f>
        <v>-255</v>
      </c>
      <c r="CT136" s="31"/>
      <c r="CU136" s="30">
        <f>SUM(CU137:CU189)</f>
        <v>-22</v>
      </c>
      <c r="CV136" s="31"/>
      <c r="CW136" s="31" t="e">
        <f ca="1">SUM(CW137:CW189)</f>
        <v>#NUM!</v>
      </c>
      <c r="CY136" s="31" t="e">
        <f ca="1">SUM(CY137:CY189)</f>
        <v>#NUM!</v>
      </c>
      <c r="DA136" s="30">
        <f t="shared" ref="DA136:DB136" si="543">SUM(DA137:DA189)</f>
        <v>12126.12</v>
      </c>
      <c r="DB136" s="31">
        <f t="shared" si="543"/>
        <v>6312.1900000000005</v>
      </c>
      <c r="DC136" s="30">
        <f t="shared" ref="DC136:DF136" si="544">SUM(DC137:DC189)</f>
        <v>14488.7</v>
      </c>
      <c r="DD136" s="31">
        <f t="shared" si="544"/>
        <v>5737.5000000000018</v>
      </c>
      <c r="DE136" s="30">
        <f t="shared" si="544"/>
        <v>12717.999999999996</v>
      </c>
      <c r="DF136" s="30">
        <f t="shared" si="544"/>
        <v>4730.4000000000015</v>
      </c>
      <c r="DH136" s="30">
        <f t="shared" ref="DH136:DM136" si="545">SUM(DH137:DH189)</f>
        <v>0</v>
      </c>
      <c r="DI136" s="31">
        <f t="shared" si="545"/>
        <v>0</v>
      </c>
      <c r="DJ136" s="30">
        <f t="shared" si="545"/>
        <v>0</v>
      </c>
      <c r="DK136" s="31">
        <f t="shared" si="545"/>
        <v>0</v>
      </c>
      <c r="DL136" s="30">
        <f t="shared" si="545"/>
        <v>0</v>
      </c>
      <c r="DM136" s="30">
        <f t="shared" si="545"/>
        <v>0</v>
      </c>
      <c r="DP136" s="30">
        <f>SUM(DP137:DP189)</f>
        <v>0</v>
      </c>
      <c r="DQ136" s="31">
        <f>SUM(DQ137:DQ189)</f>
        <v>0</v>
      </c>
      <c r="DR136" s="30" t="e">
        <f ca="1">SUM(DR137:DR189)</f>
        <v>#NUM!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6">SUM(EE137:EE189)</f>
        <v>36.562299999999993</v>
      </c>
      <c r="EF136" s="31">
        <f t="shared" si="546"/>
        <v>65.27</v>
      </c>
      <c r="EG136" s="30">
        <f t="shared" si="546"/>
        <v>14.662800000000001</v>
      </c>
      <c r="EH136" s="31">
        <f t="shared" si="546"/>
        <v>15.677499999999998</v>
      </c>
      <c r="EI136" s="30">
        <f t="shared" si="546"/>
        <v>12.509300000000001</v>
      </c>
      <c r="EJ136" s="30">
        <f t="shared" si="546"/>
        <v>13.083499999999997</v>
      </c>
      <c r="EK136" s="63" t="e">
        <f ca="1">SUM(EK137:EK189)</f>
        <v>#NUM!</v>
      </c>
      <c r="EL136" s="30">
        <f t="shared" ref="EL136:EQ136" si="547">SUM(EL137:EL189)</f>
        <v>0</v>
      </c>
      <c r="EM136" s="31">
        <f t="shared" si="547"/>
        <v>0</v>
      </c>
      <c r="EN136" s="30">
        <f t="shared" si="547"/>
        <v>0</v>
      </c>
      <c r="EO136" s="31">
        <f t="shared" si="547"/>
        <v>0</v>
      </c>
      <c r="EP136" s="30">
        <f t="shared" si="547"/>
        <v>0</v>
      </c>
      <c r="EQ136" s="30">
        <f t="shared" si="547"/>
        <v>0</v>
      </c>
      <c r="EU136" s="67">
        <v>565.41999999999996</v>
      </c>
      <c r="EV136" s="67" t="s">
        <v>1107</v>
      </c>
      <c r="EW136" s="67">
        <v>488.98</v>
      </c>
      <c r="EX136" s="67" t="s">
        <v>1108</v>
      </c>
      <c r="EY136" s="67">
        <v>5663.94</v>
      </c>
      <c r="EZ136" s="67" t="s">
        <v>1109</v>
      </c>
      <c r="FA136" s="67">
        <v>20063.564999999999</v>
      </c>
      <c r="FB136" s="67" t="s">
        <v>1110</v>
      </c>
      <c r="FC136" s="67" t="s">
        <v>1111</v>
      </c>
      <c r="FD136" s="67" t="s">
        <v>1112</v>
      </c>
      <c r="FE136" s="68" t="s">
        <v>1113</v>
      </c>
      <c r="FF136" s="68" t="s">
        <v>1114</v>
      </c>
    </row>
    <row r="137" spans="1:162" ht="11.1" customHeight="1" thickBot="1" x14ac:dyDescent="0.25">
      <c r="A137" s="2">
        <f>ROUND(E133/A133,0)*A133+22*A133</f>
        <v>20550</v>
      </c>
      <c r="B137" s="3">
        <f>+IF($A$1="ABS",AS137-AT137,AS137+AT137)</f>
        <v>38</v>
      </c>
      <c r="C137" s="3">
        <f>+IF($A$1="ABS",AU137-AV137,AU137+AV137)</f>
        <v>20</v>
      </c>
      <c r="D137" s="3">
        <f>+IF($A$1="ABS",AW137-AX137,AW137+AX137)</f>
        <v>25</v>
      </c>
      <c r="E137" s="3">
        <f>SUM(B137:D137)</f>
        <v>83</v>
      </c>
      <c r="F137" s="4">
        <f>+$F$136/$A$136*A137</f>
        <v>20970.292948430593</v>
      </c>
      <c r="G137" s="5">
        <f>+$G$136/$A$136*A137</f>
        <v>508.25309278507245</v>
      </c>
      <c r="AM137" s="1">
        <v>-16</v>
      </c>
      <c r="AN137" s="1">
        <v>0</v>
      </c>
      <c r="AO137" s="1">
        <v>20550</v>
      </c>
      <c r="AP137" s="1">
        <v>61</v>
      </c>
      <c r="AQ137" s="1">
        <v>0</v>
      </c>
      <c r="AS137" s="73">
        <f>IF(RTD("tos.rtd",,AS$83,"."&amp;$B$134&amp;$AS$82&amp;"C"&amp;$A137)="N/A",0,RTD("tos.rtd",,AS$83,"."&amp;$B$134&amp;$AS$82&amp;"C"&amp;$A137))</f>
        <v>35</v>
      </c>
      <c r="AT137" s="28">
        <f>-IF(RTD("tos.rtd",,AT$83,"."&amp;$B$134&amp;$AS$82&amp;"P"&amp;$A137)="N/A",0,RTD("tos.rtd",,AT$83,"."&amp;$B$134&amp;$AS$82&amp;"P"&amp;$A137))</f>
        <v>-3</v>
      </c>
      <c r="AU137" s="73">
        <f>IF(RTD("tos.rtd",,AU$2,"."&amp;$C$134&amp;$AU$134&amp;"C"&amp;$A137)="N/A",0,RTD("tos.rtd",,AU$2,"."&amp;$C$134&amp;$AU$134&amp;"C"&amp;$A137))</f>
        <v>14</v>
      </c>
      <c r="AV137" s="28">
        <f>-IF(RTD("tos.rtd",,AV$2,"."&amp;$C$134&amp;$AU$134&amp;"P"&amp;$A137)="N/A",0,RTD("tos.rtd",,AV$2,"."&amp;$C$134&amp;$AU$134&amp;"P"&amp;$A137))</f>
        <v>-6</v>
      </c>
      <c r="AW137" s="73">
        <f>IF(RTD("tos.rtd",,AW$2,"."&amp;$D$134&amp;$AW$134&amp;"C"&amp;$A137)="N/A",0,RTD("tos.rtd",,AW$2,"."&amp;$D$134&amp;$AW$134&amp;"C"&amp;$A137))</f>
        <v>20</v>
      </c>
      <c r="AX137" s="28">
        <f>-IF(RTD("tos.rtd",,AX$2,"."&amp;$D$134&amp;$AW$134&amp;"P"&amp;$A137)="N/A",0,RTD("tos.rtd",,AX$2,"."&amp;$D$134&amp;$AW$134&amp;"P"&amp;$A137))</f>
        <v>-5</v>
      </c>
      <c r="AY137" s="75">
        <f>SUM(AS137:AX137)</f>
        <v>55</v>
      </c>
      <c r="AZ137" s="8">
        <f t="shared" ref="AZ137:AZ189" si="548">+A137</f>
        <v>20550</v>
      </c>
      <c r="BA137" s="73">
        <f>IF(RTD("tos.rtd",,BA$43,"."&amp;$B$134&amp;$AS$82&amp;"C"&amp;$A137)="N/A",0,RTD("tos.rtd",,BA$43,"."&amp;$B$134&amp;$AS$82&amp;"C"&amp;$A137))</f>
        <v>61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6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0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1</v>
      </c>
      <c r="BH137" s="31">
        <f t="shared" ref="BH137:BH189" ca="1" si="549">SUM(BA137:BG137)</f>
        <v>68</v>
      </c>
      <c r="BJ137" s="3" t="e">
        <f ca="1">IF($BP$1=1,DX137,IF(RTD("tos.rtd",,BJ$43,"."&amp;$B$134&amp;$AS$82&amp;"C"&amp;$A137)="N/A",0,RTD("tos.rtd",,BJ$43,"."&amp;$B$134&amp;$AS$82&amp;"C"&amp;$A137)))</f>
        <v>#NUM!</v>
      </c>
      <c r="BK137" s="3" t="e">
        <f ca="1">IF($BP$1=1,DY137,-IF(RTD("tos.rtd",,BK$43,"."&amp;$B$134&amp;$AS$82&amp;"P"&amp;$A137)="N/A",0,RTD("tos.rtd",,BK$43,"."&amp;$B$134&amp;$AS$82&amp;"P"&amp;$A137)))</f>
        <v>#NUM!</v>
      </c>
      <c r="BL137" s="3">
        <f ca="1">IF($BP$1=1,DZ137,IF(RTD("tos.rtd",,BL$2,"."&amp;$C$134&amp;$AU$82&amp;"C"&amp;$A137)="N/A",0,RTD("tos.rtd",,BL$2,"."&amp;$C$134&amp;$AU$82&amp;"C"&amp;$A137)))</f>
        <v>4.5815453853877434E-4</v>
      </c>
      <c r="BM137" s="3">
        <f ca="1">IF($BP$1=1,EA137,-IF(RTD("tos.rtd",,BM$2,"."&amp;$C$134&amp;$AU$82&amp;"P"&amp;$A137)="N/A",0,RTD("tos.rtd",,BM$2,"."&amp;$C$134&amp;$AU$82&amp;"P"&amp;$A137)))</f>
        <v>-4.3771054570292584E-4</v>
      </c>
      <c r="BN137" s="3">
        <f ca="1">IF($BP$1=1,EB137,IF(RTD("tos.rtd",,BN$2,"."&amp;$D$134&amp;$AW$82&amp;"C"&amp;$A137)="N/A",0,RTD("tos.rtd",,BN$2,"."&amp;$D$134&amp;$AW$82&amp;"C"&amp;$A137)))</f>
        <v>5.0101902103367687E-4</v>
      </c>
      <c r="BO137" s="3">
        <f ca="1">IF($BP$1=1,EC137,-IF(RTD("tos.rtd",,BO$2,"."&amp;$D$134&amp;$AW$82&amp;"P"&amp;$A137)="N/A",0,RTD("tos.rtd",,BO$2,"."&amp;$D$134&amp;$AW$82&amp;"P"&amp;$A137)))</f>
        <v>-4.9179672763351244E-4</v>
      </c>
      <c r="BQ137" s="3" t="e">
        <f ca="1">+$A$84*$A$84*AS137*BJ137-$A$84*$A$84*AT137*BK137</f>
        <v>#NUM!</v>
      </c>
      <c r="BR137" s="3" t="e">
        <f t="shared" ref="BR137:BR188" ca="1" si="550">IF(AND(BQ137&lt;0,BQ136&gt;0), "Cruce -", IF(AND(BQ137&gt;0,BQ136&lt;0),"Cruce +", ""))</f>
        <v>#NUM!</v>
      </c>
      <c r="BS137" s="3">
        <f ca="1">+$A$84*$A$84*AU137*BL137-$A$84*$A$84*AV137*BM137</f>
        <v>121343.7986577464</v>
      </c>
      <c r="BT137" s="3" t="str">
        <f t="shared" ref="BT137:BV188" ca="1" si="551">IF(AND(BS137&lt;0,BS136&gt;0), "Cruce -", IF(AND(BS137&gt;0,BS136&lt;0),"Cruce +", ""))</f>
        <v/>
      </c>
      <c r="BU137" s="3">
        <f ca="1">+$A$84*$A$84*AW137*BN137-$A$84*$A$84*AX137*BO137</f>
        <v>242226.17927585373</v>
      </c>
      <c r="BV137" s="3"/>
      <c r="BX137" s="3" t="e">
        <f ca="1">+$A$44*$A$44*BA137*BJ137-$A$44*$A$44*BB137*BK137</f>
        <v>#NUM!</v>
      </c>
      <c r="BY137" s="3"/>
      <c r="BZ137" s="3">
        <f ca="1">+$A$44*$A$44*BC137*BL137-$A$44*$A$44*BD137*BM137</f>
        <v>676.74374025120278</v>
      </c>
      <c r="CA137" s="3"/>
      <c r="CB137" s="3">
        <f ca="1">+$A$44*$A$44*BE137*BN137-$A$44*$A$44*BF137*BO137</f>
        <v>0</v>
      </c>
      <c r="CC137" s="3"/>
      <c r="CD137" s="3">
        <f>IF(RTD("tos.rtd",,CD$43,"."&amp;$B$134&amp;$AS$82&amp;"C"&amp;$A137)="N/A",0,RTD("tos.rtd",,CD$43,"."&amp;$B$134&amp;$AS$82&amp;"C"&amp;$A137))</f>
        <v>7.0000000000000007E-2</v>
      </c>
      <c r="CE137" s="3">
        <f>-IF(RTD("tos.rtd",,CE$43,"."&amp;$B$134&amp;$AS$82&amp;"P"&amp;$A137)="N/A",0,RTD("tos.rtd",,CE$43,"."&amp;$B$134&amp;$AS$82&amp;"P"&amp;$A137))</f>
        <v>1</v>
      </c>
      <c r="CF137" s="3">
        <f>IF(RTD("tos.rtd",,CF$2,"."&amp;$C$134&amp;$AU$82&amp;"C"&amp;$A137)="N/A",0,RTD("tos.rtd",,CF$2,"."&amp;$C$134&amp;$AU$82&amp;"C"&amp;$A137))</f>
        <v>0.21</v>
      </c>
      <c r="CG137" s="3">
        <f>-IF(RTD("tos.rtd",,CG$2,"."&amp;$C$134&amp;$AU$82&amp;"P"&amp;$A137)="N/A",0,RTD("tos.rtd",,CG$2,"."&amp;$C$134&amp;$AU$82&amp;"P"&amp;$A137))</f>
        <v>0.77</v>
      </c>
      <c r="CH137" s="3">
        <f>IF(RTD("tos.rtd",,CH$2,"."&amp;$D$134&amp;$AW$82&amp;"C"&amp;$A137)="N/A",0,RTD("tos.rtd",,CH$2,"."&amp;$D$134&amp;$AW$82&amp;"C"&amp;$A137))</f>
        <v>0.41</v>
      </c>
      <c r="CI137" s="3">
        <f>-IF(RTD("tos.rtd",,CI$2,"."&amp;$D$134&amp;$AW$82&amp;"P"&amp;$A137)="N/A",0,RTD("tos.rtd",,CI$2,"."&amp;$D$134&amp;$AW$82&amp;"P"&amp;$A137))</f>
        <v>0.59</v>
      </c>
      <c r="CK137" s="3">
        <f>+AS137*CD137*100+AT137*CE137*100</f>
        <v>-54.999999999999972</v>
      </c>
      <c r="CL137" s="3"/>
      <c r="CM137" s="3">
        <f>+AU137*CF137*100+AV137*CG137*100</f>
        <v>-168</v>
      </c>
      <c r="CN137" s="3"/>
      <c r="CO137" s="3">
        <f>+AW137*CH137*100+AX137*CI137*100</f>
        <v>524.99999999999989</v>
      </c>
      <c r="CP137" s="3">
        <f t="shared" si="542"/>
        <v>301.99999999999989</v>
      </c>
      <c r="CQ137" s="3">
        <f t="shared" ref="CQ137:CQ189" si="552">+BA137+BB137</f>
        <v>61</v>
      </c>
      <c r="CR137" s="3"/>
      <c r="CS137" s="3">
        <f t="shared" ref="CS137:CS189" si="553">+BC137+BD137</f>
        <v>6</v>
      </c>
      <c r="CT137" s="3"/>
      <c r="CU137" s="3">
        <f t="shared" ref="CU137:CU189" si="554">+BE137+BF137</f>
        <v>0</v>
      </c>
      <c r="CV137" s="3"/>
      <c r="CW137" s="3" t="e">
        <f t="shared" ref="CW137:CW189" ca="1" si="555">+BQ137+BS137+BU137</f>
        <v>#NUM!</v>
      </c>
      <c r="CY137" s="3" t="e">
        <f t="shared" ref="CY137:CY189" ca="1" si="556">+BX137+BZ137+CB137</f>
        <v>#NUM!</v>
      </c>
      <c r="DA137" s="3">
        <f>IF(RTD("tos.rtd",,DA$43,"."&amp;$B$134&amp;$AS$82&amp;"C"&amp;$A137)="N/A",0,RTD("tos.rtd",,DA$43,"."&amp;$B$134&amp;$AS$82&amp;"C"&amp;$A137))</f>
        <v>0.32</v>
      </c>
      <c r="DB137" s="3">
        <f>IF(RTD("tos.rtd",,DB$43,"."&amp;$B$134&amp;$AS$82&amp;"P"&amp;$A137)="N/A",0,RTD("tos.rtd",,DB$43,"."&amp;$B$134&amp;$AS$82&amp;"P"&amp;$A137))</f>
        <v>344.11</v>
      </c>
      <c r="DC137" s="3">
        <f>IF(RTD("tos.rtd",,DC$43,"."&amp;$B$134&amp;$AS$82&amp;"C"&amp;$A137)="N/A",0,RTD("tos.rtd",,DC$43,"."&amp;$B$134&amp;$AS$82&amp;"C"&amp;$A137))</f>
        <v>19.8</v>
      </c>
      <c r="DD137" s="3">
        <f>IF(RTD("tos.rtd",,DD$43,"."&amp;$B$134&amp;$AS$82&amp;"P"&amp;$A137)="N/A",0,RTD("tos.rtd",,DD$43,"."&amp;$B$134&amp;$AS$82&amp;"P"&amp;$A137))</f>
        <v>519.4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454</v>
      </c>
      <c r="DG137" s="86">
        <f>+$A137-$A$136</f>
        <v>488.55099999999948</v>
      </c>
      <c r="DH137" s="3">
        <f t="shared" ref="DH137:DH189" si="557">((DA137-DE137)/(DC137-DE137))*(BA137-AP137)</f>
        <v>0</v>
      </c>
      <c r="DI137" s="3">
        <f t="shared" ref="DI137:DI189" si="558">((DB137-DF137)/(DD137-DF137))*(BB137-AQ137)</f>
        <v>0</v>
      </c>
      <c r="DJ137" s="3">
        <f t="shared" ref="DJ137:DJ188" si="559">IF(DA137&gt;=(DE137+(DC137-DE137)*0.6),(BA137-AP137),IF(DA137&lt;=(DE137+(DC137-DE137)*0.4),-(BA137-AP137),0))</f>
        <v>0</v>
      </c>
      <c r="DK137" s="3">
        <f t="shared" ref="DK137:DK188" si="560">IF(DB137&lt;=(DF137+(DD137-DF137)*0.4),-(BB137-AQ137),IF(DB137&gt;=(DF137+(DD137-DF137)*0.6),(BB137-AQ137),0))</f>
        <v>0</v>
      </c>
      <c r="DL137" s="3">
        <f t="shared" ref="DL137:DL189" si="561">+DH137+DI137</f>
        <v>0</v>
      </c>
      <c r="DM137" s="3">
        <f t="shared" ref="DM137:DM189" si="562">+DJ137+DK137</f>
        <v>0</v>
      </c>
      <c r="DN137" s="64" t="str">
        <f t="shared" ref="DN137:DN189" si="563">IF(AND(DA137&gt;=(DE137+(DC137-DE137)*0.6),BA137&gt;AP137),"BUY",IF(AND(DA137&lt;=(DE137+(DC137-DE137)*0.4),BA137&gt;AP137),"SELL","UNKNOWN"))</f>
        <v>UNKNOWN</v>
      </c>
      <c r="DO137" s="64" t="str">
        <f t="shared" ref="DO137:DO189" si="564">IF(AND(DB137&gt;=(DF137+(DD137-DF137)*0.6),ABS(BB137)&gt;ABS(AQ137)),"BUY",IF(AND(DB137&lt;=(DF137+(DD137-DF137)*0.4),ABS(BB137)&gt;ABS(AQ137)),"SELL","UNKNOWN"))</f>
        <v>UNKNOWN</v>
      </c>
      <c r="DP137" s="3">
        <f t="shared" ref="DP137:DP189" si="565">+DH137*DA137+DI137*DB137</f>
        <v>0</v>
      </c>
      <c r="DQ137" s="3">
        <f t="shared" ref="DQ137:DQ189" si="566">+DA137*DJ137+DB137*DK137</f>
        <v>0</v>
      </c>
      <c r="DR137" s="3" t="e">
        <f t="shared" ref="DR137:DR189" ca="1" si="567">+BJ137*DJ137+BK137*DK137</f>
        <v>#NUM!</v>
      </c>
      <c r="DS137" s="3">
        <f t="shared" ref="DS137:DS189" si="568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569">AM137+IF(DN137="BUY",DT137,IF(DN137="SELL",-DT137,0))</f>
        <v>-16</v>
      </c>
      <c r="DW137" s="3">
        <f t="shared" ref="DW137:DW189" si="570">AN137+IF(DO137="BUY",DU137,IF(DO137="SELL",-DU137,0))</f>
        <v>0</v>
      </c>
      <c r="DX137" s="3" t="e">
        <f t="shared" ref="DX137:DX168" ca="1" si="571">(EXP(-POWER((LN($A$136/$A137)+($EC$1+POWER($EE137,2)/2)*($EM$1/$DY$1))/($EE137*SQRT($EM$1/$DY$1)),2)/2)/SQRT(2*PI())/($A$136*$EE137*SQRT($EM$1/$DY$1)))</f>
        <v>#NUM!</v>
      </c>
      <c r="DY137" s="3" t="e">
        <f t="shared" ref="DY137:DY168" ca="1" si="572">-(EXP(-POWER((LN($A$136/$A137)+($EC$1+POWER($EF137,2)/2)*($EM$1/$DY$1))/($EF137*SQRT($EM$1/$DY$1)),2)/2)/SQRT(2*PI())/($A$136*$EF137*SQRT($EM$1/$DY$1)))</f>
        <v>#NUM!</v>
      </c>
      <c r="DZ137" s="3">
        <f t="shared" ref="DZ137:DZ168" ca="1" si="573">(EXP(-POWER((LN($A$136/$A137)+($EC$1+POWER($EG137,2)/2)*($EO$1/$DY$1))/($EG137*SQRT($EO$1/$DY$1)),2)/2)/SQRT(2*PI())/($A$136*$EG137*SQRT($EO$1/$DY$1)))</f>
        <v>4.5815453853877434E-4</v>
      </c>
      <c r="EA137" s="3">
        <f t="shared" ref="EA137:EA168" ca="1" si="574">-(EXP(-POWER((LN($A$136/$A137)+($EC$1+POWER($EH137,2)/2)*($EO$1/$DY$1))/($EH137*SQRT($EO$1/$DY$1)),2)/2)/SQRT(2*PI())/($A$136*$EH137*SQRT($EO$1/$DY$1)))</f>
        <v>-4.3771054570292584E-4</v>
      </c>
      <c r="EB137" s="3">
        <f t="shared" ref="EB137:EB168" ca="1" si="575">(EXP(-POWER((LN($A$136/$A137)+($EC$1+POWER($EI137,2)/2)*($EO$1/$DY$1))/($EI137*SQRT($EO$1/$DY$1)),2)/2)/SQRT(2*PI())/($A$136*$EI137*SQRT($EO$1/$DY$1)))</f>
        <v>5.0101902103367687E-4</v>
      </c>
      <c r="EC137" s="3">
        <f t="shared" ref="EC137:EC168" ca="1" si="576">-(EXP(-POWER((LN($A$136/$A137)+($EC$1+POWER($EJ137,2)/2)*($EO$1/$DY$1))/($EJ137*SQRT($EO$1/$DY$1)),2)/2)/SQRT(2*PI())/($A$136*$EJ137*SQRT($EO$1/$DY$1)))</f>
        <v>-4.9179672763351244E-4</v>
      </c>
      <c r="ED137" s="63">
        <f>+DV137+DW137</f>
        <v>-16</v>
      </c>
      <c r="EE137" s="59">
        <f t="shared" ref="EE137:EE189" si="577">IFERROR(VALUE(IF(OR(EL137="--",EL137="0.00%"),$EE$1,EL137)),$EE$1)</f>
        <v>2.1414</v>
      </c>
      <c r="EF137" s="59">
        <f t="shared" ref="EF137:EF189" si="578">IFERROR(VALUE(IF(OR(EM137="--",EM137="0.00%"),$EE$1,EM137)),$EE$1)</f>
        <v>0.25</v>
      </c>
      <c r="EG137" s="59">
        <f t="shared" ref="EG137:EG189" si="579">IFERROR(VALUE(IF(OR(EN137="--",EN137="0.00%"),$EE$1,EN137)),$EE$1)</f>
        <v>0.26069999999999999</v>
      </c>
      <c r="EH137" s="59">
        <f t="shared" ref="EH137:EH189" si="580">IFERROR(VALUE(IF(OR(EO137="--",EO137="0.00%"),$EE$1,EO137)),$EE$1)</f>
        <v>0.28139999999999998</v>
      </c>
      <c r="EI137" s="59">
        <f t="shared" ref="EI137:EI189" si="581">IFERROR(VALUE(IF(OR(EP137="--",EP137="0.00%"),$EE$1,EP137)),$EE$1)</f>
        <v>0.2157</v>
      </c>
      <c r="EJ137" s="59">
        <f t="shared" ref="EJ137:EJ189" si="582">IFERROR(VALUE(IF(OR(EQ137="--",EQ137="0.00%"),$EE$1,EQ137)),$EE$1)</f>
        <v>0.2261</v>
      </c>
      <c r="EK137" s="63" t="e">
        <f ca="1">+DV137*DX137*$A$136*$A$136+DW137*DY137*$A$136*$A$136</f>
        <v>#NUM!</v>
      </c>
      <c r="EL137" s="3" t="str">
        <f>RTD("tos.rtd",,EL$43,"."&amp;$B$134&amp;$AS$82&amp;"C"&amp;$A137)</f>
        <v>214.14%</v>
      </c>
      <c r="EM137" s="3" t="str">
        <f>RTD("tos.rtd",,EM$43,"."&amp;$B$134&amp;$AS$82&amp;"P"&amp;$A137)</f>
        <v>--</v>
      </c>
      <c r="EN137" s="3" t="str">
        <f>RTD("tos.rtd",,EN$2,"."&amp;$C$134&amp;$AU$82&amp;"C"&amp;$A137)</f>
        <v>26.07%</v>
      </c>
      <c r="EO137" s="3" t="str">
        <f>RTD("tos.rtd",,EO$2,"."&amp;$C$134&amp;$AU$82&amp;"P"&amp;$A137)</f>
        <v>28.14%</v>
      </c>
      <c r="EP137" s="3" t="str">
        <f>RTD("tos.rtd",,EP$2,"."&amp;$D$134&amp;$AW$82&amp;"C"&amp;$A137)</f>
        <v>21.57%</v>
      </c>
      <c r="EQ137" s="3" t="str">
        <f>RTD("tos.rtd",,EQ$2,"."&amp;$D$134&amp;$AW$82&amp;"P"&amp;$A137)</f>
        <v>22.61%</v>
      </c>
      <c r="ES137" s="63" t="str">
        <f t="shared" ref="ES137:ES189" si="583">IFERROR(
    A137 &amp; "," &amp; TEXT(IF(ISNUMBER(DV137+DW137), DV137+DW137, 0), "00.00"),    "Error"
)</f>
        <v>20550,-16.00</v>
      </c>
      <c r="ET137" s="63" t="str">
        <f t="shared" ref="ET137:ET189" ca="1" si="584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IF(ISNUMBER(EK137), (EK137),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IF(ISNUMBER(EK137), (EK137), 0)
        )))),
    "00.00")
)</f>
        <v>20550,00.00</v>
      </c>
      <c r="EU137" s="67">
        <v>565.39</v>
      </c>
      <c r="EV137" s="67" t="s">
        <v>1115</v>
      </c>
      <c r="EW137" s="67">
        <v>488.95</v>
      </c>
      <c r="EX137" s="67" t="s">
        <v>1116</v>
      </c>
      <c r="EY137" s="67">
        <v>5663.94</v>
      </c>
      <c r="EZ137" s="67" t="s">
        <v>1117</v>
      </c>
      <c r="FA137" s="67">
        <v>20063.564999999999</v>
      </c>
      <c r="FB137" s="67" t="s">
        <v>1118</v>
      </c>
      <c r="FC137" s="67" t="s">
        <v>1119</v>
      </c>
      <c r="FD137" s="67" t="s">
        <v>1120</v>
      </c>
      <c r="FE137" s="68" t="s">
        <v>1121</v>
      </c>
      <c r="FF137" s="68" t="s">
        <v>1122</v>
      </c>
    </row>
    <row r="138" spans="1:162" ht="11.1" customHeight="1" thickBot="1" x14ac:dyDescent="0.25">
      <c r="A138" s="2">
        <f>+A137-$A$133</f>
        <v>20525</v>
      </c>
      <c r="B138" s="3">
        <f>+IF($A$1="ABS",AS138-AT138,AS138+AT138)</f>
        <v>8</v>
      </c>
      <c r="C138" s="3">
        <f>+IF($A$1="ABS",AU138-AV138,AU138+AV138)</f>
        <v>13</v>
      </c>
      <c r="D138" s="3">
        <f>+IF($A$1="ABS",AW138-AX138,AW138+AX138)</f>
        <v>13</v>
      </c>
      <c r="E138" s="3">
        <f>SUM(B138:D138)</f>
        <v>34</v>
      </c>
      <c r="F138" s="4">
        <f>+$F$136/$A$136*A138</f>
        <v>20944.78164314053</v>
      </c>
      <c r="G138" s="5">
        <f>+$G$136/$A$136*A138</f>
        <v>507.63478002012715</v>
      </c>
      <c r="AM138" s="1">
        <v>-3</v>
      </c>
      <c r="AN138" s="1">
        <v>0</v>
      </c>
      <c r="AO138" s="1">
        <v>20525</v>
      </c>
      <c r="AP138" s="1">
        <v>31</v>
      </c>
      <c r="AQ138" s="1">
        <v>0</v>
      </c>
      <c r="AS138" s="54">
        <f>IF(RTD("tos.rtd",,AS$83,"."&amp;$B$134&amp;$AS$82&amp;"C"&amp;$A138)="N/A",0,RTD("tos.rtd",,AS$83,"."&amp;$B$134&amp;$AS$82&amp;"C"&amp;$A138))</f>
        <v>8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7</v>
      </c>
      <c r="AV138" s="3">
        <f>-IF(RTD("tos.rtd",,AV$2,"."&amp;$C$134&amp;$AU$134&amp;"P"&amp;$A138)="N/A",0,RTD("tos.rtd",,AV$2,"."&amp;$C$134&amp;$AU$134&amp;"P"&amp;$A138))</f>
        <v>-6</v>
      </c>
      <c r="AW138" s="54">
        <f>IF(RTD("tos.rtd",,AW$2,"."&amp;$D$134&amp;$AW$134&amp;"C"&amp;$A138)="N/A",0,RTD("tos.rtd",,AW$2,"."&amp;$D$134&amp;$AW$134&amp;"C"&amp;$A138))</f>
        <v>8</v>
      </c>
      <c r="AX138" s="3">
        <f>-IF(RTD("tos.rtd",,AX$2,"."&amp;$D$134&amp;$AW$134&amp;"P"&amp;$A138)="N/A",0,RTD("tos.rtd",,AX$2,"."&amp;$D$134&amp;$AW$134&amp;"P"&amp;$A138))</f>
        <v>-5</v>
      </c>
      <c r="AY138" s="76">
        <f>SUM(AS138:AX138)</f>
        <v>12</v>
      </c>
      <c r="AZ138" s="8">
        <f t="shared" si="548"/>
        <v>20525</v>
      </c>
      <c r="BA138" s="54">
        <f>IF(RTD("tos.rtd",,BA$43,"."&amp;$B$134&amp;$AS$82&amp;"C"&amp;$A138)="N/A",0,RTD("tos.rtd",,BA$43,"."&amp;$B$134&amp;$AS$82&amp;"C"&amp;$A138))</f>
        <v>31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6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0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549"/>
        <v>37</v>
      </c>
      <c r="BI138" s="32"/>
      <c r="BJ138" s="3" t="e">
        <f ca="1">IF($BP$1=1,DX138,IF(RTD("tos.rtd",,BJ$43,"."&amp;$B$134&amp;$AS$82&amp;"C"&amp;$A138)="N/A",0,RTD("tos.rtd",,BJ$43,"."&amp;$B$134&amp;$AS$82&amp;"C"&amp;$A138)))</f>
        <v>#NUM!</v>
      </c>
      <c r="BK138" s="3" t="e">
        <f ca="1">IF($BP$1=1,DY138,-IF(RTD("tos.rtd",,BK$43,"."&amp;$B$134&amp;$AS$82&amp;"P"&amp;$A138)="N/A",0,RTD("tos.rtd",,BK$43,"."&amp;$B$134&amp;$AS$82&amp;"P"&amp;$A138)))</f>
        <v>#NUM!</v>
      </c>
      <c r="BL138" s="3">
        <f ca="1">IF($BP$1=1,DZ138,IF(RTD("tos.rtd",,BL$2,"."&amp;$C$134&amp;$AU$82&amp;"C"&amp;$A138)="N/A",0,RTD("tos.rtd",,BL$2,"."&amp;$C$134&amp;$AU$82&amp;"C"&amp;$A138)))</f>
        <v>4.677858594200498E-4</v>
      </c>
      <c r="BM138" s="3">
        <f ca="1">IF($BP$1=1,EA138,-IF(RTD("tos.rtd",,BM$2,"."&amp;$C$134&amp;$AU$82&amp;"P"&amp;$A138)="N/A",0,RTD("tos.rtd",,BM$2,"."&amp;$C$134&amp;$AU$82&amp;"P"&amp;$A138)))</f>
        <v>-4.4878807525765101E-4</v>
      </c>
      <c r="BN138" s="3">
        <f ca="1">IF($BP$1=1,EB138,IF(RTD("tos.rtd",,BN$2,"."&amp;$D$134&amp;$AW$82&amp;"C"&amp;$A138)="N/A",0,RTD("tos.rtd",,BN$2,"."&amp;$D$134&amp;$AW$82&amp;"C"&amp;$A138)))</f>
        <v>5.1653386530426987E-4</v>
      </c>
      <c r="BO138" s="3">
        <f ca="1">IF($BP$1=1,EC138,-IF(RTD("tos.rtd",,BO$2,"."&amp;$D$134&amp;$AW$82&amp;"P"&amp;$A138)="N/A",0,RTD("tos.rtd",,BO$2,"."&amp;$D$134&amp;$AW$82&amp;"P"&amp;$A138)))</f>
        <v>-5.0540744478152241E-4</v>
      </c>
      <c r="BQ138" s="3" t="e">
        <f ca="1">+$A$84*$A$84*AS138*BJ138-$A$84*$A$84*AT138*BK138</f>
        <v>#NUM!</v>
      </c>
      <c r="BR138" s="3" t="e">
        <f t="shared" ca="1" si="550"/>
        <v>#NUM!</v>
      </c>
      <c r="BS138" s="3">
        <f ca="1">+$A$84*$A$84*AU138*BL138-$A$84*$A$84*AV138*BM138</f>
        <v>18636.840458738341</v>
      </c>
      <c r="BT138" s="3" t="str">
        <f t="shared" ca="1" si="551"/>
        <v/>
      </c>
      <c r="BU138" s="3">
        <f ca="1">+$A$84*$A$84*AW138*BN138-$A$84*$A$84*AX138*BO138</f>
        <v>51422.989273427389</v>
      </c>
      <c r="BV138" s="3" t="str">
        <f t="shared" ca="1" si="551"/>
        <v/>
      </c>
      <c r="BX138" s="3" t="e">
        <f t="shared" ref="BX138:BX189" ca="1" si="585">+$A$44*$A$44*BA138*BJ138-$A$44*$A$44*BB138*BK138</f>
        <v>#NUM!</v>
      </c>
      <c r="BY138" s="3" t="e">
        <f t="shared" ref="BY138:CC189" ca="1" si="586">IF(AND(BX138&lt;0,BX137&gt;0), "Cruce -", IF(AND(BX138&gt;0,BX137&lt;0),"Cruce +", ""))</f>
        <v>#NUM!</v>
      </c>
      <c r="BZ138" s="3">
        <f t="shared" ref="BZ138:BZ189" ca="1" si="587">+$A$44*$A$44*BC138*BL138-$A$44*$A$44*BD138*BM138</f>
        <v>690.9702415045615</v>
      </c>
      <c r="CA138" s="3" t="str">
        <f t="shared" ca="1" si="586"/>
        <v/>
      </c>
      <c r="CB138" s="3">
        <f t="shared" ref="CB138:CB189" ca="1" si="588">+$A$44*$A$44*BE138*BN138-$A$44*$A$44*BF138*BO138</f>
        <v>0</v>
      </c>
      <c r="CC138" s="3" t="str">
        <f t="shared" ca="1" si="586"/>
        <v/>
      </c>
      <c r="CD138" s="3">
        <f>IF(RTD("tos.rtd",,CD$43,"."&amp;$B$134&amp;$AS$82&amp;"C"&amp;$A138)="N/A",0,RTD("tos.rtd",,CD$43,"."&amp;$B$134&amp;$AS$82&amp;"C"&amp;$A138))</f>
        <v>7.0000000000000007E-2</v>
      </c>
      <c r="CE138" s="3">
        <f>-IF(RTD("tos.rtd",,CE$43,"."&amp;$B$134&amp;$AS$82&amp;"P"&amp;$A138)="N/A",0,RTD("tos.rtd",,CE$43,"."&amp;$B$134&amp;$AS$82&amp;"P"&amp;$A138))</f>
        <v>0.99</v>
      </c>
      <c r="CF138" s="3">
        <f>IF(RTD("tos.rtd",,CF$2,"."&amp;$C$134&amp;$AU$82&amp;"C"&amp;$A138)="N/A",0,RTD("tos.rtd",,CF$2,"."&amp;$C$134&amp;$AU$82&amp;"C"&amp;$A138))</f>
        <v>0.23</v>
      </c>
      <c r="CG138" s="3">
        <f>-IF(RTD("tos.rtd",,CG$2,"."&amp;$C$134&amp;$AU$82&amp;"P"&amp;$A138)="N/A",0,RTD("tos.rtd",,CG$2,"."&amp;$C$134&amp;$AU$82&amp;"P"&amp;$A138))</f>
        <v>0.76</v>
      </c>
      <c r="CH138" s="3">
        <f>IF(RTD("tos.rtd",,CH$2,"."&amp;$D$134&amp;$AW$82&amp;"C"&amp;$A138)="N/A",0,RTD("tos.rtd",,CH$2,"."&amp;$D$134&amp;$AW$82&amp;"C"&amp;$A138))</f>
        <v>0.41</v>
      </c>
      <c r="CI138" s="3">
        <f>-IF(RTD("tos.rtd",,CI$2,"."&amp;$D$134&amp;$AW$82&amp;"P"&amp;$A138)="N/A",0,RTD("tos.rtd",,CI$2,"."&amp;$D$134&amp;$AW$82&amp;"P"&amp;$A138))</f>
        <v>0.57999999999999996</v>
      </c>
      <c r="CK138" s="3">
        <f>+AS138*CD138*100+AT138*CE138*100</f>
        <v>56.000000000000007</v>
      </c>
      <c r="CL138" s="3"/>
      <c r="CM138" s="3">
        <f>+AU138*CF138*100+AV138*CG138*100</f>
        <v>-295.00000000000006</v>
      </c>
      <c r="CN138" s="3"/>
      <c r="CO138" s="3">
        <f>+AW138*CH138*100+AX138*CI138*100</f>
        <v>38</v>
      </c>
      <c r="CP138" s="3">
        <f t="shared" si="542"/>
        <v>-201.00000000000006</v>
      </c>
      <c r="CQ138" s="3">
        <f t="shared" si="552"/>
        <v>31</v>
      </c>
      <c r="CR138" s="3"/>
      <c r="CS138" s="3">
        <f t="shared" si="553"/>
        <v>6</v>
      </c>
      <c r="CT138" s="3"/>
      <c r="CU138" s="3">
        <f t="shared" si="554"/>
        <v>0</v>
      </c>
      <c r="CV138" s="3"/>
      <c r="CW138" s="3" t="e">
        <f t="shared" ca="1" si="555"/>
        <v>#NUM!</v>
      </c>
      <c r="CY138" s="3" t="e">
        <f t="shared" ca="1" si="556"/>
        <v>#NUM!</v>
      </c>
      <c r="CZ138" s="70" t="e">
        <f t="shared" ref="CZ138:CZ189" ca="1" si="589">IF(AND(CY138&lt;0,CY137&gt;0), "Cruce -", IF(AND(CY138&gt;0,CY137&lt;0),"Cruce +", ""))</f>
        <v>#NUM!</v>
      </c>
      <c r="DA138" s="3">
        <f>IF(RTD("tos.rtd",,DA$43,"."&amp;$B$134&amp;$AS$82&amp;"C"&amp;$A138)="N/A",0,RTD("tos.rtd",,DA$43,"."&amp;$B$134&amp;$AS$82&amp;"C"&amp;$A138))</f>
        <v>0.46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19.8</v>
      </c>
      <c r="DD138" s="3">
        <f>IF(RTD("tos.rtd",,DD$43,"."&amp;$B$134&amp;$AS$82&amp;"P"&amp;$A138)="N/A",0,RTD("tos.rtd",,DD$43,"."&amp;$B$134&amp;$AS$82&amp;"P"&amp;$A138))</f>
        <v>501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428</v>
      </c>
      <c r="DG138" s="86">
        <f t="shared" ref="DG138:DG189" si="590">+$A138-$A$136</f>
        <v>463.55099999999948</v>
      </c>
      <c r="DH138" s="3">
        <f t="shared" si="557"/>
        <v>0</v>
      </c>
      <c r="DI138" s="3">
        <f t="shared" si="558"/>
        <v>0</v>
      </c>
      <c r="DJ138" s="3">
        <f t="shared" si="559"/>
        <v>0</v>
      </c>
      <c r="DK138" s="3">
        <f t="shared" si="560"/>
        <v>0</v>
      </c>
      <c r="DL138" s="3">
        <f t="shared" si="561"/>
        <v>0</v>
      </c>
      <c r="DM138" s="3">
        <f t="shared" si="562"/>
        <v>0</v>
      </c>
      <c r="DN138" s="64" t="str">
        <f t="shared" si="563"/>
        <v>UNKNOWN</v>
      </c>
      <c r="DO138" s="64" t="str">
        <f t="shared" si="564"/>
        <v>UNKNOWN</v>
      </c>
      <c r="DP138" s="3">
        <f t="shared" si="565"/>
        <v>0</v>
      </c>
      <c r="DQ138" s="3">
        <f t="shared" si="566"/>
        <v>0</v>
      </c>
      <c r="DR138" s="3" t="e">
        <f t="shared" ca="1" si="567"/>
        <v>#NUM!</v>
      </c>
      <c r="DS138" s="3">
        <f t="shared" si="568"/>
        <v>0</v>
      </c>
      <c r="DT138" s="3">
        <f t="shared" ref="DT138:DT189" si="591">BA138-VLOOKUP(AZ138,$AO$137:$AQ$189,2,FALSE)</f>
        <v>0</v>
      </c>
      <c r="DU138" s="3">
        <f t="shared" ref="DU138:DU189" si="592">BB138-VLOOKUP(AZ138,$AO$137:$AQ$189,3,FALSE)</f>
        <v>0</v>
      </c>
      <c r="DV138" s="3">
        <f t="shared" si="569"/>
        <v>-3</v>
      </c>
      <c r="DW138" s="3">
        <f t="shared" si="570"/>
        <v>0</v>
      </c>
      <c r="DX138" s="3" t="e">
        <f t="shared" ca="1" si="571"/>
        <v>#NUM!</v>
      </c>
      <c r="DY138" s="3" t="e">
        <f t="shared" ca="1" si="572"/>
        <v>#NUM!</v>
      </c>
      <c r="DZ138" s="3">
        <f t="shared" ca="1" si="573"/>
        <v>4.677858594200498E-4</v>
      </c>
      <c r="EA138" s="3">
        <f t="shared" ca="1" si="574"/>
        <v>-4.4878807525765101E-4</v>
      </c>
      <c r="EB138" s="3">
        <f t="shared" ca="1" si="575"/>
        <v>5.1653386530426987E-4</v>
      </c>
      <c r="EC138" s="3">
        <f t="shared" ca="1" si="576"/>
        <v>-5.0540744478152241E-4</v>
      </c>
      <c r="ED138" s="63">
        <f t="shared" ref="ED138:ED189" si="593">+DV138+DW138</f>
        <v>-3</v>
      </c>
      <c r="EE138" s="59">
        <f t="shared" si="577"/>
        <v>2.0577999999999999</v>
      </c>
      <c r="EF138" s="59">
        <f t="shared" si="578"/>
        <v>1.3694999999999999</v>
      </c>
      <c r="EG138" s="59">
        <f t="shared" si="579"/>
        <v>0.26100000000000001</v>
      </c>
      <c r="EH138" s="59">
        <f t="shared" si="580"/>
        <v>0.27860000000000001</v>
      </c>
      <c r="EI138" s="59">
        <f t="shared" si="581"/>
        <v>0.21629999999999999</v>
      </c>
      <c r="EJ138" s="59">
        <f t="shared" si="582"/>
        <v>0.2268</v>
      </c>
      <c r="EK138" s="63" t="e">
        <f t="shared" ref="EK138:EK189" ca="1" si="594">+DV138*DX138*$A$136*$A$136+DW138*DY138*$A$136*$A$136</f>
        <v>#NUM!</v>
      </c>
      <c r="EL138" s="3" t="str">
        <f>RTD("tos.rtd",,EL$43,"."&amp;$B$134&amp;$AS$82&amp;"C"&amp;$A138)</f>
        <v>205.78%</v>
      </c>
      <c r="EM138" s="3" t="str">
        <f>RTD("tos.rtd",,EM$43,"."&amp;$B$134&amp;$AS$82&amp;"P"&amp;$A138)</f>
        <v>136.95%</v>
      </c>
      <c r="EN138" s="3" t="str">
        <f>RTD("tos.rtd",,EN$2,"."&amp;$C$134&amp;$AU$82&amp;"C"&amp;$A138)</f>
        <v>26.10%</v>
      </c>
      <c r="EO138" s="3" t="str">
        <f>RTD("tos.rtd",,EO$2,"."&amp;$C$134&amp;$AU$82&amp;"P"&amp;$A138)</f>
        <v>27.86%</v>
      </c>
      <c r="EP138" s="3" t="str">
        <f>RTD("tos.rtd",,EP$2,"."&amp;$D$134&amp;$AW$82&amp;"C"&amp;$A138)</f>
        <v>21.63%</v>
      </c>
      <c r="EQ138" s="3" t="str">
        <f>RTD("tos.rtd",,EQ$2,"."&amp;$D$134&amp;$AW$82&amp;"P"&amp;$A138)</f>
        <v>22.68%</v>
      </c>
      <c r="ES138" s="63" t="str">
        <f t="shared" si="583"/>
        <v>20525,-03.00</v>
      </c>
      <c r="ET138" s="63" t="str">
        <f t="shared" ca="1" si="584"/>
        <v>20525,00.00</v>
      </c>
      <c r="EU138" s="67">
        <v>565.37</v>
      </c>
      <c r="EV138" s="67" t="s">
        <v>1123</v>
      </c>
      <c r="EW138" s="67">
        <v>488.95</v>
      </c>
      <c r="EX138" s="67" t="s">
        <v>1124</v>
      </c>
      <c r="EY138" s="67">
        <v>5663.94</v>
      </c>
      <c r="EZ138" s="67" t="s">
        <v>1125</v>
      </c>
      <c r="FA138" s="67">
        <v>20063.564999999999</v>
      </c>
      <c r="FB138" s="67" t="s">
        <v>1126</v>
      </c>
      <c r="FC138" s="67" t="s">
        <v>1127</v>
      </c>
      <c r="FD138" s="67" t="s">
        <v>1128</v>
      </c>
      <c r="FE138" s="68" t="s">
        <v>1129</v>
      </c>
      <c r="FF138" s="68" t="s">
        <v>1130</v>
      </c>
    </row>
    <row r="139" spans="1:162" ht="11.1" customHeight="1" thickBot="1" x14ac:dyDescent="0.25">
      <c r="A139" s="2">
        <f t="shared" ref="A139:A189" si="595">+A138-$A$133</f>
        <v>20500</v>
      </c>
      <c r="B139" s="3">
        <f t="shared" ref="B139:B144" si="596">+IF($A$1="ABS",AS139-AT139,AS139+AT139)</f>
        <v>73</v>
      </c>
      <c r="C139" s="3">
        <f t="shared" ref="C139:C144" si="597">+IF($A$1="ABS",AU139-AV139,AU139+AV139)</f>
        <v>345</v>
      </c>
      <c r="D139" s="3">
        <f>+IF($A$1="ABS",AW139-AX139,AW139+AX139)</f>
        <v>406</v>
      </c>
      <c r="E139" s="3">
        <f t="shared" ref="E139:E147" si="598">SUM(B139:D139)</f>
        <v>824</v>
      </c>
      <c r="F139" s="4">
        <f t="shared" ref="F139:F147" si="599">+$F$136/$A$136*A139</f>
        <v>20919.27033785047</v>
      </c>
      <c r="G139" s="5">
        <f t="shared" ref="G139:G147" si="600">+$G$136/$A$136*A139</f>
        <v>507.01646725518179</v>
      </c>
      <c r="AM139" s="1">
        <v>12</v>
      </c>
      <c r="AN139" s="1">
        <v>1</v>
      </c>
      <c r="AO139" s="1">
        <v>20500</v>
      </c>
      <c r="AP139" s="1">
        <v>239</v>
      </c>
      <c r="AQ139" s="1">
        <v>-7</v>
      </c>
      <c r="AS139" s="54">
        <f>IF(RTD("tos.rtd",,AS$83,"."&amp;$B$134&amp;$AS$82&amp;"C"&amp;$A139)="N/A",0,RTD("tos.rtd",,AS$83,"."&amp;$B$134&amp;$AS$82&amp;"C"&amp;$A139))</f>
        <v>63</v>
      </c>
      <c r="AT139" s="3">
        <f>-IF(RTD("tos.rtd",,AT$83,"."&amp;$B$134&amp;$AS$82&amp;"P"&amp;$A139)="N/A",0,RTD("tos.rtd",,AT$83,"."&amp;$B$134&amp;$AS$82&amp;"P"&amp;$A139))</f>
        <v>-10</v>
      </c>
      <c r="AU139" s="54">
        <f>IF(RTD("tos.rtd",,AU$2,"."&amp;$C$134&amp;$AU$134&amp;"C"&amp;$A139)="N/A",0,RTD("tos.rtd",,AU$2,"."&amp;$C$134&amp;$AU$134&amp;"C"&amp;$A139))</f>
        <v>207</v>
      </c>
      <c r="AV139" s="3">
        <f>-IF(RTD("tos.rtd",,AV$2,"."&amp;$C$134&amp;$AU$134&amp;"P"&amp;$A139)="N/A",0,RTD("tos.rtd",,AV$2,"."&amp;$C$134&amp;$AU$134&amp;"P"&amp;$A139))</f>
        <v>-138</v>
      </c>
      <c r="AW139" s="54">
        <f>IF(RTD("tos.rtd",,AW$2,"."&amp;$D$134&amp;$AW$134&amp;"C"&amp;$A139)="N/A",0,RTD("tos.rtd",,AW$2,"."&amp;$D$134&amp;$AW$134&amp;"C"&amp;$A139))</f>
        <v>322</v>
      </c>
      <c r="AX139" s="3">
        <f>-IF(RTD("tos.rtd",,AX$2,"."&amp;$D$134&amp;$AW$134&amp;"P"&amp;$A139)="N/A",0,RTD("tos.rtd",,AX$2,"."&amp;$D$134&amp;$AW$134&amp;"P"&amp;$A139))</f>
        <v>-84</v>
      </c>
      <c r="AY139" s="76">
        <f t="shared" ref="AY139:AY147" si="601">SUM(AS139:AX139)</f>
        <v>360</v>
      </c>
      <c r="AZ139" s="8">
        <f t="shared" si="548"/>
        <v>20500</v>
      </c>
      <c r="BA139" s="54">
        <f>IF(RTD("tos.rtd",,BA$43,"."&amp;$B$134&amp;$AS$82&amp;"C"&amp;$A139)="N/A",0,RTD("tos.rtd",,BA$43,"."&amp;$B$134&amp;$AS$82&amp;"C"&amp;$A139))</f>
        <v>239</v>
      </c>
      <c r="BB139" s="3">
        <f>-IF(RTD("tos.rtd",,BB$43,"."&amp;$B$134&amp;$AS$82&amp;"P"&amp;$A139)="N/A",0,RTD("tos.rtd",,BB$43,"."&amp;$B$134&amp;$AS$82&amp;"P"&amp;$A139))</f>
        <v>-7</v>
      </c>
      <c r="BC139" s="54">
        <f>IF(RTD("tos.rtd",,BC$2,"."&amp;$C$134&amp;$AU$82&amp;"C"&amp;$A139)="N/A",0,RTD("tos.rtd",,BC$2,"."&amp;$C$134&amp;$AU$82&amp;"C"&amp;$A139))</f>
        <v>61</v>
      </c>
      <c r="BD139" s="3">
        <f>-IF(RTD("tos.rtd",,BD$2,"."&amp;$C$134&amp;$AU$82&amp;"P"&amp;$A139)="N/A",0,RTD("tos.rtd",,BD$2,"."&amp;$C$134&amp;$AU$82&amp;"P"&amp;$A139))</f>
        <v>0</v>
      </c>
      <c r="BE139" s="54">
        <f>IF(RTD("tos.rtd",,BE$2,"."&amp;$D$134&amp;$AW$82&amp;"C"&amp;$A139)="N/A",0,RTD("tos.rtd",,BE$2,"."&amp;$D$134&amp;$AW$82&amp;"C"&amp;$A139))</f>
        <v>0</v>
      </c>
      <c r="BF139" s="3">
        <f>-IF(RTD("tos.rtd",,BF$2,"."&amp;$D$134&amp;$AW$82&amp;"P"&amp;$A139)="N/A",0,RTD("tos.rtd",,BF$2,"."&amp;$D$134&amp;$AW$82&amp;"P"&amp;$A139))</f>
        <v>-4</v>
      </c>
      <c r="BG139" s="3">
        <f ca="1">+Hoja2!Y140</f>
        <v>56</v>
      </c>
      <c r="BH139" s="7">
        <f t="shared" ca="1" si="549"/>
        <v>345</v>
      </c>
      <c r="BI139" s="32" t="str">
        <f ca="1">IF(AND(BH139&lt;0,BH138&gt;0), "Cruce -", IF(AND(BH139&gt;0,BH138&lt;0),"Cruce +", ""))</f>
        <v/>
      </c>
      <c r="BJ139" s="3" t="e">
        <f ca="1">IF($BP$1=1,DX139,IF(RTD("tos.rtd",,BJ$43,"."&amp;$B$134&amp;$AS$82&amp;"C"&amp;$A139)="N/A",0,RTD("tos.rtd",,BJ$43,"."&amp;$B$134&amp;$AS$82&amp;"C"&amp;$A139)))</f>
        <v>#NUM!</v>
      </c>
      <c r="BK139" s="3" t="e">
        <f ca="1">IF($BP$1=1,DY139,-IF(RTD("tos.rtd",,BK$43,"."&amp;$B$134&amp;$AS$82&amp;"P"&amp;$A139)="N/A",0,RTD("tos.rtd",,BK$43,"."&amp;$B$134&amp;$AS$82&amp;"P"&amp;$A139)))</f>
        <v>#NUM!</v>
      </c>
      <c r="BL139" s="3">
        <f ca="1">IF($BP$1=1,DZ139,IF(RTD("tos.rtd",,BL$2,"."&amp;$C$134&amp;$AU$82&amp;"C"&amp;$A139)="N/A",0,RTD("tos.rtd",,BL$2,"."&amp;$C$134&amp;$AU$82&amp;"C"&amp;$A139)))</f>
        <v>4.7642236565393736E-4</v>
      </c>
      <c r="BM139" s="3">
        <f ca="1">IF($BP$1=1,EA139,-IF(RTD("tos.rtd",,BM$2,"."&amp;$C$134&amp;$AU$82&amp;"P"&amp;$A139)="N/A",0,RTD("tos.rtd",,BM$2,"."&amp;$C$134&amp;$AU$82&amp;"P"&amp;$A139)))</f>
        <v>-4.5534006261906498E-4</v>
      </c>
      <c r="BN139" s="3">
        <f ca="1">IF($BP$1=1,EB139,IF(RTD("tos.rtd",,BN$2,"."&amp;$D$134&amp;$AW$82&amp;"C"&amp;$A139)="N/A",0,RTD("tos.rtd",,BN$2,"."&amp;$D$134&amp;$AW$82&amp;"C"&amp;$A139)))</f>
        <v>5.3132132690707722E-4</v>
      </c>
      <c r="BO139" s="3">
        <f ca="1">IF($BP$1=1,EC139,-IF(RTD("tos.rtd",,BO$2,"."&amp;$D$134&amp;$AW$82&amp;"P"&amp;$A139)="N/A",0,RTD("tos.rtd",,BO$2,"."&amp;$D$134&amp;$AW$82&amp;"P"&amp;$A139)))</f>
        <v>-5.1828897976032506E-4</v>
      </c>
      <c r="BQ139" s="3" t="e">
        <f t="shared" ref="BQ139:BQ147" ca="1" si="602">+$A$84*$A$84*AS139*BJ139-$A$84*$A$84*AT139*BK139</f>
        <v>#NUM!</v>
      </c>
      <c r="BR139" s="3" t="e">
        <f t="shared" ca="1" si="550"/>
        <v>#NUM!</v>
      </c>
      <c r="BS139" s="3">
        <f t="shared" ref="BS139:BS147" ca="1" si="603">+$A$84*$A$84*AU139*BL139-$A$84*$A$84*AV139*BM139</f>
        <v>1146277.4356810015</v>
      </c>
      <c r="BT139" s="3" t="str">
        <f t="shared" ca="1" si="551"/>
        <v/>
      </c>
      <c r="BU139" s="3">
        <f t="shared" ref="BU139:BU147" ca="1" si="604">+$A$84*$A$84*AW139*BN139-$A$84*$A$84*AX139*BO139</f>
        <v>4085984.9800396524</v>
      </c>
      <c r="BV139" s="3" t="str">
        <f t="shared" ca="1" si="551"/>
        <v/>
      </c>
      <c r="BX139" s="3" t="e">
        <f t="shared" ca="1" si="585"/>
        <v>#NUM!</v>
      </c>
      <c r="BY139" s="3" t="e">
        <f t="shared" ca="1" si="586"/>
        <v>#NUM!</v>
      </c>
      <c r="BZ139" s="3">
        <f t="shared" ca="1" si="587"/>
        <v>7154.560823049228</v>
      </c>
      <c r="CA139" s="3" t="str">
        <f t="shared" ca="1" si="586"/>
        <v/>
      </c>
      <c r="CB139" s="3">
        <f t="shared" ca="1" si="588"/>
        <v>-510.37920350725773</v>
      </c>
      <c r="CC139" s="3" t="str">
        <f t="shared" ca="1" si="586"/>
        <v/>
      </c>
      <c r="CD139" s="3">
        <f>IF(RTD("tos.rtd",,CD$43,"."&amp;$B$134&amp;$AS$82&amp;"C"&amp;$A139)="N/A",0,RTD("tos.rtd",,CD$43,"."&amp;$B$134&amp;$AS$82&amp;"C"&amp;$A139))</f>
        <v>0</v>
      </c>
      <c r="CE139" s="3">
        <f>-IF(RTD("tos.rtd",,CE$43,"."&amp;$B$134&amp;$AS$82&amp;"P"&amp;$A139)="N/A",0,RTD("tos.rtd",,CE$43,"."&amp;$B$134&amp;$AS$82&amp;"P"&amp;$A139))</f>
        <v>1</v>
      </c>
      <c r="CF139" s="3">
        <f>IF(RTD("tos.rtd",,CF$2,"."&amp;$C$134&amp;$AU$82&amp;"C"&amp;$A139)="N/A",0,RTD("tos.rtd",,CF$2,"."&amp;$C$134&amp;$AU$82&amp;"C"&amp;$A139))</f>
        <v>0.24</v>
      </c>
      <c r="CG139" s="3">
        <f>-IF(RTD("tos.rtd",,CG$2,"."&amp;$C$134&amp;$AU$82&amp;"P"&amp;$A139)="N/A",0,RTD("tos.rtd",,CG$2,"."&amp;$C$134&amp;$AU$82&amp;"P"&amp;$A139))</f>
        <v>0.75</v>
      </c>
      <c r="CH139" s="3">
        <f>IF(RTD("tos.rtd",,CH$2,"."&amp;$D$134&amp;$AW$82&amp;"C"&amp;$A139)="N/A",0,RTD("tos.rtd",,CH$2,"."&amp;$D$134&amp;$AW$82&amp;"C"&amp;$A139))</f>
        <v>0.42</v>
      </c>
      <c r="CI139" s="3">
        <f>-IF(RTD("tos.rtd",,CI$2,"."&amp;$D$134&amp;$AW$82&amp;"P"&amp;$A139)="N/A",0,RTD("tos.rtd",,CI$2,"."&amp;$D$134&amp;$AW$82&amp;"P"&amp;$A139))</f>
        <v>0.56999999999999995</v>
      </c>
      <c r="CK139" s="3">
        <f t="shared" ref="CK139:CK147" si="605">+AS139*CD139*100+AT139*CE139*100</f>
        <v>-1000</v>
      </c>
      <c r="CL139" s="3"/>
      <c r="CM139" s="3">
        <f t="shared" ref="CM139:CM147" si="606">+AU139*CF139*100+AV139*CG139*100</f>
        <v>-5382</v>
      </c>
      <c r="CN139" s="3"/>
      <c r="CO139" s="3">
        <f t="shared" ref="CO139:CO147" si="607">+AW139*CH139*100+AX139*CI139*100</f>
        <v>8736</v>
      </c>
      <c r="CP139" s="3">
        <f t="shared" si="542"/>
        <v>2354</v>
      </c>
      <c r="CQ139" s="3">
        <f t="shared" si="552"/>
        <v>232</v>
      </c>
      <c r="CR139" s="3"/>
      <c r="CS139" s="3">
        <f t="shared" si="553"/>
        <v>61</v>
      </c>
      <c r="CT139" s="3"/>
      <c r="CU139" s="3">
        <f t="shared" si="554"/>
        <v>-4</v>
      </c>
      <c r="CV139" s="3"/>
      <c r="CW139" s="3" t="e">
        <f t="shared" ca="1" si="555"/>
        <v>#NUM!</v>
      </c>
      <c r="CY139" s="3" t="e">
        <f t="shared" ca="1" si="556"/>
        <v>#NUM!</v>
      </c>
      <c r="CZ139" s="70" t="e">
        <f t="shared" ca="1" si="589"/>
        <v>#NUM!</v>
      </c>
      <c r="DA139" s="3">
        <f>IF(RTD("tos.rtd",,DA$43,"."&amp;$B$134&amp;$AS$82&amp;"C"&amp;$A139)="N/A",0,RTD("tos.rtd",,DA$43,"."&amp;$B$134&amp;$AS$82&amp;"C"&amp;$A139))</f>
        <v>0.05</v>
      </c>
      <c r="DB139" s="3">
        <f>IF(RTD("tos.rtd",,DB$43,"."&amp;$B$134&amp;$AS$82&amp;"P"&amp;$A139)="N/A",0,RTD("tos.rtd",,DB$43,"."&amp;$B$134&amp;$AS$82&amp;"P"&amp;$A139))</f>
        <v>424.91</v>
      </c>
      <c r="DC139" s="3">
        <f>IF(RTD("tos.rtd",,DC$43,"."&amp;$B$134&amp;$AS$82&amp;"C"&amp;$A139)="N/A",0,RTD("tos.rtd",,DC$43,"."&amp;$B$134&amp;$AS$82&amp;"C"&amp;$A139))</f>
        <v>0.05</v>
      </c>
      <c r="DD139" s="3">
        <f>IF(RTD("tos.rtd",,DD$43,"."&amp;$B$134&amp;$AS$82&amp;"P"&amp;$A139)="N/A",0,RTD("tos.rtd",,DD$43,"."&amp;$B$134&amp;$AS$82&amp;"P"&amp;$A139))</f>
        <v>462.3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412.3</v>
      </c>
      <c r="DG139" s="86">
        <f t="shared" si="590"/>
        <v>438.55099999999948</v>
      </c>
      <c r="DH139" s="3">
        <f t="shared" si="557"/>
        <v>0</v>
      </c>
      <c r="DI139" s="3">
        <f t="shared" si="558"/>
        <v>0</v>
      </c>
      <c r="DJ139" s="3">
        <f t="shared" si="559"/>
        <v>0</v>
      </c>
      <c r="DK139" s="3">
        <f t="shared" si="560"/>
        <v>0</v>
      </c>
      <c r="DL139" s="3">
        <f t="shared" si="561"/>
        <v>0</v>
      </c>
      <c r="DM139" s="3">
        <f t="shared" si="562"/>
        <v>0</v>
      </c>
      <c r="DN139" s="64" t="str">
        <f t="shared" si="563"/>
        <v>UNKNOWN</v>
      </c>
      <c r="DO139" s="64" t="str">
        <f t="shared" si="564"/>
        <v>UNKNOWN</v>
      </c>
      <c r="DP139" s="3">
        <f t="shared" si="565"/>
        <v>0</v>
      </c>
      <c r="DQ139" s="3">
        <f t="shared" si="566"/>
        <v>0</v>
      </c>
      <c r="DR139" s="3" t="e">
        <f t="shared" ca="1" si="567"/>
        <v>#NUM!</v>
      </c>
      <c r="DS139" s="3">
        <f t="shared" si="568"/>
        <v>0</v>
      </c>
      <c r="DT139" s="3">
        <f t="shared" si="591"/>
        <v>0</v>
      </c>
      <c r="DU139" s="3">
        <f t="shared" si="592"/>
        <v>0</v>
      </c>
      <c r="DV139" s="3">
        <f t="shared" si="569"/>
        <v>12</v>
      </c>
      <c r="DW139" s="3">
        <f t="shared" si="570"/>
        <v>1</v>
      </c>
      <c r="DX139" s="3" t="e">
        <f t="shared" ca="1" si="571"/>
        <v>#NUM!</v>
      </c>
      <c r="DY139" s="3" t="e">
        <f t="shared" ca="1" si="572"/>
        <v>#NUM!</v>
      </c>
      <c r="DZ139" s="3">
        <f t="shared" ca="1" si="573"/>
        <v>4.7642236565393736E-4</v>
      </c>
      <c r="EA139" s="3">
        <f t="shared" ca="1" si="574"/>
        <v>-4.5534006261906498E-4</v>
      </c>
      <c r="EB139" s="3">
        <f t="shared" ca="1" si="575"/>
        <v>5.3132132690707722E-4</v>
      </c>
      <c r="EC139" s="3">
        <f t="shared" ca="1" si="576"/>
        <v>-5.1828897976032506E-4</v>
      </c>
      <c r="ED139" s="63">
        <f t="shared" si="593"/>
        <v>13</v>
      </c>
      <c r="EE139" s="59">
        <f t="shared" si="577"/>
        <v>0.89380000000000004</v>
      </c>
      <c r="EF139" s="59">
        <f t="shared" si="578"/>
        <v>0.25</v>
      </c>
      <c r="EG139" s="59">
        <f t="shared" si="579"/>
        <v>0.26179999999999998</v>
      </c>
      <c r="EH139" s="59">
        <f t="shared" si="580"/>
        <v>0.27989999999999998</v>
      </c>
      <c r="EI139" s="59">
        <f t="shared" si="581"/>
        <v>0.217</v>
      </c>
      <c r="EJ139" s="59">
        <f t="shared" si="582"/>
        <v>0.2276</v>
      </c>
      <c r="EK139" s="63" t="e">
        <f t="shared" ca="1" si="594"/>
        <v>#NUM!</v>
      </c>
      <c r="EL139" s="3" t="str">
        <f>RTD("tos.rtd",,EL$43,"."&amp;$B$134&amp;$AS$82&amp;"C"&amp;$A139)</f>
        <v>89.38%</v>
      </c>
      <c r="EM139" s="3" t="str">
        <f>RTD("tos.rtd",,EM$43,"."&amp;$B$134&amp;$AS$82&amp;"P"&amp;$A139)</f>
        <v>--</v>
      </c>
      <c r="EN139" s="3" t="str">
        <f>RTD("tos.rtd",,EN$2,"."&amp;$C$134&amp;$AU$82&amp;"C"&amp;$A139)</f>
        <v>26.18%</v>
      </c>
      <c r="EO139" s="3" t="str">
        <f>RTD("tos.rtd",,EO$2,"."&amp;$C$134&amp;$AU$82&amp;"P"&amp;$A139)</f>
        <v>27.99%</v>
      </c>
      <c r="EP139" s="3" t="str">
        <f>RTD("tos.rtd",,EP$2,"."&amp;$D$134&amp;$AW$82&amp;"C"&amp;$A139)</f>
        <v>21.70%</v>
      </c>
      <c r="EQ139" s="3" t="str">
        <f>RTD("tos.rtd",,EQ$2,"."&amp;$D$134&amp;$AW$82&amp;"P"&amp;$A139)</f>
        <v>22.76%</v>
      </c>
      <c r="ES139" s="63" t="str">
        <f t="shared" si="583"/>
        <v>20500,13.00</v>
      </c>
      <c r="ET139" s="63" t="str">
        <f t="shared" ca="1" si="584"/>
        <v>20500,00.00</v>
      </c>
      <c r="EU139" s="67">
        <v>565.35</v>
      </c>
      <c r="EV139" s="67" t="s">
        <v>1131</v>
      </c>
      <c r="EW139" s="67">
        <v>488.89</v>
      </c>
      <c r="EX139" s="67" t="s">
        <v>1132</v>
      </c>
      <c r="EY139" s="67">
        <v>5663.94</v>
      </c>
      <c r="EZ139" s="67" t="s">
        <v>1133</v>
      </c>
      <c r="FA139" s="67">
        <v>20063.564999999999</v>
      </c>
      <c r="FB139" s="67" t="s">
        <v>1134</v>
      </c>
      <c r="FC139" s="67" t="s">
        <v>1135</v>
      </c>
      <c r="FD139" s="67" t="s">
        <v>1136</v>
      </c>
      <c r="FE139" s="68" t="s">
        <v>1137</v>
      </c>
      <c r="FF139" s="68" t="s">
        <v>1138</v>
      </c>
    </row>
    <row r="140" spans="1:162" ht="11.1" customHeight="1" thickBot="1" x14ac:dyDescent="0.25">
      <c r="A140" s="2">
        <f t="shared" si="595"/>
        <v>20475</v>
      </c>
      <c r="B140" s="3">
        <f t="shared" si="596"/>
        <v>10</v>
      </c>
      <c r="C140" s="3">
        <f t="shared" si="597"/>
        <v>20</v>
      </c>
      <c r="D140" s="3">
        <f t="shared" ref="D140:D144" si="608">+IF($A$1="ABS",AW140-AX140,AW140+AX140)</f>
        <v>72</v>
      </c>
      <c r="E140" s="3">
        <f t="shared" si="598"/>
        <v>102</v>
      </c>
      <c r="F140" s="4">
        <f t="shared" si="599"/>
        <v>20893.759032560407</v>
      </c>
      <c r="G140" s="5">
        <f t="shared" si="600"/>
        <v>506.39815449023644</v>
      </c>
      <c r="AM140" s="1">
        <v>190</v>
      </c>
      <c r="AN140" s="1">
        <v>0</v>
      </c>
      <c r="AO140" s="1">
        <v>20475</v>
      </c>
      <c r="AP140" s="1">
        <v>299</v>
      </c>
      <c r="AQ140" s="1">
        <v>0</v>
      </c>
      <c r="AS140" s="54">
        <f>IF(RTD("tos.rtd",,AS$83,"."&amp;$B$134&amp;$AS$82&amp;"C"&amp;$A140)="N/A",0,RTD("tos.rtd",,AS$83,"."&amp;$B$134&amp;$AS$82&amp;"C"&amp;$A140))</f>
        <v>10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17</v>
      </c>
      <c r="AV140" s="3">
        <f>-IF(RTD("tos.rtd",,AV$2,"."&amp;$C$134&amp;$AU$134&amp;"P"&amp;$A140)="N/A",0,RTD("tos.rtd",,AV$2,"."&amp;$C$134&amp;$AU$134&amp;"P"&amp;$A140))</f>
        <v>-3</v>
      </c>
      <c r="AW140" s="54">
        <f>IF(RTD("tos.rtd",,AW$2,"."&amp;$D$134&amp;$AW$134&amp;"C"&amp;$A140)="N/A",0,RTD("tos.rtd",,AW$2,"."&amp;$D$134&amp;$AW$134&amp;"C"&amp;$A140))</f>
        <v>39</v>
      </c>
      <c r="AX140" s="3">
        <f>-IF(RTD("tos.rtd",,AX$2,"."&amp;$D$134&amp;$AW$134&amp;"P"&amp;$A140)="N/A",0,RTD("tos.rtd",,AX$2,"."&amp;$D$134&amp;$AW$134&amp;"P"&amp;$A140))</f>
        <v>-33</v>
      </c>
      <c r="AY140" s="76">
        <f t="shared" si="601"/>
        <v>30</v>
      </c>
      <c r="AZ140" s="8">
        <f t="shared" si="548"/>
        <v>20475</v>
      </c>
      <c r="BA140" s="54">
        <f>IF(RTD("tos.rtd",,BA$43,"."&amp;$B$134&amp;$AS$82&amp;"C"&amp;$A140)="N/A",0,RTD("tos.rtd",,BA$43,"."&amp;$B$134&amp;$AS$82&amp;"C"&amp;$A140))</f>
        <v>299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13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0</v>
      </c>
      <c r="BH140" s="7">
        <f t="shared" ca="1" si="549"/>
        <v>312</v>
      </c>
      <c r="BI140" s="32" t="str">
        <f t="shared" ref="BI140:BI189" ca="1" si="609">IF(AND(BH140&lt;0,BH139&gt;0), "Cruce -", IF(AND(BH140&gt;0,BH139&lt;0),"Cruce +", ""))</f>
        <v/>
      </c>
      <c r="BJ140" s="3" t="e">
        <f ca="1">IF($BP$1=1,DX140,IF(RTD("tos.rtd",,BJ$43,"."&amp;$B$134&amp;$AS$82&amp;"C"&amp;$A140)="N/A",0,RTD("tos.rtd",,BJ$43,"."&amp;$B$134&amp;$AS$82&amp;"C"&amp;$A140)))</f>
        <v>#NUM!</v>
      </c>
      <c r="BK140" s="3" t="e">
        <f ca="1">IF($BP$1=1,DY140,-IF(RTD("tos.rtd",,BK$43,"."&amp;$B$134&amp;$AS$82&amp;"P"&amp;$A140)="N/A",0,RTD("tos.rtd",,BK$43,"."&amp;$B$134&amp;$AS$82&amp;"P"&amp;$A140)))</f>
        <v>#NUM!</v>
      </c>
      <c r="BL140" s="3">
        <f ca="1">IF($BP$1=1,DZ140,IF(RTD("tos.rtd",,BL$2,"."&amp;$C$134&amp;$AU$82&amp;"C"&amp;$A140)="N/A",0,RTD("tos.rtd",,BL$2,"."&amp;$C$134&amp;$AU$82&amp;"C"&amp;$A140)))</f>
        <v>4.8530851326829294E-4</v>
      </c>
      <c r="BM140" s="3">
        <f ca="1">IF($BP$1=1,EA140,-IF(RTD("tos.rtd",,BM$2,"."&amp;$C$134&amp;$AU$82&amp;"P"&amp;$A140)="N/A",0,RTD("tos.rtd",,BM$2,"."&amp;$C$134&amp;$AU$82&amp;"P"&amp;$A140)))</f>
        <v>-4.6100794583039175E-4</v>
      </c>
      <c r="BN140" s="3">
        <f ca="1">IF($BP$1=1,EB140,IF(RTD("tos.rtd",,BN$2,"."&amp;$D$134&amp;$AW$82&amp;"C"&amp;$A140)="N/A",0,RTD("tos.rtd",,BN$2,"."&amp;$D$134&amp;$AW$82&amp;"C"&amp;$A140)))</f>
        <v>5.4498356234348739E-4</v>
      </c>
      <c r="BO140" s="3">
        <f ca="1">IF($BP$1=1,EC140,-IF(RTD("tos.rtd",,BO$2,"."&amp;$D$134&amp;$AW$82&amp;"P"&amp;$A140)="N/A",0,RTD("tos.rtd",,BO$2,"."&amp;$D$134&amp;$AW$82&amp;"P"&amp;$A140)))</f>
        <v>-5.3062273839075394E-4</v>
      </c>
      <c r="BQ140" s="3" t="e">
        <f t="shared" ca="1" si="602"/>
        <v>#NUM!</v>
      </c>
      <c r="BR140" s="3" t="e">
        <f t="shared" ca="1" si="550"/>
        <v>#NUM!</v>
      </c>
      <c r="BS140" s="3">
        <f t="shared" ca="1" si="603"/>
        <v>219988.54521283275</v>
      </c>
      <c r="BT140" s="3" t="str">
        <f t="shared" ca="1" si="551"/>
        <v/>
      </c>
      <c r="BU140" s="3">
        <f t="shared" ca="1" si="604"/>
        <v>119931.33948709175</v>
      </c>
      <c r="BV140" s="3" t="str">
        <f t="shared" ca="1" si="551"/>
        <v/>
      </c>
      <c r="BX140" s="3" t="e">
        <f t="shared" ca="1" si="585"/>
        <v>#NUM!</v>
      </c>
      <c r="BY140" s="3" t="e">
        <f t="shared" ca="1" si="586"/>
        <v>#NUM!</v>
      </c>
      <c r="BZ140" s="3">
        <f t="shared" ca="1" si="587"/>
        <v>1553.1817034929775</v>
      </c>
      <c r="CA140" s="3" t="str">
        <f t="shared" ca="1" si="586"/>
        <v/>
      </c>
      <c r="CB140" s="3">
        <f t="shared" ca="1" si="588"/>
        <v>0</v>
      </c>
      <c r="CC140" s="3" t="str">
        <f t="shared" ca="1" si="586"/>
        <v/>
      </c>
      <c r="CD140" s="3">
        <f>IF(RTD("tos.rtd",,CD$43,"."&amp;$B$134&amp;$AS$82&amp;"C"&amp;$A140)="N/A",0,RTD("tos.rtd",,CD$43,"."&amp;$B$134&amp;$AS$82&amp;"C"&amp;$A140))</f>
        <v>0.08</v>
      </c>
      <c r="CE140" s="3">
        <f>-IF(RTD("tos.rtd",,CE$43,"."&amp;$B$134&amp;$AS$82&amp;"P"&amp;$A140)="N/A",0,RTD("tos.rtd",,CE$43,"."&amp;$B$134&amp;$AS$82&amp;"P"&amp;$A140))</f>
        <v>0.97</v>
      </c>
      <c r="CF140" s="3">
        <f>IF(RTD("tos.rtd",,CF$2,"."&amp;$C$134&amp;$AU$82&amp;"C"&amp;$A140)="N/A",0,RTD("tos.rtd",,CF$2,"."&amp;$C$134&amp;$AU$82&amp;"C"&amp;$A140))</f>
        <v>0.25</v>
      </c>
      <c r="CG140" s="3">
        <f>-IF(RTD("tos.rtd",,CG$2,"."&amp;$C$134&amp;$AU$82&amp;"P"&amp;$A140)="N/A",0,RTD("tos.rtd",,CG$2,"."&amp;$C$134&amp;$AU$82&amp;"P"&amp;$A140))</f>
        <v>0.73</v>
      </c>
      <c r="CH140" s="3">
        <f>IF(RTD("tos.rtd",,CH$2,"."&amp;$D$134&amp;$AW$82&amp;"C"&amp;$A140)="N/A",0,RTD("tos.rtd",,CH$2,"."&amp;$D$134&amp;$AW$82&amp;"C"&amp;$A140))</f>
        <v>0.43</v>
      </c>
      <c r="CI140" s="3">
        <f>-IF(RTD("tos.rtd",,CI$2,"."&amp;$D$134&amp;$AW$82&amp;"P"&amp;$A140)="N/A",0,RTD("tos.rtd",,CI$2,"."&amp;$D$134&amp;$AW$82&amp;"P"&amp;$A140))</f>
        <v>0.56999999999999995</v>
      </c>
      <c r="CK140" s="3">
        <f t="shared" si="605"/>
        <v>80</v>
      </c>
      <c r="CL140" s="3"/>
      <c r="CM140" s="3">
        <f t="shared" si="606"/>
        <v>206</v>
      </c>
      <c r="CN140" s="3"/>
      <c r="CO140" s="3">
        <f t="shared" si="607"/>
        <v>-203.99999999999977</v>
      </c>
      <c r="CP140" s="3">
        <f t="shared" si="542"/>
        <v>82.000000000000227</v>
      </c>
      <c r="CQ140" s="3">
        <f t="shared" si="552"/>
        <v>299</v>
      </c>
      <c r="CR140" s="3"/>
      <c r="CS140" s="3">
        <f t="shared" si="553"/>
        <v>13</v>
      </c>
      <c r="CT140" s="3"/>
      <c r="CU140" s="3">
        <f t="shared" si="554"/>
        <v>0</v>
      </c>
      <c r="CV140" s="3"/>
      <c r="CW140" s="3" t="e">
        <f t="shared" ca="1" si="555"/>
        <v>#NUM!</v>
      </c>
      <c r="CY140" s="3" t="e">
        <f t="shared" ca="1" si="556"/>
        <v>#NUM!</v>
      </c>
      <c r="CZ140" s="70" t="e">
        <f t="shared" ca="1" si="589"/>
        <v>#NUM!</v>
      </c>
      <c r="DA140" s="3">
        <f>IF(RTD("tos.rtd",,DA$43,"."&amp;$B$134&amp;$AS$82&amp;"C"&amp;$A140)="N/A",0,RTD("tos.rtd",,DA$43,"."&amp;$B$134&amp;$AS$82&amp;"C"&amp;$A140))</f>
        <v>0.65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19.8</v>
      </c>
      <c r="DD140" s="3">
        <f>IF(RTD("tos.rtd",,DD$43,"."&amp;$B$134&amp;$AS$82&amp;"P"&amp;$A140)="N/A",0,RTD("tos.rtd",,DD$43,"."&amp;$B$134&amp;$AS$82&amp;"P"&amp;$A140))</f>
        <v>437.7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394</v>
      </c>
      <c r="DG140" s="86">
        <f t="shared" si="590"/>
        <v>413.55099999999948</v>
      </c>
      <c r="DH140" s="3">
        <f t="shared" si="557"/>
        <v>0</v>
      </c>
      <c r="DI140" s="3">
        <f t="shared" si="558"/>
        <v>0</v>
      </c>
      <c r="DJ140" s="3">
        <f t="shared" si="559"/>
        <v>0</v>
      </c>
      <c r="DK140" s="3">
        <f t="shared" si="560"/>
        <v>0</v>
      </c>
      <c r="DL140" s="3">
        <f t="shared" si="561"/>
        <v>0</v>
      </c>
      <c r="DM140" s="3">
        <f t="shared" si="562"/>
        <v>0</v>
      </c>
      <c r="DN140" s="64" t="str">
        <f t="shared" si="563"/>
        <v>UNKNOWN</v>
      </c>
      <c r="DO140" s="64" t="str">
        <f t="shared" si="564"/>
        <v>UNKNOWN</v>
      </c>
      <c r="DP140" s="3">
        <f t="shared" si="565"/>
        <v>0</v>
      </c>
      <c r="DQ140" s="3">
        <f t="shared" si="566"/>
        <v>0</v>
      </c>
      <c r="DR140" s="3" t="e">
        <f t="shared" ca="1" si="567"/>
        <v>#NUM!</v>
      </c>
      <c r="DS140" s="3">
        <f t="shared" si="568"/>
        <v>0</v>
      </c>
      <c r="DT140" s="3">
        <f t="shared" si="591"/>
        <v>0</v>
      </c>
      <c r="DU140" s="3">
        <f t="shared" si="592"/>
        <v>0</v>
      </c>
      <c r="DV140" s="3">
        <f t="shared" si="569"/>
        <v>190</v>
      </c>
      <c r="DW140" s="3">
        <f t="shared" si="570"/>
        <v>0</v>
      </c>
      <c r="DX140" s="3" t="e">
        <f t="shared" ca="1" si="571"/>
        <v>#NUM!</v>
      </c>
      <c r="DY140" s="3" t="e">
        <f t="shared" ca="1" si="572"/>
        <v>#NUM!</v>
      </c>
      <c r="DZ140" s="3">
        <f t="shared" ca="1" si="573"/>
        <v>4.8530851326829294E-4</v>
      </c>
      <c r="EA140" s="3">
        <f t="shared" ca="1" si="574"/>
        <v>-4.6100794583039175E-4</v>
      </c>
      <c r="EB140" s="3">
        <f t="shared" ca="1" si="575"/>
        <v>5.4498356234348739E-4</v>
      </c>
      <c r="EC140" s="3">
        <f t="shared" ca="1" si="576"/>
        <v>-5.3062273839075394E-4</v>
      </c>
      <c r="ED140" s="63">
        <f t="shared" si="593"/>
        <v>190</v>
      </c>
      <c r="EE140" s="59">
        <f t="shared" si="577"/>
        <v>1.8880999999999999</v>
      </c>
      <c r="EF140" s="59">
        <f t="shared" si="578"/>
        <v>1.4164000000000001</v>
      </c>
      <c r="EG140" s="59">
        <f t="shared" si="579"/>
        <v>0.26200000000000001</v>
      </c>
      <c r="EH140" s="59">
        <f t="shared" si="580"/>
        <v>0.28149999999999997</v>
      </c>
      <c r="EI140" s="59">
        <f t="shared" si="581"/>
        <v>0.218</v>
      </c>
      <c r="EJ140" s="59">
        <f t="shared" si="582"/>
        <v>0.2283</v>
      </c>
      <c r="EK140" s="63" t="e">
        <f t="shared" ca="1" si="594"/>
        <v>#NUM!</v>
      </c>
      <c r="EL140" s="3" t="str">
        <f>RTD("tos.rtd",,EL$43,"."&amp;$B$134&amp;$AS$82&amp;"C"&amp;$A140)</f>
        <v>188.81%</v>
      </c>
      <c r="EM140" s="3" t="str">
        <f>RTD("tos.rtd",,EM$43,"."&amp;$B$134&amp;$AS$82&amp;"P"&amp;$A140)</f>
        <v>141.64%</v>
      </c>
      <c r="EN140" s="3" t="str">
        <f>RTD("tos.rtd",,EN$2,"."&amp;$C$134&amp;$AU$82&amp;"C"&amp;$A140)</f>
        <v>26.20%</v>
      </c>
      <c r="EO140" s="3" t="str">
        <f>RTD("tos.rtd",,EO$2,"."&amp;$C$134&amp;$AU$82&amp;"P"&amp;$A140)</f>
        <v>28.15%</v>
      </c>
      <c r="EP140" s="3" t="str">
        <f>RTD("tos.rtd",,EP$2,"."&amp;$D$134&amp;$AW$82&amp;"C"&amp;$A140)</f>
        <v>21.80%</v>
      </c>
      <c r="EQ140" s="3" t="str">
        <f>RTD("tos.rtd",,EQ$2,"."&amp;$D$134&amp;$AW$82&amp;"P"&amp;$A140)</f>
        <v>22.83%</v>
      </c>
      <c r="ES140" s="63" t="str">
        <f t="shared" si="583"/>
        <v>20475,190.00</v>
      </c>
      <c r="ET140" s="63" t="str">
        <f t="shared" ca="1" si="584"/>
        <v>20475,00.00</v>
      </c>
      <c r="EU140" s="67">
        <v>565.4</v>
      </c>
      <c r="EV140" s="67" t="s">
        <v>1139</v>
      </c>
      <c r="EW140" s="67">
        <v>488.87</v>
      </c>
      <c r="EX140" s="67" t="s">
        <v>1140</v>
      </c>
      <c r="EY140" s="67">
        <v>5663.94</v>
      </c>
      <c r="EZ140" s="67" t="s">
        <v>1141</v>
      </c>
      <c r="FA140" s="67">
        <v>20063.564999999999</v>
      </c>
      <c r="FB140" s="67" t="s">
        <v>1142</v>
      </c>
      <c r="FC140" s="67" t="s">
        <v>1143</v>
      </c>
      <c r="FD140" s="67" t="s">
        <v>1144</v>
      </c>
      <c r="FE140" s="68" t="s">
        <v>1145</v>
      </c>
      <c r="FF140" s="68" t="s">
        <v>1146</v>
      </c>
    </row>
    <row r="141" spans="1:162" ht="11.1" customHeight="1" thickBot="1" x14ac:dyDescent="0.25">
      <c r="A141" s="2">
        <f t="shared" si="595"/>
        <v>20450</v>
      </c>
      <c r="B141" s="3">
        <f t="shared" si="596"/>
        <v>42</v>
      </c>
      <c r="C141" s="3">
        <f t="shared" si="597"/>
        <v>17</v>
      </c>
      <c r="D141" s="3">
        <f t="shared" si="608"/>
        <v>216</v>
      </c>
      <c r="E141" s="3">
        <f t="shared" si="598"/>
        <v>275</v>
      </c>
      <c r="F141" s="4">
        <f t="shared" si="599"/>
        <v>20868.247727270347</v>
      </c>
      <c r="G141" s="5">
        <f t="shared" si="600"/>
        <v>505.77984172529108</v>
      </c>
      <c r="AM141" s="1">
        <v>2</v>
      </c>
      <c r="AN141" s="1">
        <v>0</v>
      </c>
      <c r="AO141" s="1">
        <v>20450</v>
      </c>
      <c r="AP141" s="1">
        <v>92</v>
      </c>
      <c r="AQ141" s="1">
        <v>0</v>
      </c>
      <c r="AS141" s="54">
        <f>IF(RTD("tos.rtd",,AS$83,"."&amp;$B$134&amp;$AS$82&amp;"C"&amp;$A141)="N/A",0,RTD("tos.rtd",,AS$83,"."&amp;$B$134&amp;$AS$82&amp;"C"&amp;$A141))</f>
        <v>40</v>
      </c>
      <c r="AT141" s="3">
        <f>-IF(RTD("tos.rtd",,AT$83,"."&amp;$B$134&amp;$AS$82&amp;"P"&amp;$A141)="N/A",0,RTD("tos.rtd",,AT$83,"."&amp;$B$134&amp;$AS$82&amp;"P"&amp;$A141))</f>
        <v>-2</v>
      </c>
      <c r="AU141" s="54">
        <f>IF(RTD("tos.rtd",,AU$2,"."&amp;$C$134&amp;$AU$134&amp;"C"&amp;$A141)="N/A",0,RTD("tos.rtd",,AU$2,"."&amp;$C$134&amp;$AU$134&amp;"C"&amp;$A141))</f>
        <v>12</v>
      </c>
      <c r="AV141" s="3">
        <f>-IF(RTD("tos.rtd",,AV$2,"."&amp;$C$134&amp;$AU$134&amp;"P"&amp;$A141)="N/A",0,RTD("tos.rtd",,AV$2,"."&amp;$C$134&amp;$AU$134&amp;"P"&amp;$A141))</f>
        <v>-5</v>
      </c>
      <c r="AW141" s="54">
        <f>IF(RTD("tos.rtd",,AW$2,"."&amp;$D$134&amp;$AW$134&amp;"C"&amp;$A141)="N/A",0,RTD("tos.rtd",,AW$2,"."&amp;$D$134&amp;$AW$134&amp;"C"&amp;$A141))</f>
        <v>203</v>
      </c>
      <c r="AX141" s="3">
        <f>-IF(RTD("tos.rtd",,AX$2,"."&amp;$D$134&amp;$AW$134&amp;"P"&amp;$A141)="N/A",0,RTD("tos.rtd",,AX$2,"."&amp;$D$134&amp;$AW$134&amp;"P"&amp;$A141))</f>
        <v>-13</v>
      </c>
      <c r="AY141" s="76">
        <f t="shared" si="601"/>
        <v>235</v>
      </c>
      <c r="AZ141" s="8">
        <f t="shared" si="548"/>
        <v>20450</v>
      </c>
      <c r="BA141" s="54">
        <f>IF(RTD("tos.rtd",,BA$43,"."&amp;$B$134&amp;$AS$82&amp;"C"&amp;$A141)="N/A",0,RTD("tos.rtd",,BA$43,"."&amp;$B$134&amp;$AS$82&amp;"C"&amp;$A141))</f>
        <v>92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1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2</v>
      </c>
      <c r="BF141" s="3">
        <f>-IF(RTD("tos.rtd",,BF$2,"."&amp;$D$134&amp;$AW$82&amp;"P"&amp;$A141)="N/A",0,RTD("tos.rtd",,BF$2,"."&amp;$D$134&amp;$AW$82&amp;"P"&amp;$A141))</f>
        <v>0</v>
      </c>
      <c r="BG141" s="3">
        <f ca="1">+Hoja2!Y142</f>
        <v>16</v>
      </c>
      <c r="BH141" s="7">
        <f t="shared" ca="1" si="549"/>
        <v>111</v>
      </c>
      <c r="BI141" s="32" t="str">
        <f t="shared" ca="1" si="609"/>
        <v/>
      </c>
      <c r="BJ141" s="3" t="e">
        <f ca="1">IF($BP$1=1,DX141,IF(RTD("tos.rtd",,BJ$43,"."&amp;$B$134&amp;$AS$82&amp;"C"&amp;$A141)="N/A",0,RTD("tos.rtd",,BJ$43,"."&amp;$B$134&amp;$AS$82&amp;"C"&amp;$A141)))</f>
        <v>#NUM!</v>
      </c>
      <c r="BK141" s="3" t="e">
        <f ca="1">IF($BP$1=1,DY141,-IF(RTD("tos.rtd",,BK$43,"."&amp;$B$134&amp;$AS$82&amp;"P"&amp;$A141)="N/A",0,RTD("tos.rtd",,BK$43,"."&amp;$B$134&amp;$AS$82&amp;"P"&amp;$A141)))</f>
        <v>#NUM!</v>
      </c>
      <c r="BL141" s="3">
        <f ca="1">IF($BP$1=1,DZ141,IF(RTD("tos.rtd",,BL$2,"."&amp;$C$134&amp;$AU$82&amp;"C"&amp;$A141)="N/A",0,RTD("tos.rtd",,BL$2,"."&amp;$C$134&amp;$AU$82&amp;"C"&amp;$A141)))</f>
        <v>4.9293268972294213E-4</v>
      </c>
      <c r="BM141" s="3">
        <f ca="1">IF($BP$1=1,EA141,-IF(RTD("tos.rtd",,BM$2,"."&amp;$C$134&amp;$AU$82&amp;"P"&amp;$A141)="N/A",0,RTD("tos.rtd",,BM$2,"."&amp;$C$134&amp;$AU$82&amp;"P"&amp;$A141)))</f>
        <v>-4.6674071664253296E-4</v>
      </c>
      <c r="BN141" s="3">
        <f ca="1">IF($BP$1=1,EB141,IF(RTD("tos.rtd",,BN$2,"."&amp;$D$134&amp;$AW$82&amp;"C"&amp;$A141)="N/A",0,RTD("tos.rtd",,BN$2,"."&amp;$D$134&amp;$AW$82&amp;"C"&amp;$A141)))</f>
        <v>5.5809012601493277E-4</v>
      </c>
      <c r="BO141" s="3">
        <f ca="1">IF($BP$1=1,EC141,-IF(RTD("tos.rtd",,BO$2,"."&amp;$D$134&amp;$AW$82&amp;"P"&amp;$A141)="N/A",0,RTD("tos.rtd",,BO$2,"."&amp;$D$134&amp;$AW$82&amp;"P"&amp;$A141)))</f>
        <v>-5.4225328056733393E-4</v>
      </c>
      <c r="BQ141" s="3" t="e">
        <f t="shared" ca="1" si="602"/>
        <v>#NUM!</v>
      </c>
      <c r="BR141" s="3" t="e">
        <f t="shared" ca="1" si="550"/>
        <v>#NUM!</v>
      </c>
      <c r="BS141" s="3">
        <f t="shared" ca="1" si="603"/>
        <v>114731.49039662094</v>
      </c>
      <c r="BT141" s="3" t="str">
        <f t="shared" ca="1" si="551"/>
        <v/>
      </c>
      <c r="BU141" s="3">
        <f t="shared" ca="1" si="604"/>
        <v>3403450.1052706102</v>
      </c>
      <c r="BV141" s="3" t="str">
        <f t="shared" ca="1" si="551"/>
        <v/>
      </c>
      <c r="BX141" s="3" t="e">
        <f t="shared" ca="1" si="585"/>
        <v>#NUM!</v>
      </c>
      <c r="BY141" s="3" t="e">
        <f t="shared" ca="1" si="586"/>
        <v>#NUM!</v>
      </c>
      <c r="BZ141" s="3">
        <f t="shared" ca="1" si="587"/>
        <v>121.35247100942895</v>
      </c>
      <c r="CA141" s="3" t="str">
        <f t="shared" ca="1" si="586"/>
        <v/>
      </c>
      <c r="CB141" s="3">
        <f t="shared" ca="1" si="588"/>
        <v>274.78646577869102</v>
      </c>
      <c r="CC141" s="3" t="str">
        <f t="shared" ca="1" si="586"/>
        <v/>
      </c>
      <c r="CD141" s="3">
        <f>IF(RTD("tos.rtd",,CD$43,"."&amp;$B$134&amp;$AS$82&amp;"C"&amp;$A141)="N/A",0,RTD("tos.rtd",,CD$43,"."&amp;$B$134&amp;$AS$82&amp;"C"&amp;$A141))</f>
        <v>0.04</v>
      </c>
      <c r="CE141" s="3">
        <f>-IF(RTD("tos.rtd",,CE$43,"."&amp;$B$134&amp;$AS$82&amp;"P"&amp;$A141)="N/A",0,RTD("tos.rtd",,CE$43,"."&amp;$B$134&amp;$AS$82&amp;"P"&amp;$A141))</f>
        <v>0.97</v>
      </c>
      <c r="CF141" s="3">
        <f>IF(RTD("tos.rtd",,CF$2,"."&amp;$C$134&amp;$AU$82&amp;"C"&amp;$A141)="N/A",0,RTD("tos.rtd",,CF$2,"."&amp;$C$134&amp;$AU$82&amp;"C"&amp;$A141))</f>
        <v>0.27</v>
      </c>
      <c r="CG141" s="3">
        <f>-IF(RTD("tos.rtd",,CG$2,"."&amp;$C$134&amp;$AU$82&amp;"P"&amp;$A141)="N/A",0,RTD("tos.rtd",,CG$2,"."&amp;$C$134&amp;$AU$82&amp;"P"&amp;$A141))</f>
        <v>0.72</v>
      </c>
      <c r="CH141" s="3">
        <f>IF(RTD("tos.rtd",,CH$2,"."&amp;$D$134&amp;$AW$82&amp;"C"&amp;$A141)="N/A",0,RTD("tos.rtd",,CH$2,"."&amp;$D$134&amp;$AW$82&amp;"C"&amp;$A141))</f>
        <v>0.44</v>
      </c>
      <c r="CI141" s="3">
        <f>-IF(RTD("tos.rtd",,CI$2,"."&amp;$D$134&amp;$AW$82&amp;"P"&amp;$A141)="N/A",0,RTD("tos.rtd",,CI$2,"."&amp;$D$134&amp;$AW$82&amp;"P"&amp;$A141))</f>
        <v>0.56000000000000005</v>
      </c>
      <c r="CK141" s="3">
        <f t="shared" si="605"/>
        <v>-34</v>
      </c>
      <c r="CL141" s="3"/>
      <c r="CM141" s="3">
        <f t="shared" si="606"/>
        <v>-35.999999999999943</v>
      </c>
      <c r="CN141" s="3"/>
      <c r="CO141" s="3">
        <f t="shared" si="607"/>
        <v>8204</v>
      </c>
      <c r="CP141" s="3">
        <f t="shared" si="542"/>
        <v>8134</v>
      </c>
      <c r="CQ141" s="3">
        <f t="shared" si="552"/>
        <v>92</v>
      </c>
      <c r="CR141" s="3"/>
      <c r="CS141" s="3">
        <f t="shared" si="553"/>
        <v>1</v>
      </c>
      <c r="CT141" s="3"/>
      <c r="CU141" s="3">
        <f t="shared" si="554"/>
        <v>2</v>
      </c>
      <c r="CV141" s="3"/>
      <c r="CW141" s="3" t="e">
        <f t="shared" ca="1" si="555"/>
        <v>#NUM!</v>
      </c>
      <c r="CY141" s="3" t="e">
        <f t="shared" ca="1" si="556"/>
        <v>#NUM!</v>
      </c>
      <c r="CZ141" s="70" t="e">
        <f t="shared" ca="1" si="589"/>
        <v>#NUM!</v>
      </c>
      <c r="DA141" s="3">
        <f>IF(RTD("tos.rtd",,DA$43,"."&amp;$B$134&amp;$AS$82&amp;"C"&amp;$A141)="N/A",0,RTD("tos.rtd",,DA$43,"."&amp;$B$134&amp;$AS$82&amp;"C"&amp;$A141))</f>
        <v>0.1</v>
      </c>
      <c r="DB141" s="3">
        <f>IF(RTD("tos.rtd",,DB$43,"."&amp;$B$134&amp;$AS$82&amp;"P"&amp;$A141)="N/A",0,RTD("tos.rtd",,DB$43,"."&amp;$B$134&amp;$AS$82&amp;"P"&amp;$A141))</f>
        <v>244.75</v>
      </c>
      <c r="DC141" s="3">
        <f>IF(RTD("tos.rtd",,DC$43,"."&amp;$B$134&amp;$AS$82&amp;"C"&amp;$A141)="N/A",0,RTD("tos.rtd",,DC$43,"."&amp;$B$134&amp;$AS$82&amp;"C"&amp;$A141))</f>
        <v>6.8</v>
      </c>
      <c r="DD141" s="3">
        <f>IF(RTD("tos.rtd",,DD$43,"."&amp;$B$134&amp;$AS$82&amp;"P"&amp;$A141)="N/A",0,RTD("tos.rtd",,DD$43,"."&amp;$B$134&amp;$AS$82&amp;"P"&amp;$A141))</f>
        <v>412.7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368</v>
      </c>
      <c r="DG141" s="86">
        <f t="shared" si="590"/>
        <v>388.55099999999948</v>
      </c>
      <c r="DH141" s="3">
        <f t="shared" si="557"/>
        <v>0</v>
      </c>
      <c r="DI141" s="3">
        <f t="shared" si="558"/>
        <v>0</v>
      </c>
      <c r="DJ141" s="3">
        <f t="shared" si="559"/>
        <v>0</v>
      </c>
      <c r="DK141" s="3">
        <f t="shared" si="560"/>
        <v>0</v>
      </c>
      <c r="DL141" s="3">
        <f t="shared" si="561"/>
        <v>0</v>
      </c>
      <c r="DM141" s="3">
        <f t="shared" si="562"/>
        <v>0</v>
      </c>
      <c r="DN141" s="64" t="str">
        <f t="shared" si="563"/>
        <v>UNKNOWN</v>
      </c>
      <c r="DO141" s="64" t="str">
        <f t="shared" si="564"/>
        <v>UNKNOWN</v>
      </c>
      <c r="DP141" s="3">
        <f t="shared" si="565"/>
        <v>0</v>
      </c>
      <c r="DQ141" s="3">
        <f t="shared" si="566"/>
        <v>0</v>
      </c>
      <c r="DR141" s="3" t="e">
        <f t="shared" ca="1" si="567"/>
        <v>#NUM!</v>
      </c>
      <c r="DS141" s="3">
        <f t="shared" si="568"/>
        <v>0</v>
      </c>
      <c r="DT141" s="3">
        <f t="shared" si="591"/>
        <v>0</v>
      </c>
      <c r="DU141" s="3">
        <f t="shared" si="592"/>
        <v>0</v>
      </c>
      <c r="DV141" s="3">
        <f t="shared" si="569"/>
        <v>2</v>
      </c>
      <c r="DW141" s="3">
        <f t="shared" si="570"/>
        <v>0</v>
      </c>
      <c r="DX141" s="3" t="e">
        <f t="shared" ca="1" si="571"/>
        <v>#NUM!</v>
      </c>
      <c r="DY141" s="3" t="e">
        <f t="shared" ca="1" si="572"/>
        <v>#NUM!</v>
      </c>
      <c r="DZ141" s="3">
        <f t="shared" ca="1" si="573"/>
        <v>4.9293268972294213E-4</v>
      </c>
      <c r="EA141" s="3">
        <f t="shared" ca="1" si="574"/>
        <v>-4.6674071664253296E-4</v>
      </c>
      <c r="EB141" s="3">
        <f t="shared" ca="1" si="575"/>
        <v>5.5809012601493277E-4</v>
      </c>
      <c r="EC141" s="3">
        <f t="shared" ca="1" si="576"/>
        <v>-5.4225328056733393E-4</v>
      </c>
      <c r="ED141" s="63">
        <f t="shared" si="593"/>
        <v>2</v>
      </c>
      <c r="EE141" s="59">
        <f t="shared" si="577"/>
        <v>1.4366000000000001</v>
      </c>
      <c r="EF141" s="59">
        <f t="shared" si="578"/>
        <v>1.2934000000000001</v>
      </c>
      <c r="EG141" s="59">
        <f t="shared" si="579"/>
        <v>0.26279999999999998</v>
      </c>
      <c r="EH141" s="59">
        <f t="shared" si="580"/>
        <v>0.28260000000000002</v>
      </c>
      <c r="EI141" s="59">
        <f t="shared" si="581"/>
        <v>0.21879999999999999</v>
      </c>
      <c r="EJ141" s="59">
        <f t="shared" si="582"/>
        <v>0.22900000000000001</v>
      </c>
      <c r="EK141" s="63" t="e">
        <f t="shared" ca="1" si="594"/>
        <v>#NUM!</v>
      </c>
      <c r="EL141" s="3" t="str">
        <f>RTD("tos.rtd",,EL$43,"."&amp;$B$134&amp;$AS$82&amp;"C"&amp;$A141)</f>
        <v>143.66%</v>
      </c>
      <c r="EM141" s="3" t="str">
        <f>RTD("tos.rtd",,EM$43,"."&amp;$B$134&amp;$AS$82&amp;"P"&amp;$A141)</f>
        <v>129.34%</v>
      </c>
      <c r="EN141" s="3" t="str">
        <f>RTD("tos.rtd",,EN$2,"."&amp;$C$134&amp;$AU$82&amp;"C"&amp;$A141)</f>
        <v>26.28%</v>
      </c>
      <c r="EO141" s="3" t="str">
        <f>RTD("tos.rtd",,EO$2,"."&amp;$C$134&amp;$AU$82&amp;"P"&amp;$A141)</f>
        <v>28.26%</v>
      </c>
      <c r="EP141" s="3" t="str">
        <f>RTD("tos.rtd",,EP$2,"."&amp;$D$134&amp;$AW$82&amp;"C"&amp;$A141)</f>
        <v>21.88%</v>
      </c>
      <c r="EQ141" s="3" t="str">
        <f>RTD("tos.rtd",,EQ$2,"."&amp;$D$134&amp;$AW$82&amp;"P"&amp;$A141)</f>
        <v>22.90%</v>
      </c>
      <c r="ES141" s="63" t="str">
        <f t="shared" si="583"/>
        <v>20450,02.00</v>
      </c>
      <c r="ET141" s="63" t="str">
        <f t="shared" ca="1" si="584"/>
        <v>20450,00.00</v>
      </c>
      <c r="EU141" s="67">
        <v>565.4</v>
      </c>
      <c r="EV141" s="67" t="s">
        <v>1147</v>
      </c>
      <c r="EW141" s="67">
        <v>488.98</v>
      </c>
      <c r="EX141" s="67" t="s">
        <v>1148</v>
      </c>
      <c r="EY141" s="67">
        <v>5663.94</v>
      </c>
      <c r="EZ141" s="67" t="s">
        <v>1149</v>
      </c>
      <c r="FA141" s="67">
        <v>20063.564999999999</v>
      </c>
      <c r="FB141" s="67" t="s">
        <v>1150</v>
      </c>
      <c r="FC141" s="67" t="s">
        <v>1151</v>
      </c>
      <c r="FD141" s="67" t="s">
        <v>1152</v>
      </c>
      <c r="FE141" s="68" t="s">
        <v>1153</v>
      </c>
      <c r="FF141" s="68" t="s">
        <v>1154</v>
      </c>
    </row>
    <row r="142" spans="1:162" ht="11.1" customHeight="1" thickBot="1" x14ac:dyDescent="0.25">
      <c r="A142" s="2">
        <f t="shared" si="595"/>
        <v>20425</v>
      </c>
      <c r="B142" s="3">
        <f t="shared" si="596"/>
        <v>7</v>
      </c>
      <c r="C142" s="3">
        <f t="shared" si="597"/>
        <v>67</v>
      </c>
      <c r="D142" s="3">
        <f t="shared" si="608"/>
        <v>29</v>
      </c>
      <c r="E142" s="3">
        <f t="shared" si="598"/>
        <v>103</v>
      </c>
      <c r="F142" s="4">
        <f t="shared" si="599"/>
        <v>20842.736421980284</v>
      </c>
      <c r="G142" s="5">
        <f t="shared" si="600"/>
        <v>505.16152896034578</v>
      </c>
      <c r="AM142" s="1">
        <v>10</v>
      </c>
      <c r="AN142" s="1">
        <v>3</v>
      </c>
      <c r="AO142" s="1">
        <v>20425</v>
      </c>
      <c r="AP142" s="1">
        <v>41</v>
      </c>
      <c r="AQ142" s="1">
        <v>-3</v>
      </c>
      <c r="AS142" s="54">
        <f>IF(RTD("tos.rtd",,AS$83,"."&amp;$B$134&amp;$AS$82&amp;"C"&amp;$A142)="N/A",0,RTD("tos.rtd",,AS$83,"."&amp;$B$134&amp;$AS$82&amp;"C"&amp;$A142))</f>
        <v>4</v>
      </c>
      <c r="AT142" s="3">
        <f>-IF(RTD("tos.rtd",,AT$83,"."&amp;$B$134&amp;$AS$82&amp;"P"&amp;$A142)="N/A",0,RTD("tos.rtd",,AT$83,"."&amp;$B$134&amp;$AS$82&amp;"P"&amp;$A142))</f>
        <v>-3</v>
      </c>
      <c r="AU142" s="54">
        <f>IF(RTD("tos.rtd",,AU$2,"."&amp;$C$134&amp;$AU$134&amp;"C"&amp;$A142)="N/A",0,RTD("tos.rtd",,AU$2,"."&amp;$C$134&amp;$AU$134&amp;"C"&amp;$A142))</f>
        <v>23</v>
      </c>
      <c r="AV142" s="3">
        <f>-IF(RTD("tos.rtd",,AV$2,"."&amp;$C$134&amp;$AU$134&amp;"P"&amp;$A142)="N/A",0,RTD("tos.rtd",,AV$2,"."&amp;$C$134&amp;$AU$134&amp;"P"&amp;$A142))</f>
        <v>-44</v>
      </c>
      <c r="AW142" s="54">
        <f>IF(RTD("tos.rtd",,AW$2,"."&amp;$D$134&amp;$AW$134&amp;"C"&amp;$A142)="N/A",0,RTD("tos.rtd",,AW$2,"."&amp;$D$134&amp;$AW$134&amp;"C"&amp;$A142))</f>
        <v>23</v>
      </c>
      <c r="AX142" s="3">
        <f>-IF(RTD("tos.rtd",,AX$2,"."&amp;$D$134&amp;$AW$134&amp;"P"&amp;$A142)="N/A",0,RTD("tos.rtd",,AX$2,"."&amp;$D$134&amp;$AW$134&amp;"P"&amp;$A142))</f>
        <v>-6</v>
      </c>
      <c r="AY142" s="76">
        <f t="shared" si="601"/>
        <v>-3</v>
      </c>
      <c r="AZ142" s="8">
        <f t="shared" si="548"/>
        <v>20425</v>
      </c>
      <c r="BA142" s="54">
        <f>IF(RTD("tos.rtd",,BA$43,"."&amp;$B$134&amp;$AS$82&amp;"C"&amp;$A142)="N/A",0,RTD("tos.rtd",,BA$43,"."&amp;$B$134&amp;$AS$82&amp;"C"&amp;$A142))</f>
        <v>41</v>
      </c>
      <c r="BB142" s="3">
        <f>-IF(RTD("tos.rtd",,BB$43,"."&amp;$B$134&amp;$AS$82&amp;"P"&amp;$A142)="N/A",0,RTD("tos.rtd",,BB$43,"."&amp;$B$134&amp;$AS$82&amp;"P"&amp;$A142))</f>
        <v>-3</v>
      </c>
      <c r="BC142" s="54">
        <f>IF(RTD("tos.rtd",,BC$2,"."&amp;$C$134&amp;$AU$82&amp;"C"&amp;$A142)="N/A",0,RTD("tos.rtd",,BC$2,"."&amp;$C$134&amp;$AU$82&amp;"C"&amp;$A142))</f>
        <v>0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>
        <f ca="1">+Hoja2!Y143</f>
        <v>0</v>
      </c>
      <c r="BH142" s="7">
        <f t="shared" ca="1" si="549"/>
        <v>38</v>
      </c>
      <c r="BI142" s="32" t="str">
        <f t="shared" ca="1" si="609"/>
        <v/>
      </c>
      <c r="BJ142" s="3" t="e">
        <f ca="1">IF($BP$1=1,DX142,IF(RTD("tos.rtd",,BJ$43,"."&amp;$B$134&amp;$AS$82&amp;"C"&amp;$A142)="N/A",0,RTD("tos.rtd",,BJ$43,"."&amp;$B$134&amp;$AS$82&amp;"C"&amp;$A142)))</f>
        <v>#NUM!</v>
      </c>
      <c r="BK142" s="3" t="e">
        <f ca="1">IF($BP$1=1,DY142,-IF(RTD("tos.rtd",,BK$43,"."&amp;$B$134&amp;$AS$82&amp;"P"&amp;$A142)="N/A",0,RTD("tos.rtd",,BK$43,"."&amp;$B$134&amp;$AS$82&amp;"P"&amp;$A142)))</f>
        <v>#NUM!</v>
      </c>
      <c r="BL142" s="3">
        <f ca="1">IF($BP$1=1,DZ142,IF(RTD("tos.rtd",,BL$2,"."&amp;$C$134&amp;$AU$82&amp;"C"&amp;$A142)="N/A",0,RTD("tos.rtd",,BL$2,"."&amp;$C$134&amp;$AU$82&amp;"C"&amp;$A142)))</f>
        <v>5.0013639021938272E-4</v>
      </c>
      <c r="BM142" s="3">
        <f ca="1">IF($BP$1=1,EA142,-IF(RTD("tos.rtd",,BM$2,"."&amp;$C$134&amp;$AU$82&amp;"P"&amp;$A142)="N/A",0,RTD("tos.rtd",,BM$2,"."&amp;$C$134&amp;$AU$82&amp;"P"&amp;$A142)))</f>
        <v>-4.7504081273170808E-4</v>
      </c>
      <c r="BN142" s="3">
        <f ca="1">IF($BP$1=1,EB142,IF(RTD("tos.rtd",,BN$2,"."&amp;$D$134&amp;$AW$82&amp;"C"&amp;$A142)="N/A",0,RTD("tos.rtd",,BN$2,"."&amp;$D$134&amp;$AW$82&amp;"C"&amp;$A142)))</f>
        <v>5.7051729087591221E-4</v>
      </c>
      <c r="BO142" s="3">
        <f ca="1">IF($BP$1=1,EC142,-IF(RTD("tos.rtd",,BO$2,"."&amp;$D$134&amp;$AW$82&amp;"P"&amp;$A142)="N/A",0,RTD("tos.rtd",,BO$2,"."&amp;$D$134&amp;$AW$82&amp;"P"&amp;$A142)))</f>
        <v>-5.5296929308611869E-4</v>
      </c>
      <c r="BQ142" s="3" t="e">
        <f t="shared" ca="1" si="602"/>
        <v>#NUM!</v>
      </c>
      <c r="BR142" s="3" t="e">
        <f t="shared" ca="1" si="550"/>
        <v>#NUM!</v>
      </c>
      <c r="BS142" s="3">
        <f t="shared" ca="1" si="603"/>
        <v>-301082.09810008941</v>
      </c>
      <c r="BT142" s="3" t="str">
        <f t="shared" ca="1" si="551"/>
        <v>Cruce -</v>
      </c>
      <c r="BU142" s="3">
        <f t="shared" ca="1" si="604"/>
        <v>314069.6588096437</v>
      </c>
      <c r="BV142" s="3" t="str">
        <f t="shared" ca="1" si="551"/>
        <v/>
      </c>
      <c r="BX142" s="3" t="e">
        <f t="shared" ca="1" si="585"/>
        <v>#NUM!</v>
      </c>
      <c r="BY142" s="3" t="e">
        <f t="shared" ca="1" si="586"/>
        <v>#NUM!</v>
      </c>
      <c r="BZ142" s="3">
        <f t="shared" ca="1" si="587"/>
        <v>0</v>
      </c>
      <c r="CA142" s="3" t="str">
        <f t="shared" ca="1" si="586"/>
        <v/>
      </c>
      <c r="CB142" s="3">
        <f t="shared" ca="1" si="588"/>
        <v>0</v>
      </c>
      <c r="CC142" s="3" t="str">
        <f t="shared" ca="1" si="586"/>
        <v/>
      </c>
      <c r="CD142" s="3">
        <f>IF(RTD("tos.rtd",,CD$43,"."&amp;$B$134&amp;$AS$82&amp;"C"&amp;$A142)="N/A",0,RTD("tos.rtd",,CD$43,"."&amp;$B$134&amp;$AS$82&amp;"C"&amp;$A142))</f>
        <v>0.08</v>
      </c>
      <c r="CE142" s="3">
        <f>-IF(RTD("tos.rtd",,CE$43,"."&amp;$B$134&amp;$AS$82&amp;"P"&amp;$A142)="N/A",0,RTD("tos.rtd",,CE$43,"."&amp;$B$134&amp;$AS$82&amp;"P"&amp;$A142))</f>
        <v>0.97</v>
      </c>
      <c r="CF142" s="3">
        <f>IF(RTD("tos.rtd",,CF$2,"."&amp;$C$134&amp;$AU$82&amp;"C"&amp;$A142)="N/A",0,RTD("tos.rtd",,CF$2,"."&amp;$C$134&amp;$AU$82&amp;"C"&amp;$A142))</f>
        <v>0.28000000000000003</v>
      </c>
      <c r="CG142" s="3">
        <f>-IF(RTD("tos.rtd",,CG$2,"."&amp;$C$134&amp;$AU$82&amp;"P"&amp;$A142)="N/A",0,RTD("tos.rtd",,CG$2,"."&amp;$C$134&amp;$AU$82&amp;"P"&amp;$A142))</f>
        <v>0.7</v>
      </c>
      <c r="CH142" s="3">
        <f>IF(RTD("tos.rtd",,CH$2,"."&amp;$D$134&amp;$AW$82&amp;"C"&amp;$A142)="N/A",0,RTD("tos.rtd",,CH$2,"."&amp;$D$134&amp;$AW$82&amp;"C"&amp;$A142))</f>
        <v>0.44</v>
      </c>
      <c r="CI142" s="3">
        <f>-IF(RTD("tos.rtd",,CI$2,"."&amp;$D$134&amp;$AW$82&amp;"P"&amp;$A142)="N/A",0,RTD("tos.rtd",,CI$2,"."&amp;$D$134&amp;$AW$82&amp;"P"&amp;$A142))</f>
        <v>0.55000000000000004</v>
      </c>
      <c r="CK142" s="3">
        <f t="shared" si="605"/>
        <v>-259</v>
      </c>
      <c r="CL142" s="3"/>
      <c r="CM142" s="3">
        <f t="shared" si="606"/>
        <v>-2435.9999999999995</v>
      </c>
      <c r="CN142" s="3"/>
      <c r="CO142" s="3">
        <f t="shared" si="607"/>
        <v>681.99999999999989</v>
      </c>
      <c r="CP142" s="3">
        <f t="shared" si="542"/>
        <v>-2012.9999999999995</v>
      </c>
      <c r="CQ142" s="3">
        <f t="shared" si="552"/>
        <v>38</v>
      </c>
      <c r="CR142" s="3"/>
      <c r="CS142" s="3">
        <f t="shared" si="553"/>
        <v>0</v>
      </c>
      <c r="CT142" s="3"/>
      <c r="CU142" s="3">
        <f t="shared" si="554"/>
        <v>0</v>
      </c>
      <c r="CV142" s="3"/>
      <c r="CW142" s="3" t="e">
        <f t="shared" ca="1" si="555"/>
        <v>#NUM!</v>
      </c>
      <c r="CY142" s="3" t="e">
        <f t="shared" ca="1" si="556"/>
        <v>#NUM!</v>
      </c>
      <c r="CZ142" s="70" t="e">
        <f t="shared" ca="1" si="589"/>
        <v>#NUM!</v>
      </c>
      <c r="DA142" s="3">
        <f>IF(RTD("tos.rtd",,DA$43,"."&amp;$B$134&amp;$AS$82&amp;"C"&amp;$A142)="N/A",0,RTD("tos.rtd",,DA$43,"."&amp;$B$134&amp;$AS$82&amp;"C"&amp;$A142))</f>
        <v>0.05</v>
      </c>
      <c r="DB142" s="3">
        <f>IF(RTD("tos.rtd",,DB$43,"."&amp;$B$134&amp;$AS$82&amp;"P"&amp;$A142)="N/A",0,RTD("tos.rtd",,DB$43,"."&amp;$B$134&amp;$AS$82&amp;"P"&amp;$A142))</f>
        <v>375.2</v>
      </c>
      <c r="DC142" s="3">
        <f>IF(RTD("tos.rtd",,DC$43,"."&amp;$B$134&amp;$AS$82&amp;"C"&amp;$A142)="N/A",0,RTD("tos.rtd",,DC$43,"."&amp;$B$134&amp;$AS$82&amp;"C"&amp;$A142))</f>
        <v>19.8</v>
      </c>
      <c r="DD142" s="3">
        <f>IF(RTD("tos.rtd",,DD$43,"."&amp;$B$134&amp;$AS$82&amp;"P"&amp;$A142)="N/A",0,RTD("tos.rtd",,DD$43,"."&amp;$B$134&amp;$AS$82&amp;"P"&amp;$A142))</f>
        <v>387.7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344</v>
      </c>
      <c r="DG142" s="86">
        <f t="shared" si="590"/>
        <v>363.55099999999948</v>
      </c>
      <c r="DH142" s="3">
        <f t="shared" si="557"/>
        <v>0</v>
      </c>
      <c r="DI142" s="3">
        <f t="shared" si="558"/>
        <v>0</v>
      </c>
      <c r="DJ142" s="3">
        <f t="shared" si="559"/>
        <v>0</v>
      </c>
      <c r="DK142" s="3">
        <f t="shared" si="560"/>
        <v>0</v>
      </c>
      <c r="DL142" s="3">
        <f t="shared" si="561"/>
        <v>0</v>
      </c>
      <c r="DM142" s="3">
        <f t="shared" si="562"/>
        <v>0</v>
      </c>
      <c r="DN142" s="64" t="str">
        <f t="shared" si="563"/>
        <v>UNKNOWN</v>
      </c>
      <c r="DO142" s="64" t="str">
        <f t="shared" si="564"/>
        <v>UNKNOWN</v>
      </c>
      <c r="DP142" s="3">
        <f t="shared" si="565"/>
        <v>0</v>
      </c>
      <c r="DQ142" s="3">
        <f t="shared" si="566"/>
        <v>0</v>
      </c>
      <c r="DR142" s="3" t="e">
        <f t="shared" ca="1" si="567"/>
        <v>#NUM!</v>
      </c>
      <c r="DS142" s="3">
        <f t="shared" si="568"/>
        <v>0</v>
      </c>
      <c r="DT142" s="3">
        <f t="shared" si="591"/>
        <v>0</v>
      </c>
      <c r="DU142" s="3">
        <f t="shared" si="592"/>
        <v>0</v>
      </c>
      <c r="DV142" s="3">
        <f t="shared" si="569"/>
        <v>10</v>
      </c>
      <c r="DW142" s="3">
        <f t="shared" si="570"/>
        <v>3</v>
      </c>
      <c r="DX142" s="3" t="e">
        <f t="shared" ca="1" si="571"/>
        <v>#NUM!</v>
      </c>
      <c r="DY142" s="3" t="e">
        <f t="shared" ca="1" si="572"/>
        <v>#NUM!</v>
      </c>
      <c r="DZ142" s="3">
        <f t="shared" ca="1" si="573"/>
        <v>5.0013639021938272E-4</v>
      </c>
      <c r="EA142" s="3">
        <f t="shared" ca="1" si="574"/>
        <v>-4.7504081273170808E-4</v>
      </c>
      <c r="EB142" s="3">
        <f t="shared" ca="1" si="575"/>
        <v>5.7051729087591221E-4</v>
      </c>
      <c r="EC142" s="3">
        <f t="shared" ca="1" si="576"/>
        <v>-5.5296929308611869E-4</v>
      </c>
      <c r="ED142" s="63">
        <f t="shared" si="593"/>
        <v>13</v>
      </c>
      <c r="EE142" s="59">
        <f t="shared" si="577"/>
        <v>1.7146999999999999</v>
      </c>
      <c r="EF142" s="59">
        <f t="shared" si="578"/>
        <v>1.2742</v>
      </c>
      <c r="EG142" s="59">
        <f t="shared" si="579"/>
        <v>0.26350000000000001</v>
      </c>
      <c r="EH142" s="59">
        <f t="shared" si="580"/>
        <v>0.28139999999999998</v>
      </c>
      <c r="EI142" s="59">
        <f t="shared" si="581"/>
        <v>0.2195</v>
      </c>
      <c r="EJ142" s="59">
        <f t="shared" si="582"/>
        <v>0.2298</v>
      </c>
      <c r="EK142" s="63" t="e">
        <f t="shared" ca="1" si="594"/>
        <v>#NUM!</v>
      </c>
      <c r="EL142" s="3" t="str">
        <f>RTD("tos.rtd",,EL$43,"."&amp;$B$134&amp;$AS$82&amp;"C"&amp;$A142)</f>
        <v>171.47%</v>
      </c>
      <c r="EM142" s="3" t="str">
        <f>RTD("tos.rtd",,EM$43,"."&amp;$B$134&amp;$AS$82&amp;"P"&amp;$A142)</f>
        <v>127.42%</v>
      </c>
      <c r="EN142" s="3" t="str">
        <f>RTD("tos.rtd",,EN$2,"."&amp;$C$134&amp;$AU$82&amp;"C"&amp;$A142)</f>
        <v>26.35%</v>
      </c>
      <c r="EO142" s="3" t="str">
        <f>RTD("tos.rtd",,EO$2,"."&amp;$C$134&amp;$AU$82&amp;"P"&amp;$A142)</f>
        <v>28.14%</v>
      </c>
      <c r="EP142" s="3" t="str">
        <f>RTD("tos.rtd",,EP$2,"."&amp;$D$134&amp;$AW$82&amp;"C"&amp;$A142)</f>
        <v>21.95%</v>
      </c>
      <c r="EQ142" s="3" t="str">
        <f>RTD("tos.rtd",,EQ$2,"."&amp;$D$134&amp;$AW$82&amp;"P"&amp;$A142)</f>
        <v>22.98%</v>
      </c>
      <c r="ES142" s="63" t="str">
        <f t="shared" si="583"/>
        <v>20425,13.00</v>
      </c>
      <c r="ET142" s="63" t="str">
        <f t="shared" ca="1" si="584"/>
        <v>20425,00.00</v>
      </c>
      <c r="EU142" s="67">
        <v>565.4</v>
      </c>
      <c r="EV142" s="67" t="s">
        <v>1155</v>
      </c>
      <c r="EW142" s="67">
        <v>488.91</v>
      </c>
      <c r="EX142" s="67" t="s">
        <v>1156</v>
      </c>
      <c r="EY142" s="67">
        <v>5663.94</v>
      </c>
      <c r="EZ142" s="67" t="s">
        <v>1157</v>
      </c>
      <c r="FA142" s="67">
        <v>20063.564999999999</v>
      </c>
      <c r="FB142" s="67" t="s">
        <v>1158</v>
      </c>
      <c r="FC142" s="67" t="s">
        <v>1159</v>
      </c>
      <c r="FD142" s="67" t="s">
        <v>1160</v>
      </c>
      <c r="FE142" s="68" t="s">
        <v>1161</v>
      </c>
      <c r="FF142" s="68" t="s">
        <v>1162</v>
      </c>
    </row>
    <row r="143" spans="1:162" ht="11.1" customHeight="1" thickBot="1" x14ac:dyDescent="0.25">
      <c r="A143" s="2">
        <f t="shared" si="595"/>
        <v>20400</v>
      </c>
      <c r="B143" s="3">
        <f t="shared" si="596"/>
        <v>67</v>
      </c>
      <c r="C143" s="3">
        <f t="shared" si="597"/>
        <v>157</v>
      </c>
      <c r="D143" s="3">
        <f t="shared" si="608"/>
        <v>62</v>
      </c>
      <c r="E143" s="3">
        <f t="shared" si="598"/>
        <v>286</v>
      </c>
      <c r="F143" s="4">
        <f t="shared" si="599"/>
        <v>20817.225116690224</v>
      </c>
      <c r="G143" s="5">
        <f t="shared" si="600"/>
        <v>504.54321619540042</v>
      </c>
      <c r="AM143" s="1">
        <v>-75</v>
      </c>
      <c r="AN143" s="1">
        <v>0</v>
      </c>
      <c r="AO143" s="1">
        <v>20400</v>
      </c>
      <c r="AP143" s="1">
        <v>340</v>
      </c>
      <c r="AQ143" s="1">
        <v>-8</v>
      </c>
      <c r="AS143" s="54">
        <f>IF(RTD("tos.rtd",,AS$83,"."&amp;$B$134&amp;$AS$82&amp;"C"&amp;$A143)="N/A",0,RTD("tos.rtd",,AS$83,"."&amp;$B$134&amp;$AS$82&amp;"C"&amp;$A143))</f>
        <v>66</v>
      </c>
      <c r="AT143" s="3">
        <f>-IF(RTD("tos.rtd",,AT$83,"."&amp;$B$134&amp;$AS$82&amp;"P"&amp;$A143)="N/A",0,RTD("tos.rtd",,AT$83,"."&amp;$B$134&amp;$AS$82&amp;"P"&amp;$A143))</f>
        <v>-1</v>
      </c>
      <c r="AU143" s="54">
        <f>IF(RTD("tos.rtd",,AU$2,"."&amp;$C$134&amp;$AU$134&amp;"C"&amp;$A143)="N/A",0,RTD("tos.rtd",,AU$2,"."&amp;$C$134&amp;$AU$134&amp;"C"&amp;$A143))</f>
        <v>62</v>
      </c>
      <c r="AV143" s="3">
        <f>-IF(RTD("tos.rtd",,AV$2,"."&amp;$C$134&amp;$AU$134&amp;"P"&amp;$A143)="N/A",0,RTD("tos.rtd",,AV$2,"."&amp;$C$134&amp;$AU$134&amp;"P"&amp;$A143))</f>
        <v>-95</v>
      </c>
      <c r="AW143" s="54">
        <f>IF(RTD("tos.rtd",,AW$2,"."&amp;$D$134&amp;$AW$134&amp;"C"&amp;$A143)="N/A",0,RTD("tos.rtd",,AW$2,"."&amp;$D$134&amp;$AW$134&amp;"C"&amp;$A143))</f>
        <v>30</v>
      </c>
      <c r="AX143" s="3">
        <f>-IF(RTD("tos.rtd",,AX$2,"."&amp;$D$134&amp;$AW$134&amp;"P"&amp;$A143)="N/A",0,RTD("tos.rtd",,AX$2,"."&amp;$D$134&amp;$AW$134&amp;"P"&amp;$A143))</f>
        <v>-32</v>
      </c>
      <c r="AY143" s="76">
        <f t="shared" si="601"/>
        <v>30</v>
      </c>
      <c r="AZ143" s="8">
        <f t="shared" si="548"/>
        <v>20400</v>
      </c>
      <c r="BA143" s="54">
        <f>IF(RTD("tos.rtd",,BA$43,"."&amp;$B$134&amp;$AS$82&amp;"C"&amp;$A143)="N/A",0,RTD("tos.rtd",,BA$43,"."&amp;$B$134&amp;$AS$82&amp;"C"&amp;$A143))</f>
        <v>340</v>
      </c>
      <c r="BB143" s="3">
        <f>-IF(RTD("tos.rtd",,BB$43,"."&amp;$B$134&amp;$AS$82&amp;"P"&amp;$A143)="N/A",0,RTD("tos.rtd",,BB$43,"."&amp;$B$134&amp;$AS$82&amp;"P"&amp;$A143))</f>
        <v>-8</v>
      </c>
      <c r="BC143" s="54">
        <f>IF(RTD("tos.rtd",,BC$2,"."&amp;$C$134&amp;$AU$82&amp;"C"&amp;$A143)="N/A",0,RTD("tos.rtd",,BC$2,"."&amp;$C$134&amp;$AU$82&amp;"C"&amp;$A143))</f>
        <v>33</v>
      </c>
      <c r="BD143" s="3">
        <f>-IF(RTD("tos.rtd",,BD$2,"."&amp;$C$134&amp;$AU$82&amp;"P"&amp;$A143)="N/A",0,RTD("tos.rtd",,BD$2,"."&amp;$C$134&amp;$AU$82&amp;"P"&amp;$A143))</f>
        <v>0</v>
      </c>
      <c r="BE143" s="54">
        <f>IF(RTD("tos.rtd",,BE$2,"."&amp;$D$134&amp;$AW$82&amp;"C"&amp;$A143)="N/A",0,RTD("tos.rtd",,BE$2,"."&amp;$D$134&amp;$AW$82&amp;"C"&amp;$A143))</f>
        <v>2</v>
      </c>
      <c r="BF143" s="3">
        <f>-IF(RTD("tos.rtd",,BF$2,"."&amp;$D$134&amp;$AW$82&amp;"P"&amp;$A143)="N/A",0,RTD("tos.rtd",,BF$2,"."&amp;$D$134&amp;$AW$82&amp;"P"&amp;$A143))</f>
        <v>0</v>
      </c>
      <c r="BG143" s="3">
        <f ca="1">+Hoja2!Y144</f>
        <v>11</v>
      </c>
      <c r="BH143" s="7">
        <f t="shared" ca="1" si="549"/>
        <v>378</v>
      </c>
      <c r="BI143" s="32" t="str">
        <f t="shared" ca="1" si="609"/>
        <v/>
      </c>
      <c r="BJ143" s="3" t="e">
        <f ca="1">IF($BP$1=1,DX143,IF(RTD("tos.rtd",,BJ$43,"."&amp;$B$134&amp;$AS$82&amp;"C"&amp;$A143)="N/A",0,RTD("tos.rtd",,BJ$43,"."&amp;$B$134&amp;$AS$82&amp;"C"&amp;$A143)))</f>
        <v>#NUM!</v>
      </c>
      <c r="BK143" s="3" t="e">
        <f ca="1">IF($BP$1=1,DY143,-IF(RTD("tos.rtd",,BK$43,"."&amp;$B$134&amp;$AS$82&amp;"P"&amp;$A143)="N/A",0,RTD("tos.rtd",,BK$43,"."&amp;$B$134&amp;$AS$82&amp;"P"&amp;$A143)))</f>
        <v>#NUM!</v>
      </c>
      <c r="BL143" s="3">
        <f ca="1">IF($BP$1=1,DZ143,IF(RTD("tos.rtd",,BL$2,"."&amp;$C$134&amp;$AU$82&amp;"C"&amp;$A143)="N/A",0,RTD("tos.rtd",,BL$2,"."&amp;$C$134&amp;$AU$82&amp;"C"&amp;$A143)))</f>
        <v>5.0631082214675383E-4</v>
      </c>
      <c r="BM143" s="3">
        <f ca="1">IF($BP$1=1,EA143,-IF(RTD("tos.rtd",,BM$2,"."&amp;$C$134&amp;$AU$82&amp;"P"&amp;$A143)="N/A",0,RTD("tos.rtd",,BM$2,"."&amp;$C$134&amp;$AU$82&amp;"P"&amp;$A143)))</f>
        <v>-4.7959313331755106E-4</v>
      </c>
      <c r="BN143" s="3">
        <f ca="1">IF($BP$1=1,EB143,IF(RTD("tos.rtd",,BN$2,"."&amp;$D$134&amp;$AW$82&amp;"C"&amp;$A143)="N/A",0,RTD("tos.rtd",,BN$2,"."&amp;$D$134&amp;$AW$82&amp;"C"&amp;$A143)))</f>
        <v>5.8226348377652477E-4</v>
      </c>
      <c r="BO143" s="3">
        <f ca="1">IF($BP$1=1,EC143,-IF(RTD("tos.rtd",,BO$2,"."&amp;$D$134&amp;$AW$82&amp;"P"&amp;$A143)="N/A",0,RTD("tos.rtd",,BO$2,"."&amp;$D$134&amp;$AW$82&amp;"P"&amp;$A143)))</f>
        <v>-5.630524154740372E-4</v>
      </c>
      <c r="BQ143" s="3" t="e">
        <f t="shared" ca="1" si="602"/>
        <v>#NUM!</v>
      </c>
      <c r="BR143" s="3" t="e">
        <f t="shared" ca="1" si="550"/>
        <v>#NUM!</v>
      </c>
      <c r="BS143" s="3">
        <f t="shared" ca="1" si="603"/>
        <v>-453932.47251707688</v>
      </c>
      <c r="BT143" s="3" t="str">
        <f t="shared" ca="1" si="551"/>
        <v/>
      </c>
      <c r="BU143" s="3">
        <f t="shared" ca="1" si="604"/>
        <v>-17611.740826928057</v>
      </c>
      <c r="BV143" s="3" t="str">
        <f t="shared" ca="1" si="551"/>
        <v>Cruce -</v>
      </c>
      <c r="BX143" s="3" t="e">
        <f t="shared" ca="1" si="585"/>
        <v>#NUM!</v>
      </c>
      <c r="BY143" s="3" t="e">
        <f t="shared" ca="1" si="586"/>
        <v>#NUM!</v>
      </c>
      <c r="BZ143" s="3">
        <f t="shared" ca="1" si="587"/>
        <v>4113.3167496526175</v>
      </c>
      <c r="CA143" s="3" t="str">
        <f t="shared" ca="1" si="586"/>
        <v/>
      </c>
      <c r="CB143" s="3">
        <f t="shared" ca="1" si="588"/>
        <v>286.68868593216854</v>
      </c>
      <c r="CC143" s="3" t="str">
        <f t="shared" ca="1" si="586"/>
        <v/>
      </c>
      <c r="CD143" s="3">
        <f>IF(RTD("tos.rtd",,CD$43,"."&amp;$B$134&amp;$AS$82&amp;"C"&amp;$A143)="N/A",0,RTD("tos.rtd",,CD$43,"."&amp;$B$134&amp;$AS$82&amp;"C"&amp;$A143))</f>
        <v>0</v>
      </c>
      <c r="CE143" s="3">
        <f>-IF(RTD("tos.rtd",,CE$43,"."&amp;$B$134&amp;$AS$82&amp;"P"&amp;$A143)="N/A",0,RTD("tos.rtd",,CE$43,"."&amp;$B$134&amp;$AS$82&amp;"P"&amp;$A143))</f>
        <v>0.97</v>
      </c>
      <c r="CF143" s="3">
        <f>IF(RTD("tos.rtd",,CF$2,"."&amp;$C$134&amp;$AU$82&amp;"C"&amp;$A143)="N/A",0,RTD("tos.rtd",,CF$2,"."&amp;$C$134&amp;$AU$82&amp;"C"&amp;$A143))</f>
        <v>0.3</v>
      </c>
      <c r="CG143" s="3">
        <f>-IF(RTD("tos.rtd",,CG$2,"."&amp;$C$134&amp;$AU$82&amp;"P"&amp;$A143)="N/A",0,RTD("tos.rtd",,CG$2,"."&amp;$C$134&amp;$AU$82&amp;"P"&amp;$A143))</f>
        <v>0.69</v>
      </c>
      <c r="CH143" s="3">
        <f>IF(RTD("tos.rtd",,CH$2,"."&amp;$D$134&amp;$AW$82&amp;"C"&amp;$A143)="N/A",0,RTD("tos.rtd",,CH$2,"."&amp;$D$134&amp;$AW$82&amp;"C"&amp;$A143))</f>
        <v>0.45</v>
      </c>
      <c r="CI143" s="3">
        <f>-IF(RTD("tos.rtd",,CI$2,"."&amp;$D$134&amp;$AW$82&amp;"P"&amp;$A143)="N/A",0,RTD("tos.rtd",,CI$2,"."&amp;$D$134&amp;$AW$82&amp;"P"&amp;$A143))</f>
        <v>0.55000000000000004</v>
      </c>
      <c r="CK143" s="3">
        <f t="shared" si="605"/>
        <v>-97</v>
      </c>
      <c r="CL143" s="3"/>
      <c r="CM143" s="3">
        <f t="shared" si="606"/>
        <v>-4695</v>
      </c>
      <c r="CN143" s="3"/>
      <c r="CO143" s="3">
        <f t="shared" si="607"/>
        <v>-410.00000000000023</v>
      </c>
      <c r="CP143" s="3">
        <f t="shared" si="542"/>
        <v>-5202</v>
      </c>
      <c r="CQ143" s="3">
        <f t="shared" si="552"/>
        <v>332</v>
      </c>
      <c r="CR143" s="3"/>
      <c r="CS143" s="3">
        <f t="shared" si="553"/>
        <v>33</v>
      </c>
      <c r="CT143" s="3"/>
      <c r="CU143" s="3">
        <f t="shared" si="554"/>
        <v>2</v>
      </c>
      <c r="CV143" s="3"/>
      <c r="CW143" s="3" t="e">
        <f t="shared" ca="1" si="555"/>
        <v>#NUM!</v>
      </c>
      <c r="CY143" s="3" t="e">
        <f t="shared" ca="1" si="556"/>
        <v>#NUM!</v>
      </c>
      <c r="CZ143" s="70" t="e">
        <f t="shared" ca="1" si="589"/>
        <v>#NUM!</v>
      </c>
      <c r="DA143" s="3">
        <f>IF(RTD("tos.rtd",,DA$43,"."&amp;$B$134&amp;$AS$82&amp;"C"&amp;$A143)="N/A",0,RTD("tos.rtd",,DA$43,"."&amp;$B$134&amp;$AS$82&amp;"C"&amp;$A143))</f>
        <v>0.05</v>
      </c>
      <c r="DB143" s="3">
        <f>IF(RTD("tos.rtd",,DB$43,"."&amp;$B$134&amp;$AS$82&amp;"P"&amp;$A143)="N/A",0,RTD("tos.rtd",,DB$43,"."&amp;$B$134&amp;$AS$82&amp;"P"&amp;$A143))</f>
        <v>244.3</v>
      </c>
      <c r="DC143" s="3">
        <f>IF(RTD("tos.rtd",,DC$43,"."&amp;$B$134&amp;$AS$82&amp;"C"&amp;$A143)="N/A",0,RTD("tos.rtd",,DC$43,"."&amp;$B$134&amp;$AS$82&amp;"C"&amp;$A143))</f>
        <v>0.05</v>
      </c>
      <c r="DD143" s="3">
        <f>IF(RTD("tos.rtd",,DD$43,"."&amp;$B$134&amp;$AS$82&amp;"P"&amp;$A143)="N/A",0,RTD("tos.rtd",,DD$43,"."&amp;$B$134&amp;$AS$82&amp;"P"&amp;$A143))</f>
        <v>362.7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318</v>
      </c>
      <c r="DG143" s="86">
        <f t="shared" si="590"/>
        <v>338.55099999999948</v>
      </c>
      <c r="DH143" s="3">
        <f t="shared" si="557"/>
        <v>0</v>
      </c>
      <c r="DI143" s="3">
        <f t="shared" si="558"/>
        <v>0</v>
      </c>
      <c r="DJ143" s="3">
        <f t="shared" si="559"/>
        <v>0</v>
      </c>
      <c r="DK143" s="3">
        <f t="shared" si="560"/>
        <v>0</v>
      </c>
      <c r="DL143" s="3">
        <f t="shared" si="561"/>
        <v>0</v>
      </c>
      <c r="DM143" s="3">
        <f t="shared" si="562"/>
        <v>0</v>
      </c>
      <c r="DN143" s="64" t="str">
        <f t="shared" si="563"/>
        <v>UNKNOWN</v>
      </c>
      <c r="DO143" s="64" t="str">
        <f t="shared" si="564"/>
        <v>UNKNOWN</v>
      </c>
      <c r="DP143" s="3">
        <f t="shared" si="565"/>
        <v>0</v>
      </c>
      <c r="DQ143" s="3">
        <f t="shared" si="566"/>
        <v>0</v>
      </c>
      <c r="DR143" s="3" t="e">
        <f t="shared" ca="1" si="567"/>
        <v>#NUM!</v>
      </c>
      <c r="DS143" s="3">
        <f t="shared" si="568"/>
        <v>0</v>
      </c>
      <c r="DT143" s="3">
        <f t="shared" si="591"/>
        <v>0</v>
      </c>
      <c r="DU143" s="3">
        <f t="shared" si="592"/>
        <v>0</v>
      </c>
      <c r="DV143" s="3">
        <f t="shared" si="569"/>
        <v>-75</v>
      </c>
      <c r="DW143" s="3">
        <f t="shared" si="570"/>
        <v>0</v>
      </c>
      <c r="DX143" s="3" t="e">
        <f t="shared" ca="1" si="571"/>
        <v>#NUM!</v>
      </c>
      <c r="DY143" s="3" t="e">
        <f t="shared" ca="1" si="572"/>
        <v>#NUM!</v>
      </c>
      <c r="DZ143" s="3">
        <f t="shared" ca="1" si="573"/>
        <v>5.0631082214675383E-4</v>
      </c>
      <c r="EA143" s="3">
        <f t="shared" ca="1" si="574"/>
        <v>-4.7959313331755106E-4</v>
      </c>
      <c r="EB143" s="3">
        <f t="shared" ca="1" si="575"/>
        <v>5.8226348377652477E-4</v>
      </c>
      <c r="EC143" s="3">
        <f t="shared" ca="1" si="576"/>
        <v>-5.630524154740372E-4</v>
      </c>
      <c r="ED143" s="63">
        <f t="shared" si="593"/>
        <v>-75</v>
      </c>
      <c r="EE143" s="59">
        <f t="shared" si="577"/>
        <v>0.70489999999999997</v>
      </c>
      <c r="EF143" s="59">
        <f t="shared" si="578"/>
        <v>1.1540999999999999</v>
      </c>
      <c r="EG143" s="59">
        <f t="shared" si="579"/>
        <v>0.26450000000000001</v>
      </c>
      <c r="EH143" s="59">
        <f t="shared" si="580"/>
        <v>0.28270000000000001</v>
      </c>
      <c r="EI143" s="59">
        <f t="shared" si="581"/>
        <v>0.22009999999999999</v>
      </c>
      <c r="EJ143" s="59">
        <f t="shared" si="582"/>
        <v>0.23050000000000001</v>
      </c>
      <c r="EK143" s="63" t="e">
        <f t="shared" ca="1" si="594"/>
        <v>#NUM!</v>
      </c>
      <c r="EL143" s="3" t="str">
        <f>RTD("tos.rtd",,EL$43,"."&amp;$B$134&amp;$AS$82&amp;"C"&amp;$A143)</f>
        <v>70.49%</v>
      </c>
      <c r="EM143" s="3" t="str">
        <f>RTD("tos.rtd",,EM$43,"."&amp;$B$134&amp;$AS$82&amp;"P"&amp;$A143)</f>
        <v>115.41%</v>
      </c>
      <c r="EN143" s="3" t="str">
        <f>RTD("tos.rtd",,EN$2,"."&amp;$C$134&amp;$AU$82&amp;"C"&amp;$A143)</f>
        <v>26.45%</v>
      </c>
      <c r="EO143" s="3" t="str">
        <f>RTD("tos.rtd",,EO$2,"."&amp;$C$134&amp;$AU$82&amp;"P"&amp;$A143)</f>
        <v>28.27%</v>
      </c>
      <c r="EP143" s="3" t="str">
        <f>RTD("tos.rtd",,EP$2,"."&amp;$D$134&amp;$AW$82&amp;"C"&amp;$A143)</f>
        <v>22.01%</v>
      </c>
      <c r="EQ143" s="3" t="str">
        <f>RTD("tos.rtd",,EQ$2,"."&amp;$D$134&amp;$AW$82&amp;"P"&amp;$A143)</f>
        <v>23.05%</v>
      </c>
      <c r="ES143" s="63" t="str">
        <f t="shared" si="583"/>
        <v>20400,-75.00</v>
      </c>
      <c r="ET143" s="63" t="str">
        <f t="shared" ca="1" si="584"/>
        <v>20400,00.00</v>
      </c>
      <c r="EU143" s="67">
        <v>565.47</v>
      </c>
      <c r="EV143" s="67" t="s">
        <v>1163</v>
      </c>
      <c r="EW143" s="67">
        <v>489.05</v>
      </c>
      <c r="EX143" s="67" t="s">
        <v>1164</v>
      </c>
      <c r="EY143" s="67">
        <v>5663.94</v>
      </c>
      <c r="EZ143" s="67" t="s">
        <v>1165</v>
      </c>
      <c r="FA143" s="67">
        <v>20063.564999999999</v>
      </c>
      <c r="FB143" s="67" t="s">
        <v>1166</v>
      </c>
      <c r="FC143" s="67" t="s">
        <v>1167</v>
      </c>
      <c r="FD143" s="67" t="s">
        <v>1168</v>
      </c>
      <c r="FE143" s="68" t="s">
        <v>1169</v>
      </c>
      <c r="FF143" s="68" t="s">
        <v>1170</v>
      </c>
    </row>
    <row r="144" spans="1:162" ht="11.1" customHeight="1" thickBot="1" x14ac:dyDescent="0.25">
      <c r="A144" s="2">
        <f t="shared" si="595"/>
        <v>20375</v>
      </c>
      <c r="B144" s="3">
        <f t="shared" si="596"/>
        <v>8</v>
      </c>
      <c r="C144" s="3">
        <f t="shared" si="597"/>
        <v>22</v>
      </c>
      <c r="D144" s="3">
        <f t="shared" si="608"/>
        <v>40</v>
      </c>
      <c r="E144" s="3">
        <f t="shared" si="598"/>
        <v>70</v>
      </c>
      <c r="F144" s="4">
        <f t="shared" si="599"/>
        <v>20791.713811400161</v>
      </c>
      <c r="G144" s="5">
        <f t="shared" si="600"/>
        <v>503.92490343045506</v>
      </c>
      <c r="AM144" s="1">
        <v>-16</v>
      </c>
      <c r="AN144" s="1">
        <v>0</v>
      </c>
      <c r="AO144" s="1">
        <v>20375</v>
      </c>
      <c r="AP144" s="1">
        <v>117</v>
      </c>
      <c r="AQ144" s="1">
        <v>0</v>
      </c>
      <c r="AS144" s="54">
        <f>IF(RTD("tos.rtd",,AS$83,"."&amp;$B$134&amp;$AS$82&amp;"C"&amp;$A144)="N/A",0,RTD("tos.rtd",,AS$83,"."&amp;$B$134&amp;$AS$82&amp;"C"&amp;$A144))</f>
        <v>7</v>
      </c>
      <c r="AT144" s="3">
        <f>-IF(RTD("tos.rtd",,AT$83,"."&amp;$B$134&amp;$AS$82&amp;"P"&amp;$A144)="N/A",0,RTD("tos.rtd",,AT$83,"."&amp;$B$134&amp;$AS$82&amp;"P"&amp;$A144))</f>
        <v>-1</v>
      </c>
      <c r="AU144" s="54">
        <f>IF(RTD("tos.rtd",,AU$2,"."&amp;$C$134&amp;$AU$134&amp;"C"&amp;$A144)="N/A",0,RTD("tos.rtd",,AU$2,"."&amp;$C$134&amp;$AU$134&amp;"C"&amp;$A144))</f>
        <v>16</v>
      </c>
      <c r="AV144" s="3">
        <f>-IF(RTD("tos.rtd",,AV$2,"."&amp;$C$134&amp;$AU$134&amp;"P"&amp;$A144)="N/A",0,RTD("tos.rtd",,AV$2,"."&amp;$C$134&amp;$AU$134&amp;"P"&amp;$A144))</f>
        <v>-6</v>
      </c>
      <c r="AW144" s="54">
        <f>IF(RTD("tos.rtd",,AW$2,"."&amp;$D$134&amp;$AW$134&amp;"C"&amp;$A144)="N/A",0,RTD("tos.rtd",,AW$2,"."&amp;$D$134&amp;$AW$134&amp;"C"&amp;$A144))</f>
        <v>22</v>
      </c>
      <c r="AX144" s="3">
        <f>-IF(RTD("tos.rtd",,AX$2,"."&amp;$D$134&amp;$AW$134&amp;"P"&amp;$A144)="N/A",0,RTD("tos.rtd",,AX$2,"."&amp;$D$134&amp;$AW$134&amp;"P"&amp;$A144))</f>
        <v>-18</v>
      </c>
      <c r="AY144" s="76">
        <f t="shared" si="601"/>
        <v>20</v>
      </c>
      <c r="AZ144" s="8">
        <f t="shared" si="548"/>
        <v>20375</v>
      </c>
      <c r="BA144" s="54">
        <f>IF(RTD("tos.rtd",,BA$43,"."&amp;$B$134&amp;$AS$82&amp;"C"&amp;$A144)="N/A",0,RTD("tos.rtd",,BA$43,"."&amp;$B$134&amp;$AS$82&amp;"C"&amp;$A144))</f>
        <v>117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0</v>
      </c>
      <c r="BD144" s="3">
        <f>-IF(RTD("tos.rtd",,BD$2,"."&amp;$C$134&amp;$AU$82&amp;"P"&amp;$A144)="N/A",0,RTD("tos.rtd",,BD$2,"."&amp;$C$134&amp;$AU$82&amp;"P"&amp;$A144))</f>
        <v>0</v>
      </c>
      <c r="BE144" s="54">
        <f>IF(RTD("tos.rtd",,BE$2,"."&amp;$D$134&amp;$AW$82&amp;"C"&amp;$A144)="N/A",0,RTD("tos.rtd",,BE$2,"."&amp;$D$134&amp;$AW$82&amp;"C"&amp;$A144))</f>
        <v>0</v>
      </c>
      <c r="BF144" s="3">
        <f>-IF(RTD("tos.rtd",,BF$2,"."&amp;$D$134&amp;$AW$82&amp;"P"&amp;$A144)="N/A",0,RTD("tos.rtd",,BF$2,"."&amp;$D$134&amp;$AW$82&amp;"P"&amp;$A144))</f>
        <v>0</v>
      </c>
      <c r="BG144" s="3">
        <f ca="1">+Hoja2!Y145</f>
        <v>2</v>
      </c>
      <c r="BH144" s="7">
        <f t="shared" ca="1" si="549"/>
        <v>119</v>
      </c>
      <c r="BI144" s="32" t="str">
        <f t="shared" ca="1" si="609"/>
        <v/>
      </c>
      <c r="BJ144" s="3" t="e">
        <f ca="1">IF($BP$1=1,DX144,IF(RTD("tos.rtd",,BJ$43,"."&amp;$B$134&amp;$AS$82&amp;"C"&amp;$A144)="N/A",0,RTD("tos.rtd",,BJ$43,"."&amp;$B$134&amp;$AS$82&amp;"C"&amp;$A144)))</f>
        <v>#NUM!</v>
      </c>
      <c r="BK144" s="3" t="e">
        <f ca="1">IF($BP$1=1,DY144,-IF(RTD("tos.rtd",,BK$43,"."&amp;$B$134&amp;$AS$82&amp;"P"&amp;$A144)="N/A",0,RTD("tos.rtd",,BK$43,"."&amp;$B$134&amp;$AS$82&amp;"P"&amp;$A144)))</f>
        <v>#NUM!</v>
      </c>
      <c r="BL144" s="3">
        <f ca="1">IF($BP$1=1,DZ144,IF(RTD("tos.rtd",,BL$2,"."&amp;$C$134&amp;$AU$82&amp;"C"&amp;$A144)="N/A",0,RTD("tos.rtd",,BL$2,"."&amp;$C$134&amp;$AU$82&amp;"C"&amp;$A144)))</f>
        <v>5.1298280658905807E-4</v>
      </c>
      <c r="BM144" s="3">
        <f ca="1">IF($BP$1=1,EA144,-IF(RTD("tos.rtd",,BM$2,"."&amp;$C$134&amp;$AU$82&amp;"P"&amp;$A144)="N/A",0,RTD("tos.rtd",,BM$2,"."&amp;$C$134&amp;$AU$82&amp;"P"&amp;$A144)))</f>
        <v>-4.8040811619917472E-4</v>
      </c>
      <c r="BN144" s="3">
        <f ca="1">IF($BP$1=1,EB144,IF(RTD("tos.rtd",,BN$2,"."&amp;$D$134&amp;$AW$82&amp;"C"&amp;$A144)="N/A",0,RTD("tos.rtd",,BN$2,"."&amp;$D$134&amp;$AW$82&amp;"C"&amp;$A144)))</f>
        <v>5.9271644391420495E-4</v>
      </c>
      <c r="BO144" s="3">
        <f ca="1">IF($BP$1=1,EC144,-IF(RTD("tos.rtd",,BO$2,"."&amp;$D$134&amp;$AW$82&amp;"P"&amp;$A144)="N/A",0,RTD("tos.rtd",,BO$2,"."&amp;$D$134&amp;$AW$82&amp;"P"&amp;$A144)))</f>
        <v>-5.7212041182594495E-4</v>
      </c>
      <c r="BQ144" s="3" t="e">
        <f t="shared" ca="1" si="602"/>
        <v>#NUM!</v>
      </c>
      <c r="BR144" s="3" t="e">
        <f t="shared" ca="1" si="550"/>
        <v>#NUM!</v>
      </c>
      <c r="BS144" s="3">
        <f t="shared" ca="1" si="603"/>
        <v>170592.99314810295</v>
      </c>
      <c r="BT144" s="3" t="str">
        <f t="shared" ca="1" si="551"/>
        <v>Cruce +</v>
      </c>
      <c r="BU144" s="3">
        <f t="shared" ca="1" si="604"/>
        <v>87825.826948711358</v>
      </c>
      <c r="BV144" s="3" t="str">
        <f t="shared" ca="1" si="551"/>
        <v>Cruce +</v>
      </c>
      <c r="BX144" s="3" t="e">
        <f t="shared" ca="1" si="585"/>
        <v>#NUM!</v>
      </c>
      <c r="BY144" s="3" t="e">
        <f t="shared" ca="1" si="586"/>
        <v>#NUM!</v>
      </c>
      <c r="BZ144" s="3">
        <f t="shared" ca="1" si="587"/>
        <v>0</v>
      </c>
      <c r="CA144" s="3" t="str">
        <f t="shared" ca="1" si="586"/>
        <v/>
      </c>
      <c r="CB144" s="3">
        <f t="shared" ca="1" si="588"/>
        <v>0</v>
      </c>
      <c r="CC144" s="3" t="str">
        <f t="shared" ca="1" si="586"/>
        <v/>
      </c>
      <c r="CD144" s="3">
        <f>IF(RTD("tos.rtd",,CD$43,"."&amp;$B$134&amp;$AS$82&amp;"C"&amp;$A144)="N/A",0,RTD("tos.rtd",,CD$43,"."&amp;$B$134&amp;$AS$82&amp;"C"&amp;$A144))</f>
        <v>0.01</v>
      </c>
      <c r="CE144" s="3">
        <f>-IF(RTD("tos.rtd",,CE$43,"."&amp;$B$134&amp;$AS$82&amp;"P"&amp;$A144)="N/A",0,RTD("tos.rtd",,CE$43,"."&amp;$B$134&amp;$AS$82&amp;"P"&amp;$A144))</f>
        <v>0.97</v>
      </c>
      <c r="CF144" s="3">
        <f>IF(RTD("tos.rtd",,CF$2,"."&amp;$C$134&amp;$AU$82&amp;"C"&amp;$A144)="N/A",0,RTD("tos.rtd",,CF$2,"."&amp;$C$134&amp;$AU$82&amp;"C"&amp;$A144))</f>
        <v>0.31</v>
      </c>
      <c r="CG144" s="3">
        <f>-IF(RTD("tos.rtd",,CG$2,"."&amp;$C$134&amp;$AU$82&amp;"P"&amp;$A144)="N/A",0,RTD("tos.rtd",,CG$2,"."&amp;$C$134&amp;$AU$82&amp;"P"&amp;$A144))</f>
        <v>0.67</v>
      </c>
      <c r="CH144" s="3">
        <f>IF(RTD("tos.rtd",,CH$2,"."&amp;$D$134&amp;$AW$82&amp;"C"&amp;$A144)="N/A",0,RTD("tos.rtd",,CH$2,"."&amp;$D$134&amp;$AW$82&amp;"C"&amp;$A144))</f>
        <v>0.46</v>
      </c>
      <c r="CI144" s="3">
        <f>-IF(RTD("tos.rtd",,CI$2,"."&amp;$D$134&amp;$AW$82&amp;"P"&amp;$A144)="N/A",0,RTD("tos.rtd",,CI$2,"."&amp;$D$134&amp;$AW$82&amp;"P"&amp;$A144))</f>
        <v>0.54</v>
      </c>
      <c r="CK144" s="3">
        <f t="shared" si="605"/>
        <v>-90</v>
      </c>
      <c r="CL144" s="3"/>
      <c r="CM144" s="3">
        <f t="shared" si="606"/>
        <v>93.999999999999943</v>
      </c>
      <c r="CN144" s="3"/>
      <c r="CO144" s="3">
        <f t="shared" si="607"/>
        <v>40</v>
      </c>
      <c r="CP144" s="3">
        <f t="shared" si="542"/>
        <v>43.999999999999943</v>
      </c>
      <c r="CQ144" s="3">
        <f t="shared" si="552"/>
        <v>117</v>
      </c>
      <c r="CR144" s="3"/>
      <c r="CS144" s="3">
        <f t="shared" si="553"/>
        <v>0</v>
      </c>
      <c r="CT144" s="3"/>
      <c r="CU144" s="3">
        <f t="shared" si="554"/>
        <v>0</v>
      </c>
      <c r="CV144" s="3"/>
      <c r="CW144" s="3" t="e">
        <f t="shared" ca="1" si="555"/>
        <v>#NUM!</v>
      </c>
      <c r="CY144" s="3" t="e">
        <f t="shared" ca="1" si="556"/>
        <v>#NUM!</v>
      </c>
      <c r="CZ144" s="70" t="e">
        <f t="shared" ca="1" si="589"/>
        <v>#NUM!</v>
      </c>
      <c r="DA144" s="3">
        <f>IF(RTD("tos.rtd",,DA$43,"."&amp;$B$134&amp;$AS$82&amp;"C"&amp;$A144)="N/A",0,RTD("tos.rtd",,DA$43,"."&amp;$B$134&amp;$AS$82&amp;"C"&amp;$A144))</f>
        <v>0.15</v>
      </c>
      <c r="DB144" s="3">
        <f>IF(RTD("tos.rtd",,DB$43,"."&amp;$B$134&amp;$AS$82&amp;"P"&amp;$A144)="N/A",0,RTD("tos.rtd",,DB$43,"."&amp;$B$134&amp;$AS$82&amp;"P"&amp;$A144))</f>
        <v>3224.25</v>
      </c>
      <c r="DC144" s="3">
        <f>IF(RTD("tos.rtd",,DC$43,"."&amp;$B$134&amp;$AS$82&amp;"C"&amp;$A144)="N/A",0,RTD("tos.rtd",,DC$43,"."&amp;$B$134&amp;$AS$82&amp;"C"&amp;$A144))</f>
        <v>1.5</v>
      </c>
      <c r="DD144" s="3">
        <f>IF(RTD("tos.rtd",,DD$43,"."&amp;$B$134&amp;$AS$82&amp;"P"&amp;$A144)="N/A",0,RTD("tos.rtd",,DD$43,"."&amp;$B$134&amp;$AS$82&amp;"P"&amp;$A144))</f>
        <v>337.7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294</v>
      </c>
      <c r="DG144" s="86">
        <f t="shared" si="590"/>
        <v>313.55099999999948</v>
      </c>
      <c r="DH144" s="3">
        <f t="shared" si="557"/>
        <v>0</v>
      </c>
      <c r="DI144" s="3">
        <f t="shared" si="558"/>
        <v>0</v>
      </c>
      <c r="DJ144" s="3">
        <f t="shared" si="559"/>
        <v>0</v>
      </c>
      <c r="DK144" s="3">
        <f t="shared" si="560"/>
        <v>0</v>
      </c>
      <c r="DL144" s="3">
        <f t="shared" si="561"/>
        <v>0</v>
      </c>
      <c r="DM144" s="3">
        <f t="shared" si="562"/>
        <v>0</v>
      </c>
      <c r="DN144" s="64" t="str">
        <f t="shared" si="563"/>
        <v>UNKNOWN</v>
      </c>
      <c r="DO144" s="64" t="str">
        <f t="shared" si="564"/>
        <v>UNKNOWN</v>
      </c>
      <c r="DP144" s="3">
        <f t="shared" si="565"/>
        <v>0</v>
      </c>
      <c r="DQ144" s="3">
        <f t="shared" si="566"/>
        <v>0</v>
      </c>
      <c r="DR144" s="3" t="e">
        <f t="shared" ca="1" si="567"/>
        <v>#NUM!</v>
      </c>
      <c r="DS144" s="3">
        <f t="shared" si="568"/>
        <v>0</v>
      </c>
      <c r="DT144" s="3">
        <f t="shared" si="591"/>
        <v>0</v>
      </c>
      <c r="DU144" s="3">
        <f t="shared" si="592"/>
        <v>0</v>
      </c>
      <c r="DV144" s="3">
        <f t="shared" si="569"/>
        <v>-16</v>
      </c>
      <c r="DW144" s="3">
        <f t="shared" si="570"/>
        <v>0</v>
      </c>
      <c r="DX144" s="3" t="e">
        <f t="shared" ca="1" si="571"/>
        <v>#NUM!</v>
      </c>
      <c r="DY144" s="3" t="e">
        <f t="shared" ca="1" si="572"/>
        <v>#NUM!</v>
      </c>
      <c r="DZ144" s="3">
        <f t="shared" ca="1" si="573"/>
        <v>5.1298280658905807E-4</v>
      </c>
      <c r="EA144" s="3">
        <f t="shared" ca="1" si="574"/>
        <v>-4.8040811619917472E-4</v>
      </c>
      <c r="EB144" s="3">
        <f t="shared" ca="1" si="575"/>
        <v>5.9271644391420495E-4</v>
      </c>
      <c r="EC144" s="3">
        <f t="shared" ca="1" si="576"/>
        <v>-5.7212041182594495E-4</v>
      </c>
      <c r="ED144" s="63">
        <f t="shared" si="593"/>
        <v>-16</v>
      </c>
      <c r="EE144" s="59">
        <f t="shared" si="577"/>
        <v>0.94289999999999996</v>
      </c>
      <c r="EF144" s="59">
        <f t="shared" si="578"/>
        <v>1.1293</v>
      </c>
      <c r="EG144" s="59">
        <f t="shared" si="579"/>
        <v>0.26479999999999998</v>
      </c>
      <c r="EH144" s="59">
        <f t="shared" si="580"/>
        <v>0.28620000000000001</v>
      </c>
      <c r="EI144" s="59">
        <f t="shared" si="581"/>
        <v>0.22090000000000001</v>
      </c>
      <c r="EJ144" s="59">
        <f t="shared" si="582"/>
        <v>0.23130000000000001</v>
      </c>
      <c r="EK144" s="63" t="e">
        <f t="shared" ca="1" si="594"/>
        <v>#NUM!</v>
      </c>
      <c r="EL144" s="3" t="str">
        <f>RTD("tos.rtd",,EL$43,"."&amp;$B$134&amp;$AS$82&amp;"C"&amp;$A144)</f>
        <v>94.29%</v>
      </c>
      <c r="EM144" s="3" t="str">
        <f>RTD("tos.rtd",,EM$43,"."&amp;$B$134&amp;$AS$82&amp;"P"&amp;$A144)</f>
        <v>112.93%</v>
      </c>
      <c r="EN144" s="3" t="str">
        <f>RTD("tos.rtd",,EN$2,"."&amp;$C$134&amp;$AU$82&amp;"C"&amp;$A144)</f>
        <v>26.48%</v>
      </c>
      <c r="EO144" s="3" t="str">
        <f>RTD("tos.rtd",,EO$2,"."&amp;$C$134&amp;$AU$82&amp;"P"&amp;$A144)</f>
        <v>28.62%</v>
      </c>
      <c r="EP144" s="3" t="str">
        <f>RTD("tos.rtd",,EP$2,"."&amp;$D$134&amp;$AW$82&amp;"C"&amp;$A144)</f>
        <v>22.09%</v>
      </c>
      <c r="EQ144" s="3" t="str">
        <f>RTD("tos.rtd",,EQ$2,"."&amp;$D$134&amp;$AW$82&amp;"P"&amp;$A144)</f>
        <v>23.13%</v>
      </c>
      <c r="ES144" s="63" t="str">
        <f t="shared" si="583"/>
        <v>20375,-16.00</v>
      </c>
      <c r="ET144" s="63" t="str">
        <f t="shared" ca="1" si="584"/>
        <v>20375,00.00</v>
      </c>
      <c r="EU144" s="67">
        <v>565.35</v>
      </c>
      <c r="EV144" s="67" t="s">
        <v>1171</v>
      </c>
      <c r="EW144" s="67">
        <v>488.88</v>
      </c>
      <c r="EX144" s="67" t="s">
        <v>1172</v>
      </c>
      <c r="EY144" s="67">
        <v>5663.94</v>
      </c>
      <c r="EZ144" s="67" t="s">
        <v>1173</v>
      </c>
      <c r="FA144" s="67">
        <v>20063.564999999999</v>
      </c>
      <c r="FB144" s="67" t="s">
        <v>1174</v>
      </c>
      <c r="FC144" s="67" t="s">
        <v>1175</v>
      </c>
      <c r="FD144" s="67" t="s">
        <v>1176</v>
      </c>
      <c r="FE144" s="68" t="s">
        <v>1177</v>
      </c>
      <c r="FF144" s="68" t="s">
        <v>1178</v>
      </c>
    </row>
    <row r="145" spans="1:162" ht="11.1" customHeight="1" thickBot="1" x14ac:dyDescent="0.25">
      <c r="A145" s="2">
        <f t="shared" si="595"/>
        <v>20350</v>
      </c>
      <c r="B145" s="3">
        <f t="shared" ref="B145:B154" si="610">+IF($A$1="ABS",AS145-AT145,AS145+AT145)</f>
        <v>60</v>
      </c>
      <c r="C145" s="3">
        <f t="shared" ref="C145:C154" si="611">+IF($A$1="ABS",AU145-AV145,AU145+AV145)</f>
        <v>35</v>
      </c>
      <c r="D145" s="3">
        <f t="shared" ref="D145:D154" si="612">+IF($A$1="ABS",AW145-AX145,AW145+AX145)</f>
        <v>132</v>
      </c>
      <c r="E145" s="3">
        <f t="shared" si="598"/>
        <v>227</v>
      </c>
      <c r="F145" s="4">
        <f t="shared" si="599"/>
        <v>20766.202506110101</v>
      </c>
      <c r="G145" s="5">
        <f t="shared" si="600"/>
        <v>503.3065906655097</v>
      </c>
      <c r="AM145" s="1">
        <v>50</v>
      </c>
      <c r="AN145" s="1">
        <v>4</v>
      </c>
      <c r="AO145" s="1">
        <v>20350</v>
      </c>
      <c r="AP145" s="1">
        <v>360</v>
      </c>
      <c r="AQ145" s="1">
        <v>-8</v>
      </c>
      <c r="AS145" s="54">
        <f>IF(RTD("tos.rtd",,AS$83,"."&amp;$B$134&amp;$AS$82&amp;"C"&amp;$A145)="N/A",0,RTD("tos.rtd",,AS$83,"."&amp;$B$134&amp;$AS$82&amp;"C"&amp;$A145))</f>
        <v>60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22</v>
      </c>
      <c r="AV145" s="3">
        <f>-IF(RTD("tos.rtd",,AV$2,"."&amp;$C$134&amp;$AU$134&amp;"P"&amp;$A145)="N/A",0,RTD("tos.rtd",,AV$2,"."&amp;$C$134&amp;$AU$134&amp;"P"&amp;$A145))</f>
        <v>-13</v>
      </c>
      <c r="AW145" s="54">
        <f>IF(RTD("tos.rtd",,AW$2,"."&amp;$D$134&amp;$AW$134&amp;"C"&amp;$A145)="N/A",0,RTD("tos.rtd",,AW$2,"."&amp;$D$134&amp;$AW$134&amp;"C"&amp;$A145))</f>
        <v>67</v>
      </c>
      <c r="AX145" s="3">
        <f>-IF(RTD("tos.rtd",,AX$2,"."&amp;$D$134&amp;$AW$134&amp;"P"&amp;$A145)="N/A",0,RTD("tos.rtd",,AX$2,"."&amp;$D$134&amp;$AW$134&amp;"P"&amp;$A145))</f>
        <v>-65</v>
      </c>
      <c r="AY145" s="76">
        <f t="shared" si="601"/>
        <v>71</v>
      </c>
      <c r="AZ145" s="8">
        <f t="shared" si="548"/>
        <v>20350</v>
      </c>
      <c r="BA145" s="54">
        <f>IF(RTD("tos.rtd",,BA$43,"."&amp;$B$134&amp;$AS$82&amp;"C"&amp;$A145)="N/A",0,RTD("tos.rtd",,BA$43,"."&amp;$B$134&amp;$AS$82&amp;"C"&amp;$A145))</f>
        <v>360</v>
      </c>
      <c r="BB145" s="3">
        <f>-IF(RTD("tos.rtd",,BB$43,"."&amp;$B$134&amp;$AS$82&amp;"P"&amp;$A145)="N/A",0,RTD("tos.rtd",,BB$43,"."&amp;$B$134&amp;$AS$82&amp;"P"&amp;$A145))</f>
        <v>-8</v>
      </c>
      <c r="BC145" s="54">
        <f>IF(RTD("tos.rtd",,BC$2,"."&amp;$C$134&amp;$AU$82&amp;"C"&amp;$A145)="N/A",0,RTD("tos.rtd",,BC$2,"."&amp;$C$134&amp;$AU$82&amp;"C"&amp;$A145))</f>
        <v>1</v>
      </c>
      <c r="BD145" s="3">
        <f>-IF(RTD("tos.rtd",,BD$2,"."&amp;$C$134&amp;$AU$82&amp;"P"&amp;$A145)="N/A",0,RTD("tos.rtd",,BD$2,"."&amp;$C$134&amp;$AU$82&amp;"P"&amp;$A145))</f>
        <v>-8</v>
      </c>
      <c r="BE145" s="54">
        <f>IF(RTD("tos.rtd",,BE$2,"."&amp;$D$134&amp;$AW$82&amp;"C"&amp;$A145)="N/A",0,RTD("tos.rtd",,BE$2,"."&amp;$D$134&amp;$AW$82&amp;"C"&amp;$A145))</f>
        <v>0</v>
      </c>
      <c r="BF145" s="3">
        <f>-IF(RTD("tos.rtd",,BF$2,"."&amp;$D$134&amp;$AW$82&amp;"P"&amp;$A145)="N/A",0,RTD("tos.rtd",,BF$2,"."&amp;$D$134&amp;$AW$82&amp;"P"&amp;$A145))</f>
        <v>0</v>
      </c>
      <c r="BG145" s="3">
        <f ca="1">+Hoja2!Y146</f>
        <v>0</v>
      </c>
      <c r="BH145" s="7">
        <f t="shared" ca="1" si="549"/>
        <v>345</v>
      </c>
      <c r="BI145" s="32" t="str">
        <f t="shared" ca="1" si="609"/>
        <v/>
      </c>
      <c r="BJ145" s="3" t="e">
        <f ca="1">IF($BP$1=1,DX145,IF(RTD("tos.rtd",,BJ$43,"."&amp;$B$134&amp;$AS$82&amp;"C"&amp;$A145)="N/A",0,RTD("tos.rtd",,BJ$43,"."&amp;$B$134&amp;$AS$82&amp;"C"&amp;$A145)))</f>
        <v>#NUM!</v>
      </c>
      <c r="BK145" s="3" t="e">
        <f ca="1">IF($BP$1=1,DY145,-IF(RTD("tos.rtd",,BK$43,"."&amp;$B$134&amp;$AS$82&amp;"P"&amp;$A145)="N/A",0,RTD("tos.rtd",,BK$43,"."&amp;$B$134&amp;$AS$82&amp;"P"&amp;$A145)))</f>
        <v>#NUM!</v>
      </c>
      <c r="BL145" s="3">
        <f ca="1">IF($BP$1=1,DZ145,IF(RTD("tos.rtd",,BL$2,"."&amp;$C$134&amp;$AU$82&amp;"C"&amp;$A145)="N/A",0,RTD("tos.rtd",,BL$2,"."&amp;$C$134&amp;$AU$82&amp;"C"&amp;$A145)))</f>
        <v>5.1860725448749784E-4</v>
      </c>
      <c r="BM145" s="3">
        <f ca="1">IF($BP$1=1,EA145,-IF(RTD("tos.rtd",,BM$2,"."&amp;$C$134&amp;$AU$82&amp;"P"&amp;$A145)="N/A",0,RTD("tos.rtd",,BM$2,"."&amp;$C$134&amp;$AU$82&amp;"P"&amp;$A145)))</f>
        <v>-4.8958541207143194E-4</v>
      </c>
      <c r="BN145" s="3">
        <f ca="1">IF($BP$1=1,EB145,IF(RTD("tos.rtd",,BN$2,"."&amp;$D$134&amp;$AW$82&amp;"C"&amp;$A145)="N/A",0,RTD("tos.rtd",,BN$2,"."&amp;$D$134&amp;$AW$82&amp;"C"&amp;$A145)))</f>
        <v>6.021850720000397E-4</v>
      </c>
      <c r="BO145" s="3">
        <f ca="1">IF($BP$1=1,EC145,-IF(RTD("tos.rtd",,BO$2,"."&amp;$D$134&amp;$AW$82&amp;"P"&amp;$A145)="N/A",0,RTD("tos.rtd",,BO$2,"."&amp;$D$134&amp;$AW$82&amp;"P"&amp;$A145)))</f>
        <v>-5.8031177799692721E-4</v>
      </c>
      <c r="BQ145" s="3" t="e">
        <f t="shared" ca="1" si="602"/>
        <v>#NUM!</v>
      </c>
      <c r="BR145" s="3" t="e">
        <f t="shared" ca="1" si="550"/>
        <v>#NUM!</v>
      </c>
      <c r="BS145" s="3">
        <f t="shared" ca="1" si="603"/>
        <v>161606.42926082568</v>
      </c>
      <c r="BT145" s="3" t="str">
        <f t="shared" ca="1" si="551"/>
        <v/>
      </c>
      <c r="BU145" s="3">
        <f t="shared" ca="1" si="604"/>
        <v>84127.111029619584</v>
      </c>
      <c r="BV145" s="3" t="str">
        <f t="shared" ca="1" si="551"/>
        <v/>
      </c>
      <c r="BX145" s="3" t="e">
        <f t="shared" ca="1" si="585"/>
        <v>#NUM!</v>
      </c>
      <c r="BY145" s="3" t="e">
        <f t="shared" ca="1" si="586"/>
        <v>#NUM!</v>
      </c>
      <c r="BZ145" s="3">
        <f t="shared" ca="1" si="587"/>
        <v>-836.55422531746171</v>
      </c>
      <c r="CA145" s="3" t="str">
        <f t="shared" ca="1" si="586"/>
        <v/>
      </c>
      <c r="CB145" s="3">
        <f t="shared" ca="1" si="588"/>
        <v>0</v>
      </c>
      <c r="CC145" s="3" t="str">
        <f t="shared" ca="1" si="586"/>
        <v/>
      </c>
      <c r="CD145" s="3">
        <f>IF(RTD("tos.rtd",,CD$43,"."&amp;$B$134&amp;$AS$82&amp;"C"&amp;$A145)="N/A",0,RTD("tos.rtd",,CD$43,"."&amp;$B$134&amp;$AS$82&amp;"C"&amp;$A145))</f>
        <v>0.01</v>
      </c>
      <c r="CE145" s="3">
        <f>-IF(RTD("tos.rtd",,CE$43,"."&amp;$B$134&amp;$AS$82&amp;"P"&amp;$A145)="N/A",0,RTD("tos.rtd",,CE$43,"."&amp;$B$134&amp;$AS$82&amp;"P"&amp;$A145))</f>
        <v>0.97</v>
      </c>
      <c r="CF145" s="3">
        <f>IF(RTD("tos.rtd",,CF$2,"."&amp;$C$134&amp;$AU$82&amp;"C"&amp;$A145)="N/A",0,RTD("tos.rtd",,CF$2,"."&amp;$C$134&amp;$AU$82&amp;"C"&amp;$A145))</f>
        <v>0.33</v>
      </c>
      <c r="CG145" s="3">
        <f>-IF(RTD("tos.rtd",,CG$2,"."&amp;$C$134&amp;$AU$82&amp;"P"&amp;$A145)="N/A",0,RTD("tos.rtd",,CG$2,"."&amp;$C$134&amp;$AU$82&amp;"P"&amp;$A145))</f>
        <v>0.66</v>
      </c>
      <c r="CH145" s="3">
        <f>IF(RTD("tos.rtd",,CH$2,"."&amp;$D$134&amp;$AW$82&amp;"C"&amp;$A145)="N/A",0,RTD("tos.rtd",,CH$2,"."&amp;$D$134&amp;$AW$82&amp;"C"&amp;$A145))</f>
        <v>0.46</v>
      </c>
      <c r="CI145" s="3">
        <f>-IF(RTD("tos.rtd",,CI$2,"."&amp;$D$134&amp;$AW$82&amp;"P"&amp;$A145)="N/A",0,RTD("tos.rtd",,CI$2,"."&amp;$D$134&amp;$AW$82&amp;"P"&amp;$A145))</f>
        <v>0.53</v>
      </c>
      <c r="CK145" s="3">
        <f t="shared" si="605"/>
        <v>60</v>
      </c>
      <c r="CL145" s="3"/>
      <c r="CM145" s="3">
        <f t="shared" si="606"/>
        <v>-131.99999999999989</v>
      </c>
      <c r="CN145" s="3"/>
      <c r="CO145" s="3">
        <f t="shared" si="607"/>
        <v>-363.00000000000045</v>
      </c>
      <c r="CP145" s="3">
        <f t="shared" si="542"/>
        <v>-435.00000000000034</v>
      </c>
      <c r="CQ145" s="3">
        <f t="shared" si="552"/>
        <v>352</v>
      </c>
      <c r="CR145" s="3"/>
      <c r="CS145" s="3">
        <f t="shared" si="553"/>
        <v>-7</v>
      </c>
      <c r="CT145" s="3"/>
      <c r="CU145" s="3">
        <f t="shared" si="554"/>
        <v>0</v>
      </c>
      <c r="CV145" s="3"/>
      <c r="CW145" s="3" t="e">
        <f t="shared" ca="1" si="555"/>
        <v>#NUM!</v>
      </c>
      <c r="CY145" s="3" t="e">
        <f t="shared" ca="1" si="556"/>
        <v>#NUM!</v>
      </c>
      <c r="CZ145" s="70" t="e">
        <f t="shared" ca="1" si="589"/>
        <v>#NUM!</v>
      </c>
      <c r="DA145" s="3">
        <f>IF(RTD("tos.rtd",,DA$43,"."&amp;$B$134&amp;$AS$82&amp;"C"&amp;$A145)="N/A",0,RTD("tos.rtd",,DA$43,"."&amp;$B$134&amp;$AS$82&amp;"C"&amp;$A145))</f>
        <v>0.05</v>
      </c>
      <c r="DB145" s="3">
        <f>IF(RTD("tos.rtd",,DB$43,"."&amp;$B$134&amp;$AS$82&amp;"P"&amp;$A145)="N/A",0,RTD("tos.rtd",,DB$43,"."&amp;$B$134&amp;$AS$82&amp;"P"&amp;$A145))</f>
        <v>191.2</v>
      </c>
      <c r="DC145" s="3">
        <f>IF(RTD("tos.rtd",,DC$43,"."&amp;$B$134&amp;$AS$82&amp;"C"&amp;$A145)="N/A",0,RTD("tos.rtd",,DC$43,"."&amp;$B$134&amp;$AS$82&amp;"C"&amp;$A145))</f>
        <v>0.95</v>
      </c>
      <c r="DD145" s="3">
        <f>IF(RTD("tos.rtd",,DD$43,"."&amp;$B$134&amp;$AS$82&amp;"P"&amp;$A145)="N/A",0,RTD("tos.rtd",,DD$43,"."&amp;$B$134&amp;$AS$82&amp;"P"&amp;$A145))</f>
        <v>312.7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268</v>
      </c>
      <c r="DG145" s="86">
        <f t="shared" si="590"/>
        <v>288.55099999999948</v>
      </c>
      <c r="DH145" s="3">
        <f t="shared" si="557"/>
        <v>0</v>
      </c>
      <c r="DI145" s="3">
        <f t="shared" si="558"/>
        <v>0</v>
      </c>
      <c r="DJ145" s="3">
        <f t="shared" si="559"/>
        <v>0</v>
      </c>
      <c r="DK145" s="3">
        <f t="shared" si="560"/>
        <v>0</v>
      </c>
      <c r="DL145" s="3">
        <f t="shared" si="561"/>
        <v>0</v>
      </c>
      <c r="DM145" s="3">
        <f t="shared" si="562"/>
        <v>0</v>
      </c>
      <c r="DN145" s="64" t="str">
        <f t="shared" si="563"/>
        <v>UNKNOWN</v>
      </c>
      <c r="DO145" s="64" t="str">
        <f t="shared" si="564"/>
        <v>UNKNOWN</v>
      </c>
      <c r="DP145" s="3">
        <f t="shared" si="565"/>
        <v>0</v>
      </c>
      <c r="DQ145" s="3">
        <f t="shared" si="566"/>
        <v>0</v>
      </c>
      <c r="DR145" s="3" t="e">
        <f t="shared" ca="1" si="567"/>
        <v>#NUM!</v>
      </c>
      <c r="DS145" s="3">
        <f t="shared" si="568"/>
        <v>0</v>
      </c>
      <c r="DT145" s="3">
        <f t="shared" si="591"/>
        <v>0</v>
      </c>
      <c r="DU145" s="3">
        <f t="shared" si="592"/>
        <v>0</v>
      </c>
      <c r="DV145" s="3">
        <f t="shared" si="569"/>
        <v>50</v>
      </c>
      <c r="DW145" s="3">
        <f t="shared" si="570"/>
        <v>4</v>
      </c>
      <c r="DX145" s="3" t="e">
        <f t="shared" ca="1" si="571"/>
        <v>#NUM!</v>
      </c>
      <c r="DY145" s="3" t="e">
        <f t="shared" ca="1" si="572"/>
        <v>#NUM!</v>
      </c>
      <c r="DZ145" s="3">
        <f t="shared" ca="1" si="573"/>
        <v>5.1860725448749784E-4</v>
      </c>
      <c r="EA145" s="3">
        <f t="shared" ca="1" si="574"/>
        <v>-4.8958541207143194E-4</v>
      </c>
      <c r="EB145" s="3">
        <f t="shared" ca="1" si="575"/>
        <v>6.021850720000397E-4</v>
      </c>
      <c r="EC145" s="3">
        <f t="shared" ca="1" si="576"/>
        <v>-5.8031177799692721E-4</v>
      </c>
      <c r="ED145" s="63">
        <f t="shared" si="593"/>
        <v>54</v>
      </c>
      <c r="EE145" s="59">
        <f t="shared" si="577"/>
        <v>0.8256</v>
      </c>
      <c r="EF145" s="59">
        <f t="shared" si="578"/>
        <v>1.0118</v>
      </c>
      <c r="EG145" s="59">
        <f t="shared" si="579"/>
        <v>0.26540000000000002</v>
      </c>
      <c r="EH145" s="59">
        <f t="shared" si="580"/>
        <v>0.28360000000000002</v>
      </c>
      <c r="EI145" s="59">
        <f t="shared" si="581"/>
        <v>0.22170000000000001</v>
      </c>
      <c r="EJ145" s="59">
        <f t="shared" si="582"/>
        <v>0.2321</v>
      </c>
      <c r="EK145" s="63" t="e">
        <f t="shared" ca="1" si="594"/>
        <v>#NUM!</v>
      </c>
      <c r="EL145" s="3" t="str">
        <f>RTD("tos.rtd",,EL$43,"."&amp;$B$134&amp;$AS$82&amp;"C"&amp;$A145)</f>
        <v>82.56%</v>
      </c>
      <c r="EM145" s="3" t="str">
        <f>RTD("tos.rtd",,EM$43,"."&amp;$B$134&amp;$AS$82&amp;"P"&amp;$A145)</f>
        <v>101.18%</v>
      </c>
      <c r="EN145" s="3" t="str">
        <f>RTD("tos.rtd",,EN$2,"."&amp;$C$134&amp;$AU$82&amp;"C"&amp;$A145)</f>
        <v>26.54%</v>
      </c>
      <c r="EO145" s="3" t="str">
        <f>RTD("tos.rtd",,EO$2,"."&amp;$C$134&amp;$AU$82&amp;"P"&amp;$A145)</f>
        <v>28.36%</v>
      </c>
      <c r="EP145" s="3" t="str">
        <f>RTD("tos.rtd",,EP$2,"."&amp;$D$134&amp;$AW$82&amp;"C"&amp;$A145)</f>
        <v>22.17%</v>
      </c>
      <c r="EQ145" s="3" t="str">
        <f>RTD("tos.rtd",,EQ$2,"."&amp;$D$134&amp;$AW$82&amp;"P"&amp;$A145)</f>
        <v>23.21%</v>
      </c>
      <c r="ES145" s="63" t="str">
        <f t="shared" si="583"/>
        <v>20350,54.00</v>
      </c>
      <c r="ET145" s="63" t="str">
        <f t="shared" ca="1" si="584"/>
        <v>20350,00.00</v>
      </c>
      <c r="EU145" s="68">
        <v>565.35</v>
      </c>
      <c r="EV145" s="68" t="s">
        <v>1179</v>
      </c>
      <c r="EW145" s="68">
        <v>488.86</v>
      </c>
      <c r="EX145" s="68" t="s">
        <v>1180</v>
      </c>
      <c r="EY145" s="68">
        <v>5663.94</v>
      </c>
      <c r="EZ145" s="68" t="s">
        <v>1181</v>
      </c>
      <c r="FA145" s="68">
        <v>20063.564999999999</v>
      </c>
      <c r="FB145" s="68" t="s">
        <v>1182</v>
      </c>
      <c r="FC145" s="68" t="s">
        <v>1183</v>
      </c>
      <c r="FD145" s="68" t="s">
        <v>1184</v>
      </c>
      <c r="FE145" s="68" t="s">
        <v>1185</v>
      </c>
      <c r="FF145" s="68" t="s">
        <v>1186</v>
      </c>
    </row>
    <row r="146" spans="1:162" ht="11.1" customHeight="1" thickBot="1" x14ac:dyDescent="0.25">
      <c r="A146" s="2">
        <f t="shared" si="595"/>
        <v>20325</v>
      </c>
      <c r="B146" s="3">
        <f t="shared" si="610"/>
        <v>3</v>
      </c>
      <c r="C146" s="3">
        <f t="shared" si="611"/>
        <v>21</v>
      </c>
      <c r="D146" s="3">
        <f t="shared" si="612"/>
        <v>69</v>
      </c>
      <c r="E146" s="3">
        <f t="shared" si="598"/>
        <v>93</v>
      </c>
      <c r="F146" s="4">
        <f t="shared" si="599"/>
        <v>20740.691200820038</v>
      </c>
      <c r="G146" s="5">
        <f t="shared" si="600"/>
        <v>502.6882779005644</v>
      </c>
      <c r="AM146" s="1">
        <v>-39</v>
      </c>
      <c r="AN146" s="1">
        <v>0</v>
      </c>
      <c r="AO146" s="1">
        <v>20325</v>
      </c>
      <c r="AP146" s="1">
        <v>100</v>
      </c>
      <c r="AQ146" s="1">
        <v>0</v>
      </c>
      <c r="AS146" s="54">
        <f>IF(RTD("tos.rtd",,AS$83,"."&amp;$B$134&amp;$AS$82&amp;"C"&amp;$A146)="N/A",0,RTD("tos.rtd",,AS$83,"."&amp;$B$134&amp;$AS$82&amp;"C"&amp;$A146))</f>
        <v>3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14</v>
      </c>
      <c r="AV146" s="3">
        <f>-IF(RTD("tos.rtd",,AV$2,"."&amp;$C$134&amp;$AU$134&amp;"P"&amp;$A146)="N/A",0,RTD("tos.rtd",,AV$2,"."&amp;$C$134&amp;$AU$134&amp;"P"&amp;$A146))</f>
        <v>-7</v>
      </c>
      <c r="AW146" s="54">
        <f>IF(RTD("tos.rtd",,AW$2,"."&amp;$D$134&amp;$AW$134&amp;"C"&amp;$A146)="N/A",0,RTD("tos.rtd",,AW$2,"."&amp;$D$134&amp;$AW$134&amp;"C"&amp;$A146))</f>
        <v>32</v>
      </c>
      <c r="AX146" s="3">
        <f>-IF(RTD("tos.rtd",,AX$2,"."&amp;$D$134&amp;$AW$134&amp;"P"&amp;$A146)="N/A",0,RTD("tos.rtd",,AX$2,"."&amp;$D$134&amp;$AW$134&amp;"P"&amp;$A146))</f>
        <v>-37</v>
      </c>
      <c r="AY146" s="76">
        <f t="shared" si="601"/>
        <v>5</v>
      </c>
      <c r="AZ146" s="8">
        <f t="shared" si="548"/>
        <v>20325</v>
      </c>
      <c r="BA146" s="54">
        <f>IF(RTD("tos.rtd",,BA$43,"."&amp;$B$134&amp;$AS$82&amp;"C"&amp;$A146)="N/A",0,RTD("tos.rtd",,BA$43,"."&amp;$B$134&amp;$AS$82&amp;"C"&amp;$A146))</f>
        <v>100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1</v>
      </c>
      <c r="BD146" s="3">
        <f>-IF(RTD("tos.rtd",,BD$2,"."&amp;$C$134&amp;$AU$82&amp;"P"&amp;$A146)="N/A",0,RTD("tos.rtd",,BD$2,"."&amp;$C$134&amp;$AU$82&amp;"P"&amp;$A146))</f>
        <v>-11</v>
      </c>
      <c r="BE146" s="54">
        <f>IF(RTD("tos.rtd",,BE$2,"."&amp;$D$134&amp;$AW$82&amp;"C"&amp;$A146)="N/A",0,RTD("tos.rtd",,BE$2,"."&amp;$D$134&amp;$AW$82&amp;"C"&amp;$A146))</f>
        <v>1</v>
      </c>
      <c r="BF146" s="3">
        <f>-IF(RTD("tos.rtd",,BF$2,"."&amp;$D$134&amp;$AW$82&amp;"P"&amp;$A146)="N/A",0,RTD("tos.rtd",,BF$2,"."&amp;$D$134&amp;$AW$82&amp;"P"&amp;$A146))</f>
        <v>0</v>
      </c>
      <c r="BG146" s="3">
        <f ca="1">+Hoja2!Y147</f>
        <v>0</v>
      </c>
      <c r="BH146" s="7">
        <f t="shared" ca="1" si="549"/>
        <v>91</v>
      </c>
      <c r="BI146" s="32" t="str">
        <f t="shared" ca="1" si="609"/>
        <v/>
      </c>
      <c r="BJ146" s="3" t="e">
        <f ca="1">IF($BP$1=1,DX146,IF(RTD("tos.rtd",,BJ$43,"."&amp;$B$134&amp;$AS$82&amp;"C"&amp;$A146)="N/A",0,RTD("tos.rtd",,BJ$43,"."&amp;$B$134&amp;$AS$82&amp;"C"&amp;$A146)))</f>
        <v>#NUM!</v>
      </c>
      <c r="BK146" s="3" t="e">
        <f ca="1">IF($BP$1=1,DY146,-IF(RTD("tos.rtd",,BK$43,"."&amp;$B$134&amp;$AS$82&amp;"P"&amp;$A146)="N/A",0,RTD("tos.rtd",,BK$43,"."&amp;$B$134&amp;$AS$82&amp;"P"&amp;$A146)))</f>
        <v>#NUM!</v>
      </c>
      <c r="BL146" s="3">
        <f ca="1">IF($BP$1=1,DZ146,IF(RTD("tos.rtd",,BL$2,"."&amp;$C$134&amp;$AU$82&amp;"C"&amp;$A146)="N/A",0,RTD("tos.rtd",,BL$2,"."&amp;$C$134&amp;$AU$82&amp;"C"&amp;$A146)))</f>
        <v>5.2310906194013489E-4</v>
      </c>
      <c r="BM146" s="3">
        <f ca="1">IF($BP$1=1,EA146,-IF(RTD("tos.rtd",,BM$2,"."&amp;$C$134&amp;$AU$82&amp;"P"&amp;$A146)="N/A",0,RTD("tos.rtd",,BM$2,"."&amp;$C$134&amp;$AU$82&amp;"P"&amp;$A146)))</f>
        <v>-4.9206773082870105E-4</v>
      </c>
      <c r="BN146" s="3">
        <f ca="1">IF($BP$1=1,EB146,IF(RTD("tos.rtd",,BN$2,"."&amp;$D$134&amp;$AW$82&amp;"C"&amp;$A146)="N/A",0,RTD("tos.rtd",,BN$2,"."&amp;$D$134&amp;$AW$82&amp;"C"&amp;$A146)))</f>
        <v>6.1063749888142979E-4</v>
      </c>
      <c r="BO146" s="3">
        <f ca="1">IF($BP$1=1,EC146,-IF(RTD("tos.rtd",,BO$2,"."&amp;$D$134&amp;$AW$82&amp;"P"&amp;$A146)="N/A",0,RTD("tos.rtd",,BO$2,"."&amp;$D$134&amp;$AW$82&amp;"P"&amp;$A146)))</f>
        <v>-5.8760223074538764E-4</v>
      </c>
      <c r="BQ146" s="3" t="e">
        <f t="shared" ca="1" si="602"/>
        <v>#NUM!</v>
      </c>
      <c r="BR146" s="3" t="e">
        <f t="shared" ca="1" si="550"/>
        <v>#NUM!</v>
      </c>
      <c r="BS146" s="3">
        <f t="shared" ca="1" si="603"/>
        <v>124263.83037397708</v>
      </c>
      <c r="BT146" s="3" t="str">
        <f t="shared" ca="1" si="551"/>
        <v/>
      </c>
      <c r="BU146" s="3">
        <f t="shared" ca="1" si="604"/>
        <v>-70504.351526228362</v>
      </c>
      <c r="BV146" s="3" t="str">
        <f t="shared" ca="1" si="551"/>
        <v>Cruce -</v>
      </c>
      <c r="BX146" s="3" t="e">
        <f t="shared" ca="1" si="585"/>
        <v>#NUM!</v>
      </c>
      <c r="BY146" s="3" t="e">
        <f t="shared" ca="1" si="586"/>
        <v>#NUM!</v>
      </c>
      <c r="BZ146" s="3">
        <f t="shared" ca="1" si="587"/>
        <v>-1203.7534140824976</v>
      </c>
      <c r="CA146" s="3" t="str">
        <f t="shared" ca="1" si="586"/>
        <v/>
      </c>
      <c r="CB146" s="3">
        <f t="shared" ca="1" si="588"/>
        <v>150.32959048004892</v>
      </c>
      <c r="CC146" s="3" t="str">
        <f t="shared" ca="1" si="586"/>
        <v/>
      </c>
      <c r="CD146" s="3">
        <f>IF(RTD("tos.rtd",,CD$43,"."&amp;$B$134&amp;$AS$82&amp;"C"&amp;$A146)="N/A",0,RTD("tos.rtd",,CD$43,"."&amp;$B$134&amp;$AS$82&amp;"C"&amp;$A146))</f>
        <v>0.09</v>
      </c>
      <c r="CE146" s="3">
        <f>-IF(RTD("tos.rtd",,CE$43,"."&amp;$B$134&amp;$AS$82&amp;"P"&amp;$A146)="N/A",0,RTD("tos.rtd",,CE$43,"."&amp;$B$134&amp;$AS$82&amp;"P"&amp;$A146))</f>
        <v>0.96</v>
      </c>
      <c r="CF146" s="3">
        <f>IF(RTD("tos.rtd",,CF$2,"."&amp;$C$134&amp;$AU$82&amp;"C"&amp;$A146)="N/A",0,RTD("tos.rtd",,CF$2,"."&amp;$C$134&amp;$AU$82&amp;"C"&amp;$A146))</f>
        <v>0.34</v>
      </c>
      <c r="CG146" s="3">
        <f>-IF(RTD("tos.rtd",,CG$2,"."&amp;$C$134&amp;$AU$82&amp;"P"&amp;$A146)="N/A",0,RTD("tos.rtd",,CG$2,"."&amp;$C$134&amp;$AU$82&amp;"P"&amp;$A146))</f>
        <v>0.65</v>
      </c>
      <c r="CH146" s="3">
        <f>IF(RTD("tos.rtd",,CH$2,"."&amp;$D$134&amp;$AW$82&amp;"C"&amp;$A146)="N/A",0,RTD("tos.rtd",,CH$2,"."&amp;$D$134&amp;$AW$82&amp;"C"&amp;$A146))</f>
        <v>0.47</v>
      </c>
      <c r="CI146" s="3">
        <f>-IF(RTD("tos.rtd",,CI$2,"."&amp;$D$134&amp;$AW$82&amp;"P"&amp;$A146)="N/A",0,RTD("tos.rtd",,CI$2,"."&amp;$D$134&amp;$AW$82&amp;"P"&amp;$A146))</f>
        <v>0.53</v>
      </c>
      <c r="CK146" s="3">
        <f t="shared" si="605"/>
        <v>27</v>
      </c>
      <c r="CL146" s="3"/>
      <c r="CM146" s="3">
        <f t="shared" si="606"/>
        <v>21.000000000000057</v>
      </c>
      <c r="CN146" s="3"/>
      <c r="CO146" s="3">
        <f t="shared" si="607"/>
        <v>-457</v>
      </c>
      <c r="CP146" s="3">
        <f t="shared" si="542"/>
        <v>-408.99999999999994</v>
      </c>
      <c r="CQ146" s="3">
        <f t="shared" si="552"/>
        <v>100</v>
      </c>
      <c r="CR146" s="3"/>
      <c r="CS146" s="3">
        <f t="shared" si="553"/>
        <v>-10</v>
      </c>
      <c r="CT146" s="3"/>
      <c r="CU146" s="3">
        <f t="shared" si="554"/>
        <v>1</v>
      </c>
      <c r="CV146" s="3"/>
      <c r="CW146" s="3" t="e">
        <f t="shared" ca="1" si="555"/>
        <v>#NUM!</v>
      </c>
      <c r="CY146" s="3" t="e">
        <f t="shared" ca="1" si="556"/>
        <v>#NUM!</v>
      </c>
      <c r="CZ146" s="70" t="e">
        <f t="shared" ca="1" si="589"/>
        <v>#NUM!</v>
      </c>
      <c r="DA146" s="3">
        <f>IF(RTD("tos.rtd",,DA$43,"."&amp;$B$134&amp;$AS$82&amp;"C"&amp;$A146)="N/A",0,RTD("tos.rtd",,DA$43,"."&amp;$B$134&amp;$AS$82&amp;"C"&amp;$A146))</f>
        <v>0.1</v>
      </c>
      <c r="DB146" s="3">
        <f>IF(RTD("tos.rtd",,DB$43,"."&amp;$B$134&amp;$AS$82&amp;"P"&amp;$A146)="N/A",0,RTD("tos.rtd",,DB$43,"."&amp;$B$134&amp;$AS$82&amp;"P"&amp;$A146))</f>
        <v>0</v>
      </c>
      <c r="DC146" s="3">
        <f>IF(RTD("tos.rtd",,DC$43,"."&amp;$B$134&amp;$AS$82&amp;"C"&amp;$A146)="N/A",0,RTD("tos.rtd",,DC$43,"."&amp;$B$134&amp;$AS$82&amp;"C"&amp;$A146))</f>
        <v>17.5</v>
      </c>
      <c r="DD146" s="3">
        <f>IF(RTD("tos.rtd",,DD$43,"."&amp;$B$134&amp;$AS$82&amp;"P"&amp;$A146)="N/A",0,RTD("tos.rtd",,DD$43,"."&amp;$B$134&amp;$AS$82&amp;"P"&amp;$A146))</f>
        <v>288.2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244</v>
      </c>
      <c r="DG146" s="86">
        <f t="shared" si="590"/>
        <v>263.55099999999948</v>
      </c>
      <c r="DH146" s="3">
        <f t="shared" si="557"/>
        <v>0</v>
      </c>
      <c r="DI146" s="3">
        <f t="shared" si="558"/>
        <v>0</v>
      </c>
      <c r="DJ146" s="3">
        <f t="shared" si="559"/>
        <v>0</v>
      </c>
      <c r="DK146" s="3">
        <f t="shared" si="560"/>
        <v>0</v>
      </c>
      <c r="DL146" s="3">
        <f t="shared" si="561"/>
        <v>0</v>
      </c>
      <c r="DM146" s="3">
        <f t="shared" si="562"/>
        <v>0</v>
      </c>
      <c r="DN146" s="64" t="str">
        <f t="shared" si="563"/>
        <v>UNKNOWN</v>
      </c>
      <c r="DO146" s="64" t="str">
        <f t="shared" si="564"/>
        <v>UNKNOWN</v>
      </c>
      <c r="DP146" s="3">
        <f t="shared" si="565"/>
        <v>0</v>
      </c>
      <c r="DQ146" s="3">
        <f t="shared" si="566"/>
        <v>0</v>
      </c>
      <c r="DR146" s="3" t="e">
        <f t="shared" ca="1" si="567"/>
        <v>#NUM!</v>
      </c>
      <c r="DS146" s="3">
        <f t="shared" si="568"/>
        <v>0</v>
      </c>
      <c r="DT146" s="3">
        <f t="shared" si="591"/>
        <v>0</v>
      </c>
      <c r="DU146" s="3">
        <f t="shared" si="592"/>
        <v>0</v>
      </c>
      <c r="DV146" s="3">
        <f t="shared" si="569"/>
        <v>-39</v>
      </c>
      <c r="DW146" s="3">
        <f t="shared" si="570"/>
        <v>0</v>
      </c>
      <c r="DX146" s="3" t="e">
        <f t="shared" ca="1" si="571"/>
        <v>#NUM!</v>
      </c>
      <c r="DY146" s="3" t="e">
        <f t="shared" ca="1" si="572"/>
        <v>#NUM!</v>
      </c>
      <c r="DZ146" s="3">
        <f t="shared" ca="1" si="573"/>
        <v>5.2310906194013489E-4</v>
      </c>
      <c r="EA146" s="3">
        <f t="shared" ca="1" si="574"/>
        <v>-4.9206773082870105E-4</v>
      </c>
      <c r="EB146" s="3">
        <f t="shared" ca="1" si="575"/>
        <v>6.1063749888142979E-4</v>
      </c>
      <c r="EC146" s="3">
        <f t="shared" ca="1" si="576"/>
        <v>-5.8760223074538764E-4</v>
      </c>
      <c r="ED146" s="63">
        <f t="shared" si="593"/>
        <v>-39</v>
      </c>
      <c r="EE146" s="59">
        <f t="shared" si="577"/>
        <v>1.3106</v>
      </c>
      <c r="EF146" s="59">
        <f t="shared" si="578"/>
        <v>0.99970000000000003</v>
      </c>
      <c r="EG146" s="59">
        <f t="shared" si="579"/>
        <v>0.26629999999999998</v>
      </c>
      <c r="EH146" s="59">
        <f t="shared" si="580"/>
        <v>0.28520000000000001</v>
      </c>
      <c r="EI146" s="59">
        <f t="shared" si="581"/>
        <v>0.2225</v>
      </c>
      <c r="EJ146" s="59">
        <f t="shared" si="582"/>
        <v>0.2329</v>
      </c>
      <c r="EK146" s="63" t="e">
        <f t="shared" ca="1" si="594"/>
        <v>#NUM!</v>
      </c>
      <c r="EL146" s="3" t="str">
        <f>RTD("tos.rtd",,EL$43,"."&amp;$B$134&amp;$AS$82&amp;"C"&amp;$A146)</f>
        <v>131.06%</v>
      </c>
      <c r="EM146" s="3" t="str">
        <f>RTD("tos.rtd",,EM$43,"."&amp;$B$134&amp;$AS$82&amp;"P"&amp;$A146)</f>
        <v>99.97%</v>
      </c>
      <c r="EN146" s="3" t="str">
        <f>RTD("tos.rtd",,EN$2,"."&amp;$C$134&amp;$AU$82&amp;"C"&amp;$A146)</f>
        <v>26.63%</v>
      </c>
      <c r="EO146" s="3" t="str">
        <f>RTD("tos.rtd",,EO$2,"."&amp;$C$134&amp;$AU$82&amp;"P"&amp;$A146)</f>
        <v>28.52%</v>
      </c>
      <c r="EP146" s="3" t="str">
        <f>RTD("tos.rtd",,EP$2,"."&amp;$D$134&amp;$AW$82&amp;"C"&amp;$A146)</f>
        <v>22.25%</v>
      </c>
      <c r="EQ146" s="3" t="str">
        <f>RTD("tos.rtd",,EQ$2,"."&amp;$D$134&amp;$AW$82&amp;"P"&amp;$A146)</f>
        <v>23.29%</v>
      </c>
      <c r="ES146" s="63" t="str">
        <f t="shared" si="583"/>
        <v>20325,-39.00</v>
      </c>
      <c r="ET146" s="63" t="str">
        <f t="shared" ca="1" si="584"/>
        <v>20325,00.00</v>
      </c>
      <c r="EU146" s="68">
        <v>565.54999999999995</v>
      </c>
      <c r="EV146" s="68" t="s">
        <v>1187</v>
      </c>
      <c r="EW146" s="68">
        <v>489.12</v>
      </c>
      <c r="EX146" s="68" t="s">
        <v>1188</v>
      </c>
      <c r="EY146" s="68">
        <v>5663.94</v>
      </c>
      <c r="EZ146" s="68" t="s">
        <v>1189</v>
      </c>
      <c r="FA146" s="68">
        <v>20063.564999999999</v>
      </c>
      <c r="FB146" s="68" t="s">
        <v>1190</v>
      </c>
      <c r="FC146" s="68" t="s">
        <v>1191</v>
      </c>
      <c r="FD146" s="68" t="s">
        <v>1192</v>
      </c>
      <c r="FE146" s="68" t="s">
        <v>1193</v>
      </c>
      <c r="FF146" s="68" t="s">
        <v>1194</v>
      </c>
    </row>
    <row r="147" spans="1:162" ht="11.1" customHeight="1" thickBot="1" x14ac:dyDescent="0.25">
      <c r="A147" s="2">
        <f t="shared" si="595"/>
        <v>20300</v>
      </c>
      <c r="B147" s="3">
        <f t="shared" si="610"/>
        <v>26</v>
      </c>
      <c r="C147" s="3">
        <f t="shared" si="611"/>
        <v>79</v>
      </c>
      <c r="D147" s="3">
        <f t="shared" si="612"/>
        <v>262</v>
      </c>
      <c r="E147" s="3">
        <f t="shared" si="598"/>
        <v>367</v>
      </c>
      <c r="F147" s="4">
        <f t="shared" si="599"/>
        <v>20715.179895529978</v>
      </c>
      <c r="G147" s="5">
        <f t="shared" si="600"/>
        <v>502.06996513561904</v>
      </c>
      <c r="AM147" s="1">
        <v>-80</v>
      </c>
      <c r="AN147" s="1">
        <v>-2</v>
      </c>
      <c r="AO147" s="1">
        <v>20300</v>
      </c>
      <c r="AP147" s="1">
        <v>755</v>
      </c>
      <c r="AQ147" s="1">
        <v>-3</v>
      </c>
      <c r="AS147" s="54">
        <f>IF(RTD("tos.rtd",,AS$83,"."&amp;$B$134&amp;$AS$82&amp;"C"&amp;$A147)="N/A",0,RTD("tos.rtd",,AS$83,"."&amp;$B$134&amp;$AS$82&amp;"C"&amp;$A147))</f>
        <v>23</v>
      </c>
      <c r="AT147" s="3">
        <f>-IF(RTD("tos.rtd",,AT$83,"."&amp;$B$134&amp;$AS$82&amp;"P"&amp;$A147)="N/A",0,RTD("tos.rtd",,AT$83,"."&amp;$B$134&amp;$AS$82&amp;"P"&amp;$A147))</f>
        <v>-3</v>
      </c>
      <c r="AU147" s="54">
        <f>IF(RTD("tos.rtd",,AU$2,"."&amp;$C$134&amp;$AU$134&amp;"C"&amp;$A147)="N/A",0,RTD("tos.rtd",,AU$2,"."&amp;$C$134&amp;$AU$134&amp;"C"&amp;$A147))</f>
        <v>54</v>
      </c>
      <c r="AV147" s="3">
        <f>-IF(RTD("tos.rtd",,AV$2,"."&amp;$C$134&amp;$AU$134&amp;"P"&amp;$A147)="N/A",0,RTD("tos.rtd",,AV$2,"."&amp;$C$134&amp;$AU$134&amp;"P"&amp;$A147))</f>
        <v>-25</v>
      </c>
      <c r="AW147" s="54">
        <f>IF(RTD("tos.rtd",,AW$2,"."&amp;$D$134&amp;$AW$134&amp;"C"&amp;$A147)="N/A",0,RTD("tos.rtd",,AW$2,"."&amp;$D$134&amp;$AW$134&amp;"C"&amp;$A147))</f>
        <v>111</v>
      </c>
      <c r="AX147" s="3">
        <f>-IF(RTD("tos.rtd",,AX$2,"."&amp;$D$134&amp;$AW$134&amp;"P"&amp;$A147)="N/A",0,RTD("tos.rtd",,AX$2,"."&amp;$D$134&amp;$AW$134&amp;"P"&amp;$A147))</f>
        <v>-151</v>
      </c>
      <c r="AY147" s="76">
        <f t="shared" si="601"/>
        <v>9</v>
      </c>
      <c r="AZ147" s="8">
        <f t="shared" si="548"/>
        <v>20300</v>
      </c>
      <c r="BA147" s="54">
        <f>IF(RTD("tos.rtd",,BA$43,"."&amp;$B$134&amp;$AS$82&amp;"C"&amp;$A147)="N/A",0,RTD("tos.rtd",,BA$43,"."&amp;$B$134&amp;$AS$82&amp;"C"&amp;$A147))</f>
        <v>755</v>
      </c>
      <c r="BB147" s="3">
        <f>-IF(RTD("tos.rtd",,BB$43,"."&amp;$B$134&amp;$AS$82&amp;"P"&amp;$A147)="N/A",0,RTD("tos.rtd",,BB$43,"."&amp;$B$134&amp;$AS$82&amp;"P"&amp;$A147))</f>
        <v>-3</v>
      </c>
      <c r="BC147" s="54">
        <f>IF(RTD("tos.rtd",,BC$2,"."&amp;$C$134&amp;$AU$82&amp;"C"&amp;$A147)="N/A",0,RTD("tos.rtd",,BC$2,"."&amp;$C$134&amp;$AU$82&amp;"C"&amp;$A147))</f>
        <v>8</v>
      </c>
      <c r="BD147" s="3">
        <f>-IF(RTD("tos.rtd",,BD$2,"."&amp;$C$134&amp;$AU$82&amp;"P"&amp;$A147)="N/A",0,RTD("tos.rtd",,BD$2,"."&amp;$C$134&amp;$AU$82&amp;"P"&amp;$A147))</f>
        <v>-6</v>
      </c>
      <c r="BE147" s="54">
        <f>IF(RTD("tos.rtd",,BE$2,"."&amp;$D$134&amp;$AW$82&amp;"C"&amp;$A147)="N/A",0,RTD("tos.rtd",,BE$2,"."&amp;$D$134&amp;$AW$82&amp;"C"&amp;$A147))</f>
        <v>0</v>
      </c>
      <c r="BF147" s="3">
        <f>-IF(RTD("tos.rtd",,BF$2,"."&amp;$D$134&amp;$AW$82&amp;"P"&amp;$A147)="N/A",0,RTD("tos.rtd",,BF$2,"."&amp;$D$134&amp;$AW$82&amp;"P"&amp;$A147))</f>
        <v>-3</v>
      </c>
      <c r="BG147" s="3">
        <f ca="1">+Hoja2!Y148</f>
        <v>16</v>
      </c>
      <c r="BH147" s="7">
        <f t="shared" ca="1" si="549"/>
        <v>767</v>
      </c>
      <c r="BI147" s="32" t="str">
        <f t="shared" ca="1" si="609"/>
        <v/>
      </c>
      <c r="BJ147" s="3" t="e">
        <f ca="1">IF($BP$1=1,DX147,IF(RTD("tos.rtd",,BJ$43,"."&amp;$B$134&amp;$AS$82&amp;"C"&amp;$A147)="N/A",0,RTD("tos.rtd",,BJ$43,"."&amp;$B$134&amp;$AS$82&amp;"C"&amp;$A147)))</f>
        <v>#NUM!</v>
      </c>
      <c r="BK147" s="3" t="e">
        <f ca="1">IF($BP$1=1,DY147,-IF(RTD("tos.rtd",,BK$43,"."&amp;$B$134&amp;$AS$82&amp;"P"&amp;$A147)="N/A",0,RTD("tos.rtd",,BK$43,"."&amp;$B$134&amp;$AS$82&amp;"P"&amp;$A147)))</f>
        <v>#NUM!</v>
      </c>
      <c r="BL147" s="3">
        <f ca="1">IF($BP$1=1,DZ147,IF(RTD("tos.rtd",,BL$2,"."&amp;$C$134&amp;$AU$82&amp;"C"&amp;$A147)="N/A",0,RTD("tos.rtd",,BL$2,"."&amp;$C$134&amp;$AU$82&amp;"C"&amp;$A147)))</f>
        <v>5.2732396576743988E-4</v>
      </c>
      <c r="BM147" s="3">
        <f ca="1">IF($BP$1=1,EA147,-IF(RTD("tos.rtd",,BM$2,"."&amp;$C$134&amp;$AU$82&amp;"P"&amp;$A147)="N/A",0,RTD("tos.rtd",,BM$2,"."&amp;$C$134&amp;$AU$82&amp;"P"&amp;$A147)))</f>
        <v>-4.969933004059352E-4</v>
      </c>
      <c r="BN147" s="3">
        <f ca="1">IF($BP$1=1,EB147,IF(RTD("tos.rtd",,BN$2,"."&amp;$D$134&amp;$AW$82&amp;"C"&amp;$A147)="N/A",0,RTD("tos.rtd",,BN$2,"."&amp;$D$134&amp;$AW$82&amp;"C"&amp;$A147)))</f>
        <v>6.1780786091337884E-4</v>
      </c>
      <c r="BO147" s="3">
        <f ca="1">IF($BP$1=1,EC147,-IF(RTD("tos.rtd",,BO$2,"."&amp;$D$134&amp;$AW$82&amp;"P"&amp;$A147)="N/A",0,RTD("tos.rtd",,BO$2,"."&amp;$D$134&amp;$AW$82&amp;"P"&amp;$A147)))</f>
        <v>-5.9397220784726328E-4</v>
      </c>
      <c r="BQ147" s="3" t="e">
        <f t="shared" ca="1" si="602"/>
        <v>#NUM!</v>
      </c>
      <c r="BR147" s="3" t="e">
        <f t="shared" ca="1" si="550"/>
        <v>#NUM!</v>
      </c>
      <c r="BS147" s="3">
        <f t="shared" ca="1" si="603"/>
        <v>514176.22379174805</v>
      </c>
      <c r="BT147" s="3" t="str">
        <f t="shared" ca="1" si="551"/>
        <v/>
      </c>
      <c r="BU147" s="3">
        <f t="shared" ca="1" si="604"/>
        <v>-676350.3039243063</v>
      </c>
      <c r="BV147" s="3" t="str">
        <f t="shared" ca="1" si="551"/>
        <v/>
      </c>
      <c r="BX147" s="3" t="e">
        <f t="shared" ca="1" si="585"/>
        <v>#NUM!</v>
      </c>
      <c r="BY147" s="3" t="e">
        <f t="shared" ca="1" si="586"/>
        <v>#NUM!</v>
      </c>
      <c r="BZ147" s="3">
        <f t="shared" ca="1" si="587"/>
        <v>304.43982068821674</v>
      </c>
      <c r="CA147" s="3" t="str">
        <f t="shared" ca="1" si="586"/>
        <v>Cruce +</v>
      </c>
      <c r="CB147" s="3">
        <f t="shared" ca="1" si="588"/>
        <v>-438.68055397404152</v>
      </c>
      <c r="CC147" s="3" t="str">
        <f t="shared" ca="1" si="586"/>
        <v>Cruce -</v>
      </c>
      <c r="CD147" s="3">
        <f>IF(RTD("tos.rtd",,CD$43,"."&amp;$B$134&amp;$AS$82&amp;"C"&amp;$A147)="N/A",0,RTD("tos.rtd",,CD$43,"."&amp;$B$134&amp;$AS$82&amp;"C"&amp;$A147))</f>
        <v>0</v>
      </c>
      <c r="CE147" s="3">
        <f>-IF(RTD("tos.rtd",,CE$43,"."&amp;$B$134&amp;$AS$82&amp;"P"&amp;$A147)="N/A",0,RTD("tos.rtd",,CE$43,"."&amp;$B$134&amp;$AS$82&amp;"P"&amp;$A147))</f>
        <v>0.96</v>
      </c>
      <c r="CF147" s="3">
        <f>IF(RTD("tos.rtd",,CF$2,"."&amp;$C$134&amp;$AU$82&amp;"C"&amp;$A147)="N/A",0,RTD("tos.rtd",,CF$2,"."&amp;$C$134&amp;$AU$82&amp;"C"&amp;$A147))</f>
        <v>0.36</v>
      </c>
      <c r="CG147" s="3">
        <f>-IF(RTD("tos.rtd",,CG$2,"."&amp;$C$134&amp;$AU$82&amp;"P"&amp;$A147)="N/A",0,RTD("tos.rtd",,CG$2,"."&amp;$C$134&amp;$AU$82&amp;"P"&amp;$A147))</f>
        <v>0.63</v>
      </c>
      <c r="CH147" s="3">
        <f>IF(RTD("tos.rtd",,CH$2,"."&amp;$D$134&amp;$AW$82&amp;"C"&amp;$A147)="N/A",0,RTD("tos.rtd",,CH$2,"."&amp;$D$134&amp;$AW$82&amp;"C"&amp;$A147))</f>
        <v>0.48</v>
      </c>
      <c r="CI147" s="3">
        <f>-IF(RTD("tos.rtd",,CI$2,"."&amp;$D$134&amp;$AW$82&amp;"P"&amp;$A147)="N/A",0,RTD("tos.rtd",,CI$2,"."&amp;$D$134&amp;$AW$82&amp;"P"&amp;$A147))</f>
        <v>0.52</v>
      </c>
      <c r="CK147" s="3">
        <f t="shared" si="605"/>
        <v>-288</v>
      </c>
      <c r="CL147" s="3"/>
      <c r="CM147" s="3">
        <f t="shared" si="606"/>
        <v>368.99999999999977</v>
      </c>
      <c r="CN147" s="3"/>
      <c r="CO147" s="3">
        <f t="shared" si="607"/>
        <v>-2524</v>
      </c>
      <c r="CP147" s="3">
        <f t="shared" si="542"/>
        <v>-2443</v>
      </c>
      <c r="CQ147" s="3">
        <f t="shared" si="552"/>
        <v>752</v>
      </c>
      <c r="CR147" s="3"/>
      <c r="CS147" s="3">
        <f t="shared" si="553"/>
        <v>2</v>
      </c>
      <c r="CT147" s="3"/>
      <c r="CU147" s="3">
        <f t="shared" si="554"/>
        <v>-3</v>
      </c>
      <c r="CV147" s="3"/>
      <c r="CW147" s="3" t="e">
        <f t="shared" ca="1" si="555"/>
        <v>#NUM!</v>
      </c>
      <c r="CY147" s="3" t="e">
        <f t="shared" ca="1" si="556"/>
        <v>#NUM!</v>
      </c>
      <c r="CZ147" s="70" t="e">
        <f t="shared" ca="1" si="589"/>
        <v>#NUM!</v>
      </c>
      <c r="DA147" s="3">
        <f>IF(RTD("tos.rtd",,DA$43,"."&amp;$B$134&amp;$AS$82&amp;"C"&amp;$A147)="N/A",0,RTD("tos.rtd",,DA$43,"."&amp;$B$134&amp;$AS$82&amp;"C"&amp;$A147))</f>
        <v>0.14000000000000001</v>
      </c>
      <c r="DB147" s="3">
        <f>IF(RTD("tos.rtd",,DB$43,"."&amp;$B$134&amp;$AS$82&amp;"P"&amp;$A147)="N/A",0,RTD("tos.rtd",,DB$43,"."&amp;$B$134&amp;$AS$82&amp;"P"&amp;$A147))</f>
        <v>212.79</v>
      </c>
      <c r="DC147" s="3">
        <f>IF(RTD("tos.rtd",,DC$43,"."&amp;$B$134&amp;$AS$82&amp;"C"&amp;$A147)="N/A",0,RTD("tos.rtd",,DC$43,"."&amp;$B$134&amp;$AS$82&amp;"C"&amp;$A147))</f>
        <v>0.05</v>
      </c>
      <c r="DD147" s="3">
        <f>IF(RTD("tos.rtd",,DD$43,"."&amp;$B$134&amp;$AS$82&amp;"P"&amp;$A147)="N/A",0,RTD("tos.rtd",,DD$43,"."&amp;$B$134&amp;$AS$82&amp;"P"&amp;$A147))</f>
        <v>263.3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218</v>
      </c>
      <c r="DG147" s="86">
        <f t="shared" si="590"/>
        <v>238.55099999999948</v>
      </c>
      <c r="DH147" s="3">
        <f t="shared" si="557"/>
        <v>0</v>
      </c>
      <c r="DI147" s="3">
        <f t="shared" si="558"/>
        <v>0</v>
      </c>
      <c r="DJ147" s="3">
        <f t="shared" si="559"/>
        <v>0</v>
      </c>
      <c r="DK147" s="3">
        <f t="shared" si="560"/>
        <v>0</v>
      </c>
      <c r="DL147" s="3">
        <f t="shared" si="561"/>
        <v>0</v>
      </c>
      <c r="DM147" s="3">
        <f t="shared" si="562"/>
        <v>0</v>
      </c>
      <c r="DN147" s="64" t="str">
        <f t="shared" si="563"/>
        <v>UNKNOWN</v>
      </c>
      <c r="DO147" s="64" t="str">
        <f t="shared" si="564"/>
        <v>UNKNOWN</v>
      </c>
      <c r="DP147" s="3">
        <f t="shared" si="565"/>
        <v>0</v>
      </c>
      <c r="DQ147" s="3">
        <f t="shared" si="566"/>
        <v>0</v>
      </c>
      <c r="DR147" s="3" t="e">
        <f t="shared" ca="1" si="567"/>
        <v>#NUM!</v>
      </c>
      <c r="DS147" s="3">
        <f t="shared" si="568"/>
        <v>0</v>
      </c>
      <c r="DT147" s="3">
        <f t="shared" si="591"/>
        <v>0</v>
      </c>
      <c r="DU147" s="3">
        <f t="shared" si="592"/>
        <v>0</v>
      </c>
      <c r="DV147" s="3">
        <f t="shared" si="569"/>
        <v>-80</v>
      </c>
      <c r="DW147" s="3">
        <f t="shared" si="570"/>
        <v>-2</v>
      </c>
      <c r="DX147" s="3" t="e">
        <f t="shared" ca="1" si="571"/>
        <v>#NUM!</v>
      </c>
      <c r="DY147" s="3" t="e">
        <f t="shared" ca="1" si="572"/>
        <v>#NUM!</v>
      </c>
      <c r="DZ147" s="3">
        <f t="shared" ca="1" si="573"/>
        <v>5.2732396576743988E-4</v>
      </c>
      <c r="EA147" s="3">
        <f t="shared" ca="1" si="574"/>
        <v>-4.969933004059352E-4</v>
      </c>
      <c r="EB147" s="3">
        <f t="shared" ca="1" si="575"/>
        <v>6.1780786091337884E-4</v>
      </c>
      <c r="EC147" s="3">
        <f t="shared" ca="1" si="576"/>
        <v>-5.9397220784726328E-4</v>
      </c>
      <c r="ED147" s="63">
        <f t="shared" si="593"/>
        <v>-82</v>
      </c>
      <c r="EE147" s="59">
        <f t="shared" si="577"/>
        <v>0.5131</v>
      </c>
      <c r="EF147" s="59">
        <f t="shared" si="578"/>
        <v>0.8901</v>
      </c>
      <c r="EG147" s="59">
        <f t="shared" si="579"/>
        <v>0.26700000000000002</v>
      </c>
      <c r="EH147" s="59">
        <f t="shared" si="580"/>
        <v>0.28489999999999999</v>
      </c>
      <c r="EI147" s="59">
        <f t="shared" si="581"/>
        <v>0.22339999999999999</v>
      </c>
      <c r="EJ147" s="59">
        <f t="shared" si="582"/>
        <v>0.23369999999999999</v>
      </c>
      <c r="EK147" s="63" t="e">
        <f t="shared" ca="1" si="594"/>
        <v>#NUM!</v>
      </c>
      <c r="EL147" s="3" t="str">
        <f>RTD("tos.rtd",,EL$43,"."&amp;$B$134&amp;$AS$82&amp;"C"&amp;$A147)</f>
        <v>51.31%</v>
      </c>
      <c r="EM147" s="3" t="str">
        <f>RTD("tos.rtd",,EM$43,"."&amp;$B$134&amp;$AS$82&amp;"P"&amp;$A147)</f>
        <v>89.01%</v>
      </c>
      <c r="EN147" s="3" t="str">
        <f>RTD("tos.rtd",,EN$2,"."&amp;$C$134&amp;$AU$82&amp;"C"&amp;$A147)</f>
        <v>26.70%</v>
      </c>
      <c r="EO147" s="3" t="str">
        <f>RTD("tos.rtd",,EO$2,"."&amp;$C$134&amp;$AU$82&amp;"P"&amp;$A147)</f>
        <v>28.49%</v>
      </c>
      <c r="EP147" s="3" t="str">
        <f>RTD("tos.rtd",,EP$2,"."&amp;$D$134&amp;$AW$82&amp;"C"&amp;$A147)</f>
        <v>22.34%</v>
      </c>
      <c r="EQ147" s="3" t="str">
        <f>RTD("tos.rtd",,EQ$2,"."&amp;$D$134&amp;$AW$82&amp;"P"&amp;$A147)</f>
        <v>23.37%</v>
      </c>
      <c r="ES147" s="63" t="str">
        <f t="shared" si="583"/>
        <v>20300,-82.00</v>
      </c>
      <c r="ET147" s="63" t="str">
        <f t="shared" ca="1" si="584"/>
        <v>20300,00.00</v>
      </c>
      <c r="EU147" s="68">
        <v>565.54</v>
      </c>
      <c r="EV147" s="68" t="s">
        <v>1195</v>
      </c>
      <c r="EW147" s="68">
        <v>489.11</v>
      </c>
      <c r="EX147" s="68" t="s">
        <v>1196</v>
      </c>
      <c r="EY147" s="68">
        <v>5663.94</v>
      </c>
      <c r="EZ147" s="68" t="s">
        <v>1197</v>
      </c>
      <c r="FA147" s="68">
        <v>20063.564999999999</v>
      </c>
      <c r="FB147" s="68" t="s">
        <v>1198</v>
      </c>
      <c r="FC147" s="68" t="s">
        <v>1199</v>
      </c>
      <c r="FD147" s="68" t="s">
        <v>1200</v>
      </c>
      <c r="FE147" s="68" t="s">
        <v>1201</v>
      </c>
      <c r="FF147" s="68" t="s">
        <v>1202</v>
      </c>
    </row>
    <row r="148" spans="1:162" ht="11.1" customHeight="1" thickBot="1" x14ac:dyDescent="0.25">
      <c r="A148" s="2">
        <f t="shared" si="595"/>
        <v>20275</v>
      </c>
      <c r="B148" s="3">
        <f t="shared" si="610"/>
        <v>29</v>
      </c>
      <c r="C148" s="3">
        <f t="shared" si="611"/>
        <v>26</v>
      </c>
      <c r="D148" s="3">
        <f t="shared" si="612"/>
        <v>22</v>
      </c>
      <c r="E148" s="3">
        <f t="shared" ref="E148:E166" si="613">SUM(B148:D148)</f>
        <v>77</v>
      </c>
      <c r="F148" s="4">
        <f t="shared" ref="F148:F153" si="614">+$F$136/$A$136*A148</f>
        <v>20689.668590239915</v>
      </c>
      <c r="G148" s="5">
        <f t="shared" ref="G148:G166" si="615">+$G$136/$A$136*A148</f>
        <v>501.45165237067368</v>
      </c>
      <c r="AM148" s="1">
        <v>-33</v>
      </c>
      <c r="AN148" s="1">
        <v>-1</v>
      </c>
      <c r="AO148" s="1">
        <v>20275</v>
      </c>
      <c r="AP148" s="1">
        <v>110</v>
      </c>
      <c r="AQ148" s="1">
        <v>-1</v>
      </c>
      <c r="AS148" s="54">
        <f>IF(RTD("tos.rtd",,AS$83,"."&amp;$B$134&amp;$AS$82&amp;"C"&amp;$A148)="N/A",0,RTD("tos.rtd",,AS$83,"."&amp;$B$134&amp;$AS$82&amp;"C"&amp;$A148))</f>
        <v>28</v>
      </c>
      <c r="AT148" s="3">
        <f>-IF(RTD("tos.rtd",,AT$83,"."&amp;$B$134&amp;$AS$82&amp;"P"&amp;$A148)="N/A",0,RTD("tos.rtd",,AT$83,"."&amp;$B$134&amp;$AS$82&amp;"P"&amp;$A148))</f>
        <v>-1</v>
      </c>
      <c r="AU148" s="54">
        <f>IF(RTD("tos.rtd",,AU$2,"."&amp;$C$134&amp;$AU$134&amp;"C"&amp;$A148)="N/A",0,RTD("tos.rtd",,AU$2,"."&amp;$C$134&amp;$AU$134&amp;"C"&amp;$A148))</f>
        <v>24</v>
      </c>
      <c r="AV148" s="3">
        <f>-IF(RTD("tos.rtd",,AV$2,"."&amp;$C$134&amp;$AU$134&amp;"P"&amp;$A148)="N/A",0,RTD("tos.rtd",,AV$2,"."&amp;$C$134&amp;$AU$134&amp;"P"&amp;$A148))</f>
        <v>-2</v>
      </c>
      <c r="AW148" s="54">
        <f>IF(RTD("tos.rtd",,AW$2,"."&amp;$D$134&amp;$AW$134&amp;"C"&amp;$A148)="N/A",0,RTD("tos.rtd",,AW$2,"."&amp;$D$134&amp;$AW$134&amp;"C"&amp;$A148))</f>
        <v>17</v>
      </c>
      <c r="AX148" s="3">
        <f>-IF(RTD("tos.rtd",,AX$2,"."&amp;$D$134&amp;$AW$134&amp;"P"&amp;$A148)="N/A",0,RTD("tos.rtd",,AX$2,"."&amp;$D$134&amp;$AW$134&amp;"P"&amp;$A148))</f>
        <v>-5</v>
      </c>
      <c r="AY148" s="76">
        <f t="shared" ref="AY148:AY153" si="616">SUM(AS148:AX148)</f>
        <v>61</v>
      </c>
      <c r="AZ148" s="8">
        <f t="shared" si="548"/>
        <v>20275</v>
      </c>
      <c r="BA148" s="54">
        <f>IF(RTD("tos.rtd",,BA$43,"."&amp;$B$134&amp;$AS$82&amp;"C"&amp;$A148)="N/A",0,RTD("tos.rtd",,BA$43,"."&amp;$B$134&amp;$AS$82&amp;"C"&amp;$A148))</f>
        <v>110</v>
      </c>
      <c r="BB148" s="3">
        <f>-IF(RTD("tos.rtd",,BB$43,"."&amp;$B$134&amp;$AS$82&amp;"P"&amp;$A148)="N/A",0,RTD("tos.rtd",,BB$43,"."&amp;$B$134&amp;$AS$82&amp;"P"&amp;$A148))</f>
        <v>-1</v>
      </c>
      <c r="BC148" s="54">
        <f>IF(RTD("tos.rtd",,BC$2,"."&amp;$C$134&amp;$AU$82&amp;"C"&amp;$A148)="N/A",0,RTD("tos.rtd",,BC$2,"."&amp;$C$134&amp;$AU$82&amp;"C"&amp;$A148))</f>
        <v>8</v>
      </c>
      <c r="BD148" s="3">
        <f>-IF(RTD("tos.rtd",,BD$2,"."&amp;$C$134&amp;$AU$82&amp;"P"&amp;$A148)="N/A",0,RTD("tos.rtd",,BD$2,"."&amp;$C$134&amp;$AU$82&amp;"P"&amp;$A148))</f>
        <v>-2</v>
      </c>
      <c r="BE148" s="54">
        <f>IF(RTD("tos.rtd",,BE$2,"."&amp;$D$134&amp;$AW$82&amp;"C"&amp;$A148)="N/A",0,RTD("tos.rtd",,BE$2,"."&amp;$D$134&amp;$AW$82&amp;"C"&amp;$A148))</f>
        <v>23</v>
      </c>
      <c r="BF148" s="3">
        <f>-IF(RTD("tos.rtd",,BF$2,"."&amp;$D$134&amp;$AW$82&amp;"P"&amp;$A148)="N/A",0,RTD("tos.rtd",,BF$2,"."&amp;$D$134&amp;$AW$82&amp;"P"&amp;$A148))</f>
        <v>-7</v>
      </c>
      <c r="BG148" s="3">
        <f ca="1">+Hoja2!Y149</f>
        <v>2</v>
      </c>
      <c r="BH148" s="7">
        <f t="shared" ca="1" si="549"/>
        <v>133</v>
      </c>
      <c r="BI148" s="32" t="str">
        <f t="shared" ca="1" si="609"/>
        <v/>
      </c>
      <c r="BJ148" s="3" t="e">
        <f ca="1">IF($BP$1=1,DX148,IF(RTD("tos.rtd",,BJ$43,"."&amp;$B$134&amp;$AS$82&amp;"C"&amp;$A148)="N/A",0,RTD("tos.rtd",,BJ$43,"."&amp;$B$134&amp;$AS$82&amp;"C"&amp;$A148)))</f>
        <v>#NUM!</v>
      </c>
      <c r="BK148" s="3" t="e">
        <f ca="1">IF($BP$1=1,DY148,-IF(RTD("tos.rtd",,BK$43,"."&amp;$B$134&amp;$AS$82&amp;"P"&amp;$A148)="N/A",0,RTD("tos.rtd",,BK$43,"."&amp;$B$134&amp;$AS$82&amp;"P"&amp;$A148)))</f>
        <v>#NUM!</v>
      </c>
      <c r="BL148" s="3">
        <f ca="1">IF($BP$1=1,DZ148,IF(RTD("tos.rtd",,BL$2,"."&amp;$C$134&amp;$AU$82&amp;"C"&amp;$A148)="N/A",0,RTD("tos.rtd",,BL$2,"."&amp;$C$134&amp;$AU$82&amp;"C"&amp;$A148)))</f>
        <v>5.3072486667832556E-4</v>
      </c>
      <c r="BM148" s="3">
        <f ca="1">IF($BP$1=1,EA148,-IF(RTD("tos.rtd",,BM$2,"."&amp;$C$134&amp;$AU$82&amp;"P"&amp;$A148)="N/A",0,RTD("tos.rtd",,BM$2,"."&amp;$C$134&amp;$AU$82&amp;"P"&amp;$A148)))</f>
        <v>-4.983691427844696E-4</v>
      </c>
      <c r="BN148" s="3">
        <f ca="1">IF($BP$1=1,EB148,IF(RTD("tos.rtd",,BN$2,"."&amp;$D$134&amp;$AW$82&amp;"C"&amp;$A148)="N/A",0,RTD("tos.rtd",,BN$2,"."&amp;$D$134&amp;$AW$82&amp;"C"&amp;$A148)))</f>
        <v>6.2439568558261534E-4</v>
      </c>
      <c r="BO148" s="3">
        <f ca="1">IF($BP$1=1,EC148,-IF(RTD("tos.rtd",,BO$2,"."&amp;$D$134&amp;$AW$82&amp;"P"&amp;$A148)="N/A",0,RTD("tos.rtd",,BO$2,"."&amp;$D$134&amp;$AW$82&amp;"P"&amp;$A148)))</f>
        <v>-5.9986980360977925E-4</v>
      </c>
      <c r="BQ148" s="3" t="e">
        <f t="shared" ref="BQ148:BQ153" ca="1" si="617">+$A$84*$A$84*AS148*BJ148-$A$84*$A$84*AT148*BK148</f>
        <v>#NUM!</v>
      </c>
      <c r="BR148" s="3" t="e">
        <f t="shared" ca="1" si="550"/>
        <v>#NUM!</v>
      </c>
      <c r="BS148" s="3">
        <f t="shared" ref="BS148:BS153" ca="1" si="618">+$A$84*$A$84*AU148*BL148-$A$84*$A$84*AV148*BM148</f>
        <v>376107.07862607623</v>
      </c>
      <c r="BT148" s="3" t="str">
        <f t="shared" ca="1" si="551"/>
        <v/>
      </c>
      <c r="BU148" s="3">
        <f t="shared" ref="BU148:BU153" ca="1" si="619">+$A$84*$A$84*AW148*BN148-$A$84*$A$84*AX148*BO148</f>
        <v>243955.43333819823</v>
      </c>
      <c r="BV148" s="3" t="str">
        <f t="shared" ca="1" si="551"/>
        <v>Cruce +</v>
      </c>
      <c r="BX148" s="3" t="e">
        <f t="shared" ca="1" si="585"/>
        <v>#NUM!</v>
      </c>
      <c r="BY148" s="3" t="e">
        <f t="shared" ca="1" si="586"/>
        <v>#NUM!</v>
      </c>
      <c r="BZ148" s="3">
        <f t="shared" ca="1" si="587"/>
        <v>799.86891982885902</v>
      </c>
      <c r="CA148" s="3" t="str">
        <f t="shared" ca="1" si="586"/>
        <v/>
      </c>
      <c r="CB148" s="3">
        <f t="shared" ca="1" si="588"/>
        <v>2501.731594814657</v>
      </c>
      <c r="CC148" s="3" t="str">
        <f t="shared" ca="1" si="586"/>
        <v>Cruce +</v>
      </c>
      <c r="CD148" s="3">
        <f>IF(RTD("tos.rtd",,CD$43,"."&amp;$B$134&amp;$AS$82&amp;"C"&amp;$A148)="N/A",0,RTD("tos.rtd",,CD$43,"."&amp;$B$134&amp;$AS$82&amp;"C"&amp;$A148))</f>
        <v>0.01</v>
      </c>
      <c r="CE148" s="3">
        <f>-IF(RTD("tos.rtd",,CE$43,"."&amp;$B$134&amp;$AS$82&amp;"P"&amp;$A148)="N/A",0,RTD("tos.rtd",,CE$43,"."&amp;$B$134&amp;$AS$82&amp;"P"&amp;$A148))</f>
        <v>0.93</v>
      </c>
      <c r="CF148" s="3">
        <f>IF(RTD("tos.rtd",,CF$2,"."&amp;$C$134&amp;$AU$82&amp;"C"&amp;$A148)="N/A",0,RTD("tos.rtd",,CF$2,"."&amp;$C$134&amp;$AU$82&amp;"C"&amp;$A148))</f>
        <v>0.37</v>
      </c>
      <c r="CG148" s="3">
        <f>-IF(RTD("tos.rtd",,CG$2,"."&amp;$C$134&amp;$AU$82&amp;"P"&amp;$A148)="N/A",0,RTD("tos.rtd",,CG$2,"."&amp;$C$134&amp;$AU$82&amp;"P"&amp;$A148))</f>
        <v>0.62</v>
      </c>
      <c r="CH148" s="3">
        <f>IF(RTD("tos.rtd",,CH$2,"."&amp;$D$134&amp;$AW$82&amp;"C"&amp;$A148)="N/A",0,RTD("tos.rtd",,CH$2,"."&amp;$D$134&amp;$AW$82&amp;"C"&amp;$A148))</f>
        <v>0.48</v>
      </c>
      <c r="CI148" s="3">
        <f>-IF(RTD("tos.rtd",,CI$2,"."&amp;$D$134&amp;$AW$82&amp;"P"&amp;$A148)="N/A",0,RTD("tos.rtd",,CI$2,"."&amp;$D$134&amp;$AW$82&amp;"P"&amp;$A148))</f>
        <v>0.51</v>
      </c>
      <c r="CK148" s="3">
        <f t="shared" ref="CK148:CK167" si="620">+AS148*CD148*100+AT148*CE148*100</f>
        <v>-65</v>
      </c>
      <c r="CL148" s="3"/>
      <c r="CM148" s="3">
        <f t="shared" ref="CM148:CM167" si="621">+AU148*CF148*100+AV148*CG148*100</f>
        <v>763.99999999999989</v>
      </c>
      <c r="CN148" s="3"/>
      <c r="CO148" s="3">
        <f t="shared" ref="CO148:CO167" si="622">+AW148*CH148*100+AX148*CI148*100</f>
        <v>561</v>
      </c>
      <c r="CP148" s="3">
        <f t="shared" si="542"/>
        <v>1260</v>
      </c>
      <c r="CQ148" s="3">
        <f t="shared" si="552"/>
        <v>109</v>
      </c>
      <c r="CR148" s="3"/>
      <c r="CS148" s="3">
        <f t="shared" si="553"/>
        <v>6</v>
      </c>
      <c r="CT148" s="3"/>
      <c r="CU148" s="3">
        <f t="shared" si="554"/>
        <v>16</v>
      </c>
      <c r="CV148" s="3"/>
      <c r="CW148" s="3" t="e">
        <f t="shared" ca="1" si="555"/>
        <v>#NUM!</v>
      </c>
      <c r="CY148" s="3" t="e">
        <f t="shared" ca="1" si="556"/>
        <v>#NUM!</v>
      </c>
      <c r="CZ148" s="70" t="e">
        <f t="shared" ca="1" si="589"/>
        <v>#NUM!</v>
      </c>
      <c r="DA148" s="3">
        <f>IF(RTD("tos.rtd",,DA$43,"."&amp;$B$134&amp;$AS$82&amp;"C"&amp;$A148)="N/A",0,RTD("tos.rtd",,DA$43,"."&amp;$B$134&amp;$AS$82&amp;"C"&amp;$A148))</f>
        <v>0.55000000000000004</v>
      </c>
      <c r="DB148" s="3">
        <f>IF(RTD("tos.rtd",,DB$43,"."&amp;$B$134&amp;$AS$82&amp;"P"&amp;$A148)="N/A",0,RTD("tos.rtd",,DB$43,"."&amp;$B$134&amp;$AS$82&amp;"P"&amp;$A148))</f>
        <v>254.54</v>
      </c>
      <c r="DC148" s="3">
        <f>IF(RTD("tos.rtd",,DC$43,"."&amp;$B$134&amp;$AS$82&amp;"C"&amp;$A148)="N/A",0,RTD("tos.rtd",,DC$43,"."&amp;$B$134&amp;$AS$82&amp;"C"&amp;$A148))</f>
        <v>0.5</v>
      </c>
      <c r="DD148" s="3">
        <f>IF(RTD("tos.rtd",,DD$43,"."&amp;$B$134&amp;$AS$82&amp;"P"&amp;$A148)="N/A",0,RTD("tos.rtd",,DD$43,"."&amp;$B$134&amp;$AS$82&amp;"P"&amp;$A148))</f>
        <v>226.4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210.1</v>
      </c>
      <c r="DG148" s="86">
        <f t="shared" si="590"/>
        <v>213.55099999999948</v>
      </c>
      <c r="DH148" s="3">
        <f t="shared" si="557"/>
        <v>0</v>
      </c>
      <c r="DI148" s="3">
        <f t="shared" si="558"/>
        <v>0</v>
      </c>
      <c r="DJ148" s="3">
        <f t="shared" si="559"/>
        <v>0</v>
      </c>
      <c r="DK148" s="3">
        <f t="shared" si="560"/>
        <v>0</v>
      </c>
      <c r="DL148" s="3">
        <f t="shared" si="561"/>
        <v>0</v>
      </c>
      <c r="DM148" s="3">
        <f t="shared" si="562"/>
        <v>0</v>
      </c>
      <c r="DN148" s="64" t="str">
        <f t="shared" si="563"/>
        <v>UNKNOWN</v>
      </c>
      <c r="DO148" s="64" t="str">
        <f t="shared" si="564"/>
        <v>UNKNOWN</v>
      </c>
      <c r="DP148" s="3">
        <f t="shared" si="565"/>
        <v>0</v>
      </c>
      <c r="DQ148" s="3">
        <f t="shared" si="566"/>
        <v>0</v>
      </c>
      <c r="DR148" s="3" t="e">
        <f t="shared" ca="1" si="567"/>
        <v>#NUM!</v>
      </c>
      <c r="DS148" s="3">
        <f t="shared" si="568"/>
        <v>0</v>
      </c>
      <c r="DT148" s="3">
        <f t="shared" si="591"/>
        <v>0</v>
      </c>
      <c r="DU148" s="3">
        <f t="shared" si="592"/>
        <v>0</v>
      </c>
      <c r="DV148" s="3">
        <f t="shared" si="569"/>
        <v>-33</v>
      </c>
      <c r="DW148" s="3">
        <f t="shared" si="570"/>
        <v>-1</v>
      </c>
      <c r="DX148" s="3" t="e">
        <f t="shared" ca="1" si="571"/>
        <v>#NUM!</v>
      </c>
      <c r="DY148" s="3" t="e">
        <f t="shared" ca="1" si="572"/>
        <v>#NUM!</v>
      </c>
      <c r="DZ148" s="3">
        <f t="shared" ca="1" si="573"/>
        <v>5.3072486667832556E-4</v>
      </c>
      <c r="EA148" s="3">
        <f t="shared" ca="1" si="574"/>
        <v>-4.983691427844696E-4</v>
      </c>
      <c r="EB148" s="3">
        <f t="shared" ca="1" si="575"/>
        <v>6.2439568558261534E-4</v>
      </c>
      <c r="EC148" s="3">
        <f t="shared" ca="1" si="576"/>
        <v>-5.9986980360977925E-4</v>
      </c>
      <c r="ED148" s="63">
        <f t="shared" si="593"/>
        <v>-34</v>
      </c>
      <c r="EE148" s="59">
        <f t="shared" si="577"/>
        <v>0.58630000000000004</v>
      </c>
      <c r="EF148" s="59">
        <f t="shared" si="578"/>
        <v>0.96289999999999998</v>
      </c>
      <c r="EG148" s="59">
        <f t="shared" si="579"/>
        <v>0.26779999999999998</v>
      </c>
      <c r="EH148" s="59">
        <f t="shared" si="580"/>
        <v>0.28649999999999998</v>
      </c>
      <c r="EI148" s="59">
        <f t="shared" si="581"/>
        <v>0.22409999999999999</v>
      </c>
      <c r="EJ148" s="59">
        <f t="shared" si="582"/>
        <v>0.23430000000000001</v>
      </c>
      <c r="EK148" s="63" t="e">
        <f t="shared" ca="1" si="594"/>
        <v>#NUM!</v>
      </c>
      <c r="EL148" s="3" t="str">
        <f>RTD("tos.rtd",,EL$43,"."&amp;$B$134&amp;$AS$82&amp;"C"&amp;$A148)</f>
        <v>58.63%</v>
      </c>
      <c r="EM148" s="3" t="str">
        <f>RTD("tos.rtd",,EM$43,"."&amp;$B$134&amp;$AS$82&amp;"P"&amp;$A148)</f>
        <v>96.29%</v>
      </c>
      <c r="EN148" s="3" t="str">
        <f>RTD("tos.rtd",,EN$2,"."&amp;$C$134&amp;$AU$82&amp;"C"&amp;$A148)</f>
        <v>26.78%</v>
      </c>
      <c r="EO148" s="3" t="str">
        <f>RTD("tos.rtd",,EO$2,"."&amp;$C$134&amp;$AU$82&amp;"P"&amp;$A148)</f>
        <v>28.65%</v>
      </c>
      <c r="EP148" s="3" t="str">
        <f>RTD("tos.rtd",,EP$2,"."&amp;$D$134&amp;$AW$82&amp;"C"&amp;$A148)</f>
        <v>22.41%</v>
      </c>
      <c r="EQ148" s="3" t="str">
        <f>RTD("tos.rtd",,EQ$2,"."&amp;$D$134&amp;$AW$82&amp;"P"&amp;$A148)</f>
        <v>23.43%</v>
      </c>
      <c r="ES148" s="63" t="str">
        <f t="shared" si="583"/>
        <v>20275,-34.00</v>
      </c>
      <c r="ET148" s="63" t="str">
        <f t="shared" ca="1" si="584"/>
        <v>20275,00.00</v>
      </c>
      <c r="EU148" s="68">
        <v>565.53</v>
      </c>
      <c r="EV148" s="68" t="s">
        <v>1203</v>
      </c>
      <c r="EW148" s="68">
        <v>489.15</v>
      </c>
      <c r="EX148" s="68" t="s">
        <v>1204</v>
      </c>
      <c r="EY148" s="68">
        <v>5663.94</v>
      </c>
      <c r="EZ148" s="68" t="s">
        <v>1205</v>
      </c>
      <c r="FA148" s="68">
        <v>20063.564999999999</v>
      </c>
      <c r="FB148" s="68" t="s">
        <v>1206</v>
      </c>
      <c r="FC148" s="68" t="s">
        <v>1207</v>
      </c>
      <c r="FD148" s="68" t="s">
        <v>1208</v>
      </c>
      <c r="FE148" s="68" t="s">
        <v>1209</v>
      </c>
      <c r="FF148" s="68" t="s">
        <v>1210</v>
      </c>
    </row>
    <row r="149" spans="1:162" ht="11.1" customHeight="1" thickBot="1" x14ac:dyDescent="0.25">
      <c r="A149" s="2">
        <f t="shared" si="595"/>
        <v>20250</v>
      </c>
      <c r="B149" s="3">
        <f t="shared" si="610"/>
        <v>80</v>
      </c>
      <c r="C149" s="3">
        <f t="shared" si="611"/>
        <v>63</v>
      </c>
      <c r="D149" s="3">
        <f t="shared" si="612"/>
        <v>32</v>
      </c>
      <c r="E149" s="3">
        <f t="shared" si="613"/>
        <v>175</v>
      </c>
      <c r="F149" s="4">
        <f t="shared" si="614"/>
        <v>20664.157284949855</v>
      </c>
      <c r="G149" s="5">
        <f t="shared" si="615"/>
        <v>500.83333960572833</v>
      </c>
      <c r="AM149" s="1">
        <v>53</v>
      </c>
      <c r="AN149" s="1">
        <v>-14</v>
      </c>
      <c r="AO149" s="1">
        <v>20250</v>
      </c>
      <c r="AP149" s="1">
        <v>400</v>
      </c>
      <c r="AQ149" s="1">
        <v>-27</v>
      </c>
      <c r="AS149" s="54">
        <f>IF(RTD("tos.rtd",,AS$83,"."&amp;$B$134&amp;$AS$82&amp;"C"&amp;$A149)="N/A",0,RTD("tos.rtd",,AS$83,"."&amp;$B$134&amp;$AS$82&amp;"C"&amp;$A149))</f>
        <v>72</v>
      </c>
      <c r="AT149" s="3">
        <f>-IF(RTD("tos.rtd",,AT$83,"."&amp;$B$134&amp;$AS$82&amp;"P"&amp;$A149)="N/A",0,RTD("tos.rtd",,AT$83,"."&amp;$B$134&amp;$AS$82&amp;"P"&amp;$A149))</f>
        <v>-8</v>
      </c>
      <c r="AU149" s="54">
        <f>IF(RTD("tos.rtd",,AU$2,"."&amp;$C$134&amp;$AU$134&amp;"C"&amp;$A149)="N/A",0,RTD("tos.rtd",,AU$2,"."&amp;$C$134&amp;$AU$134&amp;"C"&amp;$A149))</f>
        <v>58</v>
      </c>
      <c r="AV149" s="3">
        <f>-IF(RTD("tos.rtd",,AV$2,"."&amp;$C$134&amp;$AU$134&amp;"P"&amp;$A149)="N/A",0,RTD("tos.rtd",,AV$2,"."&amp;$C$134&amp;$AU$134&amp;"P"&amp;$A149))</f>
        <v>-5</v>
      </c>
      <c r="AW149" s="54">
        <f>IF(RTD("tos.rtd",,AW$2,"."&amp;$D$134&amp;$AW$134&amp;"C"&amp;$A149)="N/A",0,RTD("tos.rtd",,AW$2,"."&amp;$D$134&amp;$AW$134&amp;"C"&amp;$A149))</f>
        <v>16</v>
      </c>
      <c r="AX149" s="3">
        <f>-IF(RTD("tos.rtd",,AX$2,"."&amp;$D$134&amp;$AW$134&amp;"P"&amp;$A149)="N/A",0,RTD("tos.rtd",,AX$2,"."&amp;$D$134&amp;$AW$134&amp;"P"&amp;$A149))</f>
        <v>-16</v>
      </c>
      <c r="AY149" s="76">
        <f t="shared" si="616"/>
        <v>117</v>
      </c>
      <c r="AZ149" s="8">
        <f t="shared" si="548"/>
        <v>20250</v>
      </c>
      <c r="BA149" s="54">
        <f>IF(RTD("tos.rtd",,BA$43,"."&amp;$B$134&amp;$AS$82&amp;"C"&amp;$A149)="N/A",0,RTD("tos.rtd",,BA$43,"."&amp;$B$134&amp;$AS$82&amp;"C"&amp;$A149))</f>
        <v>400</v>
      </c>
      <c r="BB149" s="3">
        <f>-IF(RTD("tos.rtd",,BB$43,"."&amp;$B$134&amp;$AS$82&amp;"P"&amp;$A149)="N/A",0,RTD("tos.rtd",,BB$43,"."&amp;$B$134&amp;$AS$82&amp;"P"&amp;$A149))</f>
        <v>-27</v>
      </c>
      <c r="BC149" s="54">
        <f>IF(RTD("tos.rtd",,BC$2,"."&amp;$C$134&amp;$AU$82&amp;"C"&amp;$A149)="N/A",0,RTD("tos.rtd",,BC$2,"."&amp;$C$134&amp;$AU$82&amp;"C"&amp;$A149))</f>
        <v>8</v>
      </c>
      <c r="BD149" s="3">
        <f>-IF(RTD("tos.rtd",,BD$2,"."&amp;$C$134&amp;$AU$82&amp;"P"&amp;$A149)="N/A",0,RTD("tos.rtd",,BD$2,"."&amp;$C$134&amp;$AU$82&amp;"P"&amp;$A149))</f>
        <v>-2</v>
      </c>
      <c r="BE149" s="54">
        <f>IF(RTD("tos.rtd",,BE$2,"."&amp;$D$134&amp;$AW$82&amp;"C"&amp;$A149)="N/A",0,RTD("tos.rtd",,BE$2,"."&amp;$D$134&amp;$AW$82&amp;"C"&amp;$A149))</f>
        <v>6</v>
      </c>
      <c r="BF149" s="3">
        <f>-IF(RTD("tos.rtd",,BF$2,"."&amp;$D$134&amp;$AW$82&amp;"P"&amp;$A149)="N/A",0,RTD("tos.rtd",,BF$2,"."&amp;$D$134&amp;$AW$82&amp;"P"&amp;$A149))</f>
        <v>-31</v>
      </c>
      <c r="BG149" s="3">
        <f ca="1">+Hoja2!Y150</f>
        <v>1</v>
      </c>
      <c r="BH149" s="7">
        <f t="shared" ca="1" si="549"/>
        <v>355</v>
      </c>
      <c r="BI149" s="32" t="str">
        <f t="shared" ca="1" si="609"/>
        <v/>
      </c>
      <c r="BJ149" s="3" t="e">
        <f ca="1">IF($BP$1=1,DX149,IF(RTD("tos.rtd",,BJ$43,"."&amp;$B$134&amp;$AS$82&amp;"C"&amp;$A149)="N/A",0,RTD("tos.rtd",,BJ$43,"."&amp;$B$134&amp;$AS$82&amp;"C"&amp;$A149)))</f>
        <v>#NUM!</v>
      </c>
      <c r="BK149" s="3" t="e">
        <f ca="1">IF($BP$1=1,DY149,-IF(RTD("tos.rtd",,BK$43,"."&amp;$B$134&amp;$AS$82&amp;"P"&amp;$A149)="N/A",0,RTD("tos.rtd",,BK$43,"."&amp;$B$134&amp;$AS$82&amp;"P"&amp;$A149)))</f>
        <v>#NUM!</v>
      </c>
      <c r="BL149" s="3">
        <f ca="1">IF($BP$1=1,DZ149,IF(RTD("tos.rtd",,BL$2,"."&amp;$C$134&amp;$AU$82&amp;"C"&amp;$A149)="N/A",0,RTD("tos.rtd",,BL$2,"."&amp;$C$134&amp;$AU$82&amp;"C"&amp;$A149)))</f>
        <v>5.3348234486009951E-4</v>
      </c>
      <c r="BM149" s="3">
        <f ca="1">IF($BP$1=1,EA149,-IF(RTD("tos.rtd",,BM$2,"."&amp;$C$134&amp;$AU$82&amp;"P"&amp;$A149)="N/A",0,RTD("tos.rtd",,BM$2,"."&amp;$C$134&amp;$AU$82&amp;"P"&amp;$A149)))</f>
        <v>-5.0266028794370148E-4</v>
      </c>
      <c r="BN149" s="3">
        <f ca="1">IF($BP$1=1,EB149,IF(RTD("tos.rtd",,BN$2,"."&amp;$D$134&amp;$AW$82&amp;"C"&amp;$A149)="N/A",0,RTD("tos.rtd",,BN$2,"."&amp;$D$134&amp;$AW$82&amp;"C"&amp;$A149)))</f>
        <v>6.3018332322385326E-4</v>
      </c>
      <c r="BO149" s="3">
        <f ca="1">IF($BP$1=1,EC149,-IF(RTD("tos.rtd",,BO$2,"."&amp;$D$134&amp;$AW$82&amp;"P"&amp;$A149)="N/A",0,RTD("tos.rtd",,BO$2,"."&amp;$D$134&amp;$AW$82&amp;"P"&amp;$A149)))</f>
        <v>-6.0413442492318473E-4</v>
      </c>
      <c r="BQ149" s="3" t="e">
        <f t="shared" ca="1" si="617"/>
        <v>#NUM!</v>
      </c>
      <c r="BR149" s="3" t="e">
        <f t="shared" ca="1" si="550"/>
        <v>#NUM!</v>
      </c>
      <c r="BS149" s="3">
        <f t="shared" ca="1" si="618"/>
        <v>910700.68390039389</v>
      </c>
      <c r="BT149" s="3" t="str">
        <f t="shared" ca="1" si="551"/>
        <v/>
      </c>
      <c r="BU149" s="3">
        <f t="shared" ca="1" si="619"/>
        <v>13351.448767908849</v>
      </c>
      <c r="BV149" s="3" t="str">
        <f t="shared" ca="1" si="551"/>
        <v/>
      </c>
      <c r="BX149" s="3" t="e">
        <f t="shared" ca="1" si="585"/>
        <v>#NUM!</v>
      </c>
      <c r="BY149" s="3" t="e">
        <f t="shared" ca="1" si="586"/>
        <v>#NUM!</v>
      </c>
      <c r="BZ149" s="3">
        <f t="shared" ca="1" si="587"/>
        <v>803.18688235383615</v>
      </c>
      <c r="CA149" s="3" t="str">
        <f t="shared" ca="1" si="586"/>
        <v/>
      </c>
      <c r="CB149" s="3">
        <f t="shared" ca="1" si="588"/>
        <v>-3679.7387978499951</v>
      </c>
      <c r="CC149" s="3" t="str">
        <f t="shared" ca="1" si="586"/>
        <v>Cruce -</v>
      </c>
      <c r="CD149" s="3">
        <f>IF(RTD("tos.rtd",,CD$43,"."&amp;$B$134&amp;$AS$82&amp;"C"&amp;$A149)="N/A",0,RTD("tos.rtd",,CD$43,"."&amp;$B$134&amp;$AS$82&amp;"C"&amp;$A149))</f>
        <v>0.01</v>
      </c>
      <c r="CE149" s="3">
        <f>-IF(RTD("tos.rtd",,CE$43,"."&amp;$B$134&amp;$AS$82&amp;"P"&amp;$A149)="N/A",0,RTD("tos.rtd",,CE$43,"."&amp;$B$134&amp;$AS$82&amp;"P"&amp;$A149))</f>
        <v>0.93</v>
      </c>
      <c r="CF149" s="3">
        <f>IF(RTD("tos.rtd",,CF$2,"."&amp;$C$134&amp;$AU$82&amp;"C"&amp;$A149)="N/A",0,RTD("tos.rtd",,CF$2,"."&amp;$C$134&amp;$AU$82&amp;"C"&amp;$A149))</f>
        <v>0.39</v>
      </c>
      <c r="CG149" s="3">
        <f>-IF(RTD("tos.rtd",,CG$2,"."&amp;$C$134&amp;$AU$82&amp;"P"&amp;$A149)="N/A",0,RTD("tos.rtd",,CG$2,"."&amp;$C$134&amp;$AU$82&amp;"P"&amp;$A149))</f>
        <v>0.6</v>
      </c>
      <c r="CH149" s="3">
        <f>IF(RTD("tos.rtd",,CH$2,"."&amp;$D$134&amp;$AW$82&amp;"C"&amp;$A149)="N/A",0,RTD("tos.rtd",,CH$2,"."&amp;$D$134&amp;$AW$82&amp;"C"&amp;$A149))</f>
        <v>0.49</v>
      </c>
      <c r="CI149" s="3">
        <f>-IF(RTD("tos.rtd",,CI$2,"."&amp;$D$134&amp;$AW$82&amp;"P"&amp;$A149)="N/A",0,RTD("tos.rtd",,CI$2,"."&amp;$D$134&amp;$AW$82&amp;"P"&amp;$A149))</f>
        <v>0.51</v>
      </c>
      <c r="CK149" s="3">
        <f t="shared" si="620"/>
        <v>-672</v>
      </c>
      <c r="CL149" s="3"/>
      <c r="CM149" s="3">
        <f t="shared" si="621"/>
        <v>1962</v>
      </c>
      <c r="CN149" s="3"/>
      <c r="CO149" s="3">
        <f t="shared" si="622"/>
        <v>-32</v>
      </c>
      <c r="CP149" s="3">
        <f t="shared" si="542"/>
        <v>1258</v>
      </c>
      <c r="CQ149" s="3">
        <f t="shared" si="552"/>
        <v>373</v>
      </c>
      <c r="CR149" s="3"/>
      <c r="CS149" s="3">
        <f t="shared" si="553"/>
        <v>6</v>
      </c>
      <c r="CT149" s="3"/>
      <c r="CU149" s="3">
        <f t="shared" si="554"/>
        <v>-25</v>
      </c>
      <c r="CV149" s="3"/>
      <c r="CW149" s="3" t="e">
        <f t="shared" ca="1" si="555"/>
        <v>#NUM!</v>
      </c>
      <c r="CY149" s="3" t="e">
        <f t="shared" ca="1" si="556"/>
        <v>#NUM!</v>
      </c>
      <c r="CZ149" s="70" t="e">
        <f t="shared" ca="1" si="589"/>
        <v>#NUM!</v>
      </c>
      <c r="DA149" s="3">
        <f>IF(RTD("tos.rtd",,DA$43,"."&amp;$B$134&amp;$AS$82&amp;"C"&amp;$A149)="N/A",0,RTD("tos.rtd",,DA$43,"."&amp;$B$134&amp;$AS$82&amp;"C"&amp;$A149))</f>
        <v>0.05</v>
      </c>
      <c r="DB149" s="3">
        <f>IF(RTD("tos.rtd",,DB$43,"."&amp;$B$134&amp;$AS$82&amp;"P"&amp;$A149)="N/A",0,RTD("tos.rtd",,DB$43,"."&amp;$B$134&amp;$AS$82&amp;"P"&amp;$A149))</f>
        <v>174.19</v>
      </c>
      <c r="DC149" s="3">
        <f>IF(RTD("tos.rtd",,DC$43,"."&amp;$B$134&amp;$AS$82&amp;"C"&amp;$A149)="N/A",0,RTD("tos.rtd",,DC$43,"."&amp;$B$134&amp;$AS$82&amp;"C"&amp;$A149))</f>
        <v>0.6</v>
      </c>
      <c r="DD149" s="3">
        <f>IF(RTD("tos.rtd",,DD$43,"."&amp;$B$134&amp;$AS$82&amp;"P"&amp;$A149)="N/A",0,RTD("tos.rtd",,DD$43,"."&amp;$B$134&amp;$AS$82&amp;"P"&amp;$A149))</f>
        <v>201.4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184.1</v>
      </c>
      <c r="DG149" s="86">
        <f t="shared" si="590"/>
        <v>188.55099999999948</v>
      </c>
      <c r="DH149" s="3">
        <f t="shared" si="557"/>
        <v>0</v>
      </c>
      <c r="DI149" s="3">
        <f t="shared" si="558"/>
        <v>0</v>
      </c>
      <c r="DJ149" s="3">
        <f t="shared" si="559"/>
        <v>0</v>
      </c>
      <c r="DK149" s="3">
        <f t="shared" si="560"/>
        <v>0</v>
      </c>
      <c r="DL149" s="3">
        <f t="shared" si="561"/>
        <v>0</v>
      </c>
      <c r="DM149" s="3">
        <f t="shared" si="562"/>
        <v>0</v>
      </c>
      <c r="DN149" s="64" t="str">
        <f t="shared" si="563"/>
        <v>UNKNOWN</v>
      </c>
      <c r="DO149" s="64" t="str">
        <f t="shared" si="564"/>
        <v>UNKNOWN</v>
      </c>
      <c r="DP149" s="3">
        <f t="shared" si="565"/>
        <v>0</v>
      </c>
      <c r="DQ149" s="3">
        <f t="shared" si="566"/>
        <v>0</v>
      </c>
      <c r="DR149" s="3" t="e">
        <f t="shared" ca="1" si="567"/>
        <v>#NUM!</v>
      </c>
      <c r="DS149" s="3">
        <f t="shared" si="568"/>
        <v>0</v>
      </c>
      <c r="DT149" s="3">
        <f t="shared" si="591"/>
        <v>0</v>
      </c>
      <c r="DU149" s="3">
        <f t="shared" si="592"/>
        <v>0</v>
      </c>
      <c r="DV149" s="3">
        <f t="shared" si="569"/>
        <v>53</v>
      </c>
      <c r="DW149" s="3">
        <f t="shared" si="570"/>
        <v>-14</v>
      </c>
      <c r="DX149" s="3" t="e">
        <f t="shared" ca="1" si="571"/>
        <v>#NUM!</v>
      </c>
      <c r="DY149" s="3" t="e">
        <f t="shared" ca="1" si="572"/>
        <v>#NUM!</v>
      </c>
      <c r="DZ149" s="3">
        <f t="shared" ca="1" si="573"/>
        <v>5.3348234486009951E-4</v>
      </c>
      <c r="EA149" s="3">
        <f t="shared" ca="1" si="574"/>
        <v>-5.0266028794370148E-4</v>
      </c>
      <c r="EB149" s="3">
        <f t="shared" ca="1" si="575"/>
        <v>6.3018332322385326E-4</v>
      </c>
      <c r="EC149" s="3">
        <f t="shared" ca="1" si="576"/>
        <v>-6.0413442492318473E-4</v>
      </c>
      <c r="ED149" s="63">
        <f t="shared" si="593"/>
        <v>39</v>
      </c>
      <c r="EE149" s="59">
        <f t="shared" si="577"/>
        <v>0.53839999999999999</v>
      </c>
      <c r="EF149" s="59">
        <f t="shared" si="578"/>
        <v>0.85329999999999995</v>
      </c>
      <c r="EG149" s="59">
        <f t="shared" si="579"/>
        <v>0.26860000000000001</v>
      </c>
      <c r="EH149" s="59">
        <f t="shared" si="580"/>
        <v>0.28599999999999998</v>
      </c>
      <c r="EI149" s="59">
        <f t="shared" si="581"/>
        <v>0.22470000000000001</v>
      </c>
      <c r="EJ149" s="59">
        <f t="shared" si="582"/>
        <v>0.23519999999999999</v>
      </c>
      <c r="EK149" s="63" t="e">
        <f t="shared" ca="1" si="594"/>
        <v>#NUM!</v>
      </c>
      <c r="EL149" s="3" t="str">
        <f>RTD("tos.rtd",,EL$43,"."&amp;$B$134&amp;$AS$82&amp;"C"&amp;$A149)</f>
        <v>53.84%</v>
      </c>
      <c r="EM149" s="3" t="str">
        <f>RTD("tos.rtd",,EM$43,"."&amp;$B$134&amp;$AS$82&amp;"P"&amp;$A149)</f>
        <v>85.33%</v>
      </c>
      <c r="EN149" s="3" t="str">
        <f>RTD("tos.rtd",,EN$2,"."&amp;$C$134&amp;$AU$82&amp;"C"&amp;$A149)</f>
        <v>26.86%</v>
      </c>
      <c r="EO149" s="3" t="str">
        <f>RTD("tos.rtd",,EO$2,"."&amp;$C$134&amp;$AU$82&amp;"P"&amp;$A149)</f>
        <v>28.60%</v>
      </c>
      <c r="EP149" s="3" t="str">
        <f>RTD("tos.rtd",,EP$2,"."&amp;$D$134&amp;$AW$82&amp;"C"&amp;$A149)</f>
        <v>22.47%</v>
      </c>
      <c r="EQ149" s="3" t="str">
        <f>RTD("tos.rtd",,EQ$2,"."&amp;$D$134&amp;$AW$82&amp;"P"&amp;$A149)</f>
        <v>23.52%</v>
      </c>
      <c r="ES149" s="63" t="str">
        <f t="shared" si="583"/>
        <v>20250,39.00</v>
      </c>
      <c r="ET149" s="63" t="str">
        <f t="shared" ca="1" si="584"/>
        <v>20250,00.00</v>
      </c>
      <c r="EU149" s="68">
        <v>565.19000000000005</v>
      </c>
      <c r="EV149" s="68" t="s">
        <v>1211</v>
      </c>
      <c r="EW149" s="68">
        <v>488.7</v>
      </c>
      <c r="EX149" s="68" t="s">
        <v>1212</v>
      </c>
      <c r="EY149" s="68">
        <v>5663.94</v>
      </c>
      <c r="EZ149" s="68" t="s">
        <v>1213</v>
      </c>
      <c r="FA149" s="68">
        <v>20063.564999999999</v>
      </c>
      <c r="FB149" s="68" t="s">
        <v>1214</v>
      </c>
      <c r="FC149" s="68" t="s">
        <v>1215</v>
      </c>
      <c r="FD149" s="68" t="s">
        <v>1216</v>
      </c>
      <c r="FE149" s="68" t="s">
        <v>1217</v>
      </c>
      <c r="FF149" s="68" t="s">
        <v>1218</v>
      </c>
    </row>
    <row r="150" spans="1:162" ht="11.1" customHeight="1" thickBot="1" x14ac:dyDescent="0.25">
      <c r="A150" s="2">
        <f t="shared" si="595"/>
        <v>20225</v>
      </c>
      <c r="B150" s="3">
        <f t="shared" si="610"/>
        <v>26</v>
      </c>
      <c r="C150" s="3">
        <f t="shared" si="611"/>
        <v>63</v>
      </c>
      <c r="D150" s="3">
        <f t="shared" si="612"/>
        <v>37</v>
      </c>
      <c r="E150" s="3">
        <f t="shared" si="613"/>
        <v>126</v>
      </c>
      <c r="F150" s="4">
        <f t="shared" si="614"/>
        <v>20638.645979659792</v>
      </c>
      <c r="G150" s="5">
        <f t="shared" si="615"/>
        <v>500.21502684078303</v>
      </c>
      <c r="AM150" s="1">
        <v>-15</v>
      </c>
      <c r="AN150" s="1">
        <v>-10</v>
      </c>
      <c r="AO150" s="1">
        <v>20225</v>
      </c>
      <c r="AP150" s="1">
        <v>97</v>
      </c>
      <c r="AQ150" s="1">
        <v>-33</v>
      </c>
      <c r="AS150" s="54">
        <f>IF(RTD("tos.rtd",,AS$83,"."&amp;$B$134&amp;$AS$82&amp;"C"&amp;$A150)="N/A",0,RTD("tos.rtd",,AS$83,"."&amp;$B$134&amp;$AS$82&amp;"C"&amp;$A150))</f>
        <v>10</v>
      </c>
      <c r="AT150" s="3">
        <f>-IF(RTD("tos.rtd",,AT$83,"."&amp;$B$134&amp;$AS$82&amp;"P"&amp;$A150)="N/A",0,RTD("tos.rtd",,AT$83,"."&amp;$B$134&amp;$AS$82&amp;"P"&amp;$A150))</f>
        <v>-16</v>
      </c>
      <c r="AU150" s="54">
        <f>IF(RTD("tos.rtd",,AU$2,"."&amp;$C$134&amp;$AU$134&amp;"C"&amp;$A150)="N/A",0,RTD("tos.rtd",,AU$2,"."&amp;$C$134&amp;$AU$134&amp;"C"&amp;$A150))</f>
        <v>34</v>
      </c>
      <c r="AV150" s="3">
        <f>-IF(RTD("tos.rtd",,AV$2,"."&amp;$C$134&amp;$AU$134&amp;"P"&amp;$A150)="N/A",0,RTD("tos.rtd",,AV$2,"."&amp;$C$134&amp;$AU$134&amp;"P"&amp;$A150))</f>
        <v>-29</v>
      </c>
      <c r="AW150" s="54">
        <f>IF(RTD("tos.rtd",,AW$2,"."&amp;$D$134&amp;$AW$134&amp;"C"&amp;$A150)="N/A",0,RTD("tos.rtd",,AW$2,"."&amp;$D$134&amp;$AW$134&amp;"C"&amp;$A150))</f>
        <v>21</v>
      </c>
      <c r="AX150" s="3">
        <f>-IF(RTD("tos.rtd",,AX$2,"."&amp;$D$134&amp;$AW$134&amp;"P"&amp;$A150)="N/A",0,RTD("tos.rtd",,AX$2,"."&amp;$D$134&amp;$AW$134&amp;"P"&amp;$A150))</f>
        <v>-16</v>
      </c>
      <c r="AY150" s="76">
        <f t="shared" si="616"/>
        <v>4</v>
      </c>
      <c r="AZ150" s="8">
        <f t="shared" si="548"/>
        <v>20225</v>
      </c>
      <c r="BA150" s="54">
        <f>IF(RTD("tos.rtd",,BA$43,"."&amp;$B$134&amp;$AS$82&amp;"C"&amp;$A150)="N/A",0,RTD("tos.rtd",,BA$43,"."&amp;$B$134&amp;$AS$82&amp;"C"&amp;$A150))</f>
        <v>97</v>
      </c>
      <c r="BB150" s="3">
        <f>-IF(RTD("tos.rtd",,BB$43,"."&amp;$B$134&amp;$AS$82&amp;"P"&amp;$A150)="N/A",0,RTD("tos.rtd",,BB$43,"."&amp;$B$134&amp;$AS$82&amp;"P"&amp;$A150))</f>
        <v>-33</v>
      </c>
      <c r="BC150" s="54">
        <f>IF(RTD("tos.rtd",,BC$2,"."&amp;$C$134&amp;$AU$82&amp;"C"&amp;$A150)="N/A",0,RTD("tos.rtd",,BC$2,"."&amp;$C$134&amp;$AU$82&amp;"C"&amp;$A150))</f>
        <v>4</v>
      </c>
      <c r="BD150" s="3">
        <f>-IF(RTD("tos.rtd",,BD$2,"."&amp;$C$134&amp;$AU$82&amp;"P"&amp;$A150)="N/A",0,RTD("tos.rtd",,BD$2,"."&amp;$C$134&amp;$AU$82&amp;"P"&amp;$A150))</f>
        <v>-5</v>
      </c>
      <c r="BE150" s="54">
        <f>IF(RTD("tos.rtd",,BE$2,"."&amp;$D$134&amp;$AW$82&amp;"C"&amp;$A150)="N/A",0,RTD("tos.rtd",,BE$2,"."&amp;$D$134&amp;$AW$82&amp;"C"&amp;$A150))</f>
        <v>19</v>
      </c>
      <c r="BF150" s="3">
        <f>-IF(RTD("tos.rtd",,BF$2,"."&amp;$D$134&amp;$AW$82&amp;"P"&amp;$A150)="N/A",0,RTD("tos.rtd",,BF$2,"."&amp;$D$134&amp;$AW$82&amp;"P"&amp;$A150))</f>
        <v>0</v>
      </c>
      <c r="BG150" s="3">
        <f ca="1">+Hoja2!Y151</f>
        <v>0</v>
      </c>
      <c r="BH150" s="7">
        <f t="shared" ca="1" si="549"/>
        <v>82</v>
      </c>
      <c r="BI150" s="32" t="str">
        <f t="shared" ca="1" si="609"/>
        <v/>
      </c>
      <c r="BJ150" s="3" t="e">
        <f ca="1">IF($BP$1=1,DX150,IF(RTD("tos.rtd",,BJ$43,"."&amp;$B$134&amp;$AS$82&amp;"C"&amp;$A150)="N/A",0,RTD("tos.rtd",,BJ$43,"."&amp;$B$134&amp;$AS$82&amp;"C"&amp;$A150)))</f>
        <v>#NUM!</v>
      </c>
      <c r="BK150" s="3" t="e">
        <f ca="1">IF($BP$1=1,DY150,-IF(RTD("tos.rtd",,BK$43,"."&amp;$B$134&amp;$AS$82&amp;"P"&amp;$A150)="N/A",0,RTD("tos.rtd",,BK$43,"."&amp;$B$134&amp;$AS$82&amp;"P"&amp;$A150)))</f>
        <v>#NUM!</v>
      </c>
      <c r="BL150" s="3">
        <f ca="1">IF($BP$1=1,DZ150,IF(RTD("tos.rtd",,BL$2,"."&amp;$C$134&amp;$AU$82&amp;"C"&amp;$A150)="N/A",0,RTD("tos.rtd",,BL$2,"."&amp;$C$134&amp;$AU$82&amp;"C"&amp;$A150)))</f>
        <v>5.3578645194951374E-4</v>
      </c>
      <c r="BM150" s="3">
        <f ca="1">IF($BP$1=1,EA150,-IF(RTD("tos.rtd",,BM$2,"."&amp;$C$134&amp;$AU$82&amp;"P"&amp;$A150)="N/A",0,RTD("tos.rtd",,BM$2,"."&amp;$C$134&amp;$AU$82&amp;"P"&amp;$A150)))</f>
        <v>-5.0479951892440985E-4</v>
      </c>
      <c r="BN150" s="3">
        <f ca="1">IF($BP$1=1,EB150,IF(RTD("tos.rtd",,BN$2,"."&amp;$D$134&amp;$AW$82&amp;"C"&amp;$A150)="N/A",0,RTD("tos.rtd",,BN$2,"."&amp;$D$134&amp;$AW$82&amp;"C"&amp;$A150)))</f>
        <v>6.338541367471751E-4</v>
      </c>
      <c r="BO150" s="3">
        <f ca="1">IF($BP$1=1,EC150,-IF(RTD("tos.rtd",,BO$2,"."&amp;$D$134&amp;$AW$82&amp;"P"&amp;$A150)="N/A",0,RTD("tos.rtd",,BO$2,"."&amp;$D$134&amp;$AW$82&amp;"P"&amp;$A150)))</f>
        <v>-6.0792270006610665E-4</v>
      </c>
      <c r="BQ150" s="3" t="e">
        <f t="shared" ca="1" si="617"/>
        <v>#NUM!</v>
      </c>
      <c r="BR150" s="3" t="e">
        <f t="shared" ca="1" si="550"/>
        <v>#NUM!</v>
      </c>
      <c r="BS150" s="3">
        <f t="shared" ca="1" si="618"/>
        <v>114605.42227497901</v>
      </c>
      <c r="BT150" s="3" t="str">
        <f t="shared" ca="1" si="551"/>
        <v/>
      </c>
      <c r="BU150" s="3">
        <f t="shared" ca="1" si="619"/>
        <v>114817.50251582579</v>
      </c>
      <c r="BV150" s="3" t="str">
        <f t="shared" ca="1" si="551"/>
        <v/>
      </c>
      <c r="BX150" s="3" t="e">
        <f t="shared" ca="1" si="585"/>
        <v>#NUM!</v>
      </c>
      <c r="BY150" s="3" t="e">
        <f t="shared" ca="1" si="586"/>
        <v>#NUM!</v>
      </c>
      <c r="BZ150" s="3">
        <f t="shared" ca="1" si="587"/>
        <v>-93.759871039238419</v>
      </c>
      <c r="CA150" s="3" t="str">
        <f t="shared" ca="1" si="586"/>
        <v>Cruce -</v>
      </c>
      <c r="CB150" s="3">
        <f t="shared" ca="1" si="588"/>
        <v>2964.8582449339742</v>
      </c>
      <c r="CC150" s="3" t="str">
        <f t="shared" ca="1" si="586"/>
        <v>Cruce +</v>
      </c>
      <c r="CD150" s="3">
        <f>IF(RTD("tos.rtd",,CD$43,"."&amp;$B$134&amp;$AS$82&amp;"C"&amp;$A150)="N/A",0,RTD("tos.rtd",,CD$43,"."&amp;$B$134&amp;$AS$82&amp;"C"&amp;$A150))</f>
        <v>7.0000000000000007E-2</v>
      </c>
      <c r="CE150" s="3">
        <f>-IF(RTD("tos.rtd",,CE$43,"."&amp;$B$134&amp;$AS$82&amp;"P"&amp;$A150)="N/A",0,RTD("tos.rtd",,CE$43,"."&amp;$B$134&amp;$AS$82&amp;"P"&amp;$A150))</f>
        <v>0.92</v>
      </c>
      <c r="CF150" s="3">
        <f>IF(RTD("tos.rtd",,CF$2,"."&amp;$C$134&amp;$AU$82&amp;"C"&amp;$A150)="N/A",0,RTD("tos.rtd",,CF$2,"."&amp;$C$134&amp;$AU$82&amp;"C"&amp;$A150))</f>
        <v>0.41</v>
      </c>
      <c r="CG150" s="3">
        <f>-IF(RTD("tos.rtd",,CG$2,"."&amp;$C$134&amp;$AU$82&amp;"P"&amp;$A150)="N/A",0,RTD("tos.rtd",,CG$2,"."&amp;$C$134&amp;$AU$82&amp;"P"&amp;$A150))</f>
        <v>0.59</v>
      </c>
      <c r="CH150" s="3">
        <f>IF(RTD("tos.rtd",,CH$2,"."&amp;$D$134&amp;$AW$82&amp;"C"&amp;$A150)="N/A",0,RTD("tos.rtd",,CH$2,"."&amp;$D$134&amp;$AW$82&amp;"C"&amp;$A150))</f>
        <v>0.5</v>
      </c>
      <c r="CI150" s="3">
        <f>-IF(RTD("tos.rtd",,CI$2,"."&amp;$D$134&amp;$AW$82&amp;"P"&amp;$A150)="N/A",0,RTD("tos.rtd",,CI$2,"."&amp;$D$134&amp;$AW$82&amp;"P"&amp;$A150))</f>
        <v>0.5</v>
      </c>
      <c r="CK150" s="3">
        <f t="shared" si="620"/>
        <v>-1402</v>
      </c>
      <c r="CL150" s="3"/>
      <c r="CM150" s="3">
        <f t="shared" si="621"/>
        <v>-317</v>
      </c>
      <c r="CN150" s="3"/>
      <c r="CO150" s="3">
        <f t="shared" si="622"/>
        <v>250</v>
      </c>
      <c r="CP150" s="3">
        <f t="shared" si="542"/>
        <v>-1469</v>
      </c>
      <c r="CQ150" s="3">
        <f t="shared" si="552"/>
        <v>64</v>
      </c>
      <c r="CR150" s="3"/>
      <c r="CS150" s="3">
        <f t="shared" si="553"/>
        <v>-1</v>
      </c>
      <c r="CT150" s="3"/>
      <c r="CU150" s="3">
        <f t="shared" si="554"/>
        <v>19</v>
      </c>
      <c r="CV150" s="3"/>
      <c r="CW150" s="3" t="e">
        <f t="shared" ca="1" si="555"/>
        <v>#NUM!</v>
      </c>
      <c r="CY150" s="3" t="e">
        <f t="shared" ca="1" si="556"/>
        <v>#NUM!</v>
      </c>
      <c r="CZ150" s="70" t="e">
        <f t="shared" ca="1" si="589"/>
        <v>#NUM!</v>
      </c>
      <c r="DA150" s="3">
        <f>IF(RTD("tos.rtd",,DA$43,"."&amp;$B$134&amp;$AS$82&amp;"C"&amp;$A150)="N/A",0,RTD("tos.rtd",,DA$43,"."&amp;$B$134&amp;$AS$82&amp;"C"&amp;$A150))</f>
        <v>0.55000000000000004</v>
      </c>
      <c r="DB150" s="3">
        <f>IF(RTD("tos.rtd",,DB$43,"."&amp;$B$134&amp;$AS$82&amp;"P"&amp;$A150)="N/A",0,RTD("tos.rtd",,DB$43,"."&amp;$B$134&amp;$AS$82&amp;"P"&amp;$A150))</f>
        <v>152.57</v>
      </c>
      <c r="DC150" s="3">
        <f>IF(RTD("tos.rtd",,DC$43,"."&amp;$B$134&amp;$AS$82&amp;"C"&amp;$A150)="N/A",0,RTD("tos.rtd",,DC$43,"."&amp;$B$134&amp;$AS$82&amp;"C"&amp;$A150))</f>
        <v>7.2</v>
      </c>
      <c r="DD150" s="3">
        <f>IF(RTD("tos.rtd",,DD$43,"."&amp;$B$134&amp;$AS$82&amp;"P"&amp;$A150)="N/A",0,RTD("tos.rtd",,DD$43,"."&amp;$B$134&amp;$AS$82&amp;"P"&amp;$A150))</f>
        <v>176.4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159.1</v>
      </c>
      <c r="DG150" s="86">
        <f t="shared" si="590"/>
        <v>163.55099999999948</v>
      </c>
      <c r="DH150" s="3">
        <f t="shared" si="557"/>
        <v>0</v>
      </c>
      <c r="DI150" s="3">
        <f t="shared" si="558"/>
        <v>0</v>
      </c>
      <c r="DJ150" s="3">
        <f t="shared" si="559"/>
        <v>0</v>
      </c>
      <c r="DK150" s="3">
        <f t="shared" si="560"/>
        <v>0</v>
      </c>
      <c r="DL150" s="3">
        <f t="shared" si="561"/>
        <v>0</v>
      </c>
      <c r="DM150" s="3">
        <f t="shared" si="562"/>
        <v>0</v>
      </c>
      <c r="DN150" s="64" t="str">
        <f t="shared" si="563"/>
        <v>UNKNOWN</v>
      </c>
      <c r="DO150" s="64" t="str">
        <f t="shared" si="564"/>
        <v>UNKNOWN</v>
      </c>
      <c r="DP150" s="3">
        <f t="shared" si="565"/>
        <v>0</v>
      </c>
      <c r="DQ150" s="3">
        <f t="shared" si="566"/>
        <v>0</v>
      </c>
      <c r="DR150" s="3" t="e">
        <f t="shared" ca="1" si="567"/>
        <v>#NUM!</v>
      </c>
      <c r="DS150" s="3">
        <f t="shared" si="568"/>
        <v>0</v>
      </c>
      <c r="DT150" s="3">
        <f t="shared" si="591"/>
        <v>0</v>
      </c>
      <c r="DU150" s="3">
        <f t="shared" si="592"/>
        <v>0</v>
      </c>
      <c r="DV150" s="3">
        <f t="shared" si="569"/>
        <v>-15</v>
      </c>
      <c r="DW150" s="3">
        <f t="shared" si="570"/>
        <v>-10</v>
      </c>
      <c r="DX150" s="3" t="e">
        <f t="shared" ca="1" si="571"/>
        <v>#NUM!</v>
      </c>
      <c r="DY150" s="3" t="e">
        <f t="shared" ca="1" si="572"/>
        <v>#NUM!</v>
      </c>
      <c r="DZ150" s="3">
        <f t="shared" ca="1" si="573"/>
        <v>5.3578645194951374E-4</v>
      </c>
      <c r="EA150" s="3">
        <f t="shared" ca="1" si="574"/>
        <v>-5.0479951892440985E-4</v>
      </c>
      <c r="EB150" s="3">
        <f t="shared" ca="1" si="575"/>
        <v>6.338541367471751E-4</v>
      </c>
      <c r="EC150" s="3">
        <f t="shared" ca="1" si="576"/>
        <v>-6.0792270006610665E-4</v>
      </c>
      <c r="ED150" s="63">
        <f t="shared" si="593"/>
        <v>-25</v>
      </c>
      <c r="EE150" s="59">
        <f t="shared" si="577"/>
        <v>0.73650000000000004</v>
      </c>
      <c r="EF150" s="59">
        <f t="shared" si="578"/>
        <v>0.76629999999999998</v>
      </c>
      <c r="EG150" s="59">
        <f t="shared" si="579"/>
        <v>0.26929999999999998</v>
      </c>
      <c r="EH150" s="59">
        <f t="shared" si="580"/>
        <v>0.28649999999999998</v>
      </c>
      <c r="EI150" s="59">
        <f t="shared" si="581"/>
        <v>0.22570000000000001</v>
      </c>
      <c r="EJ150" s="59">
        <f t="shared" si="582"/>
        <v>0.2359</v>
      </c>
      <c r="EK150" s="63" t="e">
        <f t="shared" ca="1" si="594"/>
        <v>#NUM!</v>
      </c>
      <c r="EL150" s="3" t="str">
        <f>RTD("tos.rtd",,EL$43,"."&amp;$B$134&amp;$AS$82&amp;"C"&amp;$A150)</f>
        <v>73.65%</v>
      </c>
      <c r="EM150" s="3" t="str">
        <f>RTD("tos.rtd",,EM$43,"."&amp;$B$134&amp;$AS$82&amp;"P"&amp;$A150)</f>
        <v>76.63%</v>
      </c>
      <c r="EN150" s="3" t="str">
        <f>RTD("tos.rtd",,EN$2,"."&amp;$C$134&amp;$AU$82&amp;"C"&amp;$A150)</f>
        <v>26.93%</v>
      </c>
      <c r="EO150" s="3" t="str">
        <f>RTD("tos.rtd",,EO$2,"."&amp;$C$134&amp;$AU$82&amp;"P"&amp;$A150)</f>
        <v>28.65%</v>
      </c>
      <c r="EP150" s="3" t="str">
        <f>RTD("tos.rtd",,EP$2,"."&amp;$D$134&amp;$AW$82&amp;"C"&amp;$A150)</f>
        <v>22.57%</v>
      </c>
      <c r="EQ150" s="3" t="str">
        <f>RTD("tos.rtd",,EQ$2,"."&amp;$D$134&amp;$AW$82&amp;"P"&amp;$A150)</f>
        <v>23.59%</v>
      </c>
      <c r="ES150" s="63" t="str">
        <f t="shared" si="583"/>
        <v>20225,-25.00</v>
      </c>
      <c r="ET150" s="63" t="str">
        <f t="shared" ca="1" si="584"/>
        <v>20225,00.00</v>
      </c>
      <c r="EU150" s="68">
        <v>565.19000000000005</v>
      </c>
      <c r="EV150" s="68" t="s">
        <v>1219</v>
      </c>
      <c r="EW150" s="68">
        <v>488.7</v>
      </c>
      <c r="EX150" s="68" t="s">
        <v>1220</v>
      </c>
      <c r="EY150" s="68">
        <v>5663.94</v>
      </c>
      <c r="EZ150" s="68" t="s">
        <v>1221</v>
      </c>
      <c r="FA150" s="68">
        <v>20063.564999999999</v>
      </c>
      <c r="FB150" s="68" t="s">
        <v>1222</v>
      </c>
      <c r="FC150" s="68" t="s">
        <v>1223</v>
      </c>
      <c r="FD150" s="68" t="s">
        <v>1224</v>
      </c>
      <c r="FE150" s="68" t="s">
        <v>1225</v>
      </c>
      <c r="FF150" s="68" t="s">
        <v>1226</v>
      </c>
    </row>
    <row r="151" spans="1:162" ht="11.1" customHeight="1" thickBot="1" x14ac:dyDescent="0.25">
      <c r="A151" s="2">
        <f t="shared" si="595"/>
        <v>20200</v>
      </c>
      <c r="B151" s="3">
        <f t="shared" si="610"/>
        <v>63</v>
      </c>
      <c r="C151" s="3">
        <f t="shared" si="611"/>
        <v>72</v>
      </c>
      <c r="D151" s="3">
        <f t="shared" si="612"/>
        <v>675</v>
      </c>
      <c r="E151" s="3">
        <f t="shared" si="613"/>
        <v>810</v>
      </c>
      <c r="F151" s="4">
        <f t="shared" si="614"/>
        <v>20613.134674369732</v>
      </c>
      <c r="G151" s="5">
        <f t="shared" si="615"/>
        <v>499.59671407583767</v>
      </c>
      <c r="AM151" s="1">
        <v>153</v>
      </c>
      <c r="AN151" s="1">
        <v>22</v>
      </c>
      <c r="AO151" s="1">
        <v>20200</v>
      </c>
      <c r="AP151" s="1">
        <v>1232</v>
      </c>
      <c r="AQ151" s="1">
        <v>-58</v>
      </c>
      <c r="AS151" s="54">
        <f>IF(RTD("tos.rtd",,AS$83,"."&amp;$B$134&amp;$AS$82&amp;"C"&amp;$A151)="N/A",0,RTD("tos.rtd",,AS$83,"."&amp;$B$134&amp;$AS$82&amp;"C"&amp;$A151))</f>
        <v>51</v>
      </c>
      <c r="AT151" s="3">
        <f>-IF(RTD("tos.rtd",,AT$83,"."&amp;$B$134&amp;$AS$82&amp;"P"&amp;$A151)="N/A",0,RTD("tos.rtd",,AT$83,"."&amp;$B$134&amp;$AS$82&amp;"P"&amp;$A151))</f>
        <v>-12</v>
      </c>
      <c r="AU151" s="54">
        <f>IF(RTD("tos.rtd",,AU$2,"."&amp;$C$134&amp;$AU$134&amp;"C"&amp;$A151)="N/A",0,RTD("tos.rtd",,AU$2,"."&amp;$C$134&amp;$AU$134&amp;"C"&amp;$A151))</f>
        <v>56</v>
      </c>
      <c r="AV151" s="3">
        <f>-IF(RTD("tos.rtd",,AV$2,"."&amp;$C$134&amp;$AU$134&amp;"P"&amp;$A151)="N/A",0,RTD("tos.rtd",,AV$2,"."&amp;$C$134&amp;$AU$134&amp;"P"&amp;$A151))</f>
        <v>-16</v>
      </c>
      <c r="AW151" s="54">
        <f>IF(RTD("tos.rtd",,AW$2,"."&amp;$D$134&amp;$AW$134&amp;"C"&amp;$A151)="N/A",0,RTD("tos.rtd",,AW$2,"."&amp;$D$134&amp;$AW$134&amp;"C"&amp;$A151))</f>
        <v>371</v>
      </c>
      <c r="AX151" s="3">
        <f>-IF(RTD("tos.rtd",,AX$2,"."&amp;$D$134&amp;$AW$134&amp;"P"&amp;$A151)="N/A",0,RTD("tos.rtd",,AX$2,"."&amp;$D$134&amp;$AW$134&amp;"P"&amp;$A151))</f>
        <v>-304</v>
      </c>
      <c r="AY151" s="76">
        <f t="shared" si="616"/>
        <v>146</v>
      </c>
      <c r="AZ151" s="8">
        <f t="shared" si="548"/>
        <v>20200</v>
      </c>
      <c r="BA151" s="54">
        <f>IF(RTD("tos.rtd",,BA$43,"."&amp;$B$134&amp;$AS$82&amp;"C"&amp;$A151)="N/A",0,RTD("tos.rtd",,BA$43,"."&amp;$B$134&amp;$AS$82&amp;"C"&amp;$A151))</f>
        <v>1232</v>
      </c>
      <c r="BB151" s="3">
        <f>-IF(RTD("tos.rtd",,BB$43,"."&amp;$B$134&amp;$AS$82&amp;"P"&amp;$A151)="N/A",0,RTD("tos.rtd",,BB$43,"."&amp;$B$134&amp;$AS$82&amp;"P"&amp;$A151))</f>
        <v>-58</v>
      </c>
      <c r="BC151" s="54">
        <f>IF(RTD("tos.rtd",,BC$2,"."&amp;$C$134&amp;$AU$82&amp;"C"&amp;$A151)="N/A",0,RTD("tos.rtd",,BC$2,"."&amp;$C$134&amp;$AU$82&amp;"C"&amp;$A151))</f>
        <v>6</v>
      </c>
      <c r="BD151" s="3">
        <f>-IF(RTD("tos.rtd",,BD$2,"."&amp;$C$134&amp;$AU$82&amp;"P"&amp;$A151)="N/A",0,RTD("tos.rtd",,BD$2,"."&amp;$C$134&amp;$AU$82&amp;"P"&amp;$A151))</f>
        <v>-12</v>
      </c>
      <c r="BE151" s="54">
        <f>IF(RTD("tos.rtd",,BE$2,"."&amp;$D$134&amp;$AW$82&amp;"C"&amp;$A151)="N/A",0,RTD("tos.rtd",,BE$2,"."&amp;$D$134&amp;$AW$82&amp;"C"&amp;$A151))</f>
        <v>4</v>
      </c>
      <c r="BF151" s="3">
        <f>-IF(RTD("tos.rtd",,BF$2,"."&amp;$D$134&amp;$AW$82&amp;"P"&amp;$A151)="N/A",0,RTD("tos.rtd",,BF$2,"."&amp;$D$134&amp;$AW$82&amp;"P"&amp;$A151))</f>
        <v>-5</v>
      </c>
      <c r="BG151" s="3">
        <f ca="1">+Hoja2!Y152</f>
        <v>2</v>
      </c>
      <c r="BH151" s="7">
        <f t="shared" ca="1" si="549"/>
        <v>1169</v>
      </c>
      <c r="BI151" s="32" t="str">
        <f t="shared" ca="1" si="609"/>
        <v/>
      </c>
      <c r="BJ151" s="3" t="e">
        <f ca="1">IF($BP$1=1,DX151,IF(RTD("tos.rtd",,BJ$43,"."&amp;$B$134&amp;$AS$82&amp;"C"&amp;$A151)="N/A",0,RTD("tos.rtd",,BJ$43,"."&amp;$B$134&amp;$AS$82&amp;"C"&amp;$A151)))</f>
        <v>#NUM!</v>
      </c>
      <c r="BK151" s="3" t="e">
        <f ca="1">IF($BP$1=1,DY151,-IF(RTD("tos.rtd",,BK$43,"."&amp;$B$134&amp;$AS$82&amp;"P"&amp;$A151)="N/A",0,RTD("tos.rtd",,BK$43,"."&amp;$B$134&amp;$AS$82&amp;"P"&amp;$A151)))</f>
        <v>#NUM!</v>
      </c>
      <c r="BL151" s="3">
        <f ca="1">IF($BP$1=1,DZ151,IF(RTD("tos.rtd",,BL$2,"."&amp;$C$134&amp;$AU$82&amp;"C"&amp;$A151)="N/A",0,RTD("tos.rtd",,BL$2,"."&amp;$C$134&amp;$AU$82&amp;"C"&amp;$A151)))</f>
        <v>5.3725938102675561E-4</v>
      </c>
      <c r="BM151" s="3">
        <f ca="1">IF($BP$1=1,EA151,-IF(RTD("tos.rtd",,BM$2,"."&amp;$C$134&amp;$AU$82&amp;"P"&amp;$A151)="N/A",0,RTD("tos.rtd",,BM$2,"."&amp;$C$134&amp;$AU$82&amp;"P"&amp;$A151)))</f>
        <v>-5.0641784707824956E-4</v>
      </c>
      <c r="BN151" s="3">
        <f ca="1">IF($BP$1=1,EB151,IF(RTD("tos.rtd",,BN$2,"."&amp;$D$134&amp;$AW$82&amp;"C"&amp;$A151)="N/A",0,RTD("tos.rtd",,BN$2,"."&amp;$D$134&amp;$AW$82&amp;"C"&amp;$A151)))</f>
        <v>6.3695390419385379E-4</v>
      </c>
      <c r="BO151" s="3">
        <f ca="1">IF($BP$1=1,EC151,-IF(RTD("tos.rtd",,BO$2,"."&amp;$D$134&amp;$AW$82&amp;"P"&amp;$A151)="N/A",0,RTD("tos.rtd",,BO$2,"."&amp;$D$134&amp;$AW$82&amp;"P"&amp;$A151)))</f>
        <v>-6.1027009120212007E-4</v>
      </c>
      <c r="BQ151" s="3" t="e">
        <f t="shared" ca="1" si="617"/>
        <v>#NUM!</v>
      </c>
      <c r="BR151" s="3" t="e">
        <f t="shared" ca="1" si="550"/>
        <v>#NUM!</v>
      </c>
      <c r="BS151" s="3">
        <f t="shared" ca="1" si="618"/>
        <v>704243.10083429841</v>
      </c>
      <c r="BT151" s="3" t="str">
        <f t="shared" ca="1" si="551"/>
        <v/>
      </c>
      <c r="BU151" s="3">
        <f t="shared" ca="1" si="619"/>
        <v>1626965.6065353975</v>
      </c>
      <c r="BV151" s="3" t="str">
        <f t="shared" ca="1" si="551"/>
        <v/>
      </c>
      <c r="BX151" s="3" t="e">
        <f t="shared" ca="1" si="585"/>
        <v>#NUM!</v>
      </c>
      <c r="BY151" s="3" t="e">
        <f t="shared" ca="1" si="586"/>
        <v>#NUM!</v>
      </c>
      <c r="BZ151" s="3">
        <f t="shared" ca="1" si="587"/>
        <v>-702.47758310717188</v>
      </c>
      <c r="CA151" s="3" t="str">
        <f t="shared" ca="1" si="586"/>
        <v/>
      </c>
      <c r="CB151" s="3">
        <f t="shared" ca="1" si="588"/>
        <v>-123.96255767672881</v>
      </c>
      <c r="CC151" s="3" t="str">
        <f t="shared" ca="1" si="586"/>
        <v>Cruce -</v>
      </c>
      <c r="CD151" s="3">
        <f>IF(RTD("tos.rtd",,CD$43,"."&amp;$B$134&amp;$AS$82&amp;"C"&amp;$A151)="N/A",0,RTD("tos.rtd",,CD$43,"."&amp;$B$134&amp;$AS$82&amp;"C"&amp;$A151))</f>
        <v>0</v>
      </c>
      <c r="CE151" s="3">
        <f>-IF(RTD("tos.rtd",,CE$43,"."&amp;$B$134&amp;$AS$82&amp;"P"&amp;$A151)="N/A",0,RTD("tos.rtd",,CE$43,"."&amp;$B$134&amp;$AS$82&amp;"P"&amp;$A151))</f>
        <v>0.91</v>
      </c>
      <c r="CF151" s="3">
        <f>IF(RTD("tos.rtd",,CF$2,"."&amp;$C$134&amp;$AU$82&amp;"C"&amp;$A151)="N/A",0,RTD("tos.rtd",,CF$2,"."&amp;$C$134&amp;$AU$82&amp;"C"&amp;$A151))</f>
        <v>0.42</v>
      </c>
      <c r="CG151" s="3">
        <f>-IF(RTD("tos.rtd",,CG$2,"."&amp;$C$134&amp;$AU$82&amp;"P"&amp;$A151)="N/A",0,RTD("tos.rtd",,CG$2,"."&amp;$C$134&amp;$AU$82&amp;"P"&amp;$A151))</f>
        <v>0.56999999999999995</v>
      </c>
      <c r="CH151" s="3">
        <f>IF(RTD("tos.rtd",,CH$2,"."&amp;$D$134&amp;$AW$82&amp;"C"&amp;$A151)="N/A",0,RTD("tos.rtd",,CH$2,"."&amp;$D$134&amp;$AW$82&amp;"C"&amp;$A151))</f>
        <v>0.5</v>
      </c>
      <c r="CI151" s="3">
        <f>-IF(RTD("tos.rtd",,CI$2,"."&amp;$D$134&amp;$AW$82&amp;"P"&amp;$A151)="N/A",0,RTD("tos.rtd",,CI$2,"."&amp;$D$134&amp;$AW$82&amp;"P"&amp;$A151))</f>
        <v>0.49</v>
      </c>
      <c r="CK151" s="3">
        <f t="shared" si="620"/>
        <v>-1092</v>
      </c>
      <c r="CL151" s="3"/>
      <c r="CM151" s="3">
        <f t="shared" si="621"/>
        <v>1440</v>
      </c>
      <c r="CN151" s="3"/>
      <c r="CO151" s="3">
        <f t="shared" si="622"/>
        <v>3654</v>
      </c>
      <c r="CP151" s="3">
        <f t="shared" si="542"/>
        <v>4002</v>
      </c>
      <c r="CQ151" s="3">
        <f t="shared" si="552"/>
        <v>1174</v>
      </c>
      <c r="CR151" s="3"/>
      <c r="CS151" s="3">
        <f t="shared" si="553"/>
        <v>-6</v>
      </c>
      <c r="CT151" s="3"/>
      <c r="CU151" s="3">
        <f t="shared" si="554"/>
        <v>-1</v>
      </c>
      <c r="CV151" s="3"/>
      <c r="CW151" s="3" t="e">
        <f t="shared" ca="1" si="555"/>
        <v>#NUM!</v>
      </c>
      <c r="CY151" s="3" t="e">
        <f t="shared" ca="1" si="556"/>
        <v>#NUM!</v>
      </c>
      <c r="CZ151" s="70" t="e">
        <f t="shared" ca="1" si="589"/>
        <v>#NUM!</v>
      </c>
      <c r="DA151" s="3">
        <f>IF(RTD("tos.rtd",,DA$43,"."&amp;$B$134&amp;$AS$82&amp;"C"&amp;$A151)="N/A",0,RTD("tos.rtd",,DA$43,"."&amp;$B$134&amp;$AS$82&amp;"C"&amp;$A151))</f>
        <v>0.05</v>
      </c>
      <c r="DB151" s="3">
        <f>IF(RTD("tos.rtd",,DB$43,"."&amp;$B$134&amp;$AS$82&amp;"P"&amp;$A151)="N/A",0,RTD("tos.rtd",,DB$43,"."&amp;$B$134&amp;$AS$82&amp;"P"&amp;$A151))</f>
        <v>116.43</v>
      </c>
      <c r="DC151" s="3">
        <f>IF(RTD("tos.rtd",,DC$43,"."&amp;$B$134&amp;$AS$82&amp;"C"&amp;$A151)="N/A",0,RTD("tos.rtd",,DC$43,"."&amp;$B$134&amp;$AS$82&amp;"C"&amp;$A151))</f>
        <v>0.05</v>
      </c>
      <c r="DD151" s="3">
        <f>IF(RTD("tos.rtd",,DD$43,"."&amp;$B$134&amp;$AS$82&amp;"P"&amp;$A151)="N/A",0,RTD("tos.rtd",,DD$43,"."&amp;$B$134&amp;$AS$82&amp;"P"&amp;$A151))</f>
        <v>151.4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134.1</v>
      </c>
      <c r="DG151" s="86">
        <f t="shared" si="590"/>
        <v>138.55099999999948</v>
      </c>
      <c r="DH151" s="3">
        <f t="shared" si="557"/>
        <v>0</v>
      </c>
      <c r="DI151" s="3">
        <f t="shared" si="558"/>
        <v>0</v>
      </c>
      <c r="DJ151" s="3">
        <f t="shared" si="559"/>
        <v>0</v>
      </c>
      <c r="DK151" s="3">
        <f t="shared" si="560"/>
        <v>0</v>
      </c>
      <c r="DL151" s="3">
        <f t="shared" si="561"/>
        <v>0</v>
      </c>
      <c r="DM151" s="3">
        <f t="shared" si="562"/>
        <v>0</v>
      </c>
      <c r="DN151" s="64" t="str">
        <f t="shared" si="563"/>
        <v>UNKNOWN</v>
      </c>
      <c r="DO151" s="64" t="str">
        <f t="shared" si="564"/>
        <v>UNKNOWN</v>
      </c>
      <c r="DP151" s="3">
        <f t="shared" si="565"/>
        <v>0</v>
      </c>
      <c r="DQ151" s="3">
        <f t="shared" si="566"/>
        <v>0</v>
      </c>
      <c r="DR151" s="3" t="e">
        <f t="shared" ca="1" si="567"/>
        <v>#NUM!</v>
      </c>
      <c r="DS151" s="3">
        <f t="shared" si="568"/>
        <v>0</v>
      </c>
      <c r="DT151" s="3">
        <f t="shared" si="591"/>
        <v>0</v>
      </c>
      <c r="DU151" s="3">
        <f t="shared" si="592"/>
        <v>0</v>
      </c>
      <c r="DV151" s="3">
        <f t="shared" si="569"/>
        <v>153</v>
      </c>
      <c r="DW151" s="3">
        <f t="shared" si="570"/>
        <v>22</v>
      </c>
      <c r="DX151" s="3" t="e">
        <f t="shared" ca="1" si="571"/>
        <v>#NUM!</v>
      </c>
      <c r="DY151" s="3" t="e">
        <f t="shared" ca="1" si="572"/>
        <v>#NUM!</v>
      </c>
      <c r="DZ151" s="3">
        <f t="shared" ca="1" si="573"/>
        <v>5.3725938102675561E-4</v>
      </c>
      <c r="EA151" s="3">
        <f t="shared" ca="1" si="574"/>
        <v>-5.0641784707824956E-4</v>
      </c>
      <c r="EB151" s="3">
        <f t="shared" ca="1" si="575"/>
        <v>6.3695390419385379E-4</v>
      </c>
      <c r="EC151" s="3">
        <f t="shared" ca="1" si="576"/>
        <v>-6.1027009120212007E-4</v>
      </c>
      <c r="ED151" s="63">
        <f t="shared" si="593"/>
        <v>175</v>
      </c>
      <c r="EE151" s="59">
        <f t="shared" si="577"/>
        <v>0.31319999999999998</v>
      </c>
      <c r="EF151" s="59">
        <f t="shared" si="578"/>
        <v>0.67700000000000005</v>
      </c>
      <c r="EG151" s="59">
        <f t="shared" si="579"/>
        <v>0.27010000000000001</v>
      </c>
      <c r="EH151" s="59">
        <f t="shared" si="580"/>
        <v>0.28699999999999998</v>
      </c>
      <c r="EI151" s="59">
        <f t="shared" si="581"/>
        <v>0.22650000000000001</v>
      </c>
      <c r="EJ151" s="59">
        <f t="shared" si="582"/>
        <v>0.23680000000000001</v>
      </c>
      <c r="EK151" s="63" t="e">
        <f t="shared" ca="1" si="594"/>
        <v>#NUM!</v>
      </c>
      <c r="EL151" s="3" t="str">
        <f>RTD("tos.rtd",,EL$43,"."&amp;$B$134&amp;$AS$82&amp;"C"&amp;$A151)</f>
        <v>31.32%</v>
      </c>
      <c r="EM151" s="3" t="str">
        <f>RTD("tos.rtd",,EM$43,"."&amp;$B$134&amp;$AS$82&amp;"P"&amp;$A151)</f>
        <v>67.70%</v>
      </c>
      <c r="EN151" s="3" t="str">
        <f>RTD("tos.rtd",,EN$2,"."&amp;$C$134&amp;$AU$82&amp;"C"&amp;$A151)</f>
        <v>27.01%</v>
      </c>
      <c r="EO151" s="3" t="str">
        <f>RTD("tos.rtd",,EO$2,"."&amp;$C$134&amp;$AU$82&amp;"P"&amp;$A151)</f>
        <v>28.70%</v>
      </c>
      <c r="EP151" s="3" t="str">
        <f>RTD("tos.rtd",,EP$2,"."&amp;$D$134&amp;$AW$82&amp;"C"&amp;$A151)</f>
        <v>22.65%</v>
      </c>
      <c r="EQ151" s="3" t="str">
        <f>RTD("tos.rtd",,EQ$2,"."&amp;$D$134&amp;$AW$82&amp;"P"&amp;$A151)</f>
        <v>23.68%</v>
      </c>
      <c r="ES151" s="63" t="str">
        <f t="shared" si="583"/>
        <v>20200,175.00</v>
      </c>
      <c r="ET151" s="63" t="str">
        <f t="shared" ca="1" si="584"/>
        <v>20200,00.00</v>
      </c>
      <c r="EU151" s="68">
        <v>565.13</v>
      </c>
      <c r="EV151" s="68" t="s">
        <v>1227</v>
      </c>
      <c r="EW151" s="68">
        <v>488.68</v>
      </c>
      <c r="EX151" s="68" t="s">
        <v>1228</v>
      </c>
      <c r="EY151" s="68">
        <v>5663.94</v>
      </c>
      <c r="EZ151" s="68" t="s">
        <v>1229</v>
      </c>
      <c r="FA151" s="68">
        <v>20063.564999999999</v>
      </c>
      <c r="FB151" s="68" t="s">
        <v>1230</v>
      </c>
      <c r="FC151" s="68" t="s">
        <v>1231</v>
      </c>
      <c r="FD151" s="68" t="s">
        <v>1232</v>
      </c>
      <c r="FE151" s="68" t="s">
        <v>1233</v>
      </c>
      <c r="FF151" s="68" t="s">
        <v>1234</v>
      </c>
    </row>
    <row r="152" spans="1:162" ht="11.1" customHeight="1" thickBot="1" x14ac:dyDescent="0.25">
      <c r="A152" s="2">
        <f t="shared" si="595"/>
        <v>20175</v>
      </c>
      <c r="B152" s="3">
        <f t="shared" si="610"/>
        <v>22</v>
      </c>
      <c r="C152" s="3">
        <f t="shared" si="611"/>
        <v>28</v>
      </c>
      <c r="D152" s="3">
        <f t="shared" si="612"/>
        <v>38</v>
      </c>
      <c r="E152" s="3">
        <f t="shared" si="613"/>
        <v>88</v>
      </c>
      <c r="F152" s="4">
        <f t="shared" si="614"/>
        <v>20587.623369079669</v>
      </c>
      <c r="G152" s="5">
        <f t="shared" si="615"/>
        <v>498.97840131089231</v>
      </c>
      <c r="AM152" s="1">
        <v>69</v>
      </c>
      <c r="AN152" s="1">
        <v>3</v>
      </c>
      <c r="AO152" s="1">
        <v>20175</v>
      </c>
      <c r="AP152" s="1">
        <v>178</v>
      </c>
      <c r="AQ152" s="1">
        <v>-16</v>
      </c>
      <c r="AS152" s="54">
        <f>IF(RTD("tos.rtd",,AS$83,"."&amp;$B$134&amp;$AS$82&amp;"C"&amp;$A152)="N/A",0,RTD("tos.rtd",,AS$83,"."&amp;$B$134&amp;$AS$82&amp;"C"&amp;$A152))</f>
        <v>21</v>
      </c>
      <c r="AT152" s="3">
        <f>-IF(RTD("tos.rtd",,AT$83,"."&amp;$B$134&amp;$AS$82&amp;"P"&amp;$A152)="N/A",0,RTD("tos.rtd",,AT$83,"."&amp;$B$134&amp;$AS$82&amp;"P"&amp;$A152))</f>
        <v>-1</v>
      </c>
      <c r="AU152" s="54">
        <f>IF(RTD("tos.rtd",,AU$2,"."&amp;$C$134&amp;$AU$134&amp;"C"&amp;$A152)="N/A",0,RTD("tos.rtd",,AU$2,"."&amp;$C$134&amp;$AU$134&amp;"C"&amp;$A152))</f>
        <v>17</v>
      </c>
      <c r="AV152" s="3">
        <f>-IF(RTD("tos.rtd",,AV$2,"."&amp;$C$134&amp;$AU$134&amp;"P"&amp;$A152)="N/A",0,RTD("tos.rtd",,AV$2,"."&amp;$C$134&amp;$AU$134&amp;"P"&amp;$A152))</f>
        <v>-11</v>
      </c>
      <c r="AW152" s="54">
        <f>IF(RTD("tos.rtd",,AW$2,"."&amp;$D$134&amp;$AW$134&amp;"C"&amp;$A152)="N/A",0,RTD("tos.rtd",,AW$2,"."&amp;$D$134&amp;$AW$134&amp;"C"&amp;$A152))</f>
        <v>20</v>
      </c>
      <c r="AX152" s="3">
        <f>-IF(RTD("tos.rtd",,AX$2,"."&amp;$D$134&amp;$AW$134&amp;"P"&amp;$A152)="N/A",0,RTD("tos.rtd",,AX$2,"."&amp;$D$134&amp;$AW$134&amp;"P"&amp;$A152))</f>
        <v>-18</v>
      </c>
      <c r="AY152" s="76">
        <f t="shared" si="616"/>
        <v>28</v>
      </c>
      <c r="AZ152" s="8">
        <f t="shared" si="548"/>
        <v>20175</v>
      </c>
      <c r="BA152" s="54">
        <f>IF(RTD("tos.rtd",,BA$43,"."&amp;$B$134&amp;$AS$82&amp;"C"&amp;$A152)="N/A",0,RTD("tos.rtd",,BA$43,"."&amp;$B$134&amp;$AS$82&amp;"C"&amp;$A152))</f>
        <v>178</v>
      </c>
      <c r="BB152" s="3">
        <f>-IF(RTD("tos.rtd",,BB$43,"."&amp;$B$134&amp;$AS$82&amp;"P"&amp;$A152)="N/A",0,RTD("tos.rtd",,BB$43,"."&amp;$B$134&amp;$AS$82&amp;"P"&amp;$A152))</f>
        <v>-16</v>
      </c>
      <c r="BC152" s="54">
        <f>IF(RTD("tos.rtd",,BC$2,"."&amp;$C$134&amp;$AU$82&amp;"C"&amp;$A152)="N/A",0,RTD("tos.rtd",,BC$2,"."&amp;$C$134&amp;$AU$82&amp;"C"&amp;$A152))</f>
        <v>11</v>
      </c>
      <c r="BD152" s="3">
        <f>-IF(RTD("tos.rtd",,BD$2,"."&amp;$C$134&amp;$AU$82&amp;"P"&amp;$A152)="N/A",0,RTD("tos.rtd",,BD$2,"."&amp;$C$134&amp;$AU$82&amp;"P"&amp;$A152))</f>
        <v>-8</v>
      </c>
      <c r="BE152" s="54">
        <f>IF(RTD("tos.rtd",,BE$2,"."&amp;$D$134&amp;$AW$82&amp;"C"&amp;$A152)="N/A",0,RTD("tos.rtd",,BE$2,"."&amp;$D$134&amp;$AW$82&amp;"C"&amp;$A152))</f>
        <v>0</v>
      </c>
      <c r="BF152" s="3">
        <f>-IF(RTD("tos.rtd",,BF$2,"."&amp;$D$134&amp;$AW$82&amp;"P"&amp;$A152)="N/A",0,RTD("tos.rtd",,BF$2,"."&amp;$D$134&amp;$AW$82&amp;"P"&amp;$A152))</f>
        <v>0</v>
      </c>
      <c r="BG152" s="3">
        <f ca="1">+Hoja2!Y153</f>
        <v>0</v>
      </c>
      <c r="BH152" s="7">
        <f t="shared" ca="1" si="549"/>
        <v>165</v>
      </c>
      <c r="BI152" s="32" t="str">
        <f t="shared" ca="1" si="609"/>
        <v/>
      </c>
      <c r="BJ152" s="3" t="e">
        <f ca="1">IF($BP$1=1,DX152,IF(RTD("tos.rtd",,BJ$43,"."&amp;$B$134&amp;$AS$82&amp;"C"&amp;$A152)="N/A",0,RTD("tos.rtd",,BJ$43,"."&amp;$B$134&amp;$AS$82&amp;"C"&amp;$A152)))</f>
        <v>#NUM!</v>
      </c>
      <c r="BK152" s="3" t="e">
        <f ca="1">IF($BP$1=1,DY152,-IF(RTD("tos.rtd",,BK$43,"."&amp;$B$134&amp;$AS$82&amp;"P"&amp;$A152)="N/A",0,RTD("tos.rtd",,BK$43,"."&amp;$B$134&amp;$AS$82&amp;"P"&amp;$A152)))</f>
        <v>#NUM!</v>
      </c>
      <c r="BL152" s="3">
        <f ca="1">IF($BP$1=1,DZ152,IF(RTD("tos.rtd",,BL$2,"."&amp;$C$134&amp;$AU$82&amp;"C"&amp;$A152)="N/A",0,RTD("tos.rtd",,BL$2,"."&amp;$C$134&amp;$AU$82&amp;"C"&amp;$A152)))</f>
        <v>5.3828788565324099E-4</v>
      </c>
      <c r="BM152" s="3">
        <f ca="1">IF($BP$1=1,EA152,-IF(RTD("tos.rtd",,BM$2,"."&amp;$C$134&amp;$AU$82&amp;"P"&amp;$A152)="N/A",0,RTD("tos.rtd",,BM$2,"."&amp;$C$134&amp;$AU$82&amp;"P"&amp;$A152)))</f>
        <v>-5.0734002975969276E-4</v>
      </c>
      <c r="BN152" s="3">
        <f ca="1">IF($BP$1=1,EB152,IF(RTD("tos.rtd",,BN$2,"."&amp;$D$134&amp;$AW$82&amp;"C"&amp;$A152)="N/A",0,RTD("tos.rtd",,BN$2,"."&amp;$D$134&amp;$AW$82&amp;"C"&amp;$A152)))</f>
        <v>6.3924397017158094E-4</v>
      </c>
      <c r="BO152" s="3">
        <f ca="1">IF($BP$1=1,EC152,-IF(RTD("tos.rtd",,BO$2,"."&amp;$D$134&amp;$AW$82&amp;"P"&amp;$A152)="N/A",0,RTD("tos.rtd",,BO$2,"."&amp;$D$134&amp;$AW$82&amp;"P"&amp;$A152)))</f>
        <v>-6.1241628830699965E-4</v>
      </c>
      <c r="BQ152" s="3" t="e">
        <f t="shared" ca="1" si="617"/>
        <v>#NUM!</v>
      </c>
      <c r="BR152" s="3" t="e">
        <f t="shared" ca="1" si="550"/>
        <v>#NUM!</v>
      </c>
      <c r="BS152" s="3">
        <f t="shared" ca="1" si="618"/>
        <v>114368.3795489941</v>
      </c>
      <c r="BT152" s="3" t="str">
        <f t="shared" ca="1" si="551"/>
        <v/>
      </c>
      <c r="BU152" s="3">
        <f t="shared" ca="1" si="619"/>
        <v>56425.269708187494</v>
      </c>
      <c r="BV152" s="3" t="str">
        <f t="shared" ca="1" si="551"/>
        <v/>
      </c>
      <c r="BX152" s="3" t="e">
        <f t="shared" ca="1" si="585"/>
        <v>#NUM!</v>
      </c>
      <c r="BY152" s="3" t="e">
        <f t="shared" ca="1" si="586"/>
        <v>#NUM!</v>
      </c>
      <c r="BZ152" s="3">
        <f t="shared" ca="1" si="587"/>
        <v>458.50577595781738</v>
      </c>
      <c r="CA152" s="3" t="str">
        <f t="shared" ca="1" si="586"/>
        <v>Cruce +</v>
      </c>
      <c r="CB152" s="3">
        <f t="shared" ca="1" si="588"/>
        <v>0</v>
      </c>
      <c r="CC152" s="3" t="str">
        <f t="shared" ca="1" si="586"/>
        <v/>
      </c>
      <c r="CD152" s="3">
        <f>IF(RTD("tos.rtd",,CD$43,"."&amp;$B$134&amp;$AS$82&amp;"C"&amp;$A152)="N/A",0,RTD("tos.rtd",,CD$43,"."&amp;$B$134&amp;$AS$82&amp;"C"&amp;$A152))</f>
        <v>0.16</v>
      </c>
      <c r="CE152" s="3">
        <f>-IF(RTD("tos.rtd",,CE$43,"."&amp;$B$134&amp;$AS$82&amp;"P"&amp;$A152)="N/A",0,RTD("tos.rtd",,CE$43,"."&amp;$B$134&amp;$AS$82&amp;"P"&amp;$A152))</f>
        <v>0.88</v>
      </c>
      <c r="CF152" s="3">
        <f>IF(RTD("tos.rtd",,CF$2,"."&amp;$C$134&amp;$AU$82&amp;"C"&amp;$A152)="N/A",0,RTD("tos.rtd",,CF$2,"."&amp;$C$134&amp;$AU$82&amp;"C"&amp;$A152))</f>
        <v>0.44</v>
      </c>
      <c r="CG152" s="3">
        <f>-IF(RTD("tos.rtd",,CG$2,"."&amp;$C$134&amp;$AU$82&amp;"P"&amp;$A152)="N/A",0,RTD("tos.rtd",,CG$2,"."&amp;$C$134&amp;$AU$82&amp;"P"&amp;$A152))</f>
        <v>0.56000000000000005</v>
      </c>
      <c r="CH152" s="3">
        <f>IF(RTD("tos.rtd",,CH$2,"."&amp;$D$134&amp;$AW$82&amp;"C"&amp;$A152)="N/A",0,RTD("tos.rtd",,CH$2,"."&amp;$D$134&amp;$AW$82&amp;"C"&amp;$A152))</f>
        <v>0.51</v>
      </c>
      <c r="CI152" s="3">
        <f>-IF(RTD("tos.rtd",,CI$2,"."&amp;$D$134&amp;$AW$82&amp;"P"&amp;$A152)="N/A",0,RTD("tos.rtd",,CI$2,"."&amp;$D$134&amp;$AW$82&amp;"P"&amp;$A152))</f>
        <v>0.49</v>
      </c>
      <c r="CK152" s="3">
        <f t="shared" si="620"/>
        <v>248</v>
      </c>
      <c r="CL152" s="3"/>
      <c r="CM152" s="3">
        <f t="shared" si="621"/>
        <v>132</v>
      </c>
      <c r="CN152" s="3"/>
      <c r="CO152" s="3">
        <f t="shared" si="622"/>
        <v>137.99999999999989</v>
      </c>
      <c r="CP152" s="3">
        <f t="shared" si="542"/>
        <v>517.99999999999989</v>
      </c>
      <c r="CQ152" s="3">
        <f t="shared" si="552"/>
        <v>162</v>
      </c>
      <c r="CR152" s="3"/>
      <c r="CS152" s="3">
        <f t="shared" si="553"/>
        <v>3</v>
      </c>
      <c r="CT152" s="3"/>
      <c r="CU152" s="3">
        <f t="shared" si="554"/>
        <v>0</v>
      </c>
      <c r="CV152" s="3"/>
      <c r="CW152" s="3" t="e">
        <f t="shared" ca="1" si="555"/>
        <v>#NUM!</v>
      </c>
      <c r="CY152" s="3" t="e">
        <f t="shared" ca="1" si="556"/>
        <v>#NUM!</v>
      </c>
      <c r="CZ152" s="70" t="e">
        <f t="shared" ca="1" si="589"/>
        <v>#NUM!</v>
      </c>
      <c r="DA152" s="3">
        <f>IF(RTD("tos.rtd",,DA$43,"."&amp;$B$134&amp;$AS$82&amp;"C"&amp;$A152)="N/A",0,RTD("tos.rtd",,DA$43,"."&amp;$B$134&amp;$AS$82&amp;"C"&amp;$A152))</f>
        <v>0.61</v>
      </c>
      <c r="DB152" s="3">
        <f>IF(RTD("tos.rtd",,DB$43,"."&amp;$B$134&amp;$AS$82&amp;"P"&amp;$A152)="N/A",0,RTD("tos.rtd",,DB$43,"."&amp;$B$134&amp;$AS$82&amp;"P"&amp;$A152))</f>
        <v>160.68</v>
      </c>
      <c r="DC152" s="3">
        <f>IF(RTD("tos.rtd",,DC$43,"."&amp;$B$134&amp;$AS$82&amp;"C"&amp;$A152)="N/A",0,RTD("tos.rtd",,DC$43,"."&amp;$B$134&amp;$AS$82&amp;"C"&amp;$A152))</f>
        <v>19.8</v>
      </c>
      <c r="DD152" s="3">
        <f>IF(RTD("tos.rtd",,DD$43,"."&amp;$B$134&amp;$AS$82&amp;"P"&amp;$A152)="N/A",0,RTD("tos.rtd",,DD$43,"."&amp;$B$134&amp;$AS$82&amp;"P"&amp;$A152))</f>
        <v>127.8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110.1</v>
      </c>
      <c r="DG152" s="86">
        <f t="shared" si="590"/>
        <v>113.55099999999948</v>
      </c>
      <c r="DH152" s="3">
        <f t="shared" si="557"/>
        <v>0</v>
      </c>
      <c r="DI152" s="3">
        <f t="shared" si="558"/>
        <v>0</v>
      </c>
      <c r="DJ152" s="3">
        <f t="shared" si="559"/>
        <v>0</v>
      </c>
      <c r="DK152" s="3">
        <f t="shared" si="560"/>
        <v>0</v>
      </c>
      <c r="DL152" s="3">
        <f t="shared" si="561"/>
        <v>0</v>
      </c>
      <c r="DM152" s="3">
        <f t="shared" si="562"/>
        <v>0</v>
      </c>
      <c r="DN152" s="64" t="str">
        <f t="shared" si="563"/>
        <v>UNKNOWN</v>
      </c>
      <c r="DO152" s="64" t="str">
        <f t="shared" si="564"/>
        <v>UNKNOWN</v>
      </c>
      <c r="DP152" s="3">
        <f t="shared" si="565"/>
        <v>0</v>
      </c>
      <c r="DQ152" s="3">
        <f t="shared" si="566"/>
        <v>0</v>
      </c>
      <c r="DR152" s="3" t="e">
        <f t="shared" ca="1" si="567"/>
        <v>#NUM!</v>
      </c>
      <c r="DS152" s="3">
        <f t="shared" si="568"/>
        <v>0</v>
      </c>
      <c r="DT152" s="3">
        <f t="shared" si="591"/>
        <v>0</v>
      </c>
      <c r="DU152" s="3">
        <f t="shared" si="592"/>
        <v>0</v>
      </c>
      <c r="DV152" s="3">
        <f t="shared" si="569"/>
        <v>69</v>
      </c>
      <c r="DW152" s="3">
        <f t="shared" si="570"/>
        <v>3</v>
      </c>
      <c r="DX152" s="3" t="e">
        <f t="shared" ca="1" si="571"/>
        <v>#NUM!</v>
      </c>
      <c r="DY152" s="3" t="e">
        <f t="shared" ca="1" si="572"/>
        <v>#NUM!</v>
      </c>
      <c r="DZ152" s="3">
        <f t="shared" ca="1" si="573"/>
        <v>5.3828788565324099E-4</v>
      </c>
      <c r="EA152" s="3">
        <f t="shared" ca="1" si="574"/>
        <v>-5.0734002975969276E-4</v>
      </c>
      <c r="EB152" s="3">
        <f t="shared" ca="1" si="575"/>
        <v>6.3924397017158094E-4</v>
      </c>
      <c r="EC152" s="3">
        <f t="shared" ca="1" si="576"/>
        <v>-6.1241628830699965E-4</v>
      </c>
      <c r="ED152" s="63">
        <f t="shared" si="593"/>
        <v>72</v>
      </c>
      <c r="EE152" s="59">
        <f t="shared" si="577"/>
        <v>0.75900000000000001</v>
      </c>
      <c r="EF152" s="59">
        <f t="shared" si="578"/>
        <v>0.62739999999999996</v>
      </c>
      <c r="EG152" s="59">
        <f t="shared" si="579"/>
        <v>0.27079999999999999</v>
      </c>
      <c r="EH152" s="59">
        <f t="shared" si="580"/>
        <v>0.28760000000000002</v>
      </c>
      <c r="EI152" s="59">
        <f t="shared" si="581"/>
        <v>0.22720000000000001</v>
      </c>
      <c r="EJ152" s="59">
        <f t="shared" si="582"/>
        <v>0.2374</v>
      </c>
      <c r="EK152" s="63" t="e">
        <f t="shared" ca="1" si="594"/>
        <v>#NUM!</v>
      </c>
      <c r="EL152" s="3" t="str">
        <f>RTD("tos.rtd",,EL$43,"."&amp;$B$134&amp;$AS$82&amp;"C"&amp;$A152)</f>
        <v>75.90%</v>
      </c>
      <c r="EM152" s="3" t="str">
        <f>RTD("tos.rtd",,EM$43,"."&amp;$B$134&amp;$AS$82&amp;"P"&amp;$A152)</f>
        <v>62.74%</v>
      </c>
      <c r="EN152" s="3" t="str">
        <f>RTD("tos.rtd",,EN$2,"."&amp;$C$134&amp;$AU$82&amp;"C"&amp;$A152)</f>
        <v>27.08%</v>
      </c>
      <c r="EO152" s="3" t="str">
        <f>RTD("tos.rtd",,EO$2,"."&amp;$C$134&amp;$AU$82&amp;"P"&amp;$A152)</f>
        <v>28.76%</v>
      </c>
      <c r="EP152" s="3" t="str">
        <f>RTD("tos.rtd",,EP$2,"."&amp;$D$134&amp;$AW$82&amp;"C"&amp;$A152)</f>
        <v>22.72%</v>
      </c>
      <c r="EQ152" s="3" t="str">
        <f>RTD("tos.rtd",,EQ$2,"."&amp;$D$134&amp;$AW$82&amp;"P"&amp;$A152)</f>
        <v>23.74%</v>
      </c>
      <c r="ES152" s="63" t="str">
        <f t="shared" si="583"/>
        <v>20175,72.00</v>
      </c>
      <c r="ET152" s="63" t="str">
        <f t="shared" ca="1" si="584"/>
        <v>20175,00.00</v>
      </c>
      <c r="EU152" s="68">
        <v>565.11</v>
      </c>
      <c r="EV152" s="68" t="s">
        <v>1235</v>
      </c>
      <c r="EW152" s="68">
        <v>488.7</v>
      </c>
      <c r="EX152" s="68" t="s">
        <v>1236</v>
      </c>
      <c r="EY152" s="68">
        <v>5663.94</v>
      </c>
      <c r="EZ152" s="68" t="s">
        <v>1237</v>
      </c>
      <c r="FA152" s="68">
        <v>20063.564999999999</v>
      </c>
      <c r="FB152" s="68" t="s">
        <v>1238</v>
      </c>
      <c r="FC152" s="68" t="s">
        <v>1239</v>
      </c>
      <c r="FD152" s="68" t="s">
        <v>1240</v>
      </c>
      <c r="FE152" s="68" t="s">
        <v>1241</v>
      </c>
      <c r="FF152" s="68" t="s">
        <v>1242</v>
      </c>
    </row>
    <row r="153" spans="1:162" ht="11.1" customHeight="1" thickBot="1" x14ac:dyDescent="0.25">
      <c r="A153" s="2">
        <f t="shared" si="595"/>
        <v>20150</v>
      </c>
      <c r="B153" s="3">
        <f t="shared" si="610"/>
        <v>37</v>
      </c>
      <c r="C153" s="3">
        <f t="shared" si="611"/>
        <v>29</v>
      </c>
      <c r="D153" s="3">
        <f t="shared" si="612"/>
        <v>37</v>
      </c>
      <c r="E153" s="3">
        <f t="shared" si="613"/>
        <v>103</v>
      </c>
      <c r="F153" s="4">
        <f t="shared" si="614"/>
        <v>20562.112063789609</v>
      </c>
      <c r="G153" s="5">
        <f t="shared" si="615"/>
        <v>498.36008854594695</v>
      </c>
      <c r="AM153" s="1">
        <v>27</v>
      </c>
      <c r="AN153" s="1">
        <v>-16</v>
      </c>
      <c r="AO153" s="1">
        <v>20150</v>
      </c>
      <c r="AP153" s="1">
        <v>763</v>
      </c>
      <c r="AQ153" s="1">
        <v>-135</v>
      </c>
      <c r="AS153" s="54">
        <f>IF(RTD("tos.rtd",,AS$83,"."&amp;$B$134&amp;$AS$82&amp;"C"&amp;$A153)="N/A",0,RTD("tos.rtd",,AS$83,"."&amp;$B$134&amp;$AS$82&amp;"C"&amp;$A153))</f>
        <v>14</v>
      </c>
      <c r="AT153" s="3">
        <f>-IF(RTD("tos.rtd",,AT$83,"."&amp;$B$134&amp;$AS$82&amp;"P"&amp;$A153)="N/A",0,RTD("tos.rtd",,AT$83,"."&amp;$B$134&amp;$AS$82&amp;"P"&amp;$A153))</f>
        <v>-23</v>
      </c>
      <c r="AU153" s="54">
        <f>IF(RTD("tos.rtd",,AU$2,"."&amp;$C$134&amp;$AU$134&amp;"C"&amp;$A153)="N/A",0,RTD("tos.rtd",,AU$2,"."&amp;$C$134&amp;$AU$134&amp;"C"&amp;$A153))</f>
        <v>21</v>
      </c>
      <c r="AV153" s="3">
        <f>-IF(RTD("tos.rtd",,AV$2,"."&amp;$C$134&amp;$AU$134&amp;"P"&amp;$A153)="N/A",0,RTD("tos.rtd",,AV$2,"."&amp;$C$134&amp;$AU$134&amp;"P"&amp;$A153))</f>
        <v>-8</v>
      </c>
      <c r="AW153" s="54">
        <f>IF(RTD("tos.rtd",,AW$2,"."&amp;$D$134&amp;$AW$134&amp;"C"&amp;$A153)="N/A",0,RTD("tos.rtd",,AW$2,"."&amp;$D$134&amp;$AW$134&amp;"C"&amp;$A153))</f>
        <v>19</v>
      </c>
      <c r="AX153" s="3">
        <f>-IF(RTD("tos.rtd",,AX$2,"."&amp;$D$134&amp;$AW$134&amp;"P"&amp;$A153)="N/A",0,RTD("tos.rtd",,AX$2,"."&amp;$D$134&amp;$AW$134&amp;"P"&amp;$A153))</f>
        <v>-18</v>
      </c>
      <c r="AY153" s="76">
        <f t="shared" si="616"/>
        <v>5</v>
      </c>
      <c r="AZ153" s="8">
        <f t="shared" si="548"/>
        <v>20150</v>
      </c>
      <c r="BA153" s="54">
        <f>IF(RTD("tos.rtd",,BA$43,"."&amp;$B$134&amp;$AS$82&amp;"C"&amp;$A153)="N/A",0,RTD("tos.rtd",,BA$43,"."&amp;$B$134&amp;$AS$82&amp;"C"&amp;$A153))</f>
        <v>763</v>
      </c>
      <c r="BB153" s="3">
        <f>-IF(RTD("tos.rtd",,BB$43,"."&amp;$B$134&amp;$AS$82&amp;"P"&amp;$A153)="N/A",0,RTD("tos.rtd",,BB$43,"."&amp;$B$134&amp;$AS$82&amp;"P"&amp;$A153))</f>
        <v>-135</v>
      </c>
      <c r="BC153" s="54">
        <f>IF(RTD("tos.rtd",,BC$2,"."&amp;$C$134&amp;$AU$82&amp;"C"&amp;$A153)="N/A",0,RTD("tos.rtd",,BC$2,"."&amp;$C$134&amp;$AU$82&amp;"C"&amp;$A153))</f>
        <v>10</v>
      </c>
      <c r="BD153" s="3">
        <f>-IF(RTD("tos.rtd",,BD$2,"."&amp;$C$134&amp;$AU$82&amp;"P"&amp;$A153)="N/A",0,RTD("tos.rtd",,BD$2,"."&amp;$C$134&amp;$AU$82&amp;"P"&amp;$A153))</f>
        <v>-7</v>
      </c>
      <c r="BE153" s="54">
        <f>IF(RTD("tos.rtd",,BE$2,"."&amp;$D$134&amp;$AW$82&amp;"C"&amp;$A153)="N/A",0,RTD("tos.rtd",,BE$2,"."&amp;$D$134&amp;$AW$82&amp;"C"&amp;$A153))</f>
        <v>0</v>
      </c>
      <c r="BF153" s="3">
        <f>-IF(RTD("tos.rtd",,BF$2,"."&amp;$D$134&amp;$AW$82&amp;"P"&amp;$A153)="N/A",0,RTD("tos.rtd",,BF$2,"."&amp;$D$134&amp;$AW$82&amp;"P"&amp;$A153))</f>
        <v>-5</v>
      </c>
      <c r="BG153" s="3">
        <f ca="1">+Hoja2!Y154</f>
        <v>1</v>
      </c>
      <c r="BH153" s="7">
        <f t="shared" ca="1" si="549"/>
        <v>627</v>
      </c>
      <c r="BI153" s="32" t="str">
        <f t="shared" ca="1" si="609"/>
        <v/>
      </c>
      <c r="BJ153" s="3" t="e">
        <f ca="1">IF($BP$1=1,DX153,IF(RTD("tos.rtd",,BJ$43,"."&amp;$B$134&amp;$AS$82&amp;"C"&amp;$A153)="N/A",0,RTD("tos.rtd",,BJ$43,"."&amp;$B$134&amp;$AS$82&amp;"C"&amp;$A153)))</f>
        <v>#NUM!</v>
      </c>
      <c r="BK153" s="3" t="e">
        <f ca="1">IF($BP$1=1,DY153,-IF(RTD("tos.rtd",,BK$43,"."&amp;$B$134&amp;$AS$82&amp;"P"&amp;$A153)="N/A",0,RTD("tos.rtd",,BK$43,"."&amp;$B$134&amp;$AS$82&amp;"P"&amp;$A153)))</f>
        <v>#NUM!</v>
      </c>
      <c r="BL153" s="3">
        <f ca="1">IF($BP$1=1,DZ153,IF(RTD("tos.rtd",,BL$2,"."&amp;$C$134&amp;$AU$82&amp;"C"&amp;$A153)="N/A",0,RTD("tos.rtd",,BL$2,"."&amp;$C$134&amp;$AU$82&amp;"C"&amp;$A153)))</f>
        <v>5.388815588297989E-4</v>
      </c>
      <c r="BM153" s="3">
        <f ca="1">IF($BP$1=1,EA153,-IF(RTD("tos.rtd",,BM$2,"."&amp;$C$134&amp;$AU$82&amp;"P"&amp;$A153)="N/A",0,RTD("tos.rtd",,BM$2,"."&amp;$C$134&amp;$AU$82&amp;"P"&amp;$A153)))</f>
        <v>-5.0703993878728124E-4</v>
      </c>
      <c r="BN153" s="3">
        <f ca="1">IF($BP$1=1,EB153,IF(RTD("tos.rtd",,BN$2,"."&amp;$D$134&amp;$AW$82&amp;"C"&amp;$A153)="N/A",0,RTD("tos.rtd",,BN$2,"."&amp;$D$134&amp;$AW$82&amp;"C"&amp;$A153)))</f>
        <v>6.4018700837511577E-4</v>
      </c>
      <c r="BO153" s="3">
        <f ca="1">IF($BP$1=1,EC153,-IF(RTD("tos.rtd",,BO$2,"."&amp;$D$134&amp;$AW$82&amp;"P"&amp;$A153)="N/A",0,RTD("tos.rtd",,BO$2,"."&amp;$D$134&amp;$AW$82&amp;"P"&amp;$A153)))</f>
        <v>-6.1261375562111648E-4</v>
      </c>
      <c r="BQ153" s="3" t="e">
        <f t="shared" ca="1" si="617"/>
        <v>#NUM!</v>
      </c>
      <c r="BR153" s="3" t="e">
        <f t="shared" ca="1" si="550"/>
        <v>#NUM!</v>
      </c>
      <c r="BS153" s="3">
        <f t="shared" ca="1" si="618"/>
        <v>232577.24945684522</v>
      </c>
      <c r="BT153" s="3" t="str">
        <f t="shared" ca="1" si="551"/>
        <v/>
      </c>
      <c r="BU153" s="3">
        <f t="shared" ca="1" si="619"/>
        <v>36407.479589513445</v>
      </c>
      <c r="BV153" s="3" t="str">
        <f t="shared" ca="1" si="551"/>
        <v/>
      </c>
      <c r="BX153" s="3" t="e">
        <f t="shared" ca="1" si="585"/>
        <v>#NUM!</v>
      </c>
      <c r="BY153" s="3" t="e">
        <f t="shared" ca="1" si="586"/>
        <v>#NUM!</v>
      </c>
      <c r="BZ153" s="3">
        <f t="shared" ca="1" si="587"/>
        <v>452.86556522233741</v>
      </c>
      <c r="CA153" s="3" t="str">
        <f t="shared" ca="1" si="586"/>
        <v/>
      </c>
      <c r="CB153" s="3">
        <f t="shared" ca="1" si="588"/>
        <v>-754.08057295585047</v>
      </c>
      <c r="CC153" s="3" t="str">
        <f t="shared" ca="1" si="586"/>
        <v/>
      </c>
      <c r="CD153" s="3">
        <f>IF(RTD("tos.rtd",,CD$43,"."&amp;$B$134&amp;$AS$82&amp;"C"&amp;$A153)="N/A",0,RTD("tos.rtd",,CD$43,"."&amp;$B$134&amp;$AS$82&amp;"C"&amp;$A153))</f>
        <v>0</v>
      </c>
      <c r="CE153" s="3">
        <f>-IF(RTD("tos.rtd",,CE$43,"."&amp;$B$134&amp;$AS$82&amp;"P"&amp;$A153)="N/A",0,RTD("tos.rtd",,CE$43,"."&amp;$B$134&amp;$AS$82&amp;"P"&amp;$A153))</f>
        <v>0.86</v>
      </c>
      <c r="CF153" s="3">
        <f>IF(RTD("tos.rtd",,CF$2,"."&amp;$C$134&amp;$AU$82&amp;"C"&amp;$A153)="N/A",0,RTD("tos.rtd",,CF$2,"."&amp;$C$134&amp;$AU$82&amp;"C"&amp;$A153))</f>
        <v>0.46</v>
      </c>
      <c r="CG153" s="3">
        <f>-IF(RTD("tos.rtd",,CG$2,"."&amp;$C$134&amp;$AU$82&amp;"P"&amp;$A153)="N/A",0,RTD("tos.rtd",,CG$2,"."&amp;$C$134&amp;$AU$82&amp;"P"&amp;$A153))</f>
        <v>0.54</v>
      </c>
      <c r="CH153" s="3">
        <f>IF(RTD("tos.rtd",,CH$2,"."&amp;$D$134&amp;$AW$82&amp;"C"&amp;$A153)="N/A",0,RTD("tos.rtd",,CH$2,"."&amp;$D$134&amp;$AW$82&amp;"C"&amp;$A153))</f>
        <v>0.52</v>
      </c>
      <c r="CI153" s="3">
        <f>-IF(RTD("tos.rtd",,CI$2,"."&amp;$D$134&amp;$AW$82&amp;"P"&amp;$A153)="N/A",0,RTD("tos.rtd",,CI$2,"."&amp;$D$134&amp;$AW$82&amp;"P"&amp;$A153))</f>
        <v>0.48</v>
      </c>
      <c r="CK153" s="3">
        <f t="shared" si="620"/>
        <v>-1978</v>
      </c>
      <c r="CL153" s="3"/>
      <c r="CM153" s="3">
        <f t="shared" si="621"/>
        <v>534</v>
      </c>
      <c r="CN153" s="3"/>
      <c r="CO153" s="3">
        <f t="shared" si="622"/>
        <v>124.00000000000011</v>
      </c>
      <c r="CP153" s="3">
        <f t="shared" si="542"/>
        <v>-1320</v>
      </c>
      <c r="CQ153" s="3">
        <f t="shared" si="552"/>
        <v>628</v>
      </c>
      <c r="CR153" s="3"/>
      <c r="CS153" s="3">
        <f t="shared" si="553"/>
        <v>3</v>
      </c>
      <c r="CT153" s="3"/>
      <c r="CU153" s="3">
        <f t="shared" si="554"/>
        <v>-5</v>
      </c>
      <c r="CV153" s="3"/>
      <c r="CW153" s="3" t="e">
        <f t="shared" ca="1" si="555"/>
        <v>#NUM!</v>
      </c>
      <c r="CY153" s="3" t="e">
        <f t="shared" ca="1" si="556"/>
        <v>#NUM!</v>
      </c>
      <c r="CZ153" s="70" t="e">
        <f t="shared" ca="1" si="589"/>
        <v>#NUM!</v>
      </c>
      <c r="DA153" s="3">
        <f>IF(RTD("tos.rtd",,DA$43,"."&amp;$B$134&amp;$AS$82&amp;"C"&amp;$A153)="N/A",0,RTD("tos.rtd",,DA$43,"."&amp;$B$134&amp;$AS$82&amp;"C"&amp;$A153))</f>
        <v>0.05</v>
      </c>
      <c r="DB153" s="3">
        <f>IF(RTD("tos.rtd",,DB$43,"."&amp;$B$134&amp;$AS$82&amp;"P"&amp;$A153)="N/A",0,RTD("tos.rtd",,DB$43,"."&amp;$B$134&amp;$AS$82&amp;"P"&amp;$A153))</f>
        <v>66.11</v>
      </c>
      <c r="DC153" s="3">
        <f>IF(RTD("tos.rtd",,DC$43,"."&amp;$B$134&amp;$AS$82&amp;"C"&amp;$A153)="N/A",0,RTD("tos.rtd",,DC$43,"."&amp;$B$134&amp;$AS$82&amp;"C"&amp;$A153))</f>
        <v>0.05</v>
      </c>
      <c r="DD153" s="3">
        <f>IF(RTD("tos.rtd",,DD$43,"."&amp;$B$134&amp;$AS$82&amp;"P"&amp;$A153)="N/A",0,RTD("tos.rtd",,DD$43,"."&amp;$B$134&amp;$AS$82&amp;"P"&amp;$A153))</f>
        <v>104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84.6</v>
      </c>
      <c r="DG153" s="86">
        <f t="shared" si="590"/>
        <v>88.550999999999476</v>
      </c>
      <c r="DH153" s="3">
        <f t="shared" si="557"/>
        <v>0</v>
      </c>
      <c r="DI153" s="3">
        <f t="shared" si="558"/>
        <v>0</v>
      </c>
      <c r="DJ153" s="3">
        <f t="shared" si="559"/>
        <v>0</v>
      </c>
      <c r="DK153" s="3">
        <f t="shared" si="560"/>
        <v>0</v>
      </c>
      <c r="DL153" s="3">
        <f t="shared" si="561"/>
        <v>0</v>
      </c>
      <c r="DM153" s="3">
        <f t="shared" si="562"/>
        <v>0</v>
      </c>
      <c r="DN153" s="64" t="str">
        <f t="shared" si="563"/>
        <v>UNKNOWN</v>
      </c>
      <c r="DO153" s="64" t="str">
        <f t="shared" si="564"/>
        <v>UNKNOWN</v>
      </c>
      <c r="DP153" s="3">
        <f t="shared" si="565"/>
        <v>0</v>
      </c>
      <c r="DQ153" s="3">
        <f t="shared" si="566"/>
        <v>0</v>
      </c>
      <c r="DR153" s="3" t="e">
        <f t="shared" ca="1" si="567"/>
        <v>#NUM!</v>
      </c>
      <c r="DS153" s="3">
        <f t="shared" si="568"/>
        <v>0</v>
      </c>
      <c r="DT153" s="3">
        <f t="shared" si="591"/>
        <v>0</v>
      </c>
      <c r="DU153" s="3">
        <f t="shared" si="592"/>
        <v>0</v>
      </c>
      <c r="DV153" s="3">
        <f t="shared" si="569"/>
        <v>27</v>
      </c>
      <c r="DW153" s="3">
        <f t="shared" si="570"/>
        <v>-16</v>
      </c>
      <c r="DX153" s="3" t="e">
        <f t="shared" ca="1" si="571"/>
        <v>#NUM!</v>
      </c>
      <c r="DY153" s="3" t="e">
        <f t="shared" ca="1" si="572"/>
        <v>#NUM!</v>
      </c>
      <c r="DZ153" s="3">
        <f t="shared" ca="1" si="573"/>
        <v>5.388815588297989E-4</v>
      </c>
      <c r="EA153" s="3">
        <f t="shared" ca="1" si="574"/>
        <v>-5.0703993878728124E-4</v>
      </c>
      <c r="EB153" s="3">
        <f t="shared" ca="1" si="575"/>
        <v>6.4018700837511577E-4</v>
      </c>
      <c r="EC153" s="3">
        <f t="shared" ca="1" si="576"/>
        <v>-6.1261375562111648E-4</v>
      </c>
      <c r="ED153" s="63">
        <f t="shared" si="593"/>
        <v>11</v>
      </c>
      <c r="EE153" s="59">
        <f t="shared" si="577"/>
        <v>0.20860000000000001</v>
      </c>
      <c r="EF153" s="59">
        <f t="shared" si="578"/>
        <v>0.53820000000000001</v>
      </c>
      <c r="EG153" s="59">
        <f t="shared" si="579"/>
        <v>0.27139999999999997</v>
      </c>
      <c r="EH153" s="59">
        <f t="shared" si="580"/>
        <v>0.28860000000000002</v>
      </c>
      <c r="EI153" s="59">
        <f t="shared" si="581"/>
        <v>0.22800000000000001</v>
      </c>
      <c r="EJ153" s="59">
        <f t="shared" si="582"/>
        <v>0.2384</v>
      </c>
      <c r="EK153" s="63" t="e">
        <f t="shared" ca="1" si="594"/>
        <v>#NUM!</v>
      </c>
      <c r="EL153" s="3" t="str">
        <f>RTD("tos.rtd",,EL$43,"."&amp;$B$134&amp;$AS$82&amp;"C"&amp;$A153)</f>
        <v>20.86%</v>
      </c>
      <c r="EM153" s="3" t="str">
        <f>RTD("tos.rtd",,EM$43,"."&amp;$B$134&amp;$AS$82&amp;"P"&amp;$A153)</f>
        <v>53.82%</v>
      </c>
      <c r="EN153" s="3" t="str">
        <f>RTD("tos.rtd",,EN$2,"."&amp;$C$134&amp;$AU$82&amp;"C"&amp;$A153)</f>
        <v>27.14%</v>
      </c>
      <c r="EO153" s="3" t="str">
        <f>RTD("tos.rtd",,EO$2,"."&amp;$C$134&amp;$AU$82&amp;"P"&amp;$A153)</f>
        <v>28.86%</v>
      </c>
      <c r="EP153" s="3" t="str">
        <f>RTD("tos.rtd",,EP$2,"."&amp;$D$134&amp;$AW$82&amp;"C"&amp;$A153)</f>
        <v>22.80%</v>
      </c>
      <c r="EQ153" s="3" t="str">
        <f>RTD("tos.rtd",,EQ$2,"."&amp;$D$134&amp;$AW$82&amp;"P"&amp;$A153)</f>
        <v>23.84%</v>
      </c>
      <c r="ES153" s="63" t="str">
        <f t="shared" si="583"/>
        <v>20150,11.00</v>
      </c>
      <c r="ET153" s="63" t="str">
        <f t="shared" ca="1" si="584"/>
        <v>20150,00.00</v>
      </c>
      <c r="EU153" s="68">
        <v>565.1</v>
      </c>
      <c r="EV153" s="68" t="s">
        <v>1243</v>
      </c>
      <c r="EW153" s="68">
        <v>488.65</v>
      </c>
      <c r="EX153" s="68" t="s">
        <v>1244</v>
      </c>
      <c r="EY153" s="68">
        <v>5663.94</v>
      </c>
      <c r="EZ153" s="68" t="s">
        <v>1245</v>
      </c>
      <c r="FA153" s="68">
        <v>20063.564999999999</v>
      </c>
      <c r="FB153" s="68" t="s">
        <v>1246</v>
      </c>
      <c r="FC153" s="68" t="s">
        <v>1247</v>
      </c>
      <c r="FD153" s="68" t="s">
        <v>1248</v>
      </c>
      <c r="FE153" s="68" t="s">
        <v>1249</v>
      </c>
      <c r="FF153" s="68" t="s">
        <v>1250</v>
      </c>
    </row>
    <row r="154" spans="1:162" ht="11.1" customHeight="1" thickBot="1" x14ac:dyDescent="0.25">
      <c r="A154" s="2">
        <f t="shared" si="595"/>
        <v>20125</v>
      </c>
      <c r="B154" s="3">
        <f t="shared" si="610"/>
        <v>11</v>
      </c>
      <c r="C154" s="3">
        <f t="shared" si="611"/>
        <v>62</v>
      </c>
      <c r="D154" s="3">
        <f t="shared" si="612"/>
        <v>218</v>
      </c>
      <c r="E154" s="3">
        <f t="shared" si="613"/>
        <v>291</v>
      </c>
      <c r="F154" s="4">
        <f t="shared" ref="F154:F189" si="623">+$F$136/$A$136*A154</f>
        <v>20536.600758499546</v>
      </c>
      <c r="G154" s="5">
        <f t="shared" si="615"/>
        <v>497.74177578100165</v>
      </c>
      <c r="AM154" s="1">
        <v>-22</v>
      </c>
      <c r="AN154" s="1">
        <v>-1</v>
      </c>
      <c r="AO154" s="1">
        <v>20125</v>
      </c>
      <c r="AP154" s="1">
        <v>300</v>
      </c>
      <c r="AQ154" s="1">
        <v>-29</v>
      </c>
      <c r="AS154" s="54">
        <f>IF(RTD("tos.rtd",,AS$83,"."&amp;$B$134&amp;$AS$82&amp;"C"&amp;$A154)="N/A",0,RTD("tos.rtd",,AS$83,"."&amp;$B$134&amp;$AS$82&amp;"C"&amp;$A154))</f>
        <v>7</v>
      </c>
      <c r="AT154" s="3">
        <f>-IF(RTD("tos.rtd",,AT$83,"."&amp;$B$134&amp;$AS$82&amp;"P"&amp;$A154)="N/A",0,RTD("tos.rtd",,AT$83,"."&amp;$B$134&amp;$AS$82&amp;"P"&amp;$A154))</f>
        <v>-4</v>
      </c>
      <c r="AU154" s="54">
        <f>IF(RTD("tos.rtd",,AU$2,"."&amp;$C$134&amp;$AU$134&amp;"C"&amp;$A154)="N/A",0,RTD("tos.rtd",,AU$2,"."&amp;$C$134&amp;$AU$134&amp;"C"&amp;$A154))</f>
        <v>31</v>
      </c>
      <c r="AV154" s="3">
        <f>-IF(RTD("tos.rtd",,AV$2,"."&amp;$C$134&amp;$AU$134&amp;"P"&amp;$A154)="N/A",0,RTD("tos.rtd",,AV$2,"."&amp;$C$134&amp;$AU$134&amp;"P"&amp;$A154))</f>
        <v>-31</v>
      </c>
      <c r="AW154" s="54">
        <f>IF(RTD("tos.rtd",,AW$2,"."&amp;$D$134&amp;$AW$134&amp;"C"&amp;$A154)="N/A",0,RTD("tos.rtd",,AW$2,"."&amp;$D$134&amp;$AW$134&amp;"C"&amp;$A154))</f>
        <v>103</v>
      </c>
      <c r="AX154" s="3">
        <f>-IF(RTD("tos.rtd",,AX$2,"."&amp;$D$134&amp;$AW$134&amp;"P"&amp;$A154)="N/A",0,RTD("tos.rtd",,AX$2,"."&amp;$D$134&amp;$AW$134&amp;"P"&amp;$A154))</f>
        <v>-115</v>
      </c>
      <c r="AY154" s="76">
        <f t="shared" ref="AY154:AY189" si="624">SUM(AS154:AX154)</f>
        <v>-9</v>
      </c>
      <c r="AZ154" s="8">
        <f t="shared" si="548"/>
        <v>20125</v>
      </c>
      <c r="BA154" s="54">
        <f>IF(RTD("tos.rtd",,BA$43,"."&amp;$B$134&amp;$AS$82&amp;"C"&amp;$A154)="N/A",0,RTD("tos.rtd",,BA$43,"."&amp;$B$134&amp;$AS$82&amp;"C"&amp;$A154))</f>
        <v>300</v>
      </c>
      <c r="BB154" s="3">
        <f>-IF(RTD("tos.rtd",,BB$43,"."&amp;$B$134&amp;$AS$82&amp;"P"&amp;$A154)="N/A",0,RTD("tos.rtd",,BB$43,"."&amp;$B$134&amp;$AS$82&amp;"P"&amp;$A154))</f>
        <v>-29</v>
      </c>
      <c r="BC154" s="54">
        <f>IF(RTD("tos.rtd",,BC$2,"."&amp;$C$134&amp;$AU$82&amp;"C"&amp;$A154)="N/A",0,RTD("tos.rtd",,BC$2,"."&amp;$C$134&amp;$AU$82&amp;"C"&amp;$A154))</f>
        <v>20</v>
      </c>
      <c r="BD154" s="3">
        <f>-IF(RTD("tos.rtd",,BD$2,"."&amp;$C$134&amp;$AU$82&amp;"P"&amp;$A154)="N/A",0,RTD("tos.rtd",,BD$2,"."&amp;$C$134&amp;$AU$82&amp;"P"&amp;$A154))</f>
        <v>-10</v>
      </c>
      <c r="BE154" s="54">
        <f>IF(RTD("tos.rtd",,BE$2,"."&amp;$D$134&amp;$AW$82&amp;"C"&amp;$A154)="N/A",0,RTD("tos.rtd",,BE$2,"."&amp;$D$134&amp;$AW$82&amp;"C"&amp;$A154))</f>
        <v>29</v>
      </c>
      <c r="BF154" s="3">
        <f>-IF(RTD("tos.rtd",,BF$2,"."&amp;$D$134&amp;$AW$82&amp;"P"&amp;$A154)="N/A",0,RTD("tos.rtd",,BF$2,"."&amp;$D$134&amp;$AW$82&amp;"P"&amp;$A154))</f>
        <v>-29</v>
      </c>
      <c r="BG154" s="3">
        <f ca="1">+Hoja2!Y155</f>
        <v>0</v>
      </c>
      <c r="BH154" s="7">
        <f t="shared" ca="1" si="549"/>
        <v>281</v>
      </c>
      <c r="BI154" s="32" t="str">
        <f t="shared" ca="1" si="609"/>
        <v/>
      </c>
      <c r="BJ154" s="3" t="e">
        <f ca="1">IF($BP$1=1,DX154,IF(RTD("tos.rtd",,BJ$43,"."&amp;$B$134&amp;$AS$82&amp;"C"&amp;$A154)="N/A",0,RTD("tos.rtd",,BJ$43,"."&amp;$B$134&amp;$AS$82&amp;"C"&amp;$A154)))</f>
        <v>#NUM!</v>
      </c>
      <c r="BK154" s="3" t="e">
        <f ca="1">IF($BP$1=1,DY154,-IF(RTD("tos.rtd",,BK$43,"."&amp;$B$134&amp;$AS$82&amp;"P"&amp;$A154)="N/A",0,RTD("tos.rtd",,BK$43,"."&amp;$B$134&amp;$AS$82&amp;"P"&amp;$A154)))</f>
        <v>#NUM!</v>
      </c>
      <c r="BL154" s="3">
        <f ca="1">IF($BP$1=1,DZ154,IF(RTD("tos.rtd",,BL$2,"."&amp;$C$134&amp;$AU$82&amp;"C"&amp;$A154)="N/A",0,RTD("tos.rtd",,BL$2,"."&amp;$C$134&amp;$AU$82&amp;"C"&amp;$A154)))</f>
        <v>5.3845657073724293E-4</v>
      </c>
      <c r="BM154" s="3">
        <f ca="1">IF($BP$1=1,EA154,-IF(RTD("tos.rtd",,BM$2,"."&amp;$C$134&amp;$AU$82&amp;"P"&amp;$A154)="N/A",0,RTD("tos.rtd",,BM$2,"."&amp;$C$134&amp;$AU$82&amp;"P"&amp;$A154)))</f>
        <v>-5.0708971440841129E-4</v>
      </c>
      <c r="BN154" s="3">
        <f ca="1">IF($BP$1=1,EB154,IF(RTD("tos.rtd",,BN$2,"."&amp;$D$134&amp;$AW$82&amp;"C"&amp;$A154)="N/A",0,RTD("tos.rtd",,BN$2,"."&amp;$D$134&amp;$AW$82&amp;"C"&amp;$A154)))</f>
        <v>6.4006711240786201E-4</v>
      </c>
      <c r="BO154" s="3">
        <f ca="1">IF($BP$1=1,EC154,-IF(RTD("tos.rtd",,BO$2,"."&amp;$D$134&amp;$AW$82&amp;"P"&amp;$A154)="N/A",0,RTD("tos.rtd",,BO$2,"."&amp;$D$134&amp;$AW$82&amp;"P"&amp;$A154)))</f>
        <v>-6.1264093229600018E-4</v>
      </c>
      <c r="BQ154" s="3" t="e">
        <f t="shared" ref="BQ154:BQ189" ca="1" si="625">+$A$84*$A$84*AS154*BJ154-$A$84*$A$84*AT154*BK154</f>
        <v>#NUM!</v>
      </c>
      <c r="BR154" s="3" t="e">
        <f t="shared" ca="1" si="550"/>
        <v>#NUM!</v>
      </c>
      <c r="BS154" s="3">
        <f t="shared" ref="BS154:BS189" ca="1" si="626">+$A$84*$A$84*AU154*BL154-$A$84*$A$84*AV154*BM154</f>
        <v>31149.547295571596</v>
      </c>
      <c r="BT154" s="3" t="str">
        <f t="shared" ca="1" si="551"/>
        <v/>
      </c>
      <c r="BU154" s="3">
        <f t="shared" ref="BU154:BU189" ca="1" si="627">+$A$84*$A$84*AW154*BN154-$A$84*$A$84*AX154*BO154</f>
        <v>-145013.97038030205</v>
      </c>
      <c r="BV154" s="3" t="str">
        <f t="shared" ca="1" si="551"/>
        <v>Cruce -</v>
      </c>
      <c r="BX154" s="3" t="e">
        <f t="shared" ca="1" si="585"/>
        <v>#NUM!</v>
      </c>
      <c r="BY154" s="3" t="e">
        <f t="shared" ca="1" si="586"/>
        <v>#NUM!</v>
      </c>
      <c r="BZ154" s="3">
        <f t="shared" ca="1" si="587"/>
        <v>1402.8179172372488</v>
      </c>
      <c r="CA154" s="3" t="str">
        <f t="shared" ca="1" si="586"/>
        <v/>
      </c>
      <c r="CB154" s="3">
        <f t="shared" ca="1" si="588"/>
        <v>195.80524703088395</v>
      </c>
      <c r="CC154" s="3" t="str">
        <f t="shared" ca="1" si="586"/>
        <v>Cruce +</v>
      </c>
      <c r="CD154" s="3">
        <f>IF(RTD("tos.rtd",,CD$43,"."&amp;$B$134&amp;$AS$82&amp;"C"&amp;$A154)="N/A",0,RTD("tos.rtd",,CD$43,"."&amp;$B$134&amp;$AS$82&amp;"C"&amp;$A154))</f>
        <v>0</v>
      </c>
      <c r="CE154" s="3">
        <f>-IF(RTD("tos.rtd",,CE$43,"."&amp;$B$134&amp;$AS$82&amp;"P"&amp;$A154)="N/A",0,RTD("tos.rtd",,CE$43,"."&amp;$B$134&amp;$AS$82&amp;"P"&amp;$A154))</f>
        <v>1</v>
      </c>
      <c r="CF154" s="3">
        <f>IF(RTD("tos.rtd",,CF$2,"."&amp;$C$134&amp;$AU$82&amp;"C"&amp;$A154)="N/A",0,RTD("tos.rtd",,CF$2,"."&amp;$C$134&amp;$AU$82&amp;"C"&amp;$A154))</f>
        <v>0.47</v>
      </c>
      <c r="CG154" s="3">
        <f>-IF(RTD("tos.rtd",,CG$2,"."&amp;$C$134&amp;$AU$82&amp;"P"&amp;$A154)="N/A",0,RTD("tos.rtd",,CG$2,"."&amp;$C$134&amp;$AU$82&amp;"P"&amp;$A154))</f>
        <v>0.53</v>
      </c>
      <c r="CH154" s="3">
        <f>IF(RTD("tos.rtd",,CH$2,"."&amp;$D$134&amp;$AW$82&amp;"C"&amp;$A154)="N/A",0,RTD("tos.rtd",,CH$2,"."&amp;$D$134&amp;$AW$82&amp;"C"&amp;$A154))</f>
        <v>0.52</v>
      </c>
      <c r="CI154" s="3">
        <f>-IF(RTD("tos.rtd",,CI$2,"."&amp;$D$134&amp;$AW$82&amp;"P"&amp;$A154)="N/A",0,RTD("tos.rtd",,CI$2,"."&amp;$D$134&amp;$AW$82&amp;"P"&amp;$A154))</f>
        <v>0.48</v>
      </c>
      <c r="CK154" s="3">
        <f t="shared" si="620"/>
        <v>-400</v>
      </c>
      <c r="CL154" s="3"/>
      <c r="CM154" s="3">
        <f t="shared" si="621"/>
        <v>-186.00000000000023</v>
      </c>
      <c r="CN154" s="3"/>
      <c r="CO154" s="3">
        <f t="shared" si="622"/>
        <v>-164</v>
      </c>
      <c r="CP154" s="3">
        <f t="shared" si="542"/>
        <v>-750.00000000000023</v>
      </c>
      <c r="CQ154" s="3">
        <f t="shared" si="552"/>
        <v>271</v>
      </c>
      <c r="CR154" s="3"/>
      <c r="CS154" s="3">
        <f t="shared" si="553"/>
        <v>10</v>
      </c>
      <c r="CT154" s="3"/>
      <c r="CU154" s="3">
        <f t="shared" si="554"/>
        <v>0</v>
      </c>
      <c r="CV154" s="3"/>
      <c r="CW154" s="3" t="e">
        <f t="shared" ca="1" si="555"/>
        <v>#NUM!</v>
      </c>
      <c r="CY154" s="3" t="e">
        <f t="shared" ca="1" si="556"/>
        <v>#NUM!</v>
      </c>
      <c r="CZ154" s="70" t="e">
        <f t="shared" ca="1" si="589"/>
        <v>#NUM!</v>
      </c>
      <c r="DA154" s="3">
        <f>IF(RTD("tos.rtd",,DA$43,"."&amp;$B$134&amp;$AS$82&amp;"C"&amp;$A154)="N/A",0,RTD("tos.rtd",,DA$43,"."&amp;$B$134&amp;$AS$82&amp;"C"&amp;$A154))</f>
        <v>0.05</v>
      </c>
      <c r="DB154" s="3">
        <f>IF(RTD("tos.rtd",,DB$43,"."&amp;$B$134&amp;$AS$82&amp;"P"&amp;$A154)="N/A",0,RTD("tos.rtd",,DB$43,"."&amp;$B$134&amp;$AS$82&amp;"P"&amp;$A154))</f>
        <v>54</v>
      </c>
      <c r="DC154" s="3">
        <f>IF(RTD("tos.rtd",,DC$43,"."&amp;$B$134&amp;$AS$82&amp;"C"&amp;$A154)="N/A",0,RTD("tos.rtd",,DC$43,"."&amp;$B$134&amp;$AS$82&amp;"C"&amp;$A154))</f>
        <v>0.05</v>
      </c>
      <c r="DD154" s="3">
        <f>IF(RTD("tos.rtd",,DD$43,"."&amp;$B$134&amp;$AS$82&amp;"P"&amp;$A154)="N/A",0,RTD("tos.rtd",,DD$43,"."&amp;$B$134&amp;$AS$82&amp;"P"&amp;$A154))</f>
        <v>60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59.9</v>
      </c>
      <c r="DG154" s="86">
        <f t="shared" si="590"/>
        <v>63.550999999999476</v>
      </c>
      <c r="DH154" s="3">
        <f t="shared" si="557"/>
        <v>0</v>
      </c>
      <c r="DI154" s="3">
        <f t="shared" si="558"/>
        <v>0</v>
      </c>
      <c r="DJ154" s="3">
        <f t="shared" si="559"/>
        <v>0</v>
      </c>
      <c r="DK154" s="3">
        <f t="shared" si="560"/>
        <v>0</v>
      </c>
      <c r="DL154" s="3">
        <f t="shared" si="561"/>
        <v>0</v>
      </c>
      <c r="DM154" s="3">
        <f t="shared" si="562"/>
        <v>0</v>
      </c>
      <c r="DN154" s="64" t="str">
        <f t="shared" si="563"/>
        <v>UNKNOWN</v>
      </c>
      <c r="DO154" s="64" t="str">
        <f t="shared" si="564"/>
        <v>UNKNOWN</v>
      </c>
      <c r="DP154" s="3">
        <f t="shared" si="565"/>
        <v>0</v>
      </c>
      <c r="DQ154" s="3">
        <f t="shared" si="566"/>
        <v>0</v>
      </c>
      <c r="DR154" s="3" t="e">
        <f t="shared" ca="1" si="567"/>
        <v>#NUM!</v>
      </c>
      <c r="DS154" s="3">
        <f t="shared" si="568"/>
        <v>0</v>
      </c>
      <c r="DT154" s="3">
        <f t="shared" si="591"/>
        <v>0</v>
      </c>
      <c r="DU154" s="3">
        <f t="shared" si="592"/>
        <v>0</v>
      </c>
      <c r="DV154" s="3">
        <f t="shared" si="569"/>
        <v>-22</v>
      </c>
      <c r="DW154" s="3">
        <f t="shared" si="570"/>
        <v>-1</v>
      </c>
      <c r="DX154" s="3" t="e">
        <f t="shared" ca="1" si="571"/>
        <v>#NUM!</v>
      </c>
      <c r="DY154" s="3" t="e">
        <f t="shared" ca="1" si="572"/>
        <v>#NUM!</v>
      </c>
      <c r="DZ154" s="3">
        <f t="shared" ca="1" si="573"/>
        <v>5.3845657073724293E-4</v>
      </c>
      <c r="EA154" s="3">
        <f t="shared" ca="1" si="574"/>
        <v>-5.0708971440841129E-4</v>
      </c>
      <c r="EB154" s="3">
        <f t="shared" ca="1" si="575"/>
        <v>6.4006711240786201E-4</v>
      </c>
      <c r="EC154" s="3">
        <f t="shared" ca="1" si="576"/>
        <v>-6.1264093229600018E-4</v>
      </c>
      <c r="ED154" s="63">
        <f t="shared" si="593"/>
        <v>-23</v>
      </c>
      <c r="EE154" s="59">
        <f t="shared" si="577"/>
        <v>0.1552</v>
      </c>
      <c r="EF154" s="59">
        <f t="shared" si="578"/>
        <v>0.25</v>
      </c>
      <c r="EG154" s="59">
        <f t="shared" si="579"/>
        <v>0.2722</v>
      </c>
      <c r="EH154" s="59">
        <f t="shared" si="580"/>
        <v>0.28910000000000002</v>
      </c>
      <c r="EI154" s="59">
        <f t="shared" si="581"/>
        <v>0.2288</v>
      </c>
      <c r="EJ154" s="59">
        <f t="shared" si="582"/>
        <v>0.23910000000000001</v>
      </c>
      <c r="EK154" s="63" t="e">
        <f t="shared" ca="1" si="594"/>
        <v>#NUM!</v>
      </c>
      <c r="EL154" s="3" t="str">
        <f>RTD("tos.rtd",,EL$43,"."&amp;$B$134&amp;$AS$82&amp;"C"&amp;$A154)</f>
        <v>15.52%</v>
      </c>
      <c r="EM154" s="3" t="str">
        <f>RTD("tos.rtd",,EM$43,"."&amp;$B$134&amp;$AS$82&amp;"P"&amp;$A154)</f>
        <v>--</v>
      </c>
      <c r="EN154" s="3" t="str">
        <f>RTD("tos.rtd",,EN$2,"."&amp;$C$134&amp;$AU$82&amp;"C"&amp;$A154)</f>
        <v>27.22%</v>
      </c>
      <c r="EO154" s="3" t="str">
        <f>RTD("tos.rtd",,EO$2,"."&amp;$C$134&amp;$AU$82&amp;"P"&amp;$A154)</f>
        <v>28.91%</v>
      </c>
      <c r="EP154" s="3" t="str">
        <f>RTD("tos.rtd",,EP$2,"."&amp;$D$134&amp;$AW$82&amp;"C"&amp;$A154)</f>
        <v>22.88%</v>
      </c>
      <c r="EQ154" s="3" t="str">
        <f>RTD("tos.rtd",,EQ$2,"."&amp;$D$134&amp;$AW$82&amp;"P"&amp;$A154)</f>
        <v>23.91%</v>
      </c>
      <c r="ES154" s="63" t="str">
        <f t="shared" si="583"/>
        <v>20125,-23.00</v>
      </c>
      <c r="ET154" s="63" t="str">
        <f t="shared" ca="1" si="584"/>
        <v>20125,00.00</v>
      </c>
      <c r="EU154" s="68">
        <v>565.16</v>
      </c>
      <c r="EV154" s="68" t="s">
        <v>1251</v>
      </c>
      <c r="EW154" s="68">
        <v>488.7</v>
      </c>
      <c r="EX154" s="68" t="s">
        <v>1252</v>
      </c>
      <c r="EY154" s="68">
        <v>5663.94</v>
      </c>
      <c r="EZ154" s="68" t="s">
        <v>1253</v>
      </c>
      <c r="FA154" s="68">
        <v>20063.564999999999</v>
      </c>
      <c r="FB154" s="68" t="s">
        <v>1254</v>
      </c>
      <c r="FC154" s="68" t="s">
        <v>1255</v>
      </c>
      <c r="FD154" s="68" t="s">
        <v>1256</v>
      </c>
      <c r="FE154" s="68" t="s">
        <v>1257</v>
      </c>
      <c r="FF154" s="68" t="s">
        <v>1258</v>
      </c>
    </row>
    <row r="155" spans="1:162" ht="11.1" customHeight="1" thickBot="1" x14ac:dyDescent="0.25">
      <c r="A155" s="2">
        <f t="shared" si="595"/>
        <v>20100</v>
      </c>
      <c r="B155" s="3">
        <f t="shared" ref="B155:B189" si="628">+IF($A$1="ABS",AS155-AT155,AS155+AT155)</f>
        <v>37</v>
      </c>
      <c r="C155" s="3">
        <f t="shared" ref="C155:C189" si="629">+IF($A$1="ABS",AU155-AV155,AU155+AV155)</f>
        <v>167</v>
      </c>
      <c r="D155" s="3">
        <f t="shared" ref="D155:D189" si="630">+IF($A$1="ABS",AW155-AX155,AW155+AX155)</f>
        <v>262</v>
      </c>
      <c r="E155" s="3">
        <f t="shared" si="613"/>
        <v>466</v>
      </c>
      <c r="F155" s="4">
        <f t="shared" si="623"/>
        <v>20511.089453209486</v>
      </c>
      <c r="G155" s="5">
        <f t="shared" si="615"/>
        <v>497.12346301605629</v>
      </c>
      <c r="AM155" s="1">
        <v>95</v>
      </c>
      <c r="AN155" s="1">
        <v>21</v>
      </c>
      <c r="AO155" s="1">
        <v>20100</v>
      </c>
      <c r="AP155" s="1">
        <v>1040</v>
      </c>
      <c r="AQ155" s="1">
        <v>-253</v>
      </c>
      <c r="AS155" s="54">
        <f>IF(RTD("tos.rtd",,AS$83,"."&amp;$B$134&amp;$AS$82&amp;"C"&amp;$A155)="N/A",0,RTD("tos.rtd",,AS$83,"."&amp;$B$134&amp;$AS$82&amp;"C"&amp;$A155))</f>
        <v>18</v>
      </c>
      <c r="AT155" s="3">
        <f>-IF(RTD("tos.rtd",,AT$83,"."&amp;$B$134&amp;$AS$82&amp;"P"&amp;$A155)="N/A",0,RTD("tos.rtd",,AT$83,"."&amp;$B$134&amp;$AS$82&amp;"P"&amp;$A155))</f>
        <v>-19</v>
      </c>
      <c r="AU155" s="54">
        <f>IF(RTD("tos.rtd",,AU$2,"."&amp;$C$134&amp;$AU$134&amp;"C"&amp;$A155)="N/A",0,RTD("tos.rtd",,AU$2,"."&amp;$C$134&amp;$AU$134&amp;"C"&amp;$A155))</f>
        <v>92</v>
      </c>
      <c r="AV155" s="3">
        <f>-IF(RTD("tos.rtd",,AV$2,"."&amp;$C$134&amp;$AU$134&amp;"P"&amp;$A155)="N/A",0,RTD("tos.rtd",,AV$2,"."&amp;$C$134&amp;$AU$134&amp;"P"&amp;$A155))</f>
        <v>-75</v>
      </c>
      <c r="AW155" s="54">
        <f>IF(RTD("tos.rtd",,AW$2,"."&amp;$D$134&amp;$AW$134&amp;"C"&amp;$A155)="N/A",0,RTD("tos.rtd",,AW$2,"."&amp;$D$134&amp;$AW$134&amp;"C"&amp;$A155))</f>
        <v>134</v>
      </c>
      <c r="AX155" s="3">
        <f>-IF(RTD("tos.rtd",,AX$2,"."&amp;$D$134&amp;$AW$134&amp;"P"&amp;$A155)="N/A",0,RTD("tos.rtd",,AX$2,"."&amp;$D$134&amp;$AW$134&amp;"P"&amp;$A155))</f>
        <v>-128</v>
      </c>
      <c r="AY155" s="76">
        <f t="shared" si="624"/>
        <v>22</v>
      </c>
      <c r="AZ155" s="8">
        <f t="shared" si="548"/>
        <v>20100</v>
      </c>
      <c r="BA155" s="54">
        <f>IF(RTD("tos.rtd",,BA$43,"."&amp;$B$134&amp;$AS$82&amp;"C"&amp;$A155)="N/A",0,RTD("tos.rtd",,BA$43,"."&amp;$B$134&amp;$AS$82&amp;"C"&amp;$A155))</f>
        <v>1040</v>
      </c>
      <c r="BB155" s="3">
        <f>-IF(RTD("tos.rtd",,BB$43,"."&amp;$B$134&amp;$AS$82&amp;"P"&amp;$A155)="N/A",0,RTD("tos.rtd",,BB$43,"."&amp;$B$134&amp;$AS$82&amp;"P"&amp;$A155))</f>
        <v>-253</v>
      </c>
      <c r="BC155" s="54">
        <f>IF(RTD("tos.rtd",,BC$2,"."&amp;$C$134&amp;$AU$82&amp;"C"&amp;$A155)="N/A",0,RTD("tos.rtd",,BC$2,"."&amp;$C$134&amp;$AU$82&amp;"C"&amp;$A155))</f>
        <v>24</v>
      </c>
      <c r="BD155" s="3">
        <f>-IF(RTD("tos.rtd",,BD$2,"."&amp;$C$134&amp;$AU$82&amp;"P"&amp;$A155)="N/A",0,RTD("tos.rtd",,BD$2,"."&amp;$C$134&amp;$AU$82&amp;"P"&amp;$A155))</f>
        <v>-20</v>
      </c>
      <c r="BE155" s="54">
        <f>IF(RTD("tos.rtd",,BE$2,"."&amp;$D$134&amp;$AW$82&amp;"C"&amp;$A155)="N/A",0,RTD("tos.rtd",,BE$2,"."&amp;$D$134&amp;$AW$82&amp;"C"&amp;$A155))</f>
        <v>4</v>
      </c>
      <c r="BF155" s="3">
        <f>-IF(RTD("tos.rtd",,BF$2,"."&amp;$D$134&amp;$AW$82&amp;"P"&amp;$A155)="N/A",0,RTD("tos.rtd",,BF$2,"."&amp;$D$134&amp;$AW$82&amp;"P"&amp;$A155))</f>
        <v>-3</v>
      </c>
      <c r="BG155" s="3">
        <f ca="1">+Hoja2!Y156</f>
        <v>-15</v>
      </c>
      <c r="BH155" s="7">
        <f t="shared" ca="1" si="549"/>
        <v>777</v>
      </c>
      <c r="BI155" s="32" t="str">
        <f t="shared" ca="1" si="609"/>
        <v/>
      </c>
      <c r="BJ155" s="3" t="e">
        <f ca="1">IF($BP$1=1,DX155,IF(RTD("tos.rtd",,BJ$43,"."&amp;$B$134&amp;$AS$82&amp;"C"&amp;$A155)="N/A",0,RTD("tos.rtd",,BJ$43,"."&amp;$B$134&amp;$AS$82&amp;"C"&amp;$A155)))</f>
        <v>#NUM!</v>
      </c>
      <c r="BK155" s="3" t="e">
        <f ca="1">IF($BP$1=1,DY155,-IF(RTD("tos.rtd",,BK$43,"."&amp;$B$134&amp;$AS$82&amp;"P"&amp;$A155)="N/A",0,RTD("tos.rtd",,BK$43,"."&amp;$B$134&amp;$AS$82&amp;"P"&amp;$A155)))</f>
        <v>#NUM!</v>
      </c>
      <c r="BL155" s="3">
        <f ca="1">IF($BP$1=1,DZ155,IF(RTD("tos.rtd",,BL$2,"."&amp;$C$134&amp;$AU$82&amp;"C"&amp;$A155)="N/A",0,RTD("tos.rtd",,BL$2,"."&amp;$C$134&amp;$AU$82&amp;"C"&amp;$A155)))</f>
        <v>5.3761085377944319E-4</v>
      </c>
      <c r="BM155" s="3">
        <f ca="1">IF($BP$1=1,EA155,-IF(RTD("tos.rtd",,BM$2,"."&amp;$C$134&amp;$AU$82&amp;"P"&amp;$A155)="N/A",0,RTD("tos.rtd",,BM$2,"."&amp;$C$134&amp;$AU$82&amp;"P"&amp;$A155)))</f>
        <v>-5.0627606923727168E-4</v>
      </c>
      <c r="BN155" s="3">
        <f ca="1">IF($BP$1=1,EB155,IF(RTD("tos.rtd",,BN$2,"."&amp;$D$134&amp;$AW$82&amp;"C"&amp;$A155)="N/A",0,RTD("tos.rtd",,BN$2,"."&amp;$D$134&amp;$AW$82&amp;"C"&amp;$A155)))</f>
        <v>6.3862525357149082E-4</v>
      </c>
      <c r="BO155" s="3">
        <f ca="1">IF($BP$1=1,EC155,-IF(RTD("tos.rtd",,BO$2,"."&amp;$D$134&amp;$AW$82&amp;"P"&amp;$A155)="N/A",0,RTD("tos.rtd",,BO$2,"."&amp;$D$134&amp;$AW$82&amp;"P"&amp;$A155)))</f>
        <v>-6.1124572038066035E-4</v>
      </c>
      <c r="BQ155" s="3" t="e">
        <f t="shared" ca="1" si="625"/>
        <v>#NUM!</v>
      </c>
      <c r="BR155" s="3" t="e">
        <f t="shared" ca="1" si="550"/>
        <v>#NUM!</v>
      </c>
      <c r="BS155" s="3">
        <f t="shared" ca="1" si="626"/>
        <v>368061.10791789833</v>
      </c>
      <c r="BT155" s="3" t="str">
        <f t="shared" ca="1" si="551"/>
        <v/>
      </c>
      <c r="BU155" s="3">
        <f t="shared" ca="1" si="627"/>
        <v>235016.31585099222</v>
      </c>
      <c r="BV155" s="3" t="str">
        <f t="shared" ca="1" si="551"/>
        <v>Cruce +</v>
      </c>
      <c r="BX155" s="3" t="e">
        <f t="shared" ca="1" si="585"/>
        <v>#NUM!</v>
      </c>
      <c r="BY155" s="3" t="e">
        <f t="shared" ca="1" si="586"/>
        <v>#NUM!</v>
      </c>
      <c r="BZ155" s="3">
        <f t="shared" ca="1" si="587"/>
        <v>683.68907129030049</v>
      </c>
      <c r="CA155" s="3" t="str">
        <f t="shared" ca="1" si="586"/>
        <v/>
      </c>
      <c r="CB155" s="3">
        <f t="shared" ca="1" si="588"/>
        <v>177.44101054133955</v>
      </c>
      <c r="CC155" s="3" t="str">
        <f t="shared" ca="1" si="586"/>
        <v/>
      </c>
      <c r="CD155" s="3">
        <f>IF(RTD("tos.rtd",,CD$43,"."&amp;$B$134&amp;$AS$82&amp;"C"&amp;$A155)="N/A",0,RTD("tos.rtd",,CD$43,"."&amp;$B$134&amp;$AS$82&amp;"C"&amp;$A155))</f>
        <v>0.05</v>
      </c>
      <c r="CE155" s="3">
        <f>-IF(RTD("tos.rtd",,CE$43,"."&amp;$B$134&amp;$AS$82&amp;"P"&amp;$A155)="N/A",0,RTD("tos.rtd",,CE$43,"."&amp;$B$134&amp;$AS$82&amp;"P"&amp;$A155))</f>
        <v>1</v>
      </c>
      <c r="CF155" s="3">
        <f>IF(RTD("tos.rtd",,CF$2,"."&amp;$C$134&amp;$AU$82&amp;"C"&amp;$A155)="N/A",0,RTD("tos.rtd",,CF$2,"."&amp;$C$134&amp;$AU$82&amp;"C"&amp;$A155))</f>
        <v>0.49</v>
      </c>
      <c r="CG155" s="3">
        <f>-IF(RTD("tos.rtd",,CG$2,"."&amp;$C$134&amp;$AU$82&amp;"P"&amp;$A155)="N/A",0,RTD("tos.rtd",,CG$2,"."&amp;$C$134&amp;$AU$82&amp;"P"&amp;$A155))</f>
        <v>0.51</v>
      </c>
      <c r="CH155" s="3">
        <f>IF(RTD("tos.rtd",,CH$2,"."&amp;$D$134&amp;$AW$82&amp;"C"&amp;$A155)="N/A",0,RTD("tos.rtd",,CH$2,"."&amp;$D$134&amp;$AW$82&amp;"C"&amp;$A155))</f>
        <v>0.53</v>
      </c>
      <c r="CI155" s="3">
        <f>-IF(RTD("tos.rtd",,CI$2,"."&amp;$D$134&amp;$AW$82&amp;"P"&amp;$A155)="N/A",0,RTD("tos.rtd",,CI$2,"."&amp;$D$134&amp;$AW$82&amp;"P"&amp;$A155))</f>
        <v>0.47</v>
      </c>
      <c r="CK155" s="3">
        <f t="shared" si="620"/>
        <v>-1810</v>
      </c>
      <c r="CL155" s="3"/>
      <c r="CM155" s="3">
        <f t="shared" si="621"/>
        <v>683</v>
      </c>
      <c r="CN155" s="3"/>
      <c r="CO155" s="3">
        <f t="shared" si="622"/>
        <v>1086.0000000000009</v>
      </c>
      <c r="CP155" s="3">
        <f t="shared" si="542"/>
        <v>-40.999999999999091</v>
      </c>
      <c r="CQ155" s="3">
        <f t="shared" si="552"/>
        <v>787</v>
      </c>
      <c r="CR155" s="3"/>
      <c r="CS155" s="3">
        <f t="shared" si="553"/>
        <v>4</v>
      </c>
      <c r="CT155" s="3"/>
      <c r="CU155" s="3">
        <f t="shared" si="554"/>
        <v>1</v>
      </c>
      <c r="CV155" s="3"/>
      <c r="CW155" s="3" t="e">
        <f t="shared" ca="1" si="555"/>
        <v>#NUM!</v>
      </c>
      <c r="CY155" s="3" t="e">
        <f t="shared" ca="1" si="556"/>
        <v>#NUM!</v>
      </c>
      <c r="CZ155" s="70" t="e">
        <f t="shared" ca="1" si="589"/>
        <v>#NUM!</v>
      </c>
      <c r="DA155" s="3">
        <f>IF(RTD("tos.rtd",,DA$43,"."&amp;$B$134&amp;$AS$82&amp;"C"&amp;$A155)="N/A",0,RTD("tos.rtd",,DA$43,"."&amp;$B$134&amp;$AS$82&amp;"C"&amp;$A155))</f>
        <v>0.2</v>
      </c>
      <c r="DB155" s="3">
        <f>IF(RTD("tos.rtd",,DB$43,"."&amp;$B$134&amp;$AS$82&amp;"P"&amp;$A155)="N/A",0,RTD("tos.rtd",,DB$43,"."&amp;$B$134&amp;$AS$82&amp;"P"&amp;$A155))</f>
        <v>35</v>
      </c>
      <c r="DC155" s="3">
        <f>IF(RTD("tos.rtd",,DC$43,"."&amp;$B$134&amp;$AS$82&amp;"C"&amp;$A155)="N/A",0,RTD("tos.rtd",,DC$43,"."&amp;$B$134&amp;$AS$82&amp;"C"&amp;$A155))</f>
        <v>0.65</v>
      </c>
      <c r="DD155" s="3">
        <f>IF(RTD("tos.rtd",,DD$43,"."&amp;$B$134&amp;$AS$82&amp;"P"&amp;$A155)="N/A",0,RTD("tos.rtd",,DD$43,"."&amp;$B$134&amp;$AS$82&amp;"P"&amp;$A155))</f>
        <v>35</v>
      </c>
      <c r="DE155" s="3">
        <f>IF(RTD("tos.rtd",,DE$43,"."&amp;$B$134&amp;$AS$82&amp;"C"&amp;$A155)="N/A",0,RTD("tos.rtd",,DE$43,"."&amp;$B$134&amp;$AS$82&amp;"C"&amp;$A155))</f>
        <v>0.2</v>
      </c>
      <c r="DF155" s="3">
        <f>IF(RTD("tos.rtd",,DF$43,"."&amp;$B$134&amp;$AS$82&amp;"P"&amp;$A155)="N/A",0,RTD("tos.rtd",,DF$43,"."&amp;$B$134&amp;$AS$82&amp;"P"&amp;$A155))</f>
        <v>34.9</v>
      </c>
      <c r="DG155" s="86">
        <f t="shared" si="590"/>
        <v>38.550999999999476</v>
      </c>
      <c r="DH155" s="3">
        <f t="shared" si="557"/>
        <v>0</v>
      </c>
      <c r="DI155" s="3">
        <f t="shared" si="558"/>
        <v>0</v>
      </c>
      <c r="DJ155" s="3">
        <f t="shared" si="559"/>
        <v>0</v>
      </c>
      <c r="DK155" s="3">
        <f t="shared" si="560"/>
        <v>0</v>
      </c>
      <c r="DL155" s="3">
        <f t="shared" si="561"/>
        <v>0</v>
      </c>
      <c r="DM155" s="3">
        <f t="shared" si="562"/>
        <v>0</v>
      </c>
      <c r="DN155" s="64" t="str">
        <f t="shared" si="563"/>
        <v>UNKNOWN</v>
      </c>
      <c r="DO155" s="64" t="str">
        <f t="shared" si="564"/>
        <v>UNKNOWN</v>
      </c>
      <c r="DP155" s="3">
        <f t="shared" si="565"/>
        <v>0</v>
      </c>
      <c r="DQ155" s="3">
        <f t="shared" si="566"/>
        <v>0</v>
      </c>
      <c r="DR155" s="3" t="e">
        <f t="shared" ca="1" si="567"/>
        <v>#NUM!</v>
      </c>
      <c r="DS155" s="3">
        <f t="shared" si="568"/>
        <v>0</v>
      </c>
      <c r="DT155" s="3">
        <f t="shared" si="591"/>
        <v>0</v>
      </c>
      <c r="DU155" s="3">
        <f t="shared" si="592"/>
        <v>0</v>
      </c>
      <c r="DV155" s="3">
        <f t="shared" si="569"/>
        <v>95</v>
      </c>
      <c r="DW155" s="3">
        <f t="shared" si="570"/>
        <v>21</v>
      </c>
      <c r="DX155" s="3" t="e">
        <f t="shared" ca="1" si="571"/>
        <v>#NUM!</v>
      </c>
      <c r="DY155" s="3" t="e">
        <f t="shared" ca="1" si="572"/>
        <v>#NUM!</v>
      </c>
      <c r="DZ155" s="3">
        <f t="shared" ca="1" si="573"/>
        <v>5.3761085377944319E-4</v>
      </c>
      <c r="EA155" s="3">
        <f t="shared" ca="1" si="574"/>
        <v>-5.0627606923727168E-4</v>
      </c>
      <c r="EB155" s="3">
        <f t="shared" ca="1" si="575"/>
        <v>6.3862525357149082E-4</v>
      </c>
      <c r="EC155" s="3">
        <f t="shared" ca="1" si="576"/>
        <v>-6.1124572038066035E-4</v>
      </c>
      <c r="ED155" s="63">
        <f t="shared" si="593"/>
        <v>116</v>
      </c>
      <c r="EE155" s="59">
        <f t="shared" si="577"/>
        <v>0.15010000000000001</v>
      </c>
      <c r="EF155" s="59">
        <f t="shared" si="578"/>
        <v>0.25</v>
      </c>
      <c r="EG155" s="59">
        <f t="shared" si="579"/>
        <v>0.27289999999999998</v>
      </c>
      <c r="EH155" s="59">
        <f t="shared" si="580"/>
        <v>0.2898</v>
      </c>
      <c r="EI155" s="59">
        <f t="shared" si="581"/>
        <v>0.22969999999999999</v>
      </c>
      <c r="EJ155" s="59">
        <f t="shared" si="582"/>
        <v>0.24</v>
      </c>
      <c r="EK155" s="63" t="e">
        <f t="shared" ca="1" si="594"/>
        <v>#NUM!</v>
      </c>
      <c r="EL155" s="3" t="str">
        <f>RTD("tos.rtd",,EL$43,"."&amp;$B$134&amp;$AS$82&amp;"C"&amp;$A155)</f>
        <v>15.01%</v>
      </c>
      <c r="EM155" s="3" t="str">
        <f>RTD("tos.rtd",,EM$43,"."&amp;$B$134&amp;$AS$82&amp;"P"&amp;$A155)</f>
        <v>--</v>
      </c>
      <c r="EN155" s="3" t="str">
        <f>RTD("tos.rtd",,EN$2,"."&amp;$C$134&amp;$AU$82&amp;"C"&amp;$A155)</f>
        <v>27.29%</v>
      </c>
      <c r="EO155" s="3" t="str">
        <f>RTD("tos.rtd",,EO$2,"."&amp;$C$134&amp;$AU$82&amp;"P"&amp;$A155)</f>
        <v>28.98%</v>
      </c>
      <c r="EP155" s="3" t="str">
        <f>RTD("tos.rtd",,EP$2,"."&amp;$D$134&amp;$AW$82&amp;"C"&amp;$A155)</f>
        <v>22.97%</v>
      </c>
      <c r="EQ155" s="3" t="str">
        <f>RTD("tos.rtd",,EQ$2,"."&amp;$D$134&amp;$AW$82&amp;"P"&amp;$A155)</f>
        <v>24.00%</v>
      </c>
      <c r="ES155" s="63" t="str">
        <f t="shared" si="583"/>
        <v>20100,116.00</v>
      </c>
      <c r="ET155" s="63" t="str">
        <f t="shared" ca="1" si="584"/>
        <v>20100,00.00</v>
      </c>
      <c r="EU155" s="68">
        <v>565.16</v>
      </c>
      <c r="EV155" s="68" t="s">
        <v>1259</v>
      </c>
      <c r="EW155" s="68">
        <v>488.67</v>
      </c>
      <c r="EX155" s="68" t="s">
        <v>1260</v>
      </c>
      <c r="EY155" s="68">
        <v>5663.94</v>
      </c>
      <c r="EZ155" s="68" t="s">
        <v>1261</v>
      </c>
      <c r="FA155" s="68">
        <v>20063.564999999999</v>
      </c>
      <c r="FB155" s="68" t="s">
        <v>1262</v>
      </c>
      <c r="FC155" s="68" t="s">
        <v>1263</v>
      </c>
      <c r="FD155" s="68" t="s">
        <v>1264</v>
      </c>
      <c r="FE155" s="68" t="s">
        <v>1265</v>
      </c>
      <c r="FF155" s="68" t="s">
        <v>1266</v>
      </c>
    </row>
    <row r="156" spans="1:162" ht="11.1" customHeight="1" thickBot="1" x14ac:dyDescent="0.25">
      <c r="A156" s="2">
        <f t="shared" si="595"/>
        <v>20075</v>
      </c>
      <c r="B156" s="3">
        <f t="shared" si="628"/>
        <v>9</v>
      </c>
      <c r="C156" s="3">
        <f t="shared" si="629"/>
        <v>56</v>
      </c>
      <c r="D156" s="3">
        <f t="shared" si="630"/>
        <v>127</v>
      </c>
      <c r="E156" s="3">
        <f t="shared" si="613"/>
        <v>192</v>
      </c>
      <c r="F156" s="4">
        <f t="shared" si="623"/>
        <v>20485.578147919423</v>
      </c>
      <c r="G156" s="5">
        <f t="shared" si="615"/>
        <v>496.50515025111093</v>
      </c>
      <c r="AM156" s="1">
        <v>0</v>
      </c>
      <c r="AN156" s="1">
        <v>-16</v>
      </c>
      <c r="AO156" s="1">
        <v>20075</v>
      </c>
      <c r="AP156" s="1">
        <v>247</v>
      </c>
      <c r="AQ156" s="1">
        <v>-165</v>
      </c>
      <c r="AS156" s="54">
        <f>IF(RTD("tos.rtd",,AS$83,"."&amp;$B$134&amp;$AS$82&amp;"C"&amp;$A156)="N/A",0,RTD("tos.rtd",,AS$83,"."&amp;$B$134&amp;$AS$82&amp;"C"&amp;$A156))</f>
        <v>6</v>
      </c>
      <c r="AT156" s="3">
        <f>-IF(RTD("tos.rtd",,AT$83,"."&amp;$B$134&amp;$AS$82&amp;"P"&amp;$A156)="N/A",0,RTD("tos.rtd",,AT$83,"."&amp;$B$134&amp;$AS$82&amp;"P"&amp;$A156))</f>
        <v>-3</v>
      </c>
      <c r="AU156" s="54">
        <f>IF(RTD("tos.rtd",,AU$2,"."&amp;$C$134&amp;$AU$134&amp;"C"&amp;$A156)="N/A",0,RTD("tos.rtd",,AU$2,"."&amp;$C$134&amp;$AU$134&amp;"C"&amp;$A156))</f>
        <v>36</v>
      </c>
      <c r="AV156" s="3">
        <f>-IF(RTD("tos.rtd",,AV$2,"."&amp;$C$134&amp;$AU$134&amp;"P"&amp;$A156)="N/A",0,RTD("tos.rtd",,AV$2,"."&amp;$C$134&amp;$AU$134&amp;"P"&amp;$A156))</f>
        <v>-20</v>
      </c>
      <c r="AW156" s="54">
        <f>IF(RTD("tos.rtd",,AW$2,"."&amp;$D$134&amp;$AW$134&amp;"C"&amp;$A156)="N/A",0,RTD("tos.rtd",,AW$2,"."&amp;$D$134&amp;$AW$134&amp;"C"&amp;$A156))</f>
        <v>54</v>
      </c>
      <c r="AX156" s="3">
        <f>-IF(RTD("tos.rtd",,AX$2,"."&amp;$D$134&amp;$AW$134&amp;"P"&amp;$A156)="N/A",0,RTD("tos.rtd",,AX$2,"."&amp;$D$134&amp;$AW$134&amp;"P"&amp;$A156))</f>
        <v>-73</v>
      </c>
      <c r="AY156" s="76">
        <f t="shared" si="624"/>
        <v>0</v>
      </c>
      <c r="AZ156" s="8">
        <f t="shared" si="548"/>
        <v>20075</v>
      </c>
      <c r="BA156" s="54">
        <f>IF(RTD("tos.rtd",,BA$43,"."&amp;$B$134&amp;$AS$82&amp;"C"&amp;$A156)="N/A",0,RTD("tos.rtd",,BA$43,"."&amp;$B$134&amp;$AS$82&amp;"C"&amp;$A156))</f>
        <v>247</v>
      </c>
      <c r="BB156" s="3">
        <f>-IF(RTD("tos.rtd",,BB$43,"."&amp;$B$134&amp;$AS$82&amp;"P"&amp;$A156)="N/A",0,RTD("tos.rtd",,BB$43,"."&amp;$B$134&amp;$AS$82&amp;"P"&amp;$A156))</f>
        <v>-165</v>
      </c>
      <c r="BC156" s="54">
        <f>IF(RTD("tos.rtd",,BC$2,"."&amp;$C$134&amp;$AU$82&amp;"C"&amp;$A156)="N/A",0,RTD("tos.rtd",,BC$2,"."&amp;$C$134&amp;$AU$82&amp;"C"&amp;$A156))</f>
        <v>36</v>
      </c>
      <c r="BD156" s="3">
        <f>-IF(RTD("tos.rtd",,BD$2,"."&amp;$C$134&amp;$AU$82&amp;"P"&amp;$A156)="N/A",0,RTD("tos.rtd",,BD$2,"."&amp;$C$134&amp;$AU$82&amp;"P"&amp;$A156))</f>
        <v>-26</v>
      </c>
      <c r="BE156" s="54">
        <f>IF(RTD("tos.rtd",,BE$2,"."&amp;$D$134&amp;$AW$82&amp;"C"&amp;$A156)="N/A",0,RTD("tos.rtd",,BE$2,"."&amp;$D$134&amp;$AW$82&amp;"C"&amp;$A156))</f>
        <v>0</v>
      </c>
      <c r="BF156" s="3">
        <f>-IF(RTD("tos.rtd",,BF$2,"."&amp;$D$134&amp;$AW$82&amp;"P"&amp;$A156)="N/A",0,RTD("tos.rtd",,BF$2,"."&amp;$D$134&amp;$AW$82&amp;"P"&amp;$A156))</f>
        <v>-1</v>
      </c>
      <c r="BG156" s="3">
        <f ca="1">+Hoja2!Y157</f>
        <v>-1</v>
      </c>
      <c r="BH156" s="7">
        <f t="shared" ca="1" si="549"/>
        <v>90</v>
      </c>
      <c r="BI156" s="32" t="str">
        <f t="shared" ca="1" si="609"/>
        <v/>
      </c>
      <c r="BJ156" s="3" t="e">
        <f ca="1">IF($BP$1=1,DX156,IF(RTD("tos.rtd",,BJ$43,"."&amp;$B$134&amp;$AS$82&amp;"C"&amp;$A156)="N/A",0,RTD("tos.rtd",,BJ$43,"."&amp;$B$134&amp;$AS$82&amp;"C"&amp;$A156)))</f>
        <v>#NUM!</v>
      </c>
      <c r="BK156" s="3" t="e">
        <f ca="1">IF($BP$1=1,DY156,-IF(RTD("tos.rtd",,BK$43,"."&amp;$B$134&amp;$AS$82&amp;"P"&amp;$A156)="N/A",0,RTD("tos.rtd",,BK$43,"."&amp;$B$134&amp;$AS$82&amp;"P"&amp;$A156)))</f>
        <v>#NUM!</v>
      </c>
      <c r="BL156" s="3">
        <f ca="1">IF($BP$1=1,DZ156,IF(RTD("tos.rtd",,BL$2,"."&amp;$C$134&amp;$AU$82&amp;"C"&amp;$A156)="N/A",0,RTD("tos.rtd",,BL$2,"."&amp;$C$134&amp;$AU$82&amp;"C"&amp;$A156)))</f>
        <v>5.3576608865781993E-4</v>
      </c>
      <c r="BM156" s="3">
        <f ca="1">IF($BP$1=1,EA156,-IF(RTD("tos.rtd",,BM$2,"."&amp;$C$134&amp;$AU$82&amp;"P"&amp;$A156)="N/A",0,RTD("tos.rtd",,BM$2,"."&amp;$C$134&amp;$AU$82&amp;"P"&amp;$A156)))</f>
        <v>-5.0460817852214827E-4</v>
      </c>
      <c r="BN156" s="3">
        <f ca="1">IF($BP$1=1,EB156,IF(RTD("tos.rtd",,BN$2,"."&amp;$D$134&amp;$AW$82&amp;"C"&amp;$A156)="N/A",0,RTD("tos.rtd",,BN$2,"."&amp;$D$134&amp;$AW$82&amp;"C"&amp;$A156)))</f>
        <v>6.3644211454531136E-4</v>
      </c>
      <c r="BO156" s="3">
        <f ca="1">IF($BP$1=1,EC156,-IF(RTD("tos.rtd",,BO$2,"."&amp;$D$134&amp;$AW$82&amp;"P"&amp;$A156)="N/A",0,RTD("tos.rtd",,BO$2,"."&amp;$D$134&amp;$AW$82&amp;"P"&amp;$A156)))</f>
        <v>-6.0895938086642733E-4</v>
      </c>
      <c r="BQ156" s="3" t="e">
        <f t="shared" ca="1" si="625"/>
        <v>#NUM!</v>
      </c>
      <c r="BR156" s="3" t="e">
        <f t="shared" ca="1" si="550"/>
        <v>#NUM!</v>
      </c>
      <c r="BS156" s="3">
        <f t="shared" ca="1" si="626"/>
        <v>294571.2884607978</v>
      </c>
      <c r="BT156" s="3" t="str">
        <f t="shared" ca="1" si="551"/>
        <v/>
      </c>
      <c r="BU156" s="3">
        <f t="shared" ca="1" si="627"/>
        <v>-323105.93138893042</v>
      </c>
      <c r="BV156" s="3" t="str">
        <f t="shared" ca="1" si="551"/>
        <v>Cruce -</v>
      </c>
      <c r="BX156" s="3" t="e">
        <f t="shared" ca="1" si="585"/>
        <v>#NUM!</v>
      </c>
      <c r="BY156" s="3" t="e">
        <f t="shared" ca="1" si="586"/>
        <v>#NUM!</v>
      </c>
      <c r="BZ156" s="3">
        <f t="shared" ca="1" si="587"/>
        <v>1518.4095659902587</v>
      </c>
      <c r="CA156" s="3" t="str">
        <f t="shared" ca="1" si="586"/>
        <v/>
      </c>
      <c r="CB156" s="3">
        <f t="shared" ca="1" si="588"/>
        <v>-149.91646355215042</v>
      </c>
      <c r="CC156" s="3" t="str">
        <f t="shared" ca="1" si="586"/>
        <v>Cruce -</v>
      </c>
      <c r="CD156" s="3">
        <f>IF(RTD("tos.rtd",,CD$43,"."&amp;$B$134&amp;$AS$82&amp;"C"&amp;$A156)="N/A",0,RTD("tos.rtd",,CD$43,"."&amp;$B$134&amp;$AS$82&amp;"C"&amp;$A156))</f>
        <v>0.09</v>
      </c>
      <c r="CE156" s="3">
        <f>-IF(RTD("tos.rtd",,CE$43,"."&amp;$B$134&amp;$AS$82&amp;"P"&amp;$A156)="N/A",0,RTD("tos.rtd",,CE$43,"."&amp;$B$134&amp;$AS$82&amp;"P"&amp;$A156))</f>
        <v>0.93</v>
      </c>
      <c r="CF156" s="3">
        <f>IF(RTD("tos.rtd",,CF$2,"."&amp;$C$134&amp;$AU$82&amp;"C"&amp;$A156)="N/A",0,RTD("tos.rtd",,CF$2,"."&amp;$C$134&amp;$AU$82&amp;"C"&amp;$A156))</f>
        <v>0.5</v>
      </c>
      <c r="CG156" s="3">
        <f>-IF(RTD("tos.rtd",,CG$2,"."&amp;$C$134&amp;$AU$82&amp;"P"&amp;$A156)="N/A",0,RTD("tos.rtd",,CG$2,"."&amp;$C$134&amp;$AU$82&amp;"P"&amp;$A156))</f>
        <v>0.49</v>
      </c>
      <c r="CH156" s="3">
        <f>IF(RTD("tos.rtd",,CH$2,"."&amp;$D$134&amp;$AW$82&amp;"C"&amp;$A156)="N/A",0,RTD("tos.rtd",,CH$2,"."&amp;$D$134&amp;$AW$82&amp;"C"&amp;$A156))</f>
        <v>0.54</v>
      </c>
      <c r="CI156" s="3">
        <f>-IF(RTD("tos.rtd",,CI$2,"."&amp;$D$134&amp;$AW$82&amp;"P"&amp;$A156)="N/A",0,RTD("tos.rtd",,CI$2,"."&amp;$D$134&amp;$AW$82&amp;"P"&amp;$A156))</f>
        <v>0.46</v>
      </c>
      <c r="CK156" s="3">
        <f t="shared" si="620"/>
        <v>-225</v>
      </c>
      <c r="CL156" s="3"/>
      <c r="CM156" s="3">
        <f t="shared" si="621"/>
        <v>819.99999999999989</v>
      </c>
      <c r="CN156" s="3"/>
      <c r="CO156" s="3">
        <f t="shared" si="622"/>
        <v>-441.99999999999955</v>
      </c>
      <c r="CP156" s="3">
        <f t="shared" si="542"/>
        <v>153.00000000000034</v>
      </c>
      <c r="CQ156" s="3">
        <f t="shared" si="552"/>
        <v>82</v>
      </c>
      <c r="CR156" s="3"/>
      <c r="CS156" s="3">
        <f t="shared" si="553"/>
        <v>10</v>
      </c>
      <c r="CT156" s="3"/>
      <c r="CU156" s="3">
        <f t="shared" si="554"/>
        <v>-1</v>
      </c>
      <c r="CV156" s="3"/>
      <c r="CW156" s="3" t="e">
        <f t="shared" ca="1" si="555"/>
        <v>#NUM!</v>
      </c>
      <c r="CY156" s="3" t="e">
        <f t="shared" ca="1" si="556"/>
        <v>#NUM!</v>
      </c>
      <c r="CZ156" s="70" t="e">
        <f t="shared" ca="1" si="589"/>
        <v>#NUM!</v>
      </c>
      <c r="DA156" s="3">
        <f>IF(RTD("tos.rtd",,DA$43,"."&amp;$B$134&amp;$AS$82&amp;"C"&amp;$A156)="N/A",0,RTD("tos.rtd",,DA$43,"."&amp;$B$134&amp;$AS$82&amp;"C"&amp;$A156))</f>
        <v>0.59</v>
      </c>
      <c r="DB156" s="3">
        <f>IF(RTD("tos.rtd",,DB$43,"."&amp;$B$134&amp;$AS$82&amp;"P"&amp;$A156)="N/A",0,RTD("tos.rtd",,DB$43,"."&amp;$B$134&amp;$AS$82&amp;"P"&amp;$A156))</f>
        <v>23.5</v>
      </c>
      <c r="DC156" s="3">
        <f>IF(RTD("tos.rtd",,DC$43,"."&amp;$B$134&amp;$AS$82&amp;"C"&amp;$A156)="N/A",0,RTD("tos.rtd",,DC$43,"."&amp;$B$134&amp;$AS$82&amp;"C"&amp;$A156))</f>
        <v>0.7</v>
      </c>
      <c r="DD156" s="3">
        <f>IF(RTD("tos.rtd",,DD$43,"."&amp;$B$134&amp;$AS$82&amp;"P"&amp;$A156)="N/A",0,RTD("tos.rtd",,DD$43,"."&amp;$B$134&amp;$AS$82&amp;"P"&amp;$A156))</f>
        <v>17</v>
      </c>
      <c r="DE156" s="3">
        <f>IF(RTD("tos.rtd",,DE$43,"."&amp;$B$134&amp;$AS$82&amp;"C"&amp;$A156)="N/A",0,RTD("tos.rtd",,DE$43,"."&amp;$B$134&amp;$AS$82&amp;"C"&amp;$A156))</f>
        <v>0.1</v>
      </c>
      <c r="DF156" s="3">
        <f>IF(RTD("tos.rtd",,DF$43,"."&amp;$B$134&amp;$AS$82&amp;"P"&amp;$A156)="N/A",0,RTD("tos.rtd",,DF$43,"."&amp;$B$134&amp;$AS$82&amp;"P"&amp;$A156))</f>
        <v>10.6</v>
      </c>
      <c r="DG156" s="86">
        <f t="shared" si="590"/>
        <v>13.550999999999476</v>
      </c>
      <c r="DH156" s="3">
        <f t="shared" si="557"/>
        <v>0</v>
      </c>
      <c r="DI156" s="3">
        <f t="shared" si="558"/>
        <v>0</v>
      </c>
      <c r="DJ156" s="3">
        <f t="shared" si="559"/>
        <v>0</v>
      </c>
      <c r="DK156" s="3">
        <f t="shared" si="560"/>
        <v>0</v>
      </c>
      <c r="DL156" s="3">
        <f t="shared" si="561"/>
        <v>0</v>
      </c>
      <c r="DM156" s="3">
        <f t="shared" si="562"/>
        <v>0</v>
      </c>
      <c r="DN156" s="64" t="str">
        <f t="shared" si="563"/>
        <v>UNKNOWN</v>
      </c>
      <c r="DO156" s="64" t="str">
        <f t="shared" si="564"/>
        <v>UNKNOWN</v>
      </c>
      <c r="DP156" s="3">
        <f t="shared" si="565"/>
        <v>0</v>
      </c>
      <c r="DQ156" s="3">
        <f t="shared" si="566"/>
        <v>0</v>
      </c>
      <c r="DR156" s="3" t="e">
        <f t="shared" ca="1" si="567"/>
        <v>#NUM!</v>
      </c>
      <c r="DS156" s="3">
        <f t="shared" si="568"/>
        <v>0</v>
      </c>
      <c r="DT156" s="3">
        <f t="shared" si="591"/>
        <v>0</v>
      </c>
      <c r="DU156" s="3">
        <f t="shared" si="592"/>
        <v>0</v>
      </c>
      <c r="DV156" s="3">
        <f t="shared" si="569"/>
        <v>0</v>
      </c>
      <c r="DW156" s="3">
        <f t="shared" si="570"/>
        <v>-16</v>
      </c>
      <c r="DX156" s="3" t="e">
        <f t="shared" ca="1" si="571"/>
        <v>#NUM!</v>
      </c>
      <c r="DY156" s="3" t="e">
        <f t="shared" ca="1" si="572"/>
        <v>#NUM!</v>
      </c>
      <c r="DZ156" s="3">
        <f t="shared" ca="1" si="573"/>
        <v>5.3576608865781993E-4</v>
      </c>
      <c r="EA156" s="3">
        <f t="shared" ca="1" si="574"/>
        <v>-5.0460817852214827E-4</v>
      </c>
      <c r="EB156" s="3">
        <f t="shared" ca="1" si="575"/>
        <v>6.3644211454531136E-4</v>
      </c>
      <c r="EC156" s="3">
        <f t="shared" ca="1" si="576"/>
        <v>-6.0895938086642733E-4</v>
      </c>
      <c r="ED156" s="63">
        <f t="shared" si="593"/>
        <v>-16</v>
      </c>
      <c r="EE156" s="59">
        <f t="shared" si="577"/>
        <v>6.5600000000000006E-2</v>
      </c>
      <c r="EF156" s="59">
        <f t="shared" si="578"/>
        <v>6.1199999999999997E-2</v>
      </c>
      <c r="EG156" s="59">
        <f t="shared" si="579"/>
        <v>0.27379999999999999</v>
      </c>
      <c r="EH156" s="59">
        <f t="shared" si="580"/>
        <v>0.29070000000000001</v>
      </c>
      <c r="EI156" s="59">
        <f t="shared" si="581"/>
        <v>0.23050000000000001</v>
      </c>
      <c r="EJ156" s="59">
        <f t="shared" si="582"/>
        <v>0.2409</v>
      </c>
      <c r="EK156" s="63" t="e">
        <f t="shared" ca="1" si="594"/>
        <v>#NUM!</v>
      </c>
      <c r="EL156" s="3" t="str">
        <f>RTD("tos.rtd",,EL$43,"."&amp;$B$134&amp;$AS$82&amp;"C"&amp;$A156)</f>
        <v>6.56%</v>
      </c>
      <c r="EM156" s="3" t="str">
        <f>RTD("tos.rtd",,EM$43,"."&amp;$B$134&amp;$AS$82&amp;"P"&amp;$A156)</f>
        <v>6.12%</v>
      </c>
      <c r="EN156" s="3" t="str">
        <f>RTD("tos.rtd",,EN$2,"."&amp;$C$134&amp;$AU$82&amp;"C"&amp;$A156)</f>
        <v>27.38%</v>
      </c>
      <c r="EO156" s="3" t="str">
        <f>RTD("tos.rtd",,EO$2,"."&amp;$C$134&amp;$AU$82&amp;"P"&amp;$A156)</f>
        <v>29.07%</v>
      </c>
      <c r="EP156" s="3" t="str">
        <f>RTD("tos.rtd",,EP$2,"."&amp;$D$134&amp;$AW$82&amp;"C"&amp;$A156)</f>
        <v>23.05%</v>
      </c>
      <c r="EQ156" s="3" t="str">
        <f>RTD("tos.rtd",,EQ$2,"."&amp;$D$134&amp;$AW$82&amp;"P"&amp;$A156)</f>
        <v>24.09%</v>
      </c>
      <c r="ES156" s="63" t="str">
        <f t="shared" si="583"/>
        <v>20075,-16.00</v>
      </c>
      <c r="ET156" s="63" t="str">
        <f t="shared" ca="1" si="584"/>
        <v>20075,00.00</v>
      </c>
      <c r="EU156" s="68">
        <v>565.05999999999995</v>
      </c>
      <c r="EV156" s="68" t="s">
        <v>1267</v>
      </c>
      <c r="EW156" s="68">
        <v>488.62</v>
      </c>
      <c r="EX156" s="68" t="s">
        <v>1268</v>
      </c>
      <c r="EY156" s="68">
        <v>5663.94</v>
      </c>
      <c r="EZ156" s="68" t="s">
        <v>1269</v>
      </c>
      <c r="FA156" s="68">
        <v>20063.564999999999</v>
      </c>
      <c r="FB156" s="68" t="s">
        <v>1270</v>
      </c>
      <c r="FC156" s="68" t="s">
        <v>1271</v>
      </c>
      <c r="FD156" s="68" t="s">
        <v>1272</v>
      </c>
      <c r="FE156" s="68" t="s">
        <v>1273</v>
      </c>
      <c r="FF156" s="68" t="s">
        <v>1274</v>
      </c>
    </row>
    <row r="157" spans="1:162" ht="11.1" customHeight="1" thickBot="1" x14ac:dyDescent="0.25">
      <c r="A157" s="2">
        <f t="shared" si="595"/>
        <v>20050</v>
      </c>
      <c r="B157" s="3">
        <f t="shared" si="628"/>
        <v>82</v>
      </c>
      <c r="C157" s="3">
        <f t="shared" si="629"/>
        <v>43</v>
      </c>
      <c r="D157" s="3">
        <f t="shared" si="630"/>
        <v>144</v>
      </c>
      <c r="E157" s="3">
        <f t="shared" si="613"/>
        <v>269</v>
      </c>
      <c r="F157" s="4">
        <f t="shared" si="623"/>
        <v>20460.06684262936</v>
      </c>
      <c r="G157" s="5">
        <f t="shared" si="615"/>
        <v>495.88683748616558</v>
      </c>
      <c r="AM157" s="1">
        <v>104</v>
      </c>
      <c r="AN157" s="1">
        <v>-11</v>
      </c>
      <c r="AO157" s="1">
        <v>20050</v>
      </c>
      <c r="AP157" s="1">
        <v>489</v>
      </c>
      <c r="AQ157" s="1">
        <v>-542</v>
      </c>
      <c r="AS157" s="54">
        <f>IF(RTD("tos.rtd",,AS$83,"."&amp;$B$134&amp;$AS$82&amp;"C"&amp;$A157)="N/A",0,RTD("tos.rtd",,AS$83,"."&amp;$B$134&amp;$AS$82&amp;"C"&amp;$A157))</f>
        <v>73</v>
      </c>
      <c r="AT157" s="3">
        <f>-IF(RTD("tos.rtd",,AT$83,"."&amp;$B$134&amp;$AS$82&amp;"P"&amp;$A157)="N/A",0,RTD("tos.rtd",,AT$83,"."&amp;$B$134&amp;$AS$82&amp;"P"&amp;$A157))</f>
        <v>-9</v>
      </c>
      <c r="AU157" s="54">
        <f>IF(RTD("tos.rtd",,AU$2,"."&amp;$C$134&amp;$AU$134&amp;"C"&amp;$A157)="N/A",0,RTD("tos.rtd",,AU$2,"."&amp;$C$134&amp;$AU$134&amp;"C"&amp;$A157))</f>
        <v>30</v>
      </c>
      <c r="AV157" s="3">
        <f>-IF(RTD("tos.rtd",,AV$2,"."&amp;$C$134&amp;$AU$134&amp;"P"&amp;$A157)="N/A",0,RTD("tos.rtd",,AV$2,"."&amp;$C$134&amp;$AU$134&amp;"P"&amp;$A157))</f>
        <v>-13</v>
      </c>
      <c r="AW157" s="54">
        <f>IF(RTD("tos.rtd",,AW$2,"."&amp;$D$134&amp;$AW$134&amp;"C"&amp;$A157)="N/A",0,RTD("tos.rtd",,AW$2,"."&amp;$D$134&amp;$AW$134&amp;"C"&amp;$A157))</f>
        <v>135</v>
      </c>
      <c r="AX157" s="3">
        <f>-IF(RTD("tos.rtd",,AX$2,"."&amp;$D$134&amp;$AW$134&amp;"P"&amp;$A157)="N/A",0,RTD("tos.rtd",,AX$2,"."&amp;$D$134&amp;$AW$134&amp;"P"&amp;$A157))</f>
        <v>-9</v>
      </c>
      <c r="AY157" s="76">
        <f t="shared" si="624"/>
        <v>207</v>
      </c>
      <c r="AZ157" s="8">
        <f t="shared" si="548"/>
        <v>20050</v>
      </c>
      <c r="BA157" s="54">
        <f>IF(RTD("tos.rtd",,BA$43,"."&amp;$B$134&amp;$AS$82&amp;"C"&amp;$A157)="N/A",0,RTD("tos.rtd",,BA$43,"."&amp;$B$134&amp;$AS$82&amp;"C"&amp;$A157))</f>
        <v>489</v>
      </c>
      <c r="BB157" s="3">
        <f>-IF(RTD("tos.rtd",,BB$43,"."&amp;$B$134&amp;$AS$82&amp;"P"&amp;$A157)="N/A",0,RTD("tos.rtd",,BB$43,"."&amp;$B$134&amp;$AS$82&amp;"P"&amp;$A157))</f>
        <v>-542</v>
      </c>
      <c r="BC157" s="54">
        <f>IF(RTD("tos.rtd",,BC$2,"."&amp;$C$134&amp;$AU$82&amp;"C"&amp;$A157)="N/A",0,RTD("tos.rtd",,BC$2,"."&amp;$C$134&amp;$AU$82&amp;"C"&amp;$A157))</f>
        <v>4</v>
      </c>
      <c r="BD157" s="3">
        <f>-IF(RTD("tos.rtd",,BD$2,"."&amp;$C$134&amp;$AU$82&amp;"P"&amp;$A157)="N/A",0,RTD("tos.rtd",,BD$2,"."&amp;$C$134&amp;$AU$82&amp;"P"&amp;$A157))</f>
        <v>-17</v>
      </c>
      <c r="BE157" s="54">
        <f>IF(RTD("tos.rtd",,BE$2,"."&amp;$D$134&amp;$AW$82&amp;"C"&amp;$A157)="N/A",0,RTD("tos.rtd",,BE$2,"."&amp;$D$134&amp;$AW$82&amp;"C"&amp;$A157))</f>
        <v>52</v>
      </c>
      <c r="BF157" s="3">
        <f>-IF(RTD("tos.rtd",,BF$2,"."&amp;$D$134&amp;$AW$82&amp;"P"&amp;$A157)="N/A",0,RTD("tos.rtd",,BF$2,"."&amp;$D$134&amp;$AW$82&amp;"P"&amp;$A157))</f>
        <v>-26</v>
      </c>
      <c r="BG157" s="3">
        <f ca="1">+Hoja2!Y158</f>
        <v>-7</v>
      </c>
      <c r="BH157" s="7">
        <f t="shared" ca="1" si="549"/>
        <v>-47</v>
      </c>
      <c r="BI157" s="32" t="str">
        <f t="shared" ca="1" si="609"/>
        <v>Cruce -</v>
      </c>
      <c r="BJ157" s="3" t="e">
        <f ca="1">IF($BP$1=1,DX157,IF(RTD("tos.rtd",,BJ$43,"."&amp;$B$134&amp;$AS$82&amp;"C"&amp;$A157)="N/A",0,RTD("tos.rtd",,BJ$43,"."&amp;$B$134&amp;$AS$82&amp;"C"&amp;$A157)))</f>
        <v>#NUM!</v>
      </c>
      <c r="BK157" s="3" t="e">
        <f ca="1">IF($BP$1=1,DY157,-IF(RTD("tos.rtd",,BK$43,"."&amp;$B$134&amp;$AS$82&amp;"P"&amp;$A157)="N/A",0,RTD("tos.rtd",,BK$43,"."&amp;$B$134&amp;$AS$82&amp;"P"&amp;$A157)))</f>
        <v>#NUM!</v>
      </c>
      <c r="BL157" s="3">
        <f ca="1">IF($BP$1=1,DZ157,IF(RTD("tos.rtd",,BL$2,"."&amp;$C$134&amp;$AU$82&amp;"C"&amp;$A157)="N/A",0,RTD("tos.rtd",,BL$2,"."&amp;$C$134&amp;$AU$82&amp;"C"&amp;$A157)))</f>
        <v>5.3391509565964225E-4</v>
      </c>
      <c r="BM157" s="3">
        <f ca="1">IF($BP$1=1,EA157,-IF(RTD("tos.rtd",,BM$2,"."&amp;$C$134&amp;$AU$82&amp;"P"&amp;$A157)="N/A",0,RTD("tos.rtd",,BM$2,"."&amp;$C$134&amp;$AU$82&amp;"P"&amp;$A157)))</f>
        <v>-5.0313804977154331E-4</v>
      </c>
      <c r="BN157" s="3">
        <f ca="1">IF($BP$1=1,EB157,IF(RTD("tos.rtd",,BN$2,"."&amp;$D$134&amp;$AW$82&amp;"C"&amp;$A157)="N/A",0,RTD("tos.rtd",,BN$2,"."&amp;$D$134&amp;$AW$82&amp;"C"&amp;$A157)))</f>
        <v>6.335409033319761E-4</v>
      </c>
      <c r="BO157" s="3">
        <f ca="1">IF($BP$1=1,EC157,-IF(RTD("tos.rtd",,BO$2,"."&amp;$D$134&amp;$AW$82&amp;"P"&amp;$A157)="N/A",0,RTD("tos.rtd",,BO$2,"."&amp;$D$134&amp;$AW$82&amp;"P"&amp;$A157)))</f>
        <v>-6.0630929413075054E-4</v>
      </c>
      <c r="BQ157" s="3" t="e">
        <f t="shared" ca="1" si="625"/>
        <v>#NUM!</v>
      </c>
      <c r="BR157" s="3" t="e">
        <f t="shared" ca="1" si="550"/>
        <v>#NUM!</v>
      </c>
      <c r="BS157" s="3">
        <f t="shared" ca="1" si="626"/>
        <v>303580.77741838829</v>
      </c>
      <c r="BT157" s="3" t="str">
        <f t="shared" ca="1" si="551"/>
        <v/>
      </c>
      <c r="BU157" s="3">
        <f t="shared" ca="1" si="627"/>
        <v>2565048.585839049</v>
      </c>
      <c r="BV157" s="3" t="str">
        <f t="shared" ca="1" si="551"/>
        <v>Cruce +</v>
      </c>
      <c r="BX157" s="3" t="e">
        <f t="shared" ca="1" si="585"/>
        <v>#NUM!</v>
      </c>
      <c r="BY157" s="3" t="e">
        <f t="shared" ca="1" si="586"/>
        <v>#NUM!</v>
      </c>
      <c r="BZ157" s="3">
        <f t="shared" ca="1" si="587"/>
        <v>-1579.9360171152612</v>
      </c>
      <c r="CA157" s="3" t="str">
        <f t="shared" ca="1" si="586"/>
        <v>Cruce -</v>
      </c>
      <c r="CB157" s="3">
        <f t="shared" ca="1" si="588"/>
        <v>4229.4736176213919</v>
      </c>
      <c r="CC157" s="3" t="str">
        <f t="shared" ca="1" si="586"/>
        <v>Cruce +</v>
      </c>
      <c r="CD157" s="3">
        <f>IF(RTD("tos.rtd",,CD$43,"."&amp;$B$134&amp;$AS$82&amp;"C"&amp;$A157)="N/A",0,RTD("tos.rtd",,CD$43,"."&amp;$B$134&amp;$AS$82&amp;"C"&amp;$A157))</f>
        <v>0.76</v>
      </c>
      <c r="CE157" s="3">
        <f>-IF(RTD("tos.rtd",,CE$43,"."&amp;$B$134&amp;$AS$82&amp;"P"&amp;$A157)="N/A",0,RTD("tos.rtd",,CE$43,"."&amp;$B$134&amp;$AS$82&amp;"P"&amp;$A157))</f>
        <v>0.11</v>
      </c>
      <c r="CF157" s="3">
        <f>IF(RTD("tos.rtd",,CF$2,"."&amp;$C$134&amp;$AU$82&amp;"C"&amp;$A157)="N/A",0,RTD("tos.rtd",,CF$2,"."&amp;$C$134&amp;$AU$82&amp;"C"&amp;$A157))</f>
        <v>0.52</v>
      </c>
      <c r="CG157" s="3">
        <f>-IF(RTD("tos.rtd",,CG$2,"."&amp;$C$134&amp;$AU$82&amp;"P"&amp;$A157)="N/A",0,RTD("tos.rtd",,CG$2,"."&amp;$C$134&amp;$AU$82&amp;"P"&amp;$A157))</f>
        <v>0.48</v>
      </c>
      <c r="CH157" s="3">
        <f>IF(RTD("tos.rtd",,CH$2,"."&amp;$D$134&amp;$AW$82&amp;"C"&amp;$A157)="N/A",0,RTD("tos.rtd",,CH$2,"."&amp;$D$134&amp;$AW$82&amp;"C"&amp;$A157))</f>
        <v>0.54</v>
      </c>
      <c r="CI157" s="3">
        <f>-IF(RTD("tos.rtd",,CI$2,"."&amp;$D$134&amp;$AW$82&amp;"P"&amp;$A157)="N/A",0,RTD("tos.rtd",,CI$2,"."&amp;$D$134&amp;$AW$82&amp;"P"&amp;$A157))</f>
        <v>0.46</v>
      </c>
      <c r="CK157" s="3">
        <f t="shared" si="620"/>
        <v>5449</v>
      </c>
      <c r="CL157" s="3"/>
      <c r="CM157" s="3">
        <f t="shared" si="621"/>
        <v>936.00000000000023</v>
      </c>
      <c r="CN157" s="3"/>
      <c r="CO157" s="3">
        <f t="shared" si="622"/>
        <v>6876.0000000000009</v>
      </c>
      <c r="CP157" s="3">
        <f t="shared" si="542"/>
        <v>13261</v>
      </c>
      <c r="CQ157" s="3">
        <f t="shared" si="552"/>
        <v>-53</v>
      </c>
      <c r="CR157" s="3"/>
      <c r="CS157" s="3">
        <f t="shared" si="553"/>
        <v>-13</v>
      </c>
      <c r="CT157" s="3"/>
      <c r="CU157" s="3">
        <f t="shared" si="554"/>
        <v>26</v>
      </c>
      <c r="CV157" s="3"/>
      <c r="CW157" s="3" t="e">
        <f t="shared" ca="1" si="555"/>
        <v>#NUM!</v>
      </c>
      <c r="CY157" s="3" t="e">
        <f t="shared" ca="1" si="556"/>
        <v>#NUM!</v>
      </c>
      <c r="CZ157" s="70" t="e">
        <f t="shared" ca="1" si="589"/>
        <v>#NUM!</v>
      </c>
      <c r="DA157" s="3">
        <f>IF(RTD("tos.rtd",,DA$43,"."&amp;$B$134&amp;$AS$82&amp;"C"&amp;$A157)="N/A",0,RTD("tos.rtd",,DA$43,"."&amp;$B$134&amp;$AS$82&amp;"C"&amp;$A157))</f>
        <v>14</v>
      </c>
      <c r="DB157" s="3">
        <f>IF(RTD("tos.rtd",,DB$43,"."&amp;$B$134&amp;$AS$82&amp;"P"&amp;$A157)="N/A",0,RTD("tos.rtd",,DB$43,"."&amp;$B$134&amp;$AS$82&amp;"P"&amp;$A157))</f>
        <v>0.99</v>
      </c>
      <c r="DC157" s="3">
        <f>IF(RTD("tos.rtd",,DC$43,"."&amp;$B$134&amp;$AS$82&amp;"C"&amp;$A157)="N/A",0,RTD("tos.rtd",,DC$43,"."&amp;$B$134&amp;$AS$82&amp;"C"&amp;$A157))</f>
        <v>19.8</v>
      </c>
      <c r="DD157" s="3">
        <f>IF(RTD("tos.rtd",,DD$43,"."&amp;$B$134&amp;$AS$82&amp;"P"&amp;$A157)="N/A",0,RTD("tos.rtd",,DD$43,"."&amp;$B$134&amp;$AS$82&amp;"P"&amp;$A157))</f>
        <v>0.55000000000000004</v>
      </c>
      <c r="DE157" s="3">
        <f>IF(RTD("tos.rtd",,DE$43,"."&amp;$B$134&amp;$AS$82&amp;"C"&amp;$A157)="N/A",0,RTD("tos.rtd",,DE$43,"."&amp;$B$134&amp;$AS$82&amp;"C"&amp;$A157))</f>
        <v>8</v>
      </c>
      <c r="DF157" s="3">
        <f>IF(RTD("tos.rtd",,DF$43,"."&amp;$B$134&amp;$AS$82&amp;"P"&amp;$A157)="N/A",0,RTD("tos.rtd",,DF$43,"."&amp;$B$134&amp;$AS$82&amp;"P"&amp;$A157))</f>
        <v>0.5</v>
      </c>
      <c r="DG157" s="86">
        <f t="shared" si="590"/>
        <v>-11.449000000000524</v>
      </c>
      <c r="DH157" s="3">
        <f t="shared" si="557"/>
        <v>0</v>
      </c>
      <c r="DI157" s="3">
        <f t="shared" si="558"/>
        <v>0</v>
      </c>
      <c r="DJ157" s="3">
        <f t="shared" si="559"/>
        <v>0</v>
      </c>
      <c r="DK157" s="3">
        <f t="shared" si="560"/>
        <v>0</v>
      </c>
      <c r="DL157" s="3">
        <f t="shared" si="561"/>
        <v>0</v>
      </c>
      <c r="DM157" s="3">
        <f t="shared" si="562"/>
        <v>0</v>
      </c>
      <c r="DN157" s="64" t="str">
        <f t="shared" si="563"/>
        <v>UNKNOWN</v>
      </c>
      <c r="DO157" s="64" t="str">
        <f t="shared" si="564"/>
        <v>UNKNOWN</v>
      </c>
      <c r="DP157" s="3">
        <f t="shared" si="565"/>
        <v>0</v>
      </c>
      <c r="DQ157" s="3">
        <f t="shared" si="566"/>
        <v>0</v>
      </c>
      <c r="DR157" s="3" t="e">
        <f t="shared" ca="1" si="567"/>
        <v>#NUM!</v>
      </c>
      <c r="DS157" s="3">
        <f t="shared" si="568"/>
        <v>0</v>
      </c>
      <c r="DT157" s="3">
        <f t="shared" si="591"/>
        <v>0</v>
      </c>
      <c r="DU157" s="3">
        <f t="shared" si="592"/>
        <v>0</v>
      </c>
      <c r="DV157" s="3">
        <f t="shared" si="569"/>
        <v>104</v>
      </c>
      <c r="DW157" s="3">
        <f t="shared" si="570"/>
        <v>-11</v>
      </c>
      <c r="DX157" s="3" t="e">
        <f t="shared" ca="1" si="571"/>
        <v>#NUM!</v>
      </c>
      <c r="DY157" s="3" t="e">
        <f t="shared" ca="1" si="572"/>
        <v>#NUM!</v>
      </c>
      <c r="DZ157" s="3">
        <f t="shared" ca="1" si="573"/>
        <v>5.3391509565964225E-4</v>
      </c>
      <c r="EA157" s="3">
        <f t="shared" ca="1" si="574"/>
        <v>-5.0313804977154331E-4</v>
      </c>
      <c r="EB157" s="3">
        <f t="shared" ca="1" si="575"/>
        <v>6.335409033319761E-4</v>
      </c>
      <c r="EC157" s="3">
        <f t="shared" ca="1" si="576"/>
        <v>-6.0630929413075054E-4</v>
      </c>
      <c r="ED157" s="63">
        <f t="shared" si="593"/>
        <v>93</v>
      </c>
      <c r="EE157" s="59">
        <f t="shared" si="577"/>
        <v>0.1096</v>
      </c>
      <c r="EF157" s="59">
        <f t="shared" si="578"/>
        <v>6.2899999999999998E-2</v>
      </c>
      <c r="EG157" s="59">
        <f t="shared" si="579"/>
        <v>0.27439999999999998</v>
      </c>
      <c r="EH157" s="59">
        <f t="shared" si="580"/>
        <v>0.29120000000000001</v>
      </c>
      <c r="EI157" s="59">
        <f t="shared" si="581"/>
        <v>0.23119999999999999</v>
      </c>
      <c r="EJ157" s="59">
        <f t="shared" si="582"/>
        <v>0.24160000000000001</v>
      </c>
      <c r="EK157" s="63" t="e">
        <f t="shared" ca="1" si="594"/>
        <v>#NUM!</v>
      </c>
      <c r="EL157" s="3" t="str">
        <f>RTD("tos.rtd",,EL$43,"."&amp;$B$134&amp;$AS$82&amp;"C"&amp;$A157)</f>
        <v>10.96%</v>
      </c>
      <c r="EM157" s="3" t="str">
        <f>RTD("tos.rtd",,EM$43,"."&amp;$B$134&amp;$AS$82&amp;"P"&amp;$A157)</f>
        <v>6.29%</v>
      </c>
      <c r="EN157" s="3" t="str">
        <f>RTD("tos.rtd",,EN$2,"."&amp;$C$134&amp;$AU$82&amp;"C"&amp;$A157)</f>
        <v>27.44%</v>
      </c>
      <c r="EO157" s="3" t="str">
        <f>RTD("tos.rtd",,EO$2,"."&amp;$C$134&amp;$AU$82&amp;"P"&amp;$A157)</f>
        <v>29.12%</v>
      </c>
      <c r="EP157" s="3" t="str">
        <f>RTD("tos.rtd",,EP$2,"."&amp;$D$134&amp;$AW$82&amp;"C"&amp;$A157)</f>
        <v>23.12%</v>
      </c>
      <c r="EQ157" s="3" t="str">
        <f>RTD("tos.rtd",,EQ$2,"."&amp;$D$134&amp;$AW$82&amp;"P"&amp;$A157)</f>
        <v>24.16%</v>
      </c>
      <c r="ES157" s="63" t="str">
        <f t="shared" si="583"/>
        <v>20050,93.00</v>
      </c>
      <c r="ET157" s="63" t="str">
        <f t="shared" ca="1" si="584"/>
        <v>20050,00.00</v>
      </c>
      <c r="EU157" s="68">
        <v>565.05999999999995</v>
      </c>
      <c r="EV157" s="68" t="s">
        <v>1275</v>
      </c>
      <c r="EW157" s="68">
        <v>488.5</v>
      </c>
      <c r="EX157" s="68" t="s">
        <v>1276</v>
      </c>
      <c r="EY157" s="68">
        <v>5663.94</v>
      </c>
      <c r="EZ157" s="68" t="s">
        <v>1277</v>
      </c>
      <c r="FA157" s="68">
        <v>20063.564999999999</v>
      </c>
      <c r="FB157" s="68" t="s">
        <v>1278</v>
      </c>
      <c r="FC157" s="68" t="s">
        <v>1279</v>
      </c>
      <c r="FD157" s="68" t="s">
        <v>1280</v>
      </c>
      <c r="FE157" s="68" t="s">
        <v>1281</v>
      </c>
      <c r="FF157" s="68" t="s">
        <v>1282</v>
      </c>
    </row>
    <row r="158" spans="1:162" ht="11.1" customHeight="1" thickBot="1" x14ac:dyDescent="0.25">
      <c r="A158" s="2">
        <f t="shared" si="595"/>
        <v>20025</v>
      </c>
      <c r="B158" s="3">
        <f t="shared" si="628"/>
        <v>11</v>
      </c>
      <c r="C158" s="3">
        <f t="shared" si="629"/>
        <v>68</v>
      </c>
      <c r="D158" s="3">
        <f t="shared" si="630"/>
        <v>179</v>
      </c>
      <c r="E158" s="3">
        <f t="shared" si="613"/>
        <v>258</v>
      </c>
      <c r="F158" s="4">
        <f t="shared" si="623"/>
        <v>20434.5555373393</v>
      </c>
      <c r="G158" s="5">
        <f t="shared" si="615"/>
        <v>495.26852472122027</v>
      </c>
      <c r="AM158" s="1">
        <v>-17</v>
      </c>
      <c r="AN158" s="1">
        <v>15</v>
      </c>
      <c r="AO158" s="1">
        <v>20025</v>
      </c>
      <c r="AP158" s="1">
        <v>185</v>
      </c>
      <c r="AQ158" s="1">
        <v>-247</v>
      </c>
      <c r="AS158" s="54">
        <f>IF(RTD("tos.rtd",,AS$83,"."&amp;$B$134&amp;$AS$82&amp;"C"&amp;$A158)="N/A",0,RTD("tos.rtd",,AS$83,"."&amp;$B$134&amp;$AS$82&amp;"C"&amp;$A158))</f>
        <v>8</v>
      </c>
      <c r="AT158" s="3">
        <f>-IF(RTD("tos.rtd",,AT$83,"."&amp;$B$134&amp;$AS$82&amp;"P"&amp;$A158)="N/A",0,RTD("tos.rtd",,AT$83,"."&amp;$B$134&amp;$AS$82&amp;"P"&amp;$A158))</f>
        <v>-3</v>
      </c>
      <c r="AU158" s="54">
        <f>IF(RTD("tos.rtd",,AU$2,"."&amp;$C$134&amp;$AU$134&amp;"C"&amp;$A158)="N/A",0,RTD("tos.rtd",,AU$2,"."&amp;$C$134&amp;$AU$134&amp;"C"&amp;$A158))</f>
        <v>35</v>
      </c>
      <c r="AV158" s="3">
        <f>-IF(RTD("tos.rtd",,AV$2,"."&amp;$C$134&amp;$AU$134&amp;"P"&amp;$A158)="N/A",0,RTD("tos.rtd",,AV$2,"."&amp;$C$134&amp;$AU$134&amp;"P"&amp;$A158))</f>
        <v>-33</v>
      </c>
      <c r="AW158" s="54">
        <f>IF(RTD("tos.rtd",,AW$2,"."&amp;$D$134&amp;$AW$134&amp;"C"&amp;$A158)="N/A",0,RTD("tos.rtd",,AW$2,"."&amp;$D$134&amp;$AW$134&amp;"C"&amp;$A158))</f>
        <v>166</v>
      </c>
      <c r="AX158" s="3">
        <f>-IF(RTD("tos.rtd",,AX$2,"."&amp;$D$134&amp;$AW$134&amp;"P"&amp;$A158)="N/A",0,RTD("tos.rtd",,AX$2,"."&amp;$D$134&amp;$AW$134&amp;"P"&amp;$A158))</f>
        <v>-13</v>
      </c>
      <c r="AY158" s="76">
        <f t="shared" si="624"/>
        <v>160</v>
      </c>
      <c r="AZ158" s="8">
        <f t="shared" si="548"/>
        <v>20025</v>
      </c>
      <c r="BA158" s="54">
        <f>IF(RTD("tos.rtd",,BA$43,"."&amp;$B$134&amp;$AS$82&amp;"C"&amp;$A158)="N/A",0,RTD("tos.rtd",,BA$43,"."&amp;$B$134&amp;$AS$82&amp;"C"&amp;$A158))</f>
        <v>185</v>
      </c>
      <c r="BB158" s="3">
        <f>-IF(RTD("tos.rtd",,BB$43,"."&amp;$B$134&amp;$AS$82&amp;"P"&amp;$A158)="N/A",0,RTD("tos.rtd",,BB$43,"."&amp;$B$134&amp;$AS$82&amp;"P"&amp;$A158))</f>
        <v>-247</v>
      </c>
      <c r="BC158" s="54">
        <f>IF(RTD("tos.rtd",,BC$2,"."&amp;$C$134&amp;$AU$82&amp;"C"&amp;$A158)="N/A",0,RTD("tos.rtd",,BC$2,"."&amp;$C$134&amp;$AU$82&amp;"C"&amp;$A158))</f>
        <v>5</v>
      </c>
      <c r="BD158" s="3">
        <f>-IF(RTD("tos.rtd",,BD$2,"."&amp;$C$134&amp;$AU$82&amp;"P"&amp;$A158)="N/A",0,RTD("tos.rtd",,BD$2,"."&amp;$C$134&amp;$AU$82&amp;"P"&amp;$A158))</f>
        <v>-10</v>
      </c>
      <c r="BE158" s="54">
        <f>IF(RTD("tos.rtd",,BE$2,"."&amp;$D$134&amp;$AW$82&amp;"C"&amp;$A158)="N/A",0,RTD("tos.rtd",,BE$2,"."&amp;$D$134&amp;$AW$82&amp;"C"&amp;$A158))</f>
        <v>13</v>
      </c>
      <c r="BF158" s="3">
        <f>-IF(RTD("tos.rtd",,BF$2,"."&amp;$D$134&amp;$AW$82&amp;"P"&amp;$A158)="N/A",0,RTD("tos.rtd",,BF$2,"."&amp;$D$134&amp;$AW$82&amp;"P"&amp;$A158))</f>
        <v>0</v>
      </c>
      <c r="BG158" s="3">
        <f ca="1">+Hoja2!Y159</f>
        <v>-3</v>
      </c>
      <c r="BH158" s="7">
        <f t="shared" ca="1" si="549"/>
        <v>-57</v>
      </c>
      <c r="BI158" s="32" t="str">
        <f t="shared" ca="1" si="609"/>
        <v/>
      </c>
      <c r="BJ158" s="3" t="e">
        <f ca="1">IF($BP$1=1,DX158,IF(RTD("tos.rtd",,BJ$43,"."&amp;$B$134&amp;$AS$82&amp;"C"&amp;$A158)="N/A",0,RTD("tos.rtd",,BJ$43,"."&amp;$B$134&amp;$AS$82&amp;"C"&amp;$A158)))</f>
        <v>#NUM!</v>
      </c>
      <c r="BK158" s="3" t="e">
        <f ca="1">IF($BP$1=1,DY158,-IF(RTD("tos.rtd",,BK$43,"."&amp;$B$134&amp;$AS$82&amp;"P"&amp;$A158)="N/A",0,RTD("tos.rtd",,BK$43,"."&amp;$B$134&amp;$AS$82&amp;"P"&amp;$A158)))</f>
        <v>#NUM!</v>
      </c>
      <c r="BL158" s="3">
        <f ca="1">IF($BP$1=1,DZ158,IF(RTD("tos.rtd",,BL$2,"."&amp;$C$134&amp;$AU$82&amp;"C"&amp;$A158)="N/A",0,RTD("tos.rtd",,BL$2,"."&amp;$C$134&amp;$AU$82&amp;"C"&amp;$A158)))</f>
        <v>5.3109515487496071E-4</v>
      </c>
      <c r="BM158" s="3">
        <f ca="1">IF($BP$1=1,EA158,-IF(RTD("tos.rtd",,BM$2,"."&amp;$C$134&amp;$AU$82&amp;"P"&amp;$A158)="N/A",0,RTD("tos.rtd",,BM$2,"."&amp;$C$134&amp;$AU$82&amp;"P"&amp;$A158)))</f>
        <v>-5.0066292786587715E-4</v>
      </c>
      <c r="BN158" s="3">
        <f ca="1">IF($BP$1=1,EB158,IF(RTD("tos.rtd",,BN$2,"."&amp;$D$134&amp;$AW$82&amp;"C"&amp;$A158)="N/A",0,RTD("tos.rtd",,BN$2,"."&amp;$D$134&amp;$AW$82&amp;"C"&amp;$A158)))</f>
        <v>6.2940238280347408E-4</v>
      </c>
      <c r="BO158" s="3">
        <f ca="1">IF($BP$1=1,EC158,-IF(RTD("tos.rtd",,BO$2,"."&amp;$D$134&amp;$AW$82&amp;"P"&amp;$A158)="N/A",0,RTD("tos.rtd",,BO$2,"."&amp;$D$134&amp;$AW$82&amp;"P"&amp;$A158)))</f>
        <v>-6.0256311610086067E-4</v>
      </c>
      <c r="BQ158" s="3" t="e">
        <f t="shared" ca="1" si="625"/>
        <v>#NUM!</v>
      </c>
      <c r="BR158" s="3" t="e">
        <f t="shared" ca="1" si="550"/>
        <v>#NUM!</v>
      </c>
      <c r="BS158" s="3">
        <f t="shared" ca="1" si="626"/>
        <v>66197.982102512848</v>
      </c>
      <c r="BT158" s="3" t="str">
        <f t="shared" ca="1" si="551"/>
        <v/>
      </c>
      <c r="BU158" s="3">
        <f t="shared" ca="1" si="627"/>
        <v>3096061.387600658</v>
      </c>
      <c r="BV158" s="3" t="str">
        <f t="shared" ca="1" si="551"/>
        <v/>
      </c>
      <c r="BX158" s="3" t="e">
        <f t="shared" ca="1" si="585"/>
        <v>#NUM!</v>
      </c>
      <c r="BY158" s="3" t="e">
        <f t="shared" ca="1" si="586"/>
        <v>#NUM!</v>
      </c>
      <c r="BZ158" s="3">
        <f t="shared" ca="1" si="587"/>
        <v>-578.81794698522333</v>
      </c>
      <c r="CA158" s="3" t="str">
        <f t="shared" ca="1" si="586"/>
        <v/>
      </c>
      <c r="CB158" s="3">
        <f t="shared" ca="1" si="588"/>
        <v>2014.3398237994761</v>
      </c>
      <c r="CC158" s="3" t="str">
        <f t="shared" ca="1" si="586"/>
        <v/>
      </c>
      <c r="CD158" s="3">
        <f>IF(RTD("tos.rtd",,CD$43,"."&amp;$B$134&amp;$AS$82&amp;"C"&amp;$A158)="N/A",0,RTD("tos.rtd",,CD$43,"."&amp;$B$134&amp;$AS$82&amp;"C"&amp;$A158))</f>
        <v>1</v>
      </c>
      <c r="CE158" s="3">
        <f>-IF(RTD("tos.rtd",,CE$43,"."&amp;$B$134&amp;$AS$82&amp;"P"&amp;$A158)="N/A",0,RTD("tos.rtd",,CE$43,"."&amp;$B$134&amp;$AS$82&amp;"P"&amp;$A158))</f>
        <v>0.06</v>
      </c>
      <c r="CF158" s="3">
        <f>IF(RTD("tos.rtd",,CF$2,"."&amp;$C$134&amp;$AU$82&amp;"C"&amp;$A158)="N/A",0,RTD("tos.rtd",,CF$2,"."&amp;$C$134&amp;$AU$82&amp;"C"&amp;$A158))</f>
        <v>0.54</v>
      </c>
      <c r="CG158" s="3">
        <f>-IF(RTD("tos.rtd",,CG$2,"."&amp;$C$134&amp;$AU$82&amp;"P"&amp;$A158)="N/A",0,RTD("tos.rtd",,CG$2,"."&amp;$C$134&amp;$AU$82&amp;"P"&amp;$A158))</f>
        <v>0.46</v>
      </c>
      <c r="CH158" s="3">
        <f>IF(RTD("tos.rtd",,CH$2,"."&amp;$D$134&amp;$AW$82&amp;"C"&amp;$A158)="N/A",0,RTD("tos.rtd",,CH$2,"."&amp;$D$134&amp;$AW$82&amp;"C"&amp;$A158))</f>
        <v>0.55000000000000004</v>
      </c>
      <c r="CI158" s="3">
        <f>-IF(RTD("tos.rtd",,CI$2,"."&amp;$D$134&amp;$AW$82&amp;"P"&amp;$A158)="N/A",0,RTD("tos.rtd",,CI$2,"."&amp;$D$134&amp;$AW$82&amp;"P"&amp;$A158))</f>
        <v>0.45</v>
      </c>
      <c r="CK158" s="3">
        <f t="shared" si="620"/>
        <v>782</v>
      </c>
      <c r="CL158" s="3"/>
      <c r="CM158" s="3">
        <f t="shared" si="621"/>
        <v>372</v>
      </c>
      <c r="CN158" s="3"/>
      <c r="CO158" s="3">
        <f t="shared" si="622"/>
        <v>8545.0000000000018</v>
      </c>
      <c r="CP158" s="3">
        <f t="shared" si="542"/>
        <v>9699.0000000000018</v>
      </c>
      <c r="CQ158" s="3">
        <f t="shared" si="552"/>
        <v>-62</v>
      </c>
      <c r="CR158" s="3"/>
      <c r="CS158" s="3">
        <f t="shared" si="553"/>
        <v>-5</v>
      </c>
      <c r="CT158" s="3"/>
      <c r="CU158" s="3">
        <f t="shared" si="554"/>
        <v>13</v>
      </c>
      <c r="CV158" s="3"/>
      <c r="CW158" s="3" t="e">
        <f t="shared" ca="1" si="555"/>
        <v>#NUM!</v>
      </c>
      <c r="CY158" s="3" t="e">
        <f t="shared" ca="1" si="556"/>
        <v>#NUM!</v>
      </c>
      <c r="CZ158" s="70" t="e">
        <f t="shared" ca="1" si="589"/>
        <v>#NUM!</v>
      </c>
      <c r="DA158" s="3">
        <f>IF(RTD("tos.rtd",,DA$43,"."&amp;$B$134&amp;$AS$82&amp;"C"&amp;$A158)="N/A",0,RTD("tos.rtd",,DA$43,"."&amp;$B$134&amp;$AS$82&amp;"C"&amp;$A158))</f>
        <v>36.630000000000003</v>
      </c>
      <c r="DB158" s="3">
        <f>IF(RTD("tos.rtd",,DB$43,"."&amp;$B$134&amp;$AS$82&amp;"P"&amp;$A158)="N/A",0,RTD("tos.rtd",,DB$43,"."&amp;$B$134&amp;$AS$82&amp;"P"&amp;$A158))</f>
        <v>0.05</v>
      </c>
      <c r="DC158" s="3">
        <f>IF(RTD("tos.rtd",,DC$43,"."&amp;$B$134&amp;$AS$82&amp;"C"&amp;$A158)="N/A",0,RTD("tos.rtd",,DC$43,"."&amp;$B$134&amp;$AS$82&amp;"C"&amp;$A158))</f>
        <v>40.1</v>
      </c>
      <c r="DD158" s="3">
        <f>IF(RTD("tos.rtd",,DD$43,"."&amp;$B$134&amp;$AS$82&amp;"P"&amp;$A158)="N/A",0,RTD("tos.rtd",,DD$43,"."&amp;$B$134&amp;$AS$82&amp;"P"&amp;$A158))</f>
        <v>1.1000000000000001</v>
      </c>
      <c r="DE158" s="3">
        <f>IF(RTD("tos.rtd",,DE$43,"."&amp;$B$134&amp;$AS$82&amp;"C"&amp;$A158)="N/A",0,RTD("tos.rtd",,DE$43,"."&amp;$B$134&amp;$AS$82&amp;"C"&amp;$A158))</f>
        <v>25</v>
      </c>
      <c r="DF158" s="3">
        <f>IF(RTD("tos.rtd",,DF$43,"."&amp;$B$134&amp;$AS$82&amp;"P"&amp;$A158)="N/A",0,RTD("tos.rtd",,DF$43,"."&amp;$B$134&amp;$AS$82&amp;"P"&amp;$A158))</f>
        <v>0</v>
      </c>
      <c r="DG158" s="86">
        <f t="shared" si="590"/>
        <v>-36.449000000000524</v>
      </c>
      <c r="DH158" s="3">
        <f t="shared" si="557"/>
        <v>0</v>
      </c>
      <c r="DI158" s="3">
        <f t="shared" si="558"/>
        <v>0</v>
      </c>
      <c r="DJ158" s="3">
        <f t="shared" si="559"/>
        <v>0</v>
      </c>
      <c r="DK158" s="3">
        <f t="shared" si="560"/>
        <v>0</v>
      </c>
      <c r="DL158" s="3">
        <f t="shared" si="561"/>
        <v>0</v>
      </c>
      <c r="DM158" s="3">
        <f t="shared" si="562"/>
        <v>0</v>
      </c>
      <c r="DN158" s="64" t="str">
        <f t="shared" si="563"/>
        <v>UNKNOWN</v>
      </c>
      <c r="DO158" s="64" t="str">
        <f t="shared" si="564"/>
        <v>UNKNOWN</v>
      </c>
      <c r="DP158" s="3">
        <f t="shared" si="565"/>
        <v>0</v>
      </c>
      <c r="DQ158" s="3">
        <f t="shared" si="566"/>
        <v>0</v>
      </c>
      <c r="DR158" s="3" t="e">
        <f t="shared" ca="1" si="567"/>
        <v>#NUM!</v>
      </c>
      <c r="DS158" s="3">
        <f t="shared" si="568"/>
        <v>0</v>
      </c>
      <c r="DT158" s="3">
        <f t="shared" si="591"/>
        <v>0</v>
      </c>
      <c r="DU158" s="3">
        <f t="shared" si="592"/>
        <v>0</v>
      </c>
      <c r="DV158" s="3">
        <f t="shared" si="569"/>
        <v>-17</v>
      </c>
      <c r="DW158" s="3">
        <f t="shared" si="570"/>
        <v>15</v>
      </c>
      <c r="DX158" s="3" t="e">
        <f t="shared" ca="1" si="571"/>
        <v>#NUM!</v>
      </c>
      <c r="DY158" s="3" t="e">
        <f t="shared" ca="1" si="572"/>
        <v>#NUM!</v>
      </c>
      <c r="DZ158" s="3">
        <f t="shared" ca="1" si="573"/>
        <v>5.3109515487496071E-4</v>
      </c>
      <c r="EA158" s="3">
        <f t="shared" ca="1" si="574"/>
        <v>-5.0066292786587715E-4</v>
      </c>
      <c r="EB158" s="3">
        <f t="shared" ca="1" si="575"/>
        <v>6.2940238280347408E-4</v>
      </c>
      <c r="EC158" s="3">
        <f t="shared" ca="1" si="576"/>
        <v>-6.0256311610086067E-4</v>
      </c>
      <c r="ED158" s="63">
        <f t="shared" si="593"/>
        <v>-2</v>
      </c>
      <c r="EE158" s="59">
        <f t="shared" si="577"/>
        <v>0.25</v>
      </c>
      <c r="EF158" s="59">
        <f t="shared" si="578"/>
        <v>0.15190000000000001</v>
      </c>
      <c r="EG158" s="59">
        <f t="shared" si="579"/>
        <v>0.2752</v>
      </c>
      <c r="EH158" s="59">
        <f t="shared" si="580"/>
        <v>0.29199999999999998</v>
      </c>
      <c r="EI158" s="59">
        <f t="shared" si="581"/>
        <v>0.23200000000000001</v>
      </c>
      <c r="EJ158" s="59">
        <f t="shared" si="582"/>
        <v>0.2424</v>
      </c>
      <c r="EK158" s="63" t="e">
        <f t="shared" ca="1" si="594"/>
        <v>#NUM!</v>
      </c>
      <c r="EL158" s="3" t="str">
        <f>RTD("tos.rtd",,EL$43,"."&amp;$B$134&amp;$AS$82&amp;"C"&amp;$A158)</f>
        <v>--</v>
      </c>
      <c r="EM158" s="3" t="str">
        <f>RTD("tos.rtd",,EM$43,"."&amp;$B$134&amp;$AS$82&amp;"P"&amp;$A158)</f>
        <v>15.19%</v>
      </c>
      <c r="EN158" s="3" t="str">
        <f>RTD("tos.rtd",,EN$2,"."&amp;$C$134&amp;$AU$82&amp;"C"&amp;$A158)</f>
        <v>27.52%</v>
      </c>
      <c r="EO158" s="3" t="str">
        <f>RTD("tos.rtd",,EO$2,"."&amp;$C$134&amp;$AU$82&amp;"P"&amp;$A158)</f>
        <v>29.20%</v>
      </c>
      <c r="EP158" s="3" t="str">
        <f>RTD("tos.rtd",,EP$2,"."&amp;$D$134&amp;$AW$82&amp;"C"&amp;$A158)</f>
        <v>23.20%</v>
      </c>
      <c r="EQ158" s="3" t="str">
        <f>RTD("tos.rtd",,EQ$2,"."&amp;$D$134&amp;$AW$82&amp;"P"&amp;$A158)</f>
        <v>24.24%</v>
      </c>
      <c r="ES158" s="63" t="str">
        <f t="shared" si="583"/>
        <v>20025,-02.00</v>
      </c>
      <c r="ET158" s="63" t="str">
        <f t="shared" ca="1" si="584"/>
        <v>20025,00.00</v>
      </c>
      <c r="EU158" s="68">
        <v>565.05999999999995</v>
      </c>
      <c r="EV158" s="68" t="s">
        <v>1283</v>
      </c>
      <c r="EW158" s="68">
        <v>488.58</v>
      </c>
      <c r="EX158" s="68" t="s">
        <v>1284</v>
      </c>
      <c r="EY158" s="68">
        <v>5663.94</v>
      </c>
      <c r="EZ158" s="68" t="s">
        <v>1285</v>
      </c>
      <c r="FA158" s="68">
        <v>20063.564999999999</v>
      </c>
      <c r="FB158" s="68" t="s">
        <v>1286</v>
      </c>
      <c r="FC158" s="68" t="s">
        <v>1287</v>
      </c>
      <c r="FD158" s="68" t="s">
        <v>1288</v>
      </c>
      <c r="FE158" s="68" t="s">
        <v>1289</v>
      </c>
      <c r="FF158" s="68" t="s">
        <v>1290</v>
      </c>
    </row>
    <row r="159" spans="1:162" ht="11.1" customHeight="1" thickBot="1" x14ac:dyDescent="0.25">
      <c r="A159" s="2">
        <f t="shared" si="595"/>
        <v>20000</v>
      </c>
      <c r="B159" s="3">
        <f t="shared" si="628"/>
        <v>36</v>
      </c>
      <c r="C159" s="3">
        <f t="shared" si="629"/>
        <v>264</v>
      </c>
      <c r="D159" s="3">
        <f t="shared" si="630"/>
        <v>1283</v>
      </c>
      <c r="E159" s="3">
        <f t="shared" si="613"/>
        <v>1583</v>
      </c>
      <c r="F159" s="4">
        <f t="shared" si="623"/>
        <v>20409.044232049237</v>
      </c>
      <c r="G159" s="5">
        <f t="shared" si="615"/>
        <v>494.65021195627492</v>
      </c>
      <c r="AM159" s="1">
        <v>14</v>
      </c>
      <c r="AN159" s="1">
        <v>-113</v>
      </c>
      <c r="AO159" s="1">
        <v>20000</v>
      </c>
      <c r="AP159" s="1">
        <v>194</v>
      </c>
      <c r="AQ159" s="1">
        <v>-877</v>
      </c>
      <c r="AS159" s="54">
        <f>IF(RTD("tos.rtd",,AS$83,"."&amp;$B$134&amp;$AS$82&amp;"C"&amp;$A159)="N/A",0,RTD("tos.rtd",,AS$83,"."&amp;$B$134&amp;$AS$82&amp;"C"&amp;$A159))</f>
        <v>9</v>
      </c>
      <c r="AT159" s="3">
        <f>-IF(RTD("tos.rtd",,AT$83,"."&amp;$B$134&amp;$AS$82&amp;"P"&amp;$A159)="N/A",0,RTD("tos.rtd",,AT$83,"."&amp;$B$134&amp;$AS$82&amp;"P"&amp;$A159))</f>
        <v>-27</v>
      </c>
      <c r="AU159" s="54">
        <f>IF(RTD("tos.rtd",,AU$2,"."&amp;$C$134&amp;$AU$134&amp;"C"&amp;$A159)="N/A",0,RTD("tos.rtd",,AU$2,"."&amp;$C$134&amp;$AU$134&amp;"C"&amp;$A159))</f>
        <v>144</v>
      </c>
      <c r="AV159" s="3">
        <f>-IF(RTD("tos.rtd",,AV$2,"."&amp;$C$134&amp;$AU$134&amp;"P"&amp;$A159)="N/A",0,RTD("tos.rtd",,AV$2,"."&amp;$C$134&amp;$AU$134&amp;"P"&amp;$A159))</f>
        <v>-120</v>
      </c>
      <c r="AW159" s="54">
        <f>IF(RTD("tos.rtd",,AW$2,"."&amp;$D$134&amp;$AW$134&amp;"C"&amp;$A159)="N/A",0,RTD("tos.rtd",,AW$2,"."&amp;$D$134&amp;$AW$134&amp;"C"&amp;$A159))</f>
        <v>636</v>
      </c>
      <c r="AX159" s="3">
        <f>-IF(RTD("tos.rtd",,AX$2,"."&amp;$D$134&amp;$AW$134&amp;"P"&amp;$A159)="N/A",0,RTD("tos.rtd",,AX$2,"."&amp;$D$134&amp;$AW$134&amp;"P"&amp;$A159))</f>
        <v>-647</v>
      </c>
      <c r="AY159" s="76">
        <f t="shared" si="624"/>
        <v>-5</v>
      </c>
      <c r="AZ159" s="8">
        <f t="shared" si="548"/>
        <v>20000</v>
      </c>
      <c r="BA159" s="54">
        <f>IF(RTD("tos.rtd",,BA$43,"."&amp;$B$134&amp;$AS$82&amp;"C"&amp;$A159)="N/A",0,RTD("tos.rtd",,BA$43,"."&amp;$B$134&amp;$AS$82&amp;"C"&amp;$A159))</f>
        <v>194</v>
      </c>
      <c r="BB159" s="3">
        <f>-IF(RTD("tos.rtd",,BB$43,"."&amp;$B$134&amp;$AS$82&amp;"P"&amp;$A159)="N/A",0,RTD("tos.rtd",,BB$43,"."&amp;$B$134&amp;$AS$82&amp;"P"&amp;$A159))</f>
        <v>-877</v>
      </c>
      <c r="BC159" s="54">
        <f>IF(RTD("tos.rtd",,BC$2,"."&amp;$C$134&amp;$AU$82&amp;"C"&amp;$A159)="N/A",0,RTD("tos.rtd",,BC$2,"."&amp;$C$134&amp;$AU$82&amp;"C"&amp;$A159))</f>
        <v>18</v>
      </c>
      <c r="BD159" s="3">
        <f>-IF(RTD("tos.rtd",,BD$2,"."&amp;$C$134&amp;$AU$82&amp;"P"&amp;$A159)="N/A",0,RTD("tos.rtd",,BD$2,"."&amp;$C$134&amp;$AU$82&amp;"P"&amp;$A159))</f>
        <v>-21</v>
      </c>
      <c r="BE159" s="54">
        <f>IF(RTD("tos.rtd",,BE$2,"."&amp;$D$134&amp;$AW$82&amp;"C"&amp;$A159)="N/A",0,RTD("tos.rtd",,BE$2,"."&amp;$D$134&amp;$AW$82&amp;"C"&amp;$A159))</f>
        <v>2</v>
      </c>
      <c r="BF159" s="3">
        <f>-IF(RTD("tos.rtd",,BF$2,"."&amp;$D$134&amp;$AW$82&amp;"P"&amp;$A159)="N/A",0,RTD("tos.rtd",,BF$2,"."&amp;$D$134&amp;$AW$82&amp;"P"&amp;$A159))</f>
        <v>-26</v>
      </c>
      <c r="BG159" s="3">
        <f ca="1">+Hoja2!Y160</f>
        <v>-2</v>
      </c>
      <c r="BH159" s="7">
        <f t="shared" ca="1" si="549"/>
        <v>-712</v>
      </c>
      <c r="BI159" s="32" t="str">
        <f t="shared" ca="1" si="609"/>
        <v/>
      </c>
      <c r="BJ159" s="3" t="e">
        <f ca="1">IF($BP$1=1,DX159,IF(RTD("tos.rtd",,BJ$43,"."&amp;$B$134&amp;$AS$82&amp;"C"&amp;$A159)="N/A",0,RTD("tos.rtd",,BJ$43,"."&amp;$B$134&amp;$AS$82&amp;"C"&amp;$A159)))</f>
        <v>#NUM!</v>
      </c>
      <c r="BK159" s="3" t="e">
        <f ca="1">IF($BP$1=1,DY159,-IF(RTD("tos.rtd",,BK$43,"."&amp;$B$134&amp;$AS$82&amp;"P"&amp;$A159)="N/A",0,RTD("tos.rtd",,BK$43,"."&amp;$B$134&amp;$AS$82&amp;"P"&amp;$A159)))</f>
        <v>#NUM!</v>
      </c>
      <c r="BL159" s="3">
        <f ca="1">IF($BP$1=1,DZ159,IF(RTD("tos.rtd",,BL$2,"."&amp;$C$134&amp;$AU$82&amp;"C"&amp;$A159)="N/A",0,RTD("tos.rtd",,BL$2,"."&amp;$C$134&amp;$AU$82&amp;"C"&amp;$A159)))</f>
        <v>5.2809404864456657E-4</v>
      </c>
      <c r="BM159" s="3">
        <f ca="1">IF($BP$1=1,EA159,-IF(RTD("tos.rtd",,BM$2,"."&amp;$C$134&amp;$AU$82&amp;"P"&amp;$A159)="N/A",0,RTD("tos.rtd",,BM$2,"."&amp;$C$134&amp;$AU$82&amp;"P"&amp;$A159)))</f>
        <v>-4.9771771668943843E-4</v>
      </c>
      <c r="BN159" s="3">
        <f ca="1">IF($BP$1=1,EB159,IF(RTD("tos.rtd",,BN$2,"."&amp;$D$134&amp;$AW$82&amp;"C"&amp;$A159)="N/A",0,RTD("tos.rtd",,BN$2,"."&amp;$D$134&amp;$AW$82&amp;"C"&amp;$A159)))</f>
        <v>6.2433831577200576E-4</v>
      </c>
      <c r="BO159" s="3">
        <f ca="1">IF($BP$1=1,EC159,-IF(RTD("tos.rtd",,BO$2,"."&amp;$D$134&amp;$AW$82&amp;"P"&amp;$A159)="N/A",0,RTD("tos.rtd",,BO$2,"."&amp;$D$134&amp;$AW$82&amp;"P"&amp;$A159)))</f>
        <v>-5.9800326225096275E-4</v>
      </c>
      <c r="BQ159" s="3" t="e">
        <f t="shared" ca="1" si="625"/>
        <v>#NUM!</v>
      </c>
      <c r="BR159" s="3" t="e">
        <f t="shared" ca="1" si="550"/>
        <v>#NUM!</v>
      </c>
      <c r="BS159" s="3">
        <f t="shared" ca="1" si="626"/>
        <v>522785.68922213931</v>
      </c>
      <c r="BT159" s="3" t="str">
        <f t="shared" ca="1" si="551"/>
        <v/>
      </c>
      <c r="BU159" s="3">
        <f t="shared" ca="1" si="627"/>
        <v>325825.58842657134</v>
      </c>
      <c r="BV159" s="3" t="str">
        <f t="shared" ca="1" si="551"/>
        <v/>
      </c>
      <c r="BX159" s="3" t="e">
        <f t="shared" ca="1" si="585"/>
        <v>#NUM!</v>
      </c>
      <c r="BY159" s="3" t="e">
        <f t="shared" ca="1" si="586"/>
        <v>#NUM!</v>
      </c>
      <c r="BZ159" s="3">
        <f t="shared" ca="1" si="587"/>
        <v>-232.98404382070521</v>
      </c>
      <c r="CA159" s="3" t="str">
        <f t="shared" ca="1" si="586"/>
        <v/>
      </c>
      <c r="CB159" s="3">
        <f t="shared" ca="1" si="588"/>
        <v>-3520.2950699778717</v>
      </c>
      <c r="CC159" s="3" t="str">
        <f t="shared" ca="1" si="586"/>
        <v>Cruce -</v>
      </c>
      <c r="CD159" s="3">
        <f>IF(RTD("tos.rtd",,CD$43,"."&amp;$B$134&amp;$AS$82&amp;"C"&amp;$A159)="N/A",0,RTD("tos.rtd",,CD$43,"."&amp;$B$134&amp;$AS$82&amp;"C"&amp;$A159))</f>
        <v>1</v>
      </c>
      <c r="CE159" s="3">
        <f>-IF(RTD("tos.rtd",,CE$43,"."&amp;$B$134&amp;$AS$82&amp;"P"&amp;$A159)="N/A",0,RTD("tos.rtd",,CE$43,"."&amp;$B$134&amp;$AS$82&amp;"P"&amp;$A159))</f>
        <v>0.01</v>
      </c>
      <c r="CF159" s="3">
        <f>IF(RTD("tos.rtd",,CF$2,"."&amp;$C$134&amp;$AU$82&amp;"C"&amp;$A159)="N/A",0,RTD("tos.rtd",,CF$2,"."&amp;$C$134&amp;$AU$82&amp;"C"&amp;$A159))</f>
        <v>0.55000000000000004</v>
      </c>
      <c r="CG159" s="3">
        <f>-IF(RTD("tos.rtd",,CG$2,"."&amp;$C$134&amp;$AU$82&amp;"P"&amp;$A159)="N/A",0,RTD("tos.rtd",,CG$2,"."&amp;$C$134&amp;$AU$82&amp;"P"&amp;$A159))</f>
        <v>0.45</v>
      </c>
      <c r="CH159" s="3">
        <f>IF(RTD("tos.rtd",,CH$2,"."&amp;$D$134&amp;$AW$82&amp;"C"&amp;$A159)="N/A",0,RTD("tos.rtd",,CH$2,"."&amp;$D$134&amp;$AW$82&amp;"C"&amp;$A159))</f>
        <v>0.56000000000000005</v>
      </c>
      <c r="CI159" s="3">
        <f>-IF(RTD("tos.rtd",,CI$2,"."&amp;$D$134&amp;$AW$82&amp;"P"&amp;$A159)="N/A",0,RTD("tos.rtd",,CI$2,"."&amp;$D$134&amp;$AW$82&amp;"P"&amp;$A159))</f>
        <v>0.44</v>
      </c>
      <c r="CK159" s="3">
        <f t="shared" si="620"/>
        <v>873</v>
      </c>
      <c r="CL159" s="3"/>
      <c r="CM159" s="3">
        <f t="shared" si="621"/>
        <v>2520</v>
      </c>
      <c r="CN159" s="3"/>
      <c r="CO159" s="3">
        <f t="shared" si="622"/>
        <v>7148</v>
      </c>
      <c r="CP159" s="3">
        <f t="shared" si="542"/>
        <v>10541</v>
      </c>
      <c r="CQ159" s="3">
        <f t="shared" si="552"/>
        <v>-683</v>
      </c>
      <c r="CR159" s="3"/>
      <c r="CS159" s="3">
        <f t="shared" si="553"/>
        <v>-3</v>
      </c>
      <c r="CT159" s="3"/>
      <c r="CU159" s="3">
        <f t="shared" si="554"/>
        <v>-24</v>
      </c>
      <c r="CV159" s="3"/>
      <c r="CW159" s="3" t="e">
        <f t="shared" ca="1" si="555"/>
        <v>#NUM!</v>
      </c>
      <c r="CY159" s="3" t="e">
        <f t="shared" ca="1" si="556"/>
        <v>#NUM!</v>
      </c>
      <c r="CZ159" s="70" t="e">
        <f t="shared" ca="1" si="589"/>
        <v>#NUM!</v>
      </c>
      <c r="DA159" s="3">
        <f>IF(RTD("tos.rtd",,DA$43,"."&amp;$B$134&amp;$AS$82&amp;"C"&amp;$A159)="N/A",0,RTD("tos.rtd",,DA$43,"."&amp;$B$134&amp;$AS$82&amp;"C"&amp;$A159))</f>
        <v>66</v>
      </c>
      <c r="DB159" s="3">
        <f>IF(RTD("tos.rtd",,DB$43,"."&amp;$B$134&amp;$AS$82&amp;"P"&amp;$A159)="N/A",0,RTD("tos.rtd",,DB$43,"."&amp;$B$134&amp;$AS$82&amp;"P"&amp;$A159))</f>
        <v>0.1</v>
      </c>
      <c r="DC159" s="3">
        <f>IF(RTD("tos.rtd",,DC$43,"."&amp;$B$134&amp;$AS$82&amp;"C"&amp;$A159)="N/A",0,RTD("tos.rtd",,DC$43,"."&amp;$B$134&amp;$AS$82&amp;"C"&amp;$A159))</f>
        <v>66</v>
      </c>
      <c r="DD159" s="3">
        <f>IF(RTD("tos.rtd",,DD$43,"."&amp;$B$134&amp;$AS$82&amp;"P"&amp;$A159)="N/A",0,RTD("tos.rtd",,DD$43,"."&amp;$B$134&amp;$AS$82&amp;"P"&amp;$A159))</f>
        <v>0.15</v>
      </c>
      <c r="DE159" s="3">
        <f>IF(RTD("tos.rtd",,DE$43,"."&amp;$B$134&amp;$AS$82&amp;"C"&amp;$A159)="N/A",0,RTD("tos.rtd",,DE$43,"."&amp;$B$134&amp;$AS$82&amp;"C"&amp;$A159))</f>
        <v>48</v>
      </c>
      <c r="DF159" s="3">
        <f>IF(RTD("tos.rtd",,DF$43,"."&amp;$B$134&amp;$AS$82&amp;"P"&amp;$A159)="N/A",0,RTD("tos.rtd",,DF$43,"."&amp;$B$134&amp;$AS$82&amp;"P"&amp;$A159))</f>
        <v>0</v>
      </c>
      <c r="DG159" s="86">
        <f t="shared" si="590"/>
        <v>-61.449000000000524</v>
      </c>
      <c r="DH159" s="3">
        <f t="shared" si="557"/>
        <v>0</v>
      </c>
      <c r="DI159" s="3">
        <f t="shared" si="558"/>
        <v>0</v>
      </c>
      <c r="DJ159" s="3">
        <f t="shared" si="559"/>
        <v>0</v>
      </c>
      <c r="DK159" s="3">
        <f t="shared" si="560"/>
        <v>0</v>
      </c>
      <c r="DL159" s="3">
        <f t="shared" si="561"/>
        <v>0</v>
      </c>
      <c r="DM159" s="3">
        <f t="shared" si="562"/>
        <v>0</v>
      </c>
      <c r="DN159" s="64" t="str">
        <f t="shared" si="563"/>
        <v>UNKNOWN</v>
      </c>
      <c r="DO159" s="64" t="str">
        <f t="shared" si="564"/>
        <v>UNKNOWN</v>
      </c>
      <c r="DP159" s="3">
        <f t="shared" si="565"/>
        <v>0</v>
      </c>
      <c r="DQ159" s="3">
        <f t="shared" si="566"/>
        <v>0</v>
      </c>
      <c r="DR159" s="3" t="e">
        <f t="shared" ca="1" si="567"/>
        <v>#NUM!</v>
      </c>
      <c r="DS159" s="3">
        <f t="shared" si="568"/>
        <v>0</v>
      </c>
      <c r="DT159" s="3">
        <f t="shared" si="591"/>
        <v>0</v>
      </c>
      <c r="DU159" s="3">
        <f t="shared" si="592"/>
        <v>0</v>
      </c>
      <c r="DV159" s="3">
        <f t="shared" si="569"/>
        <v>14</v>
      </c>
      <c r="DW159" s="3">
        <f t="shared" si="570"/>
        <v>-113</v>
      </c>
      <c r="DX159" s="3" t="e">
        <f t="shared" ca="1" si="571"/>
        <v>#NUM!</v>
      </c>
      <c r="DY159" s="3" t="e">
        <f t="shared" ca="1" si="572"/>
        <v>#NUM!</v>
      </c>
      <c r="DZ159" s="3">
        <f t="shared" ca="1" si="573"/>
        <v>5.2809404864456657E-4</v>
      </c>
      <c r="EA159" s="3">
        <f t="shared" ca="1" si="574"/>
        <v>-4.9771771668943843E-4</v>
      </c>
      <c r="EB159" s="3">
        <f t="shared" ca="1" si="575"/>
        <v>6.2433831577200576E-4</v>
      </c>
      <c r="EC159" s="3">
        <f t="shared" ca="1" si="576"/>
        <v>-5.9800326225096275E-4</v>
      </c>
      <c r="ED159" s="63">
        <f t="shared" si="593"/>
        <v>-99</v>
      </c>
      <c r="EE159" s="59">
        <f t="shared" si="577"/>
        <v>0.25</v>
      </c>
      <c r="EF159" s="59">
        <f t="shared" si="578"/>
        <v>0.17080000000000001</v>
      </c>
      <c r="EG159" s="59">
        <f t="shared" si="579"/>
        <v>0.27579999999999999</v>
      </c>
      <c r="EH159" s="59">
        <f t="shared" si="580"/>
        <v>0.2928</v>
      </c>
      <c r="EI159" s="59">
        <f t="shared" si="581"/>
        <v>0.23280000000000001</v>
      </c>
      <c r="EJ159" s="59">
        <f t="shared" si="582"/>
        <v>0.2432</v>
      </c>
      <c r="EK159" s="63" t="e">
        <f t="shared" ca="1" si="594"/>
        <v>#NUM!</v>
      </c>
      <c r="EL159" s="3" t="str">
        <f>RTD("tos.rtd",,EL$43,"."&amp;$B$134&amp;$AS$82&amp;"C"&amp;$A159)</f>
        <v>--</v>
      </c>
      <c r="EM159" s="3" t="str">
        <f>RTD("tos.rtd",,EM$43,"."&amp;$B$134&amp;$AS$82&amp;"P"&amp;$A159)</f>
        <v>17.08%</v>
      </c>
      <c r="EN159" s="3" t="str">
        <f>RTD("tos.rtd",,EN$2,"."&amp;$C$134&amp;$AU$82&amp;"C"&amp;$A159)</f>
        <v>27.58%</v>
      </c>
      <c r="EO159" s="3" t="str">
        <f>RTD("tos.rtd",,EO$2,"."&amp;$C$134&amp;$AU$82&amp;"P"&amp;$A159)</f>
        <v>29.28%</v>
      </c>
      <c r="EP159" s="3" t="str">
        <f>RTD("tos.rtd",,EP$2,"."&amp;$D$134&amp;$AW$82&amp;"C"&amp;$A159)</f>
        <v>23.28%</v>
      </c>
      <c r="EQ159" s="3" t="str">
        <f>RTD("tos.rtd",,EQ$2,"."&amp;$D$134&amp;$AW$82&amp;"P"&amp;$A159)</f>
        <v>24.32%</v>
      </c>
      <c r="ES159" s="63" t="str">
        <f t="shared" si="583"/>
        <v>20000,-99.00</v>
      </c>
      <c r="ET159" s="63" t="str">
        <f t="shared" ca="1" si="584"/>
        <v>20000,00.00</v>
      </c>
      <c r="EU159" s="68">
        <v>565.05999999999995</v>
      </c>
      <c r="EV159" s="68" t="s">
        <v>1291</v>
      </c>
      <c r="EW159" s="68">
        <v>488.63</v>
      </c>
      <c r="EX159" s="68" t="s">
        <v>1292</v>
      </c>
      <c r="EY159" s="68">
        <v>5663.94</v>
      </c>
      <c r="EZ159" s="68" t="s">
        <v>1293</v>
      </c>
      <c r="FA159" s="68">
        <v>20063.564999999999</v>
      </c>
      <c r="FB159" s="68" t="s">
        <v>1294</v>
      </c>
      <c r="FC159" s="68" t="s">
        <v>1295</v>
      </c>
      <c r="FD159" s="68" t="s">
        <v>1296</v>
      </c>
      <c r="FE159" s="68" t="s">
        <v>1297</v>
      </c>
      <c r="FF159" s="68" t="s">
        <v>1298</v>
      </c>
    </row>
    <row r="160" spans="1:162" ht="11.1" customHeight="1" thickBot="1" x14ac:dyDescent="0.25">
      <c r="A160" s="2">
        <f t="shared" si="595"/>
        <v>19975</v>
      </c>
      <c r="B160" s="3">
        <f t="shared" si="628"/>
        <v>16</v>
      </c>
      <c r="C160" s="3">
        <f t="shared" si="629"/>
        <v>26</v>
      </c>
      <c r="D160" s="3">
        <f t="shared" si="630"/>
        <v>56</v>
      </c>
      <c r="E160" s="3">
        <f t="shared" si="613"/>
        <v>98</v>
      </c>
      <c r="F160" s="4">
        <f t="shared" si="623"/>
        <v>20383.532926759177</v>
      </c>
      <c r="G160" s="5">
        <f t="shared" si="615"/>
        <v>494.03189919132956</v>
      </c>
      <c r="AM160" s="1">
        <v>-1</v>
      </c>
      <c r="AN160" s="1">
        <v>-50</v>
      </c>
      <c r="AO160" s="1">
        <v>19975</v>
      </c>
      <c r="AP160" s="1">
        <v>6</v>
      </c>
      <c r="AQ160" s="1">
        <v>-224</v>
      </c>
      <c r="AS160" s="54">
        <f>IF(RTD("tos.rtd",,AS$83,"."&amp;$B$134&amp;$AS$82&amp;"C"&amp;$A160)="N/A",0,RTD("tos.rtd",,AS$83,"."&amp;$B$134&amp;$AS$82&amp;"C"&amp;$A160))</f>
        <v>5</v>
      </c>
      <c r="AT160" s="3">
        <f>-IF(RTD("tos.rtd",,AT$83,"."&amp;$B$134&amp;$AS$82&amp;"P"&amp;$A160)="N/A",0,RTD("tos.rtd",,AT$83,"."&amp;$B$134&amp;$AS$82&amp;"P"&amp;$A160))</f>
        <v>-11</v>
      </c>
      <c r="AU160" s="54">
        <f>IF(RTD("tos.rtd",,AU$2,"."&amp;$C$134&amp;$AU$134&amp;"C"&amp;$A160)="N/A",0,RTD("tos.rtd",,AU$2,"."&amp;$C$134&amp;$AU$134&amp;"C"&amp;$A160))</f>
        <v>16</v>
      </c>
      <c r="AV160" s="3">
        <f>-IF(RTD("tos.rtd",,AV$2,"."&amp;$C$134&amp;$AU$134&amp;"P"&amp;$A160)="N/A",0,RTD("tos.rtd",,AV$2,"."&amp;$C$134&amp;$AU$134&amp;"P"&amp;$A160))</f>
        <v>-10</v>
      </c>
      <c r="AW160" s="54">
        <f>IF(RTD("tos.rtd",,AW$2,"."&amp;$D$134&amp;$AW$134&amp;"C"&amp;$A160)="N/A",0,RTD("tos.rtd",,AW$2,"."&amp;$D$134&amp;$AW$134&amp;"C"&amp;$A160))</f>
        <v>28</v>
      </c>
      <c r="AX160" s="3">
        <f>-IF(RTD("tos.rtd",,AX$2,"."&amp;$D$134&amp;$AW$134&amp;"P"&amp;$A160)="N/A",0,RTD("tos.rtd",,AX$2,"."&amp;$D$134&amp;$AW$134&amp;"P"&amp;$A160))</f>
        <v>-28</v>
      </c>
      <c r="AY160" s="76">
        <f t="shared" si="624"/>
        <v>0</v>
      </c>
      <c r="AZ160" s="8">
        <f t="shared" si="548"/>
        <v>19975</v>
      </c>
      <c r="BA160" s="54">
        <f>IF(RTD("tos.rtd",,BA$43,"."&amp;$B$134&amp;$AS$82&amp;"C"&amp;$A160)="N/A",0,RTD("tos.rtd",,BA$43,"."&amp;$B$134&amp;$AS$82&amp;"C"&amp;$A160))</f>
        <v>6</v>
      </c>
      <c r="BB160" s="3">
        <f>-IF(RTD("tos.rtd",,BB$43,"."&amp;$B$134&amp;$AS$82&amp;"P"&amp;$A160)="N/A",0,RTD("tos.rtd",,BB$43,"."&amp;$B$134&amp;$AS$82&amp;"P"&amp;$A160))</f>
        <v>-224</v>
      </c>
      <c r="BC160" s="54">
        <f>IF(RTD("tos.rtd",,BC$2,"."&amp;$C$134&amp;$AU$82&amp;"C"&amp;$A160)="N/A",0,RTD("tos.rtd",,BC$2,"."&amp;$C$134&amp;$AU$82&amp;"C"&amp;$A160))</f>
        <v>0</v>
      </c>
      <c r="BD160" s="3">
        <f>-IF(RTD("tos.rtd",,BD$2,"."&amp;$C$134&amp;$AU$82&amp;"P"&amp;$A160)="N/A",0,RTD("tos.rtd",,BD$2,"."&amp;$C$134&amp;$AU$82&amp;"P"&amp;$A160))</f>
        <v>-4</v>
      </c>
      <c r="BE160" s="54">
        <f>IF(RTD("tos.rtd",,BE$2,"."&amp;$D$134&amp;$AW$82&amp;"C"&amp;$A160)="N/A",0,RTD("tos.rtd",,BE$2,"."&amp;$D$134&amp;$AW$82&amp;"C"&amp;$A160))</f>
        <v>0</v>
      </c>
      <c r="BF160" s="3">
        <f>-IF(RTD("tos.rtd",,BF$2,"."&amp;$D$134&amp;$AW$82&amp;"P"&amp;$A160)="N/A",0,RTD("tos.rtd",,BF$2,"."&amp;$D$134&amp;$AW$82&amp;"P"&amp;$A160))</f>
        <v>-4</v>
      </c>
      <c r="BG160" s="3">
        <f ca="1">+Hoja2!Y161</f>
        <v>0</v>
      </c>
      <c r="BH160" s="7">
        <f t="shared" ca="1" si="549"/>
        <v>-226</v>
      </c>
      <c r="BI160" s="32" t="str">
        <f t="shared" ca="1" si="609"/>
        <v/>
      </c>
      <c r="BJ160" s="3" t="e">
        <f ca="1">IF($BP$1=1,DX160,IF(RTD("tos.rtd",,BJ$43,"."&amp;$B$134&amp;$AS$82&amp;"C"&amp;$A160)="N/A",0,RTD("tos.rtd",,BJ$43,"."&amp;$B$134&amp;$AS$82&amp;"C"&amp;$A160)))</f>
        <v>#NUM!</v>
      </c>
      <c r="BK160" s="3" t="e">
        <f ca="1">IF($BP$1=1,DY160,-IF(RTD("tos.rtd",,BK$43,"."&amp;$B$134&amp;$AS$82&amp;"P"&amp;$A160)="N/A",0,RTD("tos.rtd",,BK$43,"."&amp;$B$134&amp;$AS$82&amp;"P"&amp;$A160)))</f>
        <v>#NUM!</v>
      </c>
      <c r="BL160" s="3">
        <f ca="1">IF($BP$1=1,DZ160,IF(RTD("tos.rtd",,BL$2,"."&amp;$C$134&amp;$AU$82&amp;"C"&amp;$A160)="N/A",0,RTD("tos.rtd",,BL$2,"."&amp;$C$134&amp;$AU$82&amp;"C"&amp;$A160)))</f>
        <v>5.2491136450514176E-4</v>
      </c>
      <c r="BM160" s="3">
        <f ca="1">IF($BP$1=1,EA160,-IF(RTD("tos.rtd",,BM$2,"."&amp;$C$134&amp;$AU$82&amp;"P"&amp;$A160)="N/A",0,RTD("tos.rtd",,BM$2,"."&amp;$C$134&amp;$AU$82&amp;"P"&amp;$A160)))</f>
        <v>-4.9464849275108189E-4</v>
      </c>
      <c r="BN160" s="3">
        <f ca="1">IF($BP$1=1,EB160,IF(RTD("tos.rtd",,BN$2,"."&amp;$D$134&amp;$AW$82&amp;"C"&amp;$A160)="N/A",0,RTD("tos.rtd",,BN$2,"."&amp;$D$134&amp;$AW$82&amp;"C"&amp;$A160)))</f>
        <v>6.1812959765280998E-4</v>
      </c>
      <c r="BO160" s="3">
        <f ca="1">IF($BP$1=1,EC160,-IF(RTD("tos.rtd",,BO$2,"."&amp;$D$134&amp;$AW$82&amp;"P"&amp;$A160)="N/A",0,RTD("tos.rtd",,BO$2,"."&amp;$D$134&amp;$AW$82&amp;"P"&amp;$A160)))</f>
        <v>-5.9242473438224949E-4</v>
      </c>
      <c r="BQ160" s="3" t="e">
        <f t="shared" ca="1" si="625"/>
        <v>#NUM!</v>
      </c>
      <c r="BR160" s="3" t="e">
        <f t="shared" ca="1" si="550"/>
        <v>#NUM!</v>
      </c>
      <c r="BS160" s="3">
        <f t="shared" ca="1" si="626"/>
        <v>110586.47862772469</v>
      </c>
      <c r="BT160" s="3" t="str">
        <f t="shared" ca="1" si="551"/>
        <v/>
      </c>
      <c r="BU160" s="3">
        <f t="shared" ca="1" si="627"/>
        <v>23056.44683674851</v>
      </c>
      <c r="BV160" s="3" t="str">
        <f t="shared" ca="1" si="551"/>
        <v/>
      </c>
      <c r="BX160" s="3" t="e">
        <f t="shared" ca="1" si="585"/>
        <v>#NUM!</v>
      </c>
      <c r="BY160" s="3" t="e">
        <f t="shared" ca="1" si="586"/>
        <v>#NUM!</v>
      </c>
      <c r="BZ160" s="3">
        <f t="shared" ca="1" si="587"/>
        <v>-487.09950163923662</v>
      </c>
      <c r="CA160" s="3" t="str">
        <f t="shared" ca="1" si="586"/>
        <v/>
      </c>
      <c r="CB160" s="3">
        <f t="shared" ca="1" si="588"/>
        <v>-583.38354832825814</v>
      </c>
      <c r="CC160" s="3" t="str">
        <f t="shared" ca="1" si="586"/>
        <v/>
      </c>
      <c r="CD160" s="3">
        <f>IF(RTD("tos.rtd",,CD$43,"."&amp;$B$134&amp;$AS$82&amp;"C"&amp;$A160)="N/A",0,RTD("tos.rtd",,CD$43,"."&amp;$B$134&amp;$AS$82&amp;"C"&amp;$A160))</f>
        <v>1</v>
      </c>
      <c r="CE160" s="3">
        <f>-IF(RTD("tos.rtd",,CE$43,"."&amp;$B$134&amp;$AS$82&amp;"P"&amp;$A160)="N/A",0,RTD("tos.rtd",,CE$43,"."&amp;$B$134&amp;$AS$82&amp;"P"&amp;$A160))</f>
        <v>0.19</v>
      </c>
      <c r="CF160" s="3">
        <f>IF(RTD("tos.rtd",,CF$2,"."&amp;$C$134&amp;$AU$82&amp;"C"&amp;$A160)="N/A",0,RTD("tos.rtd",,CF$2,"."&amp;$C$134&amp;$AU$82&amp;"C"&amp;$A160))</f>
        <v>0.56999999999999995</v>
      </c>
      <c r="CG160" s="3">
        <f>-IF(RTD("tos.rtd",,CG$2,"."&amp;$C$134&amp;$AU$82&amp;"P"&amp;$A160)="N/A",0,RTD("tos.rtd",,CG$2,"."&amp;$C$134&amp;$AU$82&amp;"P"&amp;$A160))</f>
        <v>0.43</v>
      </c>
      <c r="CH160" s="3">
        <f>IF(RTD("tos.rtd",,CH$2,"."&amp;$D$134&amp;$AW$82&amp;"C"&amp;$A160)="N/A",0,RTD("tos.rtd",,CH$2,"."&amp;$D$134&amp;$AW$82&amp;"C"&amp;$A160))</f>
        <v>0.56000000000000005</v>
      </c>
      <c r="CI160" s="3">
        <f>-IF(RTD("tos.rtd",,CI$2,"."&amp;$D$134&amp;$AW$82&amp;"P"&amp;$A160)="N/A",0,RTD("tos.rtd",,CI$2,"."&amp;$D$134&amp;$AW$82&amp;"P"&amp;$A160))</f>
        <v>0.44</v>
      </c>
      <c r="CK160" s="3">
        <f t="shared" si="620"/>
        <v>291</v>
      </c>
      <c r="CL160" s="3"/>
      <c r="CM160" s="3">
        <f t="shared" si="621"/>
        <v>481.99999999999989</v>
      </c>
      <c r="CN160" s="3"/>
      <c r="CO160" s="3">
        <f t="shared" si="622"/>
        <v>336.00000000000023</v>
      </c>
      <c r="CP160" s="3">
        <f t="shared" si="542"/>
        <v>1109</v>
      </c>
      <c r="CQ160" s="3">
        <f t="shared" si="552"/>
        <v>-218</v>
      </c>
      <c r="CR160" s="3"/>
      <c r="CS160" s="3">
        <f t="shared" si="553"/>
        <v>-4</v>
      </c>
      <c r="CT160" s="3"/>
      <c r="CU160" s="3">
        <f t="shared" si="554"/>
        <v>-4</v>
      </c>
      <c r="CV160" s="3"/>
      <c r="CW160" s="3" t="e">
        <f t="shared" ca="1" si="555"/>
        <v>#NUM!</v>
      </c>
      <c r="CY160" s="3" t="e">
        <f t="shared" ca="1" si="556"/>
        <v>#NUM!</v>
      </c>
      <c r="CZ160" s="70" t="e">
        <f t="shared" ca="1" si="589"/>
        <v>#NUM!</v>
      </c>
      <c r="DA160" s="3">
        <f>IF(RTD("tos.rtd",,DA$43,"."&amp;$B$134&amp;$AS$82&amp;"C"&amp;$A160)="N/A",0,RTD("tos.rtd",,DA$43,"."&amp;$B$134&amp;$AS$82&amp;"C"&amp;$A160))</f>
        <v>112.8</v>
      </c>
      <c r="DB160" s="3">
        <f>IF(RTD("tos.rtd",,DB$43,"."&amp;$B$134&amp;$AS$82&amp;"P"&amp;$A160)="N/A",0,RTD("tos.rtd",,DB$43,"."&amp;$B$134&amp;$AS$82&amp;"P"&amp;$A160))</f>
        <v>0.05</v>
      </c>
      <c r="DC160" s="3">
        <f>IF(RTD("tos.rtd",,DC$43,"."&amp;$B$134&amp;$AS$82&amp;"C"&amp;$A160)="N/A",0,RTD("tos.rtd",,DC$43,"."&amp;$B$134&amp;$AS$82&amp;"C"&amp;$A160))</f>
        <v>90</v>
      </c>
      <c r="DD160" s="3">
        <f>IF(RTD("tos.rtd",,DD$43,"."&amp;$B$134&amp;$AS$82&amp;"P"&amp;$A160)="N/A",0,RTD("tos.rtd",,DD$43,"."&amp;$B$134&amp;$AS$82&amp;"P"&amp;$A160))</f>
        <v>19.8</v>
      </c>
      <c r="DE160" s="3">
        <f>IF(RTD("tos.rtd",,DE$43,"."&amp;$B$134&amp;$AS$82&amp;"C"&amp;$A160)="N/A",0,RTD("tos.rtd",,DE$43,"."&amp;$B$134&amp;$AS$82&amp;"C"&amp;$A160))</f>
        <v>72</v>
      </c>
      <c r="DF160" s="3">
        <f>IF(RTD("tos.rtd",,DF$43,"."&amp;$B$134&amp;$AS$82&amp;"P"&amp;$A160)="N/A",0,RTD("tos.rtd",,DF$43,"."&amp;$B$134&amp;$AS$82&amp;"P"&amp;$A160))</f>
        <v>0.05</v>
      </c>
      <c r="DG160" s="86">
        <f t="shared" si="590"/>
        <v>-86.449000000000524</v>
      </c>
      <c r="DH160" s="3">
        <f t="shared" si="557"/>
        <v>0</v>
      </c>
      <c r="DI160" s="3">
        <f t="shared" si="558"/>
        <v>0</v>
      </c>
      <c r="DJ160" s="3">
        <f t="shared" si="559"/>
        <v>0</v>
      </c>
      <c r="DK160" s="3">
        <f t="shared" si="560"/>
        <v>0</v>
      </c>
      <c r="DL160" s="3">
        <f t="shared" si="561"/>
        <v>0</v>
      </c>
      <c r="DM160" s="3">
        <f t="shared" si="562"/>
        <v>0</v>
      </c>
      <c r="DN160" s="64" t="str">
        <f t="shared" si="563"/>
        <v>UNKNOWN</v>
      </c>
      <c r="DO160" s="64" t="str">
        <f t="shared" si="564"/>
        <v>UNKNOWN</v>
      </c>
      <c r="DP160" s="3">
        <f t="shared" si="565"/>
        <v>0</v>
      </c>
      <c r="DQ160" s="3">
        <f t="shared" si="566"/>
        <v>0</v>
      </c>
      <c r="DR160" s="3" t="e">
        <f t="shared" ca="1" si="567"/>
        <v>#NUM!</v>
      </c>
      <c r="DS160" s="3">
        <f t="shared" si="568"/>
        <v>0</v>
      </c>
      <c r="DT160" s="3">
        <f t="shared" si="591"/>
        <v>0</v>
      </c>
      <c r="DU160" s="3">
        <f t="shared" si="592"/>
        <v>0</v>
      </c>
      <c r="DV160" s="3">
        <f t="shared" si="569"/>
        <v>-1</v>
      </c>
      <c r="DW160" s="3">
        <f t="shared" si="570"/>
        <v>-50</v>
      </c>
      <c r="DX160" s="3" t="e">
        <f t="shared" ca="1" si="571"/>
        <v>#NUM!</v>
      </c>
      <c r="DY160" s="3" t="e">
        <f t="shared" ca="1" si="572"/>
        <v>#NUM!</v>
      </c>
      <c r="DZ160" s="3">
        <f t="shared" ca="1" si="573"/>
        <v>5.2491136450514176E-4</v>
      </c>
      <c r="EA160" s="3">
        <f t="shared" ca="1" si="574"/>
        <v>-4.9464849275108189E-4</v>
      </c>
      <c r="EB160" s="3">
        <f t="shared" ca="1" si="575"/>
        <v>6.1812959765280998E-4</v>
      </c>
      <c r="EC160" s="3">
        <f t="shared" ca="1" si="576"/>
        <v>-5.9242473438224949E-4</v>
      </c>
      <c r="ED160" s="63">
        <f t="shared" si="593"/>
        <v>-51</v>
      </c>
      <c r="EE160" s="59">
        <f t="shared" si="577"/>
        <v>0.25</v>
      </c>
      <c r="EF160" s="59">
        <f t="shared" si="578"/>
        <v>0.64249999999999996</v>
      </c>
      <c r="EG160" s="59">
        <f t="shared" si="579"/>
        <v>0.2762</v>
      </c>
      <c r="EH160" s="59">
        <f t="shared" si="580"/>
        <v>0.29339999999999999</v>
      </c>
      <c r="EI160" s="59">
        <f t="shared" si="581"/>
        <v>0.23369999999999999</v>
      </c>
      <c r="EJ160" s="59">
        <f t="shared" si="582"/>
        <v>0.24410000000000001</v>
      </c>
      <c r="EK160" s="63" t="e">
        <f t="shared" ca="1" si="594"/>
        <v>#NUM!</v>
      </c>
      <c r="EL160" s="3" t="str">
        <f>RTD("tos.rtd",,EL$43,"."&amp;$B$134&amp;$AS$82&amp;"C"&amp;$A160)</f>
        <v>--</v>
      </c>
      <c r="EM160" s="3" t="str">
        <f>RTD("tos.rtd",,EM$43,"."&amp;$B$134&amp;$AS$82&amp;"P"&amp;$A160)</f>
        <v>64.25%</v>
      </c>
      <c r="EN160" s="3" t="str">
        <f>RTD("tos.rtd",,EN$2,"."&amp;$C$134&amp;$AU$82&amp;"C"&amp;$A160)</f>
        <v>27.62%</v>
      </c>
      <c r="EO160" s="3" t="str">
        <f>RTD("tos.rtd",,EO$2,"."&amp;$C$134&amp;$AU$82&amp;"P"&amp;$A160)</f>
        <v>29.34%</v>
      </c>
      <c r="EP160" s="3" t="str">
        <f>RTD("tos.rtd",,EP$2,"."&amp;$D$134&amp;$AW$82&amp;"C"&amp;$A160)</f>
        <v>23.37%</v>
      </c>
      <c r="EQ160" s="3" t="str">
        <f>RTD("tos.rtd",,EQ$2,"."&amp;$D$134&amp;$AW$82&amp;"P"&amp;$A160)</f>
        <v>24.41%</v>
      </c>
      <c r="ES160" s="63" t="str">
        <f t="shared" si="583"/>
        <v>19975,-51.00</v>
      </c>
      <c r="ET160" s="63" t="str">
        <f t="shared" ca="1" si="584"/>
        <v>19975,00.00</v>
      </c>
      <c r="EU160" s="68">
        <v>565.29</v>
      </c>
      <c r="EV160" s="68" t="s">
        <v>1299</v>
      </c>
      <c r="EW160" s="68">
        <v>488.94</v>
      </c>
      <c r="EX160" s="68" t="s">
        <v>1300</v>
      </c>
      <c r="EY160" s="68">
        <v>5663.94</v>
      </c>
      <c r="EZ160" s="68" t="s">
        <v>1301</v>
      </c>
      <c r="FA160" s="68">
        <v>20063.564999999999</v>
      </c>
      <c r="FB160" s="68" t="s">
        <v>1302</v>
      </c>
      <c r="FC160" s="68" t="s">
        <v>1303</v>
      </c>
      <c r="FD160" s="68" t="s">
        <v>1304</v>
      </c>
      <c r="FE160" s="68" t="s">
        <v>1305</v>
      </c>
      <c r="FF160" s="68" t="s">
        <v>1306</v>
      </c>
    </row>
    <row r="161" spans="1:162" ht="11.1" customHeight="1" thickBot="1" x14ac:dyDescent="0.25">
      <c r="A161" s="2">
        <f t="shared" si="595"/>
        <v>19950</v>
      </c>
      <c r="B161" s="3">
        <f t="shared" si="628"/>
        <v>29</v>
      </c>
      <c r="C161" s="3">
        <f t="shared" si="629"/>
        <v>35</v>
      </c>
      <c r="D161" s="3">
        <f t="shared" si="630"/>
        <v>203</v>
      </c>
      <c r="E161" s="3">
        <f t="shared" si="613"/>
        <v>267</v>
      </c>
      <c r="F161" s="4">
        <f t="shared" si="623"/>
        <v>20358.021621469114</v>
      </c>
      <c r="G161" s="5">
        <f t="shared" si="615"/>
        <v>493.4135864263842</v>
      </c>
      <c r="AM161" s="1">
        <v>5</v>
      </c>
      <c r="AN161" s="1">
        <v>-46</v>
      </c>
      <c r="AO161" s="1">
        <v>19950</v>
      </c>
      <c r="AP161" s="1">
        <v>22</v>
      </c>
      <c r="AQ161" s="1">
        <v>-480</v>
      </c>
      <c r="AS161" s="54">
        <f>IF(RTD("tos.rtd",,AS$83,"."&amp;$B$134&amp;$AS$82&amp;"C"&amp;$A161)="N/A",0,RTD("tos.rtd",,AS$83,"."&amp;$B$134&amp;$AS$82&amp;"C"&amp;$A161))</f>
        <v>6</v>
      </c>
      <c r="AT161" s="3">
        <f>-IF(RTD("tos.rtd",,AT$83,"."&amp;$B$134&amp;$AS$82&amp;"P"&amp;$A161)="N/A",0,RTD("tos.rtd",,AT$83,"."&amp;$B$134&amp;$AS$82&amp;"P"&amp;$A161))</f>
        <v>-23</v>
      </c>
      <c r="AU161" s="54">
        <f>IF(RTD("tos.rtd",,AU$2,"."&amp;$C$134&amp;$AU$134&amp;"C"&amp;$A161)="N/A",0,RTD("tos.rtd",,AU$2,"."&amp;$C$134&amp;$AU$134&amp;"C"&amp;$A161))</f>
        <v>28</v>
      </c>
      <c r="AV161" s="3">
        <f>-IF(RTD("tos.rtd",,AV$2,"."&amp;$C$134&amp;$AU$134&amp;"P"&amp;$A161)="N/A",0,RTD("tos.rtd",,AV$2,"."&amp;$C$134&amp;$AU$134&amp;"P"&amp;$A161))</f>
        <v>-7</v>
      </c>
      <c r="AW161" s="54">
        <f>IF(RTD("tos.rtd",,AW$2,"."&amp;$D$134&amp;$AW$134&amp;"C"&amp;$A161)="N/A",0,RTD("tos.rtd",,AW$2,"."&amp;$D$134&amp;$AW$134&amp;"C"&amp;$A161))</f>
        <v>106</v>
      </c>
      <c r="AX161" s="3">
        <f>-IF(RTD("tos.rtd",,AX$2,"."&amp;$D$134&amp;$AW$134&amp;"P"&amp;$A161)="N/A",0,RTD("tos.rtd",,AX$2,"."&amp;$D$134&amp;$AW$134&amp;"P"&amp;$A161))</f>
        <v>-97</v>
      </c>
      <c r="AY161" s="76">
        <f t="shared" si="624"/>
        <v>13</v>
      </c>
      <c r="AZ161" s="8">
        <f t="shared" si="548"/>
        <v>19950</v>
      </c>
      <c r="BA161" s="54">
        <f>IF(RTD("tos.rtd",,BA$43,"."&amp;$B$134&amp;$AS$82&amp;"C"&amp;$A161)="N/A",0,RTD("tos.rtd",,BA$43,"."&amp;$B$134&amp;$AS$82&amp;"C"&amp;$A161))</f>
        <v>22</v>
      </c>
      <c r="BB161" s="3">
        <f>-IF(RTD("tos.rtd",,BB$43,"."&amp;$B$134&amp;$AS$82&amp;"P"&amp;$A161)="N/A",0,RTD("tos.rtd",,BB$43,"."&amp;$B$134&amp;$AS$82&amp;"P"&amp;$A161))</f>
        <v>-480</v>
      </c>
      <c r="BC161" s="54">
        <f>IF(RTD("tos.rtd",,BC$2,"."&amp;$C$134&amp;$AU$82&amp;"C"&amp;$A161)="N/A",0,RTD("tos.rtd",,BC$2,"."&amp;$C$134&amp;$AU$82&amp;"C"&amp;$A161))</f>
        <v>0</v>
      </c>
      <c r="BD161" s="3">
        <f>-IF(RTD("tos.rtd",,BD$2,"."&amp;$C$134&amp;$AU$82&amp;"P"&amp;$A161)="N/A",0,RTD("tos.rtd",,BD$2,"."&amp;$C$134&amp;$AU$82&amp;"P"&amp;$A161))</f>
        <v>-6</v>
      </c>
      <c r="BE161" s="54">
        <f>IF(RTD("tos.rtd",,BE$2,"."&amp;$D$134&amp;$AW$82&amp;"C"&amp;$A161)="N/A",0,RTD("tos.rtd",,BE$2,"."&amp;$D$134&amp;$AW$82&amp;"C"&amp;$A161))</f>
        <v>4</v>
      </c>
      <c r="BF161" s="3">
        <f>-IF(RTD("tos.rtd",,BF$2,"."&amp;$D$134&amp;$AW$82&amp;"P"&amp;$A161)="N/A",0,RTD("tos.rtd",,BF$2,"."&amp;$D$134&amp;$AW$82&amp;"P"&amp;$A161))</f>
        <v>-6</v>
      </c>
      <c r="BG161" s="3">
        <f ca="1">+Hoja2!Y162</f>
        <v>-3</v>
      </c>
      <c r="BH161" s="7">
        <f t="shared" ca="1" si="549"/>
        <v>-469</v>
      </c>
      <c r="BI161" s="32" t="str">
        <f t="shared" ca="1" si="609"/>
        <v/>
      </c>
      <c r="BJ161" s="3" t="e">
        <f ca="1">IF($BP$1=1,DX161,IF(RTD("tos.rtd",,BJ$43,"."&amp;$B$134&amp;$AS$82&amp;"C"&amp;$A161)="N/A",0,RTD("tos.rtd",,BJ$43,"."&amp;$B$134&amp;$AS$82&amp;"C"&amp;$A161)))</f>
        <v>#NUM!</v>
      </c>
      <c r="BK161" s="3" t="e">
        <f ca="1">IF($BP$1=1,DY161,-IF(RTD("tos.rtd",,BK$43,"."&amp;$B$134&amp;$AS$82&amp;"P"&amp;$A161)="N/A",0,RTD("tos.rtd",,BK$43,"."&amp;$B$134&amp;$AS$82&amp;"P"&amp;$A161)))</f>
        <v>#NUM!</v>
      </c>
      <c r="BL161" s="3">
        <f ca="1">IF($BP$1=1,DZ161,IF(RTD("tos.rtd",,BL$2,"."&amp;$C$134&amp;$AU$82&amp;"C"&amp;$A161)="N/A",0,RTD("tos.rtd",,BL$2,"."&amp;$C$134&amp;$AU$82&amp;"C"&amp;$A161)))</f>
        <v>5.2008004550867064E-4</v>
      </c>
      <c r="BM161" s="3">
        <f ca="1">IF($BP$1=1,EA161,-IF(RTD("tos.rtd",,BM$2,"."&amp;$C$134&amp;$AU$82&amp;"P"&amp;$A161)="N/A",0,RTD("tos.rtd",,BM$2,"."&amp;$C$134&amp;$AU$82&amp;"P"&amp;$A161)))</f>
        <v>-4.9063855354827379E-4</v>
      </c>
      <c r="BN161" s="3">
        <f ca="1">IF($BP$1=1,EB161,IF(RTD("tos.rtd",,BN$2,"."&amp;$D$134&amp;$AW$82&amp;"C"&amp;$A161)="N/A",0,RTD("tos.rtd",,BN$2,"."&amp;$D$134&amp;$AW$82&amp;"C"&amp;$A161)))</f>
        <v>6.1184205253680913E-4</v>
      </c>
      <c r="BO161" s="3">
        <f ca="1">IF($BP$1=1,EC161,-IF(RTD("tos.rtd",,BO$2,"."&amp;$D$134&amp;$AW$82&amp;"P"&amp;$A161)="N/A",0,RTD("tos.rtd",,BO$2,"."&amp;$D$134&amp;$AW$82&amp;"P"&amp;$A161)))</f>
        <v>-5.8634251446632306E-4</v>
      </c>
      <c r="BQ161" s="3" t="e">
        <f t="shared" ca="1" si="625"/>
        <v>#NUM!</v>
      </c>
      <c r="BR161" s="3" t="e">
        <f t="shared" ca="1" si="550"/>
        <v>#NUM!</v>
      </c>
      <c r="BS161" s="3">
        <f t="shared" ca="1" si="626"/>
        <v>356473.49655940762</v>
      </c>
      <c r="BT161" s="3" t="str">
        <f t="shared" ca="1" si="551"/>
        <v/>
      </c>
      <c r="BU161" s="3">
        <f t="shared" ca="1" si="627"/>
        <v>255637.03650622745</v>
      </c>
      <c r="BV161" s="3" t="str">
        <f t="shared" ca="1" si="551"/>
        <v/>
      </c>
      <c r="BX161" s="3" t="e">
        <f t="shared" ca="1" si="585"/>
        <v>#NUM!</v>
      </c>
      <c r="BY161" s="3" t="e">
        <f t="shared" ca="1" si="586"/>
        <v>#NUM!</v>
      </c>
      <c r="BZ161" s="3">
        <f t="shared" ca="1" si="587"/>
        <v>-724.72613912914028</v>
      </c>
      <c r="CA161" s="3" t="str">
        <f t="shared" ca="1" si="586"/>
        <v/>
      </c>
      <c r="CB161" s="3">
        <f t="shared" ca="1" si="588"/>
        <v>-263.58669422382809</v>
      </c>
      <c r="CC161" s="3" t="str">
        <f t="shared" ca="1" si="586"/>
        <v/>
      </c>
      <c r="CD161" s="3">
        <f>IF(RTD("tos.rtd",,CD$43,"."&amp;$B$134&amp;$AS$82&amp;"C"&amp;$A161)="N/A",0,RTD("tos.rtd",,CD$43,"."&amp;$B$134&amp;$AS$82&amp;"C"&amp;$A161))</f>
        <v>1</v>
      </c>
      <c r="CE161" s="3">
        <f>-IF(RTD("tos.rtd",,CE$43,"."&amp;$B$134&amp;$AS$82&amp;"P"&amp;$A161)="N/A",0,RTD("tos.rtd",,CE$43,"."&amp;$B$134&amp;$AS$82&amp;"P"&amp;$A161))</f>
        <v>0.04</v>
      </c>
      <c r="CF161" s="3">
        <f>IF(RTD("tos.rtd",,CF$2,"."&amp;$C$134&amp;$AU$82&amp;"C"&amp;$A161)="N/A",0,RTD("tos.rtd",,CF$2,"."&amp;$C$134&amp;$AU$82&amp;"C"&amp;$A161))</f>
        <v>0.57999999999999996</v>
      </c>
      <c r="CG161" s="3">
        <f>-IF(RTD("tos.rtd",,CG$2,"."&amp;$C$134&amp;$AU$82&amp;"P"&amp;$A161)="N/A",0,RTD("tos.rtd",,CG$2,"."&amp;$C$134&amp;$AU$82&amp;"P"&amp;$A161))</f>
        <v>0.42</v>
      </c>
      <c r="CH161" s="3">
        <f>IF(RTD("tos.rtd",,CH$2,"."&amp;$D$134&amp;$AW$82&amp;"C"&amp;$A161)="N/A",0,RTD("tos.rtd",,CH$2,"."&amp;$D$134&amp;$AW$82&amp;"C"&amp;$A161))</f>
        <v>0.56999999999999995</v>
      </c>
      <c r="CI161" s="3">
        <f>-IF(RTD("tos.rtd",,CI$2,"."&amp;$D$134&amp;$AW$82&amp;"P"&amp;$A161)="N/A",0,RTD("tos.rtd",,CI$2,"."&amp;$D$134&amp;$AW$82&amp;"P"&amp;$A161))</f>
        <v>0.43</v>
      </c>
      <c r="CK161" s="3">
        <f t="shared" si="620"/>
        <v>508</v>
      </c>
      <c r="CL161" s="3"/>
      <c r="CM161" s="3">
        <f t="shared" si="621"/>
        <v>1329.9999999999998</v>
      </c>
      <c r="CN161" s="3"/>
      <c r="CO161" s="3">
        <f t="shared" si="622"/>
        <v>1870.9999999999991</v>
      </c>
      <c r="CP161" s="3">
        <f t="shared" si="542"/>
        <v>3708.9999999999991</v>
      </c>
      <c r="CQ161" s="3">
        <f t="shared" si="552"/>
        <v>-458</v>
      </c>
      <c r="CR161" s="3"/>
      <c r="CS161" s="3">
        <f t="shared" si="553"/>
        <v>-6</v>
      </c>
      <c r="CT161" s="3"/>
      <c r="CU161" s="3">
        <f t="shared" si="554"/>
        <v>-2</v>
      </c>
      <c r="CV161" s="3"/>
      <c r="CW161" s="3" t="e">
        <f t="shared" ca="1" si="555"/>
        <v>#NUM!</v>
      </c>
      <c r="CY161" s="3" t="e">
        <f t="shared" ca="1" si="556"/>
        <v>#NUM!</v>
      </c>
      <c r="CZ161" s="70" t="e">
        <f t="shared" ca="1" si="589"/>
        <v>#NUM!</v>
      </c>
      <c r="DA161" s="3">
        <f>IF(RTD("tos.rtd",,DA$43,"."&amp;$B$134&amp;$AS$82&amp;"C"&amp;$A161)="N/A",0,RTD("tos.rtd",,DA$43,"."&amp;$B$134&amp;$AS$82&amp;"C"&amp;$A161))</f>
        <v>141</v>
      </c>
      <c r="DB161" s="3">
        <f>IF(RTD("tos.rtd",,DB$43,"."&amp;$B$134&amp;$AS$82&amp;"P"&amp;$A161)="N/A",0,RTD("tos.rtd",,DB$43,"."&amp;$B$134&amp;$AS$82&amp;"P"&amp;$A161))</f>
        <v>0.23</v>
      </c>
      <c r="DC161" s="3">
        <f>IF(RTD("tos.rtd",,DC$43,"."&amp;$B$134&amp;$AS$82&amp;"C"&amp;$A161)="N/A",0,RTD("tos.rtd",,DC$43,"."&amp;$B$134&amp;$AS$82&amp;"C"&amp;$A161))</f>
        <v>116.6</v>
      </c>
      <c r="DD161" s="3">
        <f>IF(RTD("tos.rtd",,DD$43,"."&amp;$B$134&amp;$AS$82&amp;"P"&amp;$A161)="N/A",0,RTD("tos.rtd",,DD$43,"."&amp;$B$134&amp;$AS$82&amp;"P"&amp;$A161))</f>
        <v>2</v>
      </c>
      <c r="DE161" s="3">
        <f>IF(RTD("tos.rtd",,DE$43,"."&amp;$B$134&amp;$AS$82&amp;"C"&amp;$A161)="N/A",0,RTD("tos.rtd",,DE$43,"."&amp;$B$134&amp;$AS$82&amp;"C"&amp;$A161))</f>
        <v>98</v>
      </c>
      <c r="DF161" s="3">
        <f>IF(RTD("tos.rtd",,DF$43,"."&amp;$B$134&amp;$AS$82&amp;"P"&amp;$A161)="N/A",0,RTD("tos.rtd",,DF$43,"."&amp;$B$134&amp;$AS$82&amp;"P"&amp;$A161))</f>
        <v>0.05</v>
      </c>
      <c r="DG161" s="86">
        <f t="shared" si="590"/>
        <v>-111.44900000000052</v>
      </c>
      <c r="DH161" s="3">
        <f t="shared" si="557"/>
        <v>0</v>
      </c>
      <c r="DI161" s="3">
        <f t="shared" si="558"/>
        <v>0</v>
      </c>
      <c r="DJ161" s="3">
        <f t="shared" si="559"/>
        <v>0</v>
      </c>
      <c r="DK161" s="3">
        <f t="shared" si="560"/>
        <v>0</v>
      </c>
      <c r="DL161" s="3">
        <f t="shared" si="561"/>
        <v>0</v>
      </c>
      <c r="DM161" s="3">
        <f t="shared" si="562"/>
        <v>0</v>
      </c>
      <c r="DN161" s="64" t="str">
        <f t="shared" si="563"/>
        <v>UNKNOWN</v>
      </c>
      <c r="DO161" s="64" t="str">
        <f t="shared" si="564"/>
        <v>UNKNOWN</v>
      </c>
      <c r="DP161" s="3">
        <f t="shared" si="565"/>
        <v>0</v>
      </c>
      <c r="DQ161" s="3">
        <f t="shared" si="566"/>
        <v>0</v>
      </c>
      <c r="DR161" s="3" t="e">
        <f t="shared" ca="1" si="567"/>
        <v>#NUM!</v>
      </c>
      <c r="DS161" s="3">
        <f t="shared" si="568"/>
        <v>0</v>
      </c>
      <c r="DT161" s="3">
        <f t="shared" si="591"/>
        <v>0</v>
      </c>
      <c r="DU161" s="3">
        <f t="shared" si="592"/>
        <v>0</v>
      </c>
      <c r="DV161" s="3">
        <f t="shared" si="569"/>
        <v>5</v>
      </c>
      <c r="DW161" s="3">
        <f t="shared" si="570"/>
        <v>-46</v>
      </c>
      <c r="DX161" s="3" t="e">
        <f t="shared" ca="1" si="571"/>
        <v>#NUM!</v>
      </c>
      <c r="DY161" s="3" t="e">
        <f t="shared" ca="1" si="572"/>
        <v>#NUM!</v>
      </c>
      <c r="DZ161" s="3">
        <f t="shared" ca="1" si="573"/>
        <v>5.2008004550867064E-4</v>
      </c>
      <c r="EA161" s="3">
        <f t="shared" ca="1" si="574"/>
        <v>-4.9063855354827379E-4</v>
      </c>
      <c r="EB161" s="3">
        <f t="shared" ca="1" si="575"/>
        <v>6.1184205253680913E-4</v>
      </c>
      <c r="EC161" s="3">
        <f t="shared" ca="1" si="576"/>
        <v>-5.8634251446632306E-4</v>
      </c>
      <c r="ED161" s="63">
        <f t="shared" si="593"/>
        <v>-41</v>
      </c>
      <c r="EE161" s="59">
        <f t="shared" si="577"/>
        <v>0.25</v>
      </c>
      <c r="EF161" s="59">
        <f t="shared" si="578"/>
        <v>0.42130000000000001</v>
      </c>
      <c r="EG161" s="59">
        <f t="shared" si="579"/>
        <v>0.2772</v>
      </c>
      <c r="EH161" s="59">
        <f t="shared" si="580"/>
        <v>0.29430000000000001</v>
      </c>
      <c r="EI161" s="59">
        <f t="shared" si="581"/>
        <v>0.23430000000000001</v>
      </c>
      <c r="EJ161" s="59">
        <f t="shared" si="582"/>
        <v>0.24490000000000001</v>
      </c>
      <c r="EK161" s="63" t="e">
        <f t="shared" ca="1" si="594"/>
        <v>#NUM!</v>
      </c>
      <c r="EL161" s="3" t="str">
        <f>RTD("tos.rtd",,EL$43,"."&amp;$B$134&amp;$AS$82&amp;"C"&amp;$A161)</f>
        <v>--</v>
      </c>
      <c r="EM161" s="3" t="str">
        <f>RTD("tos.rtd",,EM$43,"."&amp;$B$134&amp;$AS$82&amp;"P"&amp;$A161)</f>
        <v>42.13%</v>
      </c>
      <c r="EN161" s="3" t="str">
        <f>RTD("tos.rtd",,EN$2,"."&amp;$C$134&amp;$AU$82&amp;"C"&amp;$A161)</f>
        <v>27.72%</v>
      </c>
      <c r="EO161" s="3" t="str">
        <f>RTD("tos.rtd",,EO$2,"."&amp;$C$134&amp;$AU$82&amp;"P"&amp;$A161)</f>
        <v>29.43%</v>
      </c>
      <c r="EP161" s="3" t="str">
        <f>RTD("tos.rtd",,EP$2,"."&amp;$D$134&amp;$AW$82&amp;"C"&amp;$A161)</f>
        <v>23.43%</v>
      </c>
      <c r="EQ161" s="3" t="str">
        <f>RTD("tos.rtd",,EQ$2,"."&amp;$D$134&amp;$AW$82&amp;"P"&amp;$A161)</f>
        <v>24.49%</v>
      </c>
      <c r="ES161" s="63" t="str">
        <f t="shared" si="583"/>
        <v>19950,-41.00</v>
      </c>
      <c r="ET161" s="63" t="str">
        <f t="shared" ca="1" si="584"/>
        <v>19950,00.00</v>
      </c>
      <c r="EU161" s="68">
        <v>565.54999999999995</v>
      </c>
      <c r="EV161" s="68" t="s">
        <v>1307</v>
      </c>
      <c r="EW161" s="68">
        <v>489.25</v>
      </c>
      <c r="EX161" s="68" t="s">
        <v>1308</v>
      </c>
      <c r="EY161" s="68">
        <v>5663.94</v>
      </c>
      <c r="EZ161" s="68" t="s">
        <v>1309</v>
      </c>
      <c r="FA161" s="68">
        <v>20063.564999999999</v>
      </c>
      <c r="FB161" s="68" t="s">
        <v>1310</v>
      </c>
      <c r="FC161" s="68" t="s">
        <v>1311</v>
      </c>
      <c r="FD161" s="68" t="s">
        <v>1312</v>
      </c>
      <c r="FE161" s="68" t="s">
        <v>1313</v>
      </c>
      <c r="FF161" s="68" t="s">
        <v>1314</v>
      </c>
    </row>
    <row r="162" spans="1:162" ht="11.1" customHeight="1" thickBot="1" x14ac:dyDescent="0.25">
      <c r="A162" s="2">
        <f t="shared" si="595"/>
        <v>19925</v>
      </c>
      <c r="B162" s="3">
        <f t="shared" si="628"/>
        <v>10</v>
      </c>
      <c r="C162" s="3">
        <f t="shared" si="629"/>
        <v>18</v>
      </c>
      <c r="D162" s="3">
        <f t="shared" si="630"/>
        <v>35</v>
      </c>
      <c r="E162" s="3">
        <f t="shared" si="613"/>
        <v>63</v>
      </c>
      <c r="F162" s="4">
        <f t="shared" si="623"/>
        <v>20332.510316179054</v>
      </c>
      <c r="G162" s="5">
        <f t="shared" si="615"/>
        <v>492.7952736614389</v>
      </c>
      <c r="AM162" s="1">
        <v>-4</v>
      </c>
      <c r="AN162" s="1">
        <v>-1</v>
      </c>
      <c r="AO162" s="1">
        <v>19925</v>
      </c>
      <c r="AP162" s="1">
        <v>5</v>
      </c>
      <c r="AQ162" s="1">
        <v>-138</v>
      </c>
      <c r="AS162" s="54">
        <f>IF(RTD("tos.rtd",,AS$83,"."&amp;$B$134&amp;$AS$82&amp;"C"&amp;$A162)="N/A",0,RTD("tos.rtd",,AS$83,"."&amp;$B$134&amp;$AS$82&amp;"C"&amp;$A162))</f>
        <v>4</v>
      </c>
      <c r="AT162" s="3">
        <f>-IF(RTD("tos.rtd",,AT$83,"."&amp;$B$134&amp;$AS$82&amp;"P"&amp;$A162)="N/A",0,RTD("tos.rtd",,AT$83,"."&amp;$B$134&amp;$AS$82&amp;"P"&amp;$A162))</f>
        <v>-6</v>
      </c>
      <c r="AU162" s="54">
        <f>IF(RTD("tos.rtd",,AU$2,"."&amp;$C$134&amp;$AU$134&amp;"C"&amp;$A162)="N/A",0,RTD("tos.rtd",,AU$2,"."&amp;$C$134&amp;$AU$134&amp;"C"&amp;$A162))</f>
        <v>13</v>
      </c>
      <c r="AV162" s="3">
        <f>-IF(RTD("tos.rtd",,AV$2,"."&amp;$C$134&amp;$AU$134&amp;"P"&amp;$A162)="N/A",0,RTD("tos.rtd",,AV$2,"."&amp;$C$134&amp;$AU$134&amp;"P"&amp;$A162))</f>
        <v>-5</v>
      </c>
      <c r="AW162" s="54">
        <f>IF(RTD("tos.rtd",,AW$2,"."&amp;$D$134&amp;$AW$134&amp;"C"&amp;$A162)="N/A",0,RTD("tos.rtd",,AW$2,"."&amp;$D$134&amp;$AW$134&amp;"C"&amp;$A162))</f>
        <v>17</v>
      </c>
      <c r="AX162" s="3">
        <f>-IF(RTD("tos.rtd",,AX$2,"."&amp;$D$134&amp;$AW$134&amp;"P"&amp;$A162)="N/A",0,RTD("tos.rtd",,AX$2,"."&amp;$D$134&amp;$AW$134&amp;"P"&amp;$A162))</f>
        <v>-18</v>
      </c>
      <c r="AY162" s="76">
        <f t="shared" si="624"/>
        <v>5</v>
      </c>
      <c r="AZ162" s="8">
        <f t="shared" si="548"/>
        <v>19925</v>
      </c>
      <c r="BA162" s="54">
        <f>IF(RTD("tos.rtd",,BA$43,"."&amp;$B$134&amp;$AS$82&amp;"C"&amp;$A162)="N/A",0,RTD("tos.rtd",,BA$43,"."&amp;$B$134&amp;$AS$82&amp;"C"&amp;$A162))</f>
        <v>5</v>
      </c>
      <c r="BB162" s="3">
        <f>-IF(RTD("tos.rtd",,BB$43,"."&amp;$B$134&amp;$AS$82&amp;"P"&amp;$A162)="N/A",0,RTD("tos.rtd",,BB$43,"."&amp;$B$134&amp;$AS$82&amp;"P"&amp;$A162))</f>
        <v>-138</v>
      </c>
      <c r="BC162" s="54">
        <f>IF(RTD("tos.rtd",,BC$2,"."&amp;$C$134&amp;$AU$82&amp;"C"&amp;$A162)="N/A",0,RTD("tos.rtd",,BC$2,"."&amp;$C$134&amp;$AU$82&amp;"C"&amp;$A162))</f>
        <v>3</v>
      </c>
      <c r="BD162" s="3">
        <f>-IF(RTD("tos.rtd",,BD$2,"."&amp;$C$134&amp;$AU$82&amp;"P"&amp;$A162)="N/A",0,RTD("tos.rtd",,BD$2,"."&amp;$C$134&amp;$AU$82&amp;"P"&amp;$A162))</f>
        <v>-6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-4</v>
      </c>
      <c r="BG162" s="3">
        <f ca="1">+Hoja2!Y163</f>
        <v>0</v>
      </c>
      <c r="BH162" s="7">
        <f t="shared" ca="1" si="549"/>
        <v>-140</v>
      </c>
      <c r="BI162" s="32" t="str">
        <f t="shared" ca="1" si="609"/>
        <v/>
      </c>
      <c r="BJ162" s="3" t="e">
        <f ca="1">IF($BP$1=1,DX162,IF(RTD("tos.rtd",,BJ$43,"."&amp;$B$134&amp;$AS$82&amp;"C"&amp;$A162)="N/A",0,RTD("tos.rtd",,BJ$43,"."&amp;$B$134&amp;$AS$82&amp;"C"&amp;$A162)))</f>
        <v>#NUM!</v>
      </c>
      <c r="BK162" s="3" t="e">
        <f ca="1">IF($BP$1=1,DY162,-IF(RTD("tos.rtd",,BK$43,"."&amp;$B$134&amp;$AS$82&amp;"P"&amp;$A162)="N/A",0,RTD("tos.rtd",,BK$43,"."&amp;$B$134&amp;$AS$82&amp;"P"&amp;$A162)))</f>
        <v>#NUM!</v>
      </c>
      <c r="BL162" s="3">
        <f ca="1">IF($BP$1=1,DZ162,IF(RTD("tos.rtd",,BL$2,"."&amp;$C$134&amp;$AU$82&amp;"C"&amp;$A162)="N/A",0,RTD("tos.rtd",,BL$2,"."&amp;$C$134&amp;$AU$82&amp;"C"&amp;$A162)))</f>
        <v>5.1511953147106537E-4</v>
      </c>
      <c r="BM162" s="3">
        <f ca="1">IF($BP$1=1,EA162,-IF(RTD("tos.rtd",,BM$2,"."&amp;$C$134&amp;$AU$82&amp;"P"&amp;$A162)="N/A",0,RTD("tos.rtd",,BM$2,"."&amp;$C$134&amp;$AU$82&amp;"P"&amp;$A162)))</f>
        <v>-4.8700692917865817E-4</v>
      </c>
      <c r="BN162" s="3">
        <f ca="1">IF($BP$1=1,EB162,IF(RTD("tos.rtd",,BN$2,"."&amp;$D$134&amp;$AW$82&amp;"C"&amp;$A162)="N/A",0,RTD("tos.rtd",,BN$2,"."&amp;$D$134&amp;$AW$82&amp;"C"&amp;$A162)))</f>
        <v>6.0375204869199666E-4</v>
      </c>
      <c r="BO162" s="3">
        <f ca="1">IF($BP$1=1,EC162,-IF(RTD("tos.rtd",,BO$2,"."&amp;$D$134&amp;$AW$82&amp;"P"&amp;$A162)="N/A",0,RTD("tos.rtd",,BO$2,"."&amp;$D$134&amp;$AW$82&amp;"P"&amp;$A162)))</f>
        <v>-5.7955056308015972E-4</v>
      </c>
      <c r="BQ162" s="3" t="e">
        <f t="shared" ca="1" si="625"/>
        <v>#NUM!</v>
      </c>
      <c r="BR162" s="3" t="e">
        <f t="shared" ca="1" si="550"/>
        <v>#NUM!</v>
      </c>
      <c r="BS162" s="3">
        <f t="shared" ca="1" si="626"/>
        <v>136515.98490784183</v>
      </c>
      <c r="BT162" s="3" t="str">
        <f t="shared" ca="1" si="551"/>
        <v/>
      </c>
      <c r="BU162" s="3">
        <f t="shared" ca="1" si="627"/>
        <v>-5385.8238219775958</v>
      </c>
      <c r="BV162" s="3" t="str">
        <f t="shared" ca="1" si="551"/>
        <v>Cruce -</v>
      </c>
      <c r="BX162" s="3" t="e">
        <f t="shared" ca="1" si="585"/>
        <v>#NUM!</v>
      </c>
      <c r="BY162" s="3" t="e">
        <f t="shared" ca="1" si="586"/>
        <v>#NUM!</v>
      </c>
      <c r="BZ162" s="3">
        <f t="shared" ca="1" si="587"/>
        <v>-338.91824377374024</v>
      </c>
      <c r="CA162" s="3" t="str">
        <f t="shared" ca="1" si="586"/>
        <v/>
      </c>
      <c r="CB162" s="3">
        <f t="shared" ca="1" si="588"/>
        <v>-570.70585393079079</v>
      </c>
      <c r="CC162" s="3" t="str">
        <f t="shared" ca="1" si="586"/>
        <v/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</v>
      </c>
      <c r="CF162" s="3">
        <f>IF(RTD("tos.rtd",,CF$2,"."&amp;$C$134&amp;$AU$82&amp;"C"&amp;$A162)="N/A",0,RTD("tos.rtd",,CF$2,"."&amp;$C$134&amp;$AU$82&amp;"C"&amp;$A162))</f>
        <v>0.6</v>
      </c>
      <c r="CG162" s="3">
        <f>-IF(RTD("tos.rtd",,CG$2,"."&amp;$C$134&amp;$AU$82&amp;"P"&amp;$A162)="N/A",0,RTD("tos.rtd",,CG$2,"."&amp;$C$134&amp;$AU$82&amp;"P"&amp;$A162))</f>
        <v>0.4</v>
      </c>
      <c r="CH162" s="3">
        <f>IF(RTD("tos.rtd",,CH$2,"."&amp;$D$134&amp;$AW$82&amp;"C"&amp;$A162)="N/A",0,RTD("tos.rtd",,CH$2,"."&amp;$D$134&amp;$AW$82&amp;"C"&amp;$A162))</f>
        <v>0.57999999999999996</v>
      </c>
      <c r="CI162" s="3">
        <f>-IF(RTD("tos.rtd",,CI$2,"."&amp;$D$134&amp;$AW$82&amp;"P"&amp;$A162)="N/A",0,RTD("tos.rtd",,CI$2,"."&amp;$D$134&amp;$AW$82&amp;"P"&amp;$A162))</f>
        <v>0.43</v>
      </c>
      <c r="CK162" s="3">
        <f t="shared" si="620"/>
        <v>400</v>
      </c>
      <c r="CL162" s="3"/>
      <c r="CM162" s="3">
        <f t="shared" si="621"/>
        <v>580</v>
      </c>
      <c r="CN162" s="3"/>
      <c r="CO162" s="3">
        <f t="shared" si="622"/>
        <v>212</v>
      </c>
      <c r="CP162" s="3">
        <f t="shared" si="542"/>
        <v>1192</v>
      </c>
      <c r="CQ162" s="3">
        <f t="shared" si="552"/>
        <v>-133</v>
      </c>
      <c r="CR162" s="3"/>
      <c r="CS162" s="3">
        <f t="shared" si="553"/>
        <v>-3</v>
      </c>
      <c r="CT162" s="3"/>
      <c r="CU162" s="3">
        <f t="shared" si="554"/>
        <v>-4</v>
      </c>
      <c r="CV162" s="3"/>
      <c r="CW162" s="3" t="e">
        <f t="shared" ca="1" si="555"/>
        <v>#NUM!</v>
      </c>
      <c r="CY162" s="3" t="e">
        <f t="shared" ca="1" si="556"/>
        <v>#NUM!</v>
      </c>
      <c r="CZ162" s="70" t="e">
        <f t="shared" ca="1" si="589"/>
        <v>#NUM!</v>
      </c>
      <c r="DA162" s="3">
        <f>IF(RTD("tos.rtd",,DA$43,"."&amp;$B$134&amp;$AS$82&amp;"C"&amp;$A162)="N/A",0,RTD("tos.rtd",,DA$43,"."&amp;$B$134&amp;$AS$82&amp;"C"&amp;$A162))</f>
        <v>132.32</v>
      </c>
      <c r="DB162" s="3">
        <f>IF(RTD("tos.rtd",,DB$43,"."&amp;$B$134&amp;$AS$82&amp;"P"&amp;$A162)="N/A",0,RTD("tos.rtd",,DB$43,"."&amp;$B$134&amp;$AS$82&amp;"P"&amp;$A162))</f>
        <v>0.05</v>
      </c>
      <c r="DC162" s="3">
        <f>IF(RTD("tos.rtd",,DC$43,"."&amp;$B$134&amp;$AS$82&amp;"C"&amp;$A162)="N/A",0,RTD("tos.rtd",,DC$43,"."&amp;$B$134&amp;$AS$82&amp;"C"&amp;$A162))</f>
        <v>142</v>
      </c>
      <c r="DD162" s="3">
        <f>IF(RTD("tos.rtd",,DD$43,"."&amp;$B$134&amp;$AS$82&amp;"P"&amp;$A162)="N/A",0,RTD("tos.rtd",,DD$43,"."&amp;$B$134&amp;$AS$82&amp;"P"&amp;$A162))</f>
        <v>0.05</v>
      </c>
      <c r="DE162" s="3">
        <f>IF(RTD("tos.rtd",,DE$43,"."&amp;$B$134&amp;$AS$82&amp;"C"&amp;$A162)="N/A",0,RTD("tos.rtd",,DE$43,"."&amp;$B$134&amp;$AS$82&amp;"C"&amp;$A162))</f>
        <v>123.7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90"/>
        <v>-136.44900000000052</v>
      </c>
      <c r="DH162" s="3">
        <f t="shared" si="557"/>
        <v>0</v>
      </c>
      <c r="DI162" s="3">
        <f t="shared" si="558"/>
        <v>0</v>
      </c>
      <c r="DJ162" s="3">
        <f t="shared" si="559"/>
        <v>0</v>
      </c>
      <c r="DK162" s="3">
        <f t="shared" si="560"/>
        <v>0</v>
      </c>
      <c r="DL162" s="3">
        <f t="shared" si="561"/>
        <v>0</v>
      </c>
      <c r="DM162" s="3">
        <f t="shared" si="562"/>
        <v>0</v>
      </c>
      <c r="DN162" s="64" t="str">
        <f t="shared" si="563"/>
        <v>UNKNOWN</v>
      </c>
      <c r="DO162" s="64" t="str">
        <f t="shared" si="564"/>
        <v>UNKNOWN</v>
      </c>
      <c r="DP162" s="3">
        <f t="shared" si="565"/>
        <v>0</v>
      </c>
      <c r="DQ162" s="3">
        <f t="shared" si="566"/>
        <v>0</v>
      </c>
      <c r="DR162" s="3" t="e">
        <f t="shared" ca="1" si="567"/>
        <v>#NUM!</v>
      </c>
      <c r="DS162" s="3">
        <f t="shared" si="568"/>
        <v>0</v>
      </c>
      <c r="DT162" s="3">
        <f t="shared" si="591"/>
        <v>0</v>
      </c>
      <c r="DU162" s="3">
        <f t="shared" si="592"/>
        <v>0</v>
      </c>
      <c r="DV162" s="3">
        <f t="shared" si="569"/>
        <v>-4</v>
      </c>
      <c r="DW162" s="3">
        <f t="shared" si="570"/>
        <v>-1</v>
      </c>
      <c r="DX162" s="3" t="e">
        <f t="shared" ca="1" si="571"/>
        <v>#NUM!</v>
      </c>
      <c r="DY162" s="3" t="e">
        <f t="shared" ca="1" si="572"/>
        <v>#NUM!</v>
      </c>
      <c r="DZ162" s="3">
        <f t="shared" ca="1" si="573"/>
        <v>5.1511953147106537E-4</v>
      </c>
      <c r="EA162" s="3">
        <f t="shared" ca="1" si="574"/>
        <v>-4.8700692917865817E-4</v>
      </c>
      <c r="EB162" s="3">
        <f t="shared" ca="1" si="575"/>
        <v>6.0375204869199666E-4</v>
      </c>
      <c r="EC162" s="3">
        <f t="shared" ca="1" si="576"/>
        <v>-5.7955056308015972E-4</v>
      </c>
      <c r="ED162" s="63">
        <f t="shared" si="593"/>
        <v>-5</v>
      </c>
      <c r="EE162" s="59">
        <f t="shared" si="577"/>
        <v>0.25</v>
      </c>
      <c r="EF162" s="59">
        <f t="shared" si="578"/>
        <v>0.31119999999999998</v>
      </c>
      <c r="EG162" s="59">
        <f t="shared" si="579"/>
        <v>0.27800000000000002</v>
      </c>
      <c r="EH162" s="59">
        <f t="shared" si="580"/>
        <v>0.29470000000000002</v>
      </c>
      <c r="EI162" s="59">
        <f t="shared" si="581"/>
        <v>0.23530000000000001</v>
      </c>
      <c r="EJ162" s="59">
        <f t="shared" si="582"/>
        <v>0.2457</v>
      </c>
      <c r="EK162" s="63" t="e">
        <f t="shared" ca="1" si="594"/>
        <v>#NUM!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31.12%</v>
      </c>
      <c r="EN162" s="3" t="str">
        <f>RTD("tos.rtd",,EN$2,"."&amp;$C$134&amp;$AU$82&amp;"C"&amp;$A162)</f>
        <v>27.80%</v>
      </c>
      <c r="EO162" s="3" t="str">
        <f>RTD("tos.rtd",,EO$2,"."&amp;$C$134&amp;$AU$82&amp;"P"&amp;$A162)</f>
        <v>29.47%</v>
      </c>
      <c r="EP162" s="3" t="str">
        <f>RTD("tos.rtd",,EP$2,"."&amp;$D$134&amp;$AW$82&amp;"C"&amp;$A162)</f>
        <v>23.53%</v>
      </c>
      <c r="EQ162" s="3" t="str">
        <f>RTD("tos.rtd",,EQ$2,"."&amp;$D$134&amp;$AW$82&amp;"P"&amp;$A162)</f>
        <v>24.57%</v>
      </c>
      <c r="ES162" s="63" t="str">
        <f t="shared" si="583"/>
        <v>19925,-05.00</v>
      </c>
      <c r="ET162" s="63" t="str">
        <f t="shared" ca="1" si="584"/>
        <v>19925,00.00</v>
      </c>
      <c r="EU162" s="68">
        <v>565.4</v>
      </c>
      <c r="EV162" s="68" t="s">
        <v>1315</v>
      </c>
      <c r="EW162" s="68">
        <v>489.04</v>
      </c>
      <c r="EX162" s="68" t="s">
        <v>1316</v>
      </c>
      <c r="EY162" s="68">
        <v>5663.94</v>
      </c>
      <c r="EZ162" s="68" t="s">
        <v>1317</v>
      </c>
      <c r="FA162" s="68">
        <v>20063.564999999999</v>
      </c>
      <c r="FB162" s="68" t="s">
        <v>1318</v>
      </c>
      <c r="FC162" s="68" t="s">
        <v>1319</v>
      </c>
      <c r="FD162" s="68" t="s">
        <v>1320</v>
      </c>
      <c r="FE162" s="68" t="s">
        <v>1321</v>
      </c>
      <c r="FF162" s="68" t="s">
        <v>1322</v>
      </c>
    </row>
    <row r="163" spans="1:162" ht="11.1" customHeight="1" thickBot="1" x14ac:dyDescent="0.25">
      <c r="A163" s="2">
        <f t="shared" si="595"/>
        <v>19900</v>
      </c>
      <c r="B163" s="10">
        <f t="shared" si="628"/>
        <v>31</v>
      </c>
      <c r="C163" s="10">
        <f t="shared" si="629"/>
        <v>112</v>
      </c>
      <c r="D163" s="10">
        <f t="shared" si="630"/>
        <v>591</v>
      </c>
      <c r="E163" s="10">
        <f t="shared" si="613"/>
        <v>734</v>
      </c>
      <c r="F163" s="11">
        <f t="shared" si="623"/>
        <v>20306.999010888991</v>
      </c>
      <c r="G163" s="5">
        <f t="shared" si="615"/>
        <v>492.17696089649354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-1</v>
      </c>
      <c r="AN163" s="1">
        <v>68</v>
      </c>
      <c r="AO163" s="12">
        <v>19900</v>
      </c>
      <c r="AP163" s="12">
        <v>4</v>
      </c>
      <c r="AQ163" s="12">
        <v>-713</v>
      </c>
      <c r="AR163" s="12"/>
      <c r="AS163" s="54">
        <f>IF(RTD("tos.rtd",,AS$83,"."&amp;$B$134&amp;$AS$82&amp;"C"&amp;$A163)="N/A",0,RTD("tos.rtd",,AS$83,"."&amp;$B$134&amp;$AS$82&amp;"C"&amp;$A163))</f>
        <v>16</v>
      </c>
      <c r="AT163" s="3">
        <f>-IF(RTD("tos.rtd",,AT$83,"."&amp;$B$134&amp;$AS$82&amp;"P"&amp;$A163)="N/A",0,RTD("tos.rtd",,AT$83,"."&amp;$B$134&amp;$AS$82&amp;"P"&amp;$A163))</f>
        <v>-15</v>
      </c>
      <c r="AU163" s="54">
        <f>IF(RTD("tos.rtd",,AU$2,"."&amp;$C$134&amp;$AU$134&amp;"C"&amp;$A163)="N/A",0,RTD("tos.rtd",,AU$2,"."&amp;$C$134&amp;$AU$134&amp;"C"&amp;$A163))</f>
        <v>54</v>
      </c>
      <c r="AV163" s="3">
        <f>-IF(RTD("tos.rtd",,AV$2,"."&amp;$C$134&amp;$AU$134&amp;"P"&amp;$A163)="N/A",0,RTD("tos.rtd",,AV$2,"."&amp;$C$134&amp;$AU$134&amp;"P"&amp;$A163))</f>
        <v>-58</v>
      </c>
      <c r="AW163" s="54">
        <f>IF(RTD("tos.rtd",,AW$2,"."&amp;$D$134&amp;$AW$134&amp;"C"&amp;$A163)="N/A",0,RTD("tos.rtd",,AW$2,"."&amp;$D$134&amp;$AW$134&amp;"C"&amp;$A163))</f>
        <v>288</v>
      </c>
      <c r="AX163" s="3">
        <f>-IF(RTD("tos.rtd",,AX$2,"."&amp;$D$134&amp;$AW$134&amp;"P"&amp;$A163)="N/A",0,RTD("tos.rtd",,AX$2,"."&amp;$D$134&amp;$AW$134&amp;"P"&amp;$A163))</f>
        <v>-303</v>
      </c>
      <c r="AY163" s="76">
        <f t="shared" si="624"/>
        <v>-18</v>
      </c>
      <c r="AZ163" s="8">
        <f t="shared" si="548"/>
        <v>19900</v>
      </c>
      <c r="BA163" s="54">
        <f>IF(RTD("tos.rtd",,BA$43,"."&amp;$B$134&amp;$AS$82&amp;"C"&amp;$A163)="N/A",0,RTD("tos.rtd",,BA$43,"."&amp;$B$134&amp;$AS$82&amp;"C"&amp;$A163))</f>
        <v>4</v>
      </c>
      <c r="BB163" s="3">
        <f>-IF(RTD("tos.rtd",,BB$43,"."&amp;$B$134&amp;$AS$82&amp;"P"&amp;$A163)="N/A",0,RTD("tos.rtd",,BB$43,"."&amp;$B$134&amp;$AS$82&amp;"P"&amp;$A163))</f>
        <v>-713</v>
      </c>
      <c r="BC163" s="54">
        <f>IF(RTD("tos.rtd",,BC$2,"."&amp;$C$134&amp;$AU$82&amp;"C"&amp;$A163)="N/A",0,RTD("tos.rtd",,BC$2,"."&amp;$C$134&amp;$AU$82&amp;"C"&amp;$A163))</f>
        <v>4</v>
      </c>
      <c r="BD163" s="3">
        <f>-IF(RTD("tos.rtd",,BD$2,"."&amp;$C$134&amp;$AU$82&amp;"P"&amp;$A163)="N/A",0,RTD("tos.rtd",,BD$2,"."&amp;$C$134&amp;$AU$82&amp;"P"&amp;$A163))</f>
        <v>-12</v>
      </c>
      <c r="BE163" s="54">
        <f>IF(RTD("tos.rtd",,BE$2,"."&amp;$D$134&amp;$AW$82&amp;"C"&amp;$A163)="N/A",0,RTD("tos.rtd",,BE$2,"."&amp;$D$134&amp;$AW$82&amp;"C"&amp;$A163))</f>
        <v>2</v>
      </c>
      <c r="BF163" s="3">
        <f>-IF(RTD("tos.rtd",,BF$2,"."&amp;$D$134&amp;$AW$82&amp;"P"&amp;$A163)="N/A",0,RTD("tos.rtd",,BF$2,"."&amp;$D$134&amp;$AW$82&amp;"P"&amp;$A163))</f>
        <v>-1</v>
      </c>
      <c r="BG163" s="3">
        <f ca="1">+Hoja2!Y164</f>
        <v>-4</v>
      </c>
      <c r="BH163" s="7">
        <f t="shared" ca="1" si="549"/>
        <v>-720</v>
      </c>
      <c r="BI163" s="32" t="str">
        <f t="shared" ca="1" si="609"/>
        <v/>
      </c>
      <c r="BJ163" s="3" t="e">
        <f ca="1">IF($BP$1=1,DX163,IF(RTD("tos.rtd",,BJ$43,"."&amp;$B$134&amp;$AS$82&amp;"C"&amp;$A163)="N/A",0,RTD("tos.rtd",,BJ$43,"."&amp;$B$134&amp;$AS$82&amp;"C"&amp;$A163)))</f>
        <v>#NUM!</v>
      </c>
      <c r="BK163" s="3" t="e">
        <f ca="1">IF($BP$1=1,DY163,-IF(RTD("tos.rtd",,BK$43,"."&amp;$B$134&amp;$AS$82&amp;"P"&amp;$A163)="N/A",0,RTD("tos.rtd",,BK$43,"."&amp;$B$134&amp;$AS$82&amp;"P"&amp;$A163)))</f>
        <v>#NUM!</v>
      </c>
      <c r="BL163" s="3">
        <f ca="1">IF($BP$1=1,DZ163,IF(RTD("tos.rtd",,BL$2,"."&amp;$C$134&amp;$AU$82&amp;"C"&amp;$A163)="N/A",0,RTD("tos.rtd",,BL$2,"."&amp;$C$134&amp;$AU$82&amp;"C"&amp;$A163)))</f>
        <v>5.1054488435285075E-4</v>
      </c>
      <c r="BM163" s="3">
        <f ca="1">IF($BP$1=1,EA163,-IF(RTD("tos.rtd",,BM$2,"."&amp;$C$134&amp;$AU$82&amp;"P"&amp;$A163)="N/A",0,RTD("tos.rtd",,BM$2,"."&amp;$C$134&amp;$AU$82&amp;"P"&amp;$A163)))</f>
        <v>-4.8231581647270632E-4</v>
      </c>
      <c r="BN163" s="3">
        <f ca="1">IF($BP$1=1,EB163,IF(RTD("tos.rtd",,BN$2,"."&amp;$D$134&amp;$AW$82&amp;"C"&amp;$A163)="N/A",0,RTD("tos.rtd",,BN$2,"."&amp;$D$134&amp;$AW$82&amp;"C"&amp;$A163)))</f>
        <v>5.9564229251251113E-4</v>
      </c>
      <c r="BO163" s="3">
        <f ca="1">IF($BP$1=1,EC163,-IF(RTD("tos.rtd",,BO$2,"."&amp;$D$134&amp;$AW$82&amp;"P"&amp;$A163)="N/A",0,RTD("tos.rtd",,BO$2,"."&amp;$D$134&amp;$AW$82&amp;"P"&amp;$A163)))</f>
        <v>-5.7187135714384916E-4</v>
      </c>
      <c r="BQ163" s="3" t="e">
        <f t="shared" ca="1" si="625"/>
        <v>#NUM!</v>
      </c>
      <c r="BR163" s="3" t="e">
        <f t="shared" ca="1" si="550"/>
        <v>#NUM!</v>
      </c>
      <c r="BS163" s="3">
        <f t="shared" ca="1" si="626"/>
        <v>-12970.596921469434</v>
      </c>
      <c r="BT163" s="3" t="str">
        <f t="shared" ca="1" si="551"/>
        <v>Cruce -</v>
      </c>
      <c r="BU163" s="3">
        <f t="shared" ca="1" si="627"/>
        <v>-55485.20714071393</v>
      </c>
      <c r="BV163" s="3" t="str">
        <f t="shared" ca="1" si="551"/>
        <v/>
      </c>
      <c r="BX163" s="3" t="e">
        <f t="shared" ca="1" si="585"/>
        <v>#NUM!</v>
      </c>
      <c r="BY163" s="3" t="e">
        <f t="shared" ca="1" si="586"/>
        <v>#NUM!</v>
      </c>
      <c r="BZ163" s="3">
        <f t="shared" ca="1" si="587"/>
        <v>-922.11182175081512</v>
      </c>
      <c r="CA163" s="3" t="str">
        <f t="shared" ca="1" si="586"/>
        <v/>
      </c>
      <c r="CB163" s="3">
        <f t="shared" ca="1" si="588"/>
        <v>152.49004041820683</v>
      </c>
      <c r="CC163" s="3" t="str">
        <f t="shared" ca="1" si="586"/>
        <v>Cruce +</v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</v>
      </c>
      <c r="CF163" s="3">
        <f>IF(RTD("tos.rtd",,CF$2,"."&amp;$C$134&amp;$AU$82&amp;"C"&amp;$A163)="N/A",0,RTD("tos.rtd",,CF$2,"."&amp;$C$134&amp;$AU$82&amp;"C"&amp;$A163))</f>
        <v>0.62</v>
      </c>
      <c r="CG163" s="3">
        <f>-IF(RTD("tos.rtd",,CG$2,"."&amp;$C$134&amp;$AU$82&amp;"P"&amp;$A163)="N/A",0,RTD("tos.rtd",,CG$2,"."&amp;$C$134&amp;$AU$82&amp;"P"&amp;$A163))</f>
        <v>0.39</v>
      </c>
      <c r="CH163" s="3">
        <f>IF(RTD("tos.rtd",,CH$2,"."&amp;$D$134&amp;$AW$82&amp;"C"&amp;$A163)="N/A",0,RTD("tos.rtd",,CH$2,"."&amp;$D$134&amp;$AW$82&amp;"C"&amp;$A163))</f>
        <v>0.57999999999999996</v>
      </c>
      <c r="CI163" s="3">
        <f>-IF(RTD("tos.rtd",,CI$2,"."&amp;$D$134&amp;$AW$82&amp;"P"&amp;$A163)="N/A",0,RTD("tos.rtd",,CI$2,"."&amp;$D$134&amp;$AW$82&amp;"P"&amp;$A163))</f>
        <v>0.42</v>
      </c>
      <c r="CK163" s="3">
        <f t="shared" si="620"/>
        <v>1600</v>
      </c>
      <c r="CL163" s="3"/>
      <c r="CM163" s="3">
        <f t="shared" si="621"/>
        <v>1085.9999999999995</v>
      </c>
      <c r="CN163" s="3"/>
      <c r="CO163" s="3">
        <f t="shared" si="622"/>
        <v>3978</v>
      </c>
      <c r="CP163" s="3">
        <f t="shared" si="542"/>
        <v>6664</v>
      </c>
      <c r="CQ163" s="3">
        <f t="shared" si="552"/>
        <v>-709</v>
      </c>
      <c r="CR163" s="3"/>
      <c r="CS163" s="3">
        <f t="shared" si="553"/>
        <v>-8</v>
      </c>
      <c r="CT163" s="3"/>
      <c r="CU163" s="3">
        <f t="shared" si="554"/>
        <v>1</v>
      </c>
      <c r="CV163" s="3"/>
      <c r="CW163" s="3" t="e">
        <f t="shared" ca="1" si="555"/>
        <v>#NUM!</v>
      </c>
      <c r="CY163" s="3" t="e">
        <f t="shared" ca="1" si="556"/>
        <v>#NUM!</v>
      </c>
      <c r="CZ163" s="70" t="e">
        <f t="shared" ca="1" si="589"/>
        <v>#NUM!</v>
      </c>
      <c r="DA163" s="3">
        <f>IF(RTD("tos.rtd",,DA$43,"."&amp;$B$134&amp;$AS$82&amp;"C"&amp;$A163)="N/A",0,RTD("tos.rtd",,DA$43,"."&amp;$B$134&amp;$AS$82&amp;"C"&amp;$A163))</f>
        <v>185</v>
      </c>
      <c r="DB163" s="3">
        <f>IF(RTD("tos.rtd",,DB$43,"."&amp;$B$134&amp;$AS$82&amp;"P"&amp;$A163)="N/A",0,RTD("tos.rtd",,DB$43,"."&amp;$B$134&amp;$AS$82&amp;"P"&amp;$A163))</f>
        <v>0.05</v>
      </c>
      <c r="DC163" s="3">
        <f>IF(RTD("tos.rtd",,DC$43,"."&amp;$B$134&amp;$AS$82&amp;"C"&amp;$A163)="N/A",0,RTD("tos.rtd",,DC$43,"."&amp;$B$134&amp;$AS$82&amp;"C"&amp;$A163))</f>
        <v>164.9</v>
      </c>
      <c r="DD163" s="3">
        <f>IF(RTD("tos.rtd",,DD$43,"."&amp;$B$134&amp;$AS$82&amp;"P"&amp;$A163)="N/A",0,RTD("tos.rtd",,DD$43,"."&amp;$B$134&amp;$AS$82&amp;"P"&amp;$A163))</f>
        <v>0.05</v>
      </c>
      <c r="DE163" s="3">
        <f>IF(RTD("tos.rtd",,DE$43,"."&amp;$B$134&amp;$AS$82&amp;"C"&amp;$A163)="N/A",0,RTD("tos.rtd",,DE$43,"."&amp;$B$134&amp;$AS$82&amp;"C"&amp;$A163))</f>
        <v>148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90"/>
        <v>-161.44900000000052</v>
      </c>
      <c r="DH163" s="3">
        <f t="shared" si="557"/>
        <v>0</v>
      </c>
      <c r="DI163" s="3">
        <f t="shared" si="558"/>
        <v>0</v>
      </c>
      <c r="DJ163" s="3">
        <f t="shared" si="559"/>
        <v>0</v>
      </c>
      <c r="DK163" s="3">
        <f t="shared" si="560"/>
        <v>0</v>
      </c>
      <c r="DL163" s="3">
        <f t="shared" si="561"/>
        <v>0</v>
      </c>
      <c r="DM163" s="3">
        <f t="shared" si="562"/>
        <v>0</v>
      </c>
      <c r="DN163" s="64" t="str">
        <f t="shared" si="563"/>
        <v>UNKNOWN</v>
      </c>
      <c r="DO163" s="64" t="str">
        <f t="shared" si="564"/>
        <v>UNKNOWN</v>
      </c>
      <c r="DP163" s="3">
        <f t="shared" si="565"/>
        <v>0</v>
      </c>
      <c r="DQ163" s="3">
        <f t="shared" si="566"/>
        <v>0</v>
      </c>
      <c r="DR163" s="3" t="e">
        <f t="shared" ca="1" si="567"/>
        <v>#NUM!</v>
      </c>
      <c r="DS163" s="3">
        <f t="shared" si="568"/>
        <v>0</v>
      </c>
      <c r="DT163" s="3">
        <f t="shared" si="591"/>
        <v>0</v>
      </c>
      <c r="DU163" s="3">
        <f t="shared" si="592"/>
        <v>0</v>
      </c>
      <c r="DV163" s="3">
        <f t="shared" si="569"/>
        <v>-1</v>
      </c>
      <c r="DW163" s="3">
        <f t="shared" si="570"/>
        <v>68</v>
      </c>
      <c r="DX163" s="3" t="e">
        <f t="shared" ca="1" si="571"/>
        <v>#NUM!</v>
      </c>
      <c r="DY163" s="3" t="e">
        <f t="shared" ca="1" si="572"/>
        <v>#NUM!</v>
      </c>
      <c r="DZ163" s="3">
        <f t="shared" ca="1" si="573"/>
        <v>5.1054488435285075E-4</v>
      </c>
      <c r="EA163" s="3">
        <f t="shared" ca="1" si="574"/>
        <v>-4.8231581647270632E-4</v>
      </c>
      <c r="EB163" s="3">
        <f t="shared" ca="1" si="575"/>
        <v>5.9564229251251113E-4</v>
      </c>
      <c r="EC163" s="3">
        <f t="shared" ca="1" si="576"/>
        <v>-5.7187135714384916E-4</v>
      </c>
      <c r="ED163" s="63">
        <f t="shared" si="593"/>
        <v>67</v>
      </c>
      <c r="EE163" s="59">
        <f t="shared" si="577"/>
        <v>0.25</v>
      </c>
      <c r="EF163" s="59">
        <f t="shared" si="578"/>
        <v>0.36299999999999999</v>
      </c>
      <c r="EG163" s="59">
        <f t="shared" si="579"/>
        <v>0.27829999999999999</v>
      </c>
      <c r="EH163" s="59">
        <f t="shared" si="580"/>
        <v>0.29549999999999998</v>
      </c>
      <c r="EI163" s="59">
        <f t="shared" si="581"/>
        <v>0.23599999999999999</v>
      </c>
      <c r="EJ163" s="59">
        <f t="shared" si="582"/>
        <v>0.24660000000000001</v>
      </c>
      <c r="EK163" s="63" t="e">
        <f t="shared" ca="1" si="594"/>
        <v>#NUM!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36.30%</v>
      </c>
      <c r="EN163" s="3" t="str">
        <f>RTD("tos.rtd",,EN$2,"."&amp;$C$134&amp;$AU$82&amp;"C"&amp;$A163)</f>
        <v>27.83%</v>
      </c>
      <c r="EO163" s="3" t="str">
        <f>RTD("tos.rtd",,EO$2,"."&amp;$C$134&amp;$AU$82&amp;"P"&amp;$A163)</f>
        <v>29.55%</v>
      </c>
      <c r="EP163" s="3" t="str">
        <f>RTD("tos.rtd",,EP$2,"."&amp;$D$134&amp;$AW$82&amp;"C"&amp;$A163)</f>
        <v>23.60%</v>
      </c>
      <c r="EQ163" s="3" t="str">
        <f>RTD("tos.rtd",,EQ$2,"."&amp;$D$134&amp;$AW$82&amp;"P"&amp;$A163)</f>
        <v>24.66%</v>
      </c>
      <c r="ES163" s="63" t="str">
        <f t="shared" si="583"/>
        <v>19900,67.00</v>
      </c>
      <c r="ET163" s="63" t="str">
        <f t="shared" ca="1" si="584"/>
        <v>19900,00.00</v>
      </c>
      <c r="EU163" s="68">
        <v>565.41999999999996</v>
      </c>
      <c r="EV163" s="68" t="s">
        <v>1323</v>
      </c>
      <c r="EW163" s="68">
        <v>489.05</v>
      </c>
      <c r="EX163" s="68" t="s">
        <v>1324</v>
      </c>
      <c r="EY163" s="68">
        <v>5663.94</v>
      </c>
      <c r="EZ163" s="68" t="s">
        <v>1325</v>
      </c>
      <c r="FA163" s="68">
        <v>20063.564999999999</v>
      </c>
      <c r="FB163" s="68" t="s">
        <v>1326</v>
      </c>
      <c r="FC163" s="68" t="s">
        <v>1327</v>
      </c>
      <c r="FD163" s="68" t="s">
        <v>1328</v>
      </c>
      <c r="FE163" s="68" t="s">
        <v>1329</v>
      </c>
      <c r="FF163" s="68" t="s">
        <v>1330</v>
      </c>
    </row>
    <row r="164" spans="1:162" ht="11.1" customHeight="1" thickBot="1" x14ac:dyDescent="0.25">
      <c r="A164" s="2">
        <f t="shared" si="595"/>
        <v>19875</v>
      </c>
      <c r="B164" s="3">
        <f t="shared" si="628"/>
        <v>12</v>
      </c>
      <c r="C164" s="3">
        <f t="shared" si="629"/>
        <v>22</v>
      </c>
      <c r="D164" s="3">
        <f t="shared" si="630"/>
        <v>35</v>
      </c>
      <c r="E164" s="3">
        <f t="shared" si="613"/>
        <v>69</v>
      </c>
      <c r="F164" s="14">
        <f t="shared" si="623"/>
        <v>20281.487705598931</v>
      </c>
      <c r="G164" s="5">
        <f t="shared" si="615"/>
        <v>491.55864813154818</v>
      </c>
      <c r="AM164" s="1">
        <v>0</v>
      </c>
      <c r="AN164" s="1">
        <v>20</v>
      </c>
      <c r="AO164" s="1">
        <v>19875</v>
      </c>
      <c r="AP164" s="1">
        <v>0</v>
      </c>
      <c r="AQ164" s="1">
        <v>-140</v>
      </c>
      <c r="AS164" s="54">
        <f>IF(RTD("tos.rtd",,AS$83,"."&amp;$B$134&amp;$AS$82&amp;"C"&amp;$A164)="N/A",0,RTD("tos.rtd",,AS$83,"."&amp;$B$134&amp;$AS$82&amp;"C"&amp;$A164))</f>
        <v>6</v>
      </c>
      <c r="AT164" s="3">
        <f>-IF(RTD("tos.rtd",,AT$83,"."&amp;$B$134&amp;$AS$82&amp;"P"&amp;$A164)="N/A",0,RTD("tos.rtd",,AT$83,"."&amp;$B$134&amp;$AS$82&amp;"P"&amp;$A164))</f>
        <v>-6</v>
      </c>
      <c r="AU164" s="54">
        <f>IF(RTD("tos.rtd",,AU$2,"."&amp;$C$134&amp;$AU$134&amp;"C"&amp;$A164)="N/A",0,RTD("tos.rtd",,AU$2,"."&amp;$C$134&amp;$AU$134&amp;"C"&amp;$A164))</f>
        <v>14</v>
      </c>
      <c r="AV164" s="3">
        <f>-IF(RTD("tos.rtd",,AV$2,"."&amp;$C$134&amp;$AU$134&amp;"P"&amp;$A164)="N/A",0,RTD("tos.rtd",,AV$2,"."&amp;$C$134&amp;$AU$134&amp;"P"&amp;$A164))</f>
        <v>-8</v>
      </c>
      <c r="AW164" s="54">
        <f>IF(RTD("tos.rtd",,AW$2,"."&amp;$D$134&amp;$AW$134&amp;"C"&amp;$A164)="N/A",0,RTD("tos.rtd",,AW$2,"."&amp;$D$134&amp;$AW$134&amp;"C"&amp;$A164))</f>
        <v>16</v>
      </c>
      <c r="AX164" s="3">
        <f>-IF(RTD("tos.rtd",,AX$2,"."&amp;$D$134&amp;$AW$134&amp;"P"&amp;$A164)="N/A",0,RTD("tos.rtd",,AX$2,"."&amp;$D$134&amp;$AW$134&amp;"P"&amp;$A164))</f>
        <v>-19</v>
      </c>
      <c r="AY164" s="76">
        <f t="shared" si="624"/>
        <v>3</v>
      </c>
      <c r="AZ164" s="8">
        <f t="shared" si="548"/>
        <v>19875</v>
      </c>
      <c r="BA164" s="54">
        <f>IF(RTD("tos.rtd",,BA$43,"."&amp;$B$134&amp;$AS$82&amp;"C"&amp;$A164)="N/A",0,RTD("tos.rtd",,BA$43,"."&amp;$B$134&amp;$AS$82&amp;"C"&amp;$A164))</f>
        <v>0</v>
      </c>
      <c r="BB164" s="3">
        <f>-IF(RTD("tos.rtd",,BB$43,"."&amp;$B$134&amp;$AS$82&amp;"P"&amp;$A164)="N/A",0,RTD("tos.rtd",,BB$43,"."&amp;$B$134&amp;$AS$82&amp;"P"&amp;$A164))</f>
        <v>-140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-8</v>
      </c>
      <c r="BE164" s="54">
        <f>IF(RTD("tos.rtd",,BE$2,"."&amp;$D$134&amp;$AW$82&amp;"C"&amp;$A164)="N/A",0,RTD("tos.rtd",,BE$2,"."&amp;$D$134&amp;$AW$82&amp;"C"&amp;$A164))</f>
        <v>0</v>
      </c>
      <c r="BF164" s="3">
        <f>-IF(RTD("tos.rtd",,BF$2,"."&amp;$D$134&amp;$AW$82&amp;"P"&amp;$A164)="N/A",0,RTD("tos.rtd",,BF$2,"."&amp;$D$134&amp;$AW$82&amp;"P"&amp;$A164))</f>
        <v>0</v>
      </c>
      <c r="BG164" s="3">
        <f ca="1">+Hoja2!Y165</f>
        <v>1</v>
      </c>
      <c r="BH164" s="7">
        <f t="shared" ca="1" si="549"/>
        <v>-147</v>
      </c>
      <c r="BI164" s="32" t="str">
        <f t="shared" ca="1" si="609"/>
        <v/>
      </c>
      <c r="BJ164" s="3" t="e">
        <f ca="1">IF($BP$1=1,DX164,IF(RTD("tos.rtd",,BJ$43,"."&amp;$B$134&amp;$AS$82&amp;"C"&amp;$A164)="N/A",0,RTD("tos.rtd",,BJ$43,"."&amp;$B$134&amp;$AS$82&amp;"C"&amp;$A164)))</f>
        <v>#NUM!</v>
      </c>
      <c r="BK164" s="3" t="e">
        <f ca="1">IF($BP$1=1,DY164,-IF(RTD("tos.rtd",,BK$43,"."&amp;$B$134&amp;$AS$82&amp;"P"&amp;$A164)="N/A",0,RTD("tos.rtd",,BK$43,"."&amp;$B$134&amp;$AS$82&amp;"P"&amp;$A164)))</f>
        <v>#NUM!</v>
      </c>
      <c r="BL164" s="3">
        <f ca="1">IF($BP$1=1,DZ164,IF(RTD("tos.rtd",,BL$2,"."&amp;$C$134&amp;$AU$82&amp;"C"&amp;$A164)="N/A",0,RTD("tos.rtd",,BL$2,"."&amp;$C$134&amp;$AU$82&amp;"C"&amp;$A164)))</f>
        <v>5.024464574492376E-4</v>
      </c>
      <c r="BM164" s="3">
        <f ca="1">IF($BP$1=1,EA164,-IF(RTD("tos.rtd",,BM$2,"."&amp;$C$134&amp;$AU$82&amp;"P"&amp;$A164)="N/A",0,RTD("tos.rtd",,BM$2,"."&amp;$C$134&amp;$AU$82&amp;"P"&amp;$A164)))</f>
        <v>-4.7678203049393065E-4</v>
      </c>
      <c r="BN164" s="3">
        <f ca="1">IF($BP$1=1,EB164,IF(RTD("tos.rtd",,BN$2,"."&amp;$D$134&amp;$AW$82&amp;"C"&amp;$A164)="N/A",0,RTD("tos.rtd",,BN$2,"."&amp;$D$134&amp;$AW$82&amp;"C"&amp;$A164)))</f>
        <v>5.8658351776816396E-4</v>
      </c>
      <c r="BO164" s="3">
        <f ca="1">IF($BP$1=1,EC164,-IF(RTD("tos.rtd",,BO$2,"."&amp;$D$134&amp;$AW$82&amp;"P"&amp;$A164)="N/A",0,RTD("tos.rtd",,BO$2,"."&amp;$D$134&amp;$AW$82&amp;"P"&amp;$A164)))</f>
        <v>-5.6357749647731586E-4</v>
      </c>
      <c r="BQ164" s="3" t="e">
        <f t="shared" ca="1" si="625"/>
        <v>#NUM!</v>
      </c>
      <c r="BR164" s="3" t="e">
        <f t="shared" ca="1" si="550"/>
        <v>#NUM!</v>
      </c>
      <c r="BS164" s="3">
        <f t="shared" ca="1" si="626"/>
        <v>103151.16441895164</v>
      </c>
      <c r="BT164" s="3" t="str">
        <f t="shared" ca="1" si="551"/>
        <v>Cruce +</v>
      </c>
      <c r="BU164" s="3">
        <f t="shared" ca="1" si="627"/>
        <v>-42370.095116809593</v>
      </c>
      <c r="BV164" s="3" t="str">
        <f t="shared" ca="1" si="551"/>
        <v/>
      </c>
      <c r="BX164" s="3" t="e">
        <f t="shared" ca="1" si="585"/>
        <v>#NUM!</v>
      </c>
      <c r="BY164" s="3" t="e">
        <f t="shared" ca="1" si="586"/>
        <v>#NUM!</v>
      </c>
      <c r="BZ164" s="3">
        <f t="shared" ca="1" si="587"/>
        <v>-939.01141051694424</v>
      </c>
      <c r="CA164" s="3" t="str">
        <f t="shared" ca="1" si="586"/>
        <v/>
      </c>
      <c r="CB164" s="3">
        <f t="shared" ca="1" si="588"/>
        <v>0</v>
      </c>
      <c r="CC164" s="3" t="str">
        <f t="shared" ca="1" si="586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0.12</v>
      </c>
      <c r="CF164" s="3">
        <f>IF(RTD("tos.rtd",,CF$2,"."&amp;$C$134&amp;$AU$82&amp;"C"&amp;$A164)="N/A",0,RTD("tos.rtd",,CF$2,"."&amp;$C$134&amp;$AU$82&amp;"C"&amp;$A164))</f>
        <v>0.63</v>
      </c>
      <c r="CG164" s="3">
        <f>-IF(RTD("tos.rtd",,CG$2,"."&amp;$C$134&amp;$AU$82&amp;"P"&amp;$A164)="N/A",0,RTD("tos.rtd",,CG$2,"."&amp;$C$134&amp;$AU$82&amp;"P"&amp;$A164))</f>
        <v>0.38</v>
      </c>
      <c r="CH164" s="3">
        <f>IF(RTD("tos.rtd",,CH$2,"."&amp;$D$134&amp;$AW$82&amp;"C"&amp;$A164)="N/A",0,RTD("tos.rtd",,CH$2,"."&amp;$D$134&amp;$AW$82&amp;"C"&amp;$A164))</f>
        <v>0.59</v>
      </c>
      <c r="CI164" s="3">
        <f>-IF(RTD("tos.rtd",,CI$2,"."&amp;$D$134&amp;$AW$82&amp;"P"&amp;$A164)="N/A",0,RTD("tos.rtd",,CI$2,"."&amp;$D$134&amp;$AW$82&amp;"P"&amp;$A164))</f>
        <v>0.41</v>
      </c>
      <c r="CK164" s="3">
        <f t="shared" si="620"/>
        <v>528</v>
      </c>
      <c r="CL164" s="3"/>
      <c r="CM164" s="3">
        <f t="shared" si="621"/>
        <v>578</v>
      </c>
      <c r="CN164" s="3"/>
      <c r="CO164" s="3">
        <f t="shared" si="622"/>
        <v>165.00000000000011</v>
      </c>
      <c r="CP164" s="3">
        <f t="shared" si="542"/>
        <v>1271</v>
      </c>
      <c r="CQ164" s="3">
        <f t="shared" si="552"/>
        <v>-140</v>
      </c>
      <c r="CR164" s="3"/>
      <c r="CS164" s="3">
        <f t="shared" si="553"/>
        <v>-8</v>
      </c>
      <c r="CT164" s="3"/>
      <c r="CU164" s="3">
        <f t="shared" si="554"/>
        <v>0</v>
      </c>
      <c r="CV164" s="3"/>
      <c r="CW164" s="3" t="e">
        <f t="shared" ca="1" si="555"/>
        <v>#NUM!</v>
      </c>
      <c r="CY164" s="3" t="e">
        <f t="shared" ca="1" si="556"/>
        <v>#NUM!</v>
      </c>
      <c r="CZ164" s="70" t="e">
        <f t="shared" ca="1" si="589"/>
        <v>#NUM!</v>
      </c>
      <c r="DA164" s="3">
        <f>IF(RTD("tos.rtd",,DA$43,"."&amp;$B$134&amp;$AS$82&amp;"C"&amp;$A164)="N/A",0,RTD("tos.rtd",,DA$43,"."&amp;$B$134&amp;$AS$82&amp;"C"&amp;$A164))</f>
        <v>250.85</v>
      </c>
      <c r="DB164" s="3">
        <f>IF(RTD("tos.rtd",,DB$43,"."&amp;$B$134&amp;$AS$82&amp;"P"&amp;$A164)="N/A",0,RTD("tos.rtd",,DB$43,"."&amp;$B$134&amp;$AS$82&amp;"P"&amp;$A164))</f>
        <v>0.25</v>
      </c>
      <c r="DC164" s="3">
        <f>IF(RTD("tos.rtd",,DC$43,"."&amp;$B$134&amp;$AS$82&amp;"C"&amp;$A164)="N/A",0,RTD("tos.rtd",,DC$43,"."&amp;$B$134&amp;$AS$82&amp;"C"&amp;$A164))</f>
        <v>189.9</v>
      </c>
      <c r="DD164" s="3">
        <f>IF(RTD("tos.rtd",,DD$43,"."&amp;$B$134&amp;$AS$82&amp;"P"&amp;$A164)="N/A",0,RTD("tos.rtd",,DD$43,"."&amp;$B$134&amp;$AS$82&amp;"P"&amp;$A164))</f>
        <v>19.8</v>
      </c>
      <c r="DE164" s="3">
        <f>IF(RTD("tos.rtd",,DE$43,"."&amp;$B$134&amp;$AS$82&amp;"C"&amp;$A164)="N/A",0,RTD("tos.rtd",,DE$43,"."&amp;$B$134&amp;$AS$82&amp;"C"&amp;$A164))</f>
        <v>172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90"/>
        <v>-186.44900000000052</v>
      </c>
      <c r="DH164" s="3">
        <f t="shared" si="557"/>
        <v>0</v>
      </c>
      <c r="DI164" s="3">
        <f t="shared" si="558"/>
        <v>0</v>
      </c>
      <c r="DJ164" s="3">
        <f t="shared" si="559"/>
        <v>0</v>
      </c>
      <c r="DK164" s="3">
        <f t="shared" si="560"/>
        <v>0</v>
      </c>
      <c r="DL164" s="3">
        <f t="shared" si="561"/>
        <v>0</v>
      </c>
      <c r="DM164" s="3">
        <f t="shared" si="562"/>
        <v>0</v>
      </c>
      <c r="DN164" s="64" t="str">
        <f t="shared" si="563"/>
        <v>UNKNOWN</v>
      </c>
      <c r="DO164" s="64" t="str">
        <f t="shared" si="564"/>
        <v>UNKNOWN</v>
      </c>
      <c r="DP164" s="3">
        <f t="shared" si="565"/>
        <v>0</v>
      </c>
      <c r="DQ164" s="3">
        <f t="shared" si="566"/>
        <v>0</v>
      </c>
      <c r="DR164" s="3" t="e">
        <f t="shared" ca="1" si="567"/>
        <v>#NUM!</v>
      </c>
      <c r="DS164" s="3">
        <f t="shared" si="568"/>
        <v>0</v>
      </c>
      <c r="DT164" s="3">
        <f t="shared" si="591"/>
        <v>0</v>
      </c>
      <c r="DU164" s="3">
        <f t="shared" si="592"/>
        <v>0</v>
      </c>
      <c r="DV164" s="3">
        <f t="shared" si="569"/>
        <v>0</v>
      </c>
      <c r="DW164" s="3">
        <f t="shared" si="570"/>
        <v>20</v>
      </c>
      <c r="DX164" s="3" t="e">
        <f t="shared" ca="1" si="571"/>
        <v>#NUM!</v>
      </c>
      <c r="DY164" s="3" t="e">
        <f t="shared" ca="1" si="572"/>
        <v>#NUM!</v>
      </c>
      <c r="DZ164" s="3">
        <f t="shared" ca="1" si="573"/>
        <v>5.024464574492376E-4</v>
      </c>
      <c r="EA164" s="3">
        <f t="shared" ca="1" si="574"/>
        <v>-4.7678203049393065E-4</v>
      </c>
      <c r="EB164" s="3">
        <f t="shared" ca="1" si="575"/>
        <v>5.8658351776816396E-4</v>
      </c>
      <c r="EC164" s="3">
        <f t="shared" ca="1" si="576"/>
        <v>-5.6357749647731586E-4</v>
      </c>
      <c r="ED164" s="63">
        <f t="shared" si="593"/>
        <v>20</v>
      </c>
      <c r="EE164" s="59">
        <f t="shared" si="577"/>
        <v>0.25</v>
      </c>
      <c r="EF164" s="59">
        <f t="shared" si="578"/>
        <v>1.0698000000000001</v>
      </c>
      <c r="EG164" s="59">
        <f t="shared" si="579"/>
        <v>0.28039999999999998</v>
      </c>
      <c r="EH164" s="59">
        <f t="shared" si="580"/>
        <v>0.29659999999999997</v>
      </c>
      <c r="EI164" s="59">
        <f t="shared" si="581"/>
        <v>0.23680000000000001</v>
      </c>
      <c r="EJ164" s="59">
        <f t="shared" si="582"/>
        <v>0.2475</v>
      </c>
      <c r="EK164" s="63" t="e">
        <f t="shared" ca="1" si="594"/>
        <v>#NUM!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106.98%</v>
      </c>
      <c r="EN164" s="3" t="str">
        <f>RTD("tos.rtd",,EN$2,"."&amp;$C$134&amp;$AU$82&amp;"C"&amp;$A164)</f>
        <v>28.04%</v>
      </c>
      <c r="EO164" s="3" t="str">
        <f>RTD("tos.rtd",,EO$2,"."&amp;$C$134&amp;$AU$82&amp;"P"&amp;$A164)</f>
        <v>29.66%</v>
      </c>
      <c r="EP164" s="3" t="str">
        <f>RTD("tos.rtd",,EP$2,"."&amp;$D$134&amp;$AW$82&amp;"C"&amp;$A164)</f>
        <v>23.68%</v>
      </c>
      <c r="EQ164" s="3" t="str">
        <f>RTD("tos.rtd",,EQ$2,"."&amp;$D$134&amp;$AW$82&amp;"P"&amp;$A164)</f>
        <v>24.75%</v>
      </c>
      <c r="ES164" s="63" t="str">
        <f t="shared" si="583"/>
        <v>19875,20.00</v>
      </c>
      <c r="ET164" s="63" t="str">
        <f t="shared" ca="1" si="584"/>
        <v>19875,00.00</v>
      </c>
      <c r="EU164" s="68">
        <v>565.38</v>
      </c>
      <c r="EV164" s="68" t="s">
        <v>1331</v>
      </c>
      <c r="EW164" s="68">
        <v>489.02</v>
      </c>
      <c r="EX164" s="68" t="s">
        <v>1332</v>
      </c>
      <c r="EY164" s="68">
        <v>5663.94</v>
      </c>
      <c r="EZ164" s="68" t="s">
        <v>1333</v>
      </c>
      <c r="FA164" s="68">
        <v>20063.564999999999</v>
      </c>
      <c r="FB164" s="68" t="s">
        <v>1334</v>
      </c>
      <c r="FC164" s="68" t="s">
        <v>1335</v>
      </c>
      <c r="FD164" s="68" t="s">
        <v>1336</v>
      </c>
      <c r="FE164" s="68" t="s">
        <v>1337</v>
      </c>
      <c r="FF164" s="68" t="s">
        <v>1338</v>
      </c>
    </row>
    <row r="165" spans="1:162" ht="11.1" customHeight="1" thickBot="1" x14ac:dyDescent="0.25">
      <c r="A165" s="2">
        <f t="shared" si="595"/>
        <v>19850</v>
      </c>
      <c r="B165" s="3">
        <f t="shared" si="628"/>
        <v>24</v>
      </c>
      <c r="C165" s="3">
        <f t="shared" si="629"/>
        <v>31</v>
      </c>
      <c r="D165" s="3">
        <f t="shared" si="630"/>
        <v>89</v>
      </c>
      <c r="E165" s="3">
        <f t="shared" si="613"/>
        <v>144</v>
      </c>
      <c r="F165" s="4">
        <f t="shared" si="623"/>
        <v>20255.976400308868</v>
      </c>
      <c r="G165" s="5">
        <f t="shared" si="615"/>
        <v>490.94033536660282</v>
      </c>
      <c r="AM165" s="1">
        <v>0</v>
      </c>
      <c r="AN165" s="1">
        <v>-2</v>
      </c>
      <c r="AO165" s="1">
        <v>19850</v>
      </c>
      <c r="AP165" s="1">
        <v>3</v>
      </c>
      <c r="AQ165" s="1">
        <v>-238</v>
      </c>
      <c r="AS165" s="54">
        <f>IF(RTD("tos.rtd",,AS$83,"."&amp;$B$134&amp;$AS$82&amp;"C"&amp;$A165)="N/A",0,RTD("tos.rtd",,AS$83,"."&amp;$B$134&amp;$AS$82&amp;"C"&amp;$A165))</f>
        <v>7</v>
      </c>
      <c r="AT165" s="3">
        <f>-IF(RTD("tos.rtd",,AT$83,"."&amp;$B$134&amp;$AS$82&amp;"P"&amp;$A165)="N/A",0,RTD("tos.rtd",,AT$83,"."&amp;$B$134&amp;$AS$82&amp;"P"&amp;$A165))</f>
        <v>-17</v>
      </c>
      <c r="AU165" s="54">
        <f>IF(RTD("tos.rtd",,AU$2,"."&amp;$C$134&amp;$AU$134&amp;"C"&amp;$A165)="N/A",0,RTD("tos.rtd",,AU$2,"."&amp;$C$134&amp;$AU$134&amp;"C"&amp;$A165))</f>
        <v>24</v>
      </c>
      <c r="AV165" s="3">
        <f>-IF(RTD("tos.rtd",,AV$2,"."&amp;$C$134&amp;$AU$134&amp;"P"&amp;$A165)="N/A",0,RTD("tos.rtd",,AV$2,"."&amp;$C$134&amp;$AU$134&amp;"P"&amp;$A165))</f>
        <v>-7</v>
      </c>
      <c r="AW165" s="54">
        <f>IF(RTD("tos.rtd",,AW$2,"."&amp;$D$134&amp;$AW$134&amp;"C"&amp;$A165)="N/A",0,RTD("tos.rtd",,AW$2,"."&amp;$D$134&amp;$AW$134&amp;"C"&amp;$A165))</f>
        <v>46</v>
      </c>
      <c r="AX165" s="3">
        <f>-IF(RTD("tos.rtd",,AX$2,"."&amp;$D$134&amp;$AW$134&amp;"P"&amp;$A165)="N/A",0,RTD("tos.rtd",,AX$2,"."&amp;$D$134&amp;$AW$134&amp;"P"&amp;$A165))</f>
        <v>-43</v>
      </c>
      <c r="AY165" s="76">
        <f t="shared" si="624"/>
        <v>10</v>
      </c>
      <c r="AZ165" s="8">
        <f t="shared" si="548"/>
        <v>19850</v>
      </c>
      <c r="BA165" s="54">
        <f>IF(RTD("tos.rtd",,BA$43,"."&amp;$B$134&amp;$AS$82&amp;"C"&amp;$A165)="N/A",0,RTD("tos.rtd",,BA$43,"."&amp;$B$134&amp;$AS$82&amp;"C"&amp;$A165))</f>
        <v>3</v>
      </c>
      <c r="BB165" s="3">
        <f>-IF(RTD("tos.rtd",,BB$43,"."&amp;$B$134&amp;$AS$82&amp;"P"&amp;$A165)="N/A",0,RTD("tos.rtd",,BB$43,"."&amp;$B$134&amp;$AS$82&amp;"P"&amp;$A165))</f>
        <v>-238</v>
      </c>
      <c r="BC165" s="54">
        <f>IF(RTD("tos.rtd",,BC$2,"."&amp;$C$134&amp;$AU$82&amp;"C"&amp;$A165)="N/A",0,RTD("tos.rtd",,BC$2,"."&amp;$C$134&amp;$AU$82&amp;"C"&amp;$A165))</f>
        <v>3</v>
      </c>
      <c r="BD165" s="3">
        <f>-IF(RTD("tos.rtd",,BD$2,"."&amp;$C$134&amp;$AU$82&amp;"P"&amp;$A165)="N/A",0,RTD("tos.rtd",,BD$2,"."&amp;$C$134&amp;$AU$82&amp;"P"&amp;$A165))</f>
        <v>-3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-2</v>
      </c>
      <c r="BG165" s="3">
        <f ca="1">+Hoja2!Y166</f>
        <v>0</v>
      </c>
      <c r="BH165" s="7">
        <f t="shared" ca="1" si="549"/>
        <v>-237</v>
      </c>
      <c r="BI165" s="32" t="str">
        <f t="shared" ca="1" si="609"/>
        <v/>
      </c>
      <c r="BJ165" s="3" t="e">
        <f ca="1">IF($BP$1=1,DX165,IF(RTD("tos.rtd",,BJ$43,"."&amp;$B$134&amp;$AS$82&amp;"C"&amp;$A165)="N/A",0,RTD("tos.rtd",,BJ$43,"."&amp;$B$134&amp;$AS$82&amp;"C"&amp;$A165)))</f>
        <v>#NUM!</v>
      </c>
      <c r="BK165" s="3" t="e">
        <f ca="1">IF($BP$1=1,DY165,-IF(RTD("tos.rtd",,BK$43,"."&amp;$B$134&amp;$AS$82&amp;"P"&amp;$A165)="N/A",0,RTD("tos.rtd",,BK$43,"."&amp;$B$134&amp;$AS$82&amp;"P"&amp;$A165)))</f>
        <v>#NUM!</v>
      </c>
      <c r="BL165" s="3">
        <f ca="1">IF($BP$1=1,DZ165,IF(RTD("tos.rtd",,BL$2,"."&amp;$C$134&amp;$AU$82&amp;"C"&amp;$A165)="N/A",0,RTD("tos.rtd",,BL$2,"."&amp;$C$134&amp;$AU$82&amp;"C"&amp;$A165)))</f>
        <v>4.9891159374145389E-4</v>
      </c>
      <c r="BM165" s="3">
        <f ca="1">IF($BP$1=1,EA165,-IF(RTD("tos.rtd",,BM$2,"."&amp;$C$134&amp;$AU$82&amp;"P"&amp;$A165)="N/A",0,RTD("tos.rtd",,BM$2,"."&amp;$C$134&amp;$AU$82&amp;"P"&amp;$A165)))</f>
        <v>-4.7163517165311943E-4</v>
      </c>
      <c r="BN165" s="3">
        <f ca="1">IF($BP$1=1,EB165,IF(RTD("tos.rtd",,BN$2,"."&amp;$D$134&amp;$AW$82&amp;"C"&amp;$A165)="N/A",0,RTD("tos.rtd",,BN$2,"."&amp;$D$134&amp;$AW$82&amp;"C"&amp;$A165)))</f>
        <v>5.7665473551432177E-4</v>
      </c>
      <c r="BO165" s="3">
        <f ca="1">IF($BP$1=1,EC165,-IF(RTD("tos.rtd",,BO$2,"."&amp;$D$134&amp;$AW$82&amp;"P"&amp;$A165)="N/A",0,RTD("tos.rtd",,BO$2,"."&amp;$D$134&amp;$AW$82&amp;"P"&amp;$A165)))</f>
        <v>-5.5510774373901265E-4</v>
      </c>
      <c r="BQ165" s="3" t="e">
        <f t="shared" ca="1" si="625"/>
        <v>#NUM!</v>
      </c>
      <c r="BR165" s="3" t="e">
        <f t="shared" ca="1" si="550"/>
        <v>#NUM!</v>
      </c>
      <c r="BS165" s="3">
        <f t="shared" ca="1" si="626"/>
        <v>277817.72872053052</v>
      </c>
      <c r="BT165" s="3" t="str">
        <f t="shared" ca="1" si="551"/>
        <v/>
      </c>
      <c r="BU165" s="3">
        <f t="shared" ca="1" si="627"/>
        <v>85099.37974771217</v>
      </c>
      <c r="BV165" s="3" t="str">
        <f t="shared" ca="1" si="551"/>
        <v>Cruce +</v>
      </c>
      <c r="BX165" s="3" t="e">
        <f t="shared" ca="1" si="585"/>
        <v>#NUM!</v>
      </c>
      <c r="BY165" s="3" t="e">
        <f t="shared" ca="1" si="586"/>
        <v>#NUM!</v>
      </c>
      <c r="BZ165" s="3">
        <f t="shared" ca="1" si="587"/>
        <v>20.145110821779781</v>
      </c>
      <c r="CA165" s="3" t="str">
        <f t="shared" ca="1" si="586"/>
        <v>Cruce +</v>
      </c>
      <c r="CB165" s="3">
        <f t="shared" ca="1" si="588"/>
        <v>-273.31803219242977</v>
      </c>
      <c r="CC165" s="3" t="str">
        <f t="shared" ca="1" si="586"/>
        <v/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0.11</v>
      </c>
      <c r="CF165" s="3">
        <f>IF(RTD("tos.rtd",,CF$2,"."&amp;$C$134&amp;$AU$82&amp;"C"&amp;$A165)="N/A",0,RTD("tos.rtd",,CF$2,"."&amp;$C$134&amp;$AU$82&amp;"C"&amp;$A165))</f>
        <v>0.65</v>
      </c>
      <c r="CG165" s="3">
        <f>-IF(RTD("tos.rtd",,CG$2,"."&amp;$C$134&amp;$AU$82&amp;"P"&amp;$A165)="N/A",0,RTD("tos.rtd",,CG$2,"."&amp;$C$134&amp;$AU$82&amp;"P"&amp;$A165))</f>
        <v>0.36</v>
      </c>
      <c r="CH165" s="3">
        <f>IF(RTD("tos.rtd",,CH$2,"."&amp;$D$134&amp;$AW$82&amp;"C"&amp;$A165)="N/A",0,RTD("tos.rtd",,CH$2,"."&amp;$D$134&amp;$AW$82&amp;"C"&amp;$A165))</f>
        <v>0.59</v>
      </c>
      <c r="CI165" s="3">
        <f>-IF(RTD("tos.rtd",,CI$2,"."&amp;$D$134&amp;$AW$82&amp;"P"&amp;$A165)="N/A",0,RTD("tos.rtd",,CI$2,"."&amp;$D$134&amp;$AW$82&amp;"P"&amp;$A165))</f>
        <v>0.41</v>
      </c>
      <c r="CK165" s="3">
        <f t="shared" si="620"/>
        <v>513</v>
      </c>
      <c r="CL165" s="3"/>
      <c r="CM165" s="3">
        <f t="shared" si="621"/>
        <v>1308.0000000000002</v>
      </c>
      <c r="CN165" s="3"/>
      <c r="CO165" s="3">
        <f t="shared" si="622"/>
        <v>950.99999999999955</v>
      </c>
      <c r="CP165" s="3">
        <f t="shared" si="542"/>
        <v>2772</v>
      </c>
      <c r="CQ165" s="3">
        <f t="shared" si="552"/>
        <v>-235</v>
      </c>
      <c r="CR165" s="3"/>
      <c r="CS165" s="3">
        <f t="shared" si="553"/>
        <v>0</v>
      </c>
      <c r="CT165" s="3"/>
      <c r="CU165" s="3">
        <f t="shared" si="554"/>
        <v>-2</v>
      </c>
      <c r="CV165" s="3"/>
      <c r="CW165" s="3" t="e">
        <f t="shared" ca="1" si="555"/>
        <v>#NUM!</v>
      </c>
      <c r="CY165" s="3" t="e">
        <f t="shared" ca="1" si="556"/>
        <v>#NUM!</v>
      </c>
      <c r="CZ165" s="70" t="e">
        <f t="shared" ca="1" si="589"/>
        <v>#NUM!</v>
      </c>
      <c r="DA165" s="3">
        <f>IF(RTD("tos.rtd",,DA$43,"."&amp;$B$134&amp;$AS$82&amp;"C"&amp;$A165)="N/A",0,RTD("tos.rtd",,DA$43,"."&amp;$B$134&amp;$AS$82&amp;"C"&amp;$A165))</f>
        <v>177.8</v>
      </c>
      <c r="DB165" s="3">
        <f>IF(RTD("tos.rtd",,DB$43,"."&amp;$B$134&amp;$AS$82&amp;"P"&amp;$A165)="N/A",0,RTD("tos.rtd",,DB$43,"."&amp;$B$134&amp;$AS$82&amp;"P"&amp;$A165))</f>
        <v>0.15</v>
      </c>
      <c r="DC165" s="3">
        <f>IF(RTD("tos.rtd",,DC$43,"."&amp;$B$134&amp;$AS$82&amp;"C"&amp;$A165)="N/A",0,RTD("tos.rtd",,DC$43,"."&amp;$B$134&amp;$AS$82&amp;"C"&amp;$A165))</f>
        <v>214.9</v>
      </c>
      <c r="DD165" s="3">
        <f>IF(RTD("tos.rtd",,DD$43,"."&amp;$B$134&amp;$AS$82&amp;"P"&amp;$A165)="N/A",0,RTD("tos.rtd",,DD$43,"."&amp;$B$134&amp;$AS$82&amp;"P"&amp;$A165))</f>
        <v>19.8</v>
      </c>
      <c r="DE165" s="3">
        <f>IF(RTD("tos.rtd",,DE$43,"."&amp;$B$134&amp;$AS$82&amp;"C"&amp;$A165)="N/A",0,RTD("tos.rtd",,DE$43,"."&amp;$B$134&amp;$AS$82&amp;"C"&amp;$A165))</f>
        <v>198.4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90"/>
        <v>-211.44900000000052</v>
      </c>
      <c r="DH165" s="3">
        <f t="shared" si="557"/>
        <v>0</v>
      </c>
      <c r="DI165" s="3">
        <f t="shared" si="558"/>
        <v>0</v>
      </c>
      <c r="DJ165" s="3">
        <f t="shared" si="559"/>
        <v>0</v>
      </c>
      <c r="DK165" s="3">
        <f t="shared" si="560"/>
        <v>0</v>
      </c>
      <c r="DL165" s="3">
        <f t="shared" si="561"/>
        <v>0</v>
      </c>
      <c r="DM165" s="3">
        <f t="shared" si="562"/>
        <v>0</v>
      </c>
      <c r="DN165" s="64" t="str">
        <f t="shared" si="563"/>
        <v>UNKNOWN</v>
      </c>
      <c r="DO165" s="64" t="str">
        <f t="shared" si="564"/>
        <v>UNKNOWN</v>
      </c>
      <c r="DP165" s="3">
        <f t="shared" si="565"/>
        <v>0</v>
      </c>
      <c r="DQ165" s="3">
        <f t="shared" si="566"/>
        <v>0</v>
      </c>
      <c r="DR165" s="3" t="e">
        <f t="shared" ca="1" si="567"/>
        <v>#NUM!</v>
      </c>
      <c r="DS165" s="3">
        <f t="shared" si="568"/>
        <v>0</v>
      </c>
      <c r="DT165" s="3">
        <f t="shared" si="591"/>
        <v>0</v>
      </c>
      <c r="DU165" s="3">
        <f t="shared" si="592"/>
        <v>0</v>
      </c>
      <c r="DV165" s="3">
        <f t="shared" si="569"/>
        <v>0</v>
      </c>
      <c r="DW165" s="3">
        <f t="shared" si="570"/>
        <v>-2</v>
      </c>
      <c r="DX165" s="3" t="e">
        <f t="shared" ca="1" si="571"/>
        <v>#NUM!</v>
      </c>
      <c r="DY165" s="3" t="e">
        <f t="shared" ca="1" si="572"/>
        <v>#NUM!</v>
      </c>
      <c r="DZ165" s="3">
        <f t="shared" ca="1" si="573"/>
        <v>4.9891159374145389E-4</v>
      </c>
      <c r="EA165" s="3">
        <f t="shared" ca="1" si="574"/>
        <v>-4.7163517165311943E-4</v>
      </c>
      <c r="EB165" s="3">
        <f t="shared" ca="1" si="575"/>
        <v>5.7665473551432177E-4</v>
      </c>
      <c r="EC165" s="3">
        <f t="shared" ca="1" si="576"/>
        <v>-5.5510774373901265E-4</v>
      </c>
      <c r="ED165" s="63">
        <f t="shared" si="593"/>
        <v>-2</v>
      </c>
      <c r="EE165" s="59">
        <f t="shared" si="577"/>
        <v>0.25</v>
      </c>
      <c r="EF165" s="59">
        <f t="shared" si="578"/>
        <v>1.1698</v>
      </c>
      <c r="EG165" s="59">
        <f t="shared" si="579"/>
        <v>0.27950000000000003</v>
      </c>
      <c r="EH165" s="59">
        <f t="shared" si="580"/>
        <v>0.29720000000000002</v>
      </c>
      <c r="EI165" s="59">
        <f t="shared" si="581"/>
        <v>0.23769999999999999</v>
      </c>
      <c r="EJ165" s="59">
        <f t="shared" si="582"/>
        <v>0.2482</v>
      </c>
      <c r="EK165" s="63" t="e">
        <f t="shared" ca="1" si="594"/>
        <v>#NUM!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116.98%</v>
      </c>
      <c r="EN165" s="3" t="str">
        <f>RTD("tos.rtd",,EN$2,"."&amp;$C$134&amp;$AU$82&amp;"C"&amp;$A165)</f>
        <v>27.95%</v>
      </c>
      <c r="EO165" s="3" t="str">
        <f>RTD("tos.rtd",,EO$2,"."&amp;$C$134&amp;$AU$82&amp;"P"&amp;$A165)</f>
        <v>29.72%</v>
      </c>
      <c r="EP165" s="3" t="str">
        <f>RTD("tos.rtd",,EP$2,"."&amp;$D$134&amp;$AW$82&amp;"C"&amp;$A165)</f>
        <v>23.77%</v>
      </c>
      <c r="EQ165" s="3" t="str">
        <f>RTD("tos.rtd",,EQ$2,"."&amp;$D$134&amp;$AW$82&amp;"P"&amp;$A165)</f>
        <v>24.82%</v>
      </c>
      <c r="ES165" s="63" t="str">
        <f t="shared" si="583"/>
        <v>19850,-02.00</v>
      </c>
      <c r="ET165" s="63" t="str">
        <f t="shared" ca="1" si="584"/>
        <v>19850,00.00</v>
      </c>
      <c r="EU165" s="68">
        <v>565.17999999999995</v>
      </c>
      <c r="EV165" s="68" t="s">
        <v>1339</v>
      </c>
      <c r="EW165" s="68">
        <v>488.84</v>
      </c>
      <c r="EX165" s="68" t="s">
        <v>1340</v>
      </c>
      <c r="EY165" s="68">
        <v>5663.94</v>
      </c>
      <c r="EZ165" s="68" t="s">
        <v>1341</v>
      </c>
      <c r="FA165" s="68">
        <v>20063.564999999999</v>
      </c>
      <c r="FB165" s="68" t="s">
        <v>1342</v>
      </c>
      <c r="FC165" s="68" t="s">
        <v>1343</v>
      </c>
      <c r="FD165" s="68" t="s">
        <v>1344</v>
      </c>
      <c r="FE165" s="68" t="s">
        <v>1345</v>
      </c>
      <c r="FF165" s="68" t="s">
        <v>1346</v>
      </c>
    </row>
    <row r="166" spans="1:162" ht="11.1" customHeight="1" thickBot="1" x14ac:dyDescent="0.25">
      <c r="A166" s="2">
        <f t="shared" si="595"/>
        <v>19825</v>
      </c>
      <c r="B166" s="3">
        <f t="shared" si="628"/>
        <v>21</v>
      </c>
      <c r="C166" s="3">
        <f t="shared" si="629"/>
        <v>60</v>
      </c>
      <c r="D166" s="3">
        <f t="shared" si="630"/>
        <v>122</v>
      </c>
      <c r="E166" s="3">
        <f t="shared" si="613"/>
        <v>203</v>
      </c>
      <c r="F166" s="4">
        <f t="shared" si="623"/>
        <v>20230.465095018808</v>
      </c>
      <c r="G166" s="5">
        <f t="shared" si="615"/>
        <v>490.32202260165752</v>
      </c>
      <c r="AM166" s="1">
        <v>0</v>
      </c>
      <c r="AN166" s="1">
        <v>56</v>
      </c>
      <c r="AO166" s="1">
        <v>19825</v>
      </c>
      <c r="AP166" s="1">
        <v>0</v>
      </c>
      <c r="AQ166" s="1">
        <v>-152</v>
      </c>
      <c r="AS166" s="54">
        <f>IF(RTD("tos.rtd",,AS$83,"."&amp;$B$134&amp;$AS$82&amp;"C"&amp;$A166)="N/A",0,RTD("tos.rtd",,AS$83,"."&amp;$B$134&amp;$AS$82&amp;"C"&amp;$A166))</f>
        <v>15</v>
      </c>
      <c r="AT166" s="3">
        <f>-IF(RTD("tos.rtd",,AT$83,"."&amp;$B$134&amp;$AS$82&amp;"P"&amp;$A166)="N/A",0,RTD("tos.rtd",,AT$83,"."&amp;$B$134&amp;$AS$82&amp;"P"&amp;$A166))</f>
        <v>-6</v>
      </c>
      <c r="AU166" s="54">
        <f>IF(RTD("tos.rtd",,AU$2,"."&amp;$C$134&amp;$AU$134&amp;"C"&amp;$A166)="N/A",0,RTD("tos.rtd",,AU$2,"."&amp;$C$134&amp;$AU$134&amp;"C"&amp;$A166))</f>
        <v>32</v>
      </c>
      <c r="AV166" s="3">
        <f>-IF(RTD("tos.rtd",,AV$2,"."&amp;$C$134&amp;$AU$134&amp;"P"&amp;$A166)="N/A",0,RTD("tos.rtd",,AV$2,"."&amp;$C$134&amp;$AU$134&amp;"P"&amp;$A166))</f>
        <v>-28</v>
      </c>
      <c r="AW166" s="54">
        <f>IF(RTD("tos.rtd",,AW$2,"."&amp;$D$134&amp;$AW$134&amp;"C"&amp;$A166)="N/A",0,RTD("tos.rtd",,AW$2,"."&amp;$D$134&amp;$AW$134&amp;"C"&amp;$A166))</f>
        <v>47</v>
      </c>
      <c r="AX166" s="3">
        <f>-IF(RTD("tos.rtd",,AX$2,"."&amp;$D$134&amp;$AW$134&amp;"P"&amp;$A166)="N/A",0,RTD("tos.rtd",,AX$2,"."&amp;$D$134&amp;$AW$134&amp;"P"&amp;$A166))</f>
        <v>-75</v>
      </c>
      <c r="AY166" s="76">
        <f t="shared" si="624"/>
        <v>-15</v>
      </c>
      <c r="AZ166" s="8">
        <f t="shared" si="548"/>
        <v>19825</v>
      </c>
      <c r="BA166" s="54">
        <f>IF(RTD("tos.rtd",,BA$43,"."&amp;$B$134&amp;$AS$82&amp;"C"&amp;$A166)="N/A",0,RTD("tos.rtd",,BA$43,"."&amp;$B$134&amp;$AS$82&amp;"C"&amp;$A166))</f>
        <v>0</v>
      </c>
      <c r="BB166" s="3">
        <f>-IF(RTD("tos.rtd",,BB$43,"."&amp;$B$134&amp;$AS$82&amp;"P"&amp;$A166)="N/A",0,RTD("tos.rtd",,BB$43,"."&amp;$B$134&amp;$AS$82&amp;"P"&amp;$A166))</f>
        <v>-152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-4</v>
      </c>
      <c r="BE166" s="54">
        <f>IF(RTD("tos.rtd",,BE$2,"."&amp;$D$134&amp;$AW$82&amp;"C"&amp;$A166)="N/A",0,RTD("tos.rtd",,BE$2,"."&amp;$D$134&amp;$AW$82&amp;"C"&amp;$A166))</f>
        <v>0</v>
      </c>
      <c r="BF166" s="3">
        <f>-IF(RTD("tos.rtd",,BF$2,"."&amp;$D$134&amp;$AW$82&amp;"P"&amp;$A166)="N/A",0,RTD("tos.rtd",,BF$2,"."&amp;$D$134&amp;$AW$82&amp;"P"&amp;$A166))</f>
        <v>-1</v>
      </c>
      <c r="BG166" s="3">
        <f ca="1">+Hoja2!Y167</f>
        <v>1</v>
      </c>
      <c r="BH166" s="7">
        <f t="shared" ca="1" si="549"/>
        <v>-156</v>
      </c>
      <c r="BI166" s="32" t="str">
        <f t="shared" ca="1" si="609"/>
        <v/>
      </c>
      <c r="BJ166" s="3" t="e">
        <f ca="1">IF($BP$1=1,DX166,IF(RTD("tos.rtd",,BJ$43,"."&amp;$B$134&amp;$AS$82&amp;"C"&amp;$A166)="N/A",0,RTD("tos.rtd",,BJ$43,"."&amp;$B$134&amp;$AS$82&amp;"C"&amp;$A166)))</f>
        <v>#NUM!</v>
      </c>
      <c r="BK166" s="3" t="e">
        <f ca="1">IF($BP$1=1,DY166,-IF(RTD("tos.rtd",,BK$43,"."&amp;$B$134&amp;$AS$82&amp;"P"&amp;$A166)="N/A",0,RTD("tos.rtd",,BK$43,"."&amp;$B$134&amp;$AS$82&amp;"P"&amp;$A166)))</f>
        <v>#NUM!</v>
      </c>
      <c r="BL166" s="3">
        <f ca="1">IF($BP$1=1,DZ166,IF(RTD("tos.rtd",,BL$2,"."&amp;$C$134&amp;$AU$82&amp;"C"&amp;$A166)="N/A",0,RTD("tos.rtd",,BL$2,"."&amp;$C$134&amp;$AU$82&amp;"C"&amp;$A166)))</f>
        <v>4.9056080356246236E-4</v>
      </c>
      <c r="BM166" s="3">
        <f ca="1">IF($BP$1=1,EA166,-IF(RTD("tos.rtd",,BM$2,"."&amp;$C$134&amp;$AU$82&amp;"P"&amp;$A166)="N/A",0,RTD("tos.rtd",,BM$2,"."&amp;$C$134&amp;$AU$82&amp;"P"&amp;$A166)))</f>
        <v>-4.663997759985871E-4</v>
      </c>
      <c r="BN166" s="3">
        <f ca="1">IF($BP$1=1,EB166,IF(RTD("tos.rtd",,BN$2,"."&amp;$D$134&amp;$AW$82&amp;"C"&amp;$A166)="N/A",0,RTD("tos.rtd",,BN$2,"."&amp;$D$134&amp;$AW$82&amp;"C"&amp;$A166)))</f>
        <v>5.6634253033034892E-4</v>
      </c>
      <c r="BO166" s="3">
        <f ca="1">IF($BP$1=1,EC166,-IF(RTD("tos.rtd",,BO$2,"."&amp;$D$134&amp;$AW$82&amp;"P"&amp;$A166)="N/A",0,RTD("tos.rtd",,BO$2,"."&amp;$D$134&amp;$AW$82&amp;"P"&amp;$A166)))</f>
        <v>-5.4569383433929577E-4</v>
      </c>
      <c r="BQ166" s="3" t="e">
        <f t="shared" ca="1" si="625"/>
        <v>#NUM!</v>
      </c>
      <c r="BR166" s="3" t="e">
        <f t="shared" ca="1" si="550"/>
        <v>#NUM!</v>
      </c>
      <c r="BS166" s="3">
        <f t="shared" ca="1" si="626"/>
        <v>84531.314784780843</v>
      </c>
      <c r="BT166" s="3" t="str">
        <f t="shared" ca="1" si="551"/>
        <v/>
      </c>
      <c r="BU166" s="3">
        <f t="shared" ca="1" si="627"/>
        <v>-458380.8571826081</v>
      </c>
      <c r="BV166" s="3" t="str">
        <f t="shared" ca="1" si="551"/>
        <v>Cruce -</v>
      </c>
      <c r="BX166" s="3" t="e">
        <f t="shared" ca="1" si="585"/>
        <v>#NUM!</v>
      </c>
      <c r="BY166" s="3" t="e">
        <f t="shared" ca="1" si="586"/>
        <v>#NUM!</v>
      </c>
      <c r="BZ166" s="3">
        <f t="shared" ca="1" si="587"/>
        <v>-459.28189771698538</v>
      </c>
      <c r="CA166" s="3" t="str">
        <f t="shared" ca="1" si="586"/>
        <v>Cruce -</v>
      </c>
      <c r="CB166" s="3">
        <f t="shared" ca="1" si="588"/>
        <v>-134.341455927591</v>
      </c>
      <c r="CC166" s="3" t="str">
        <f t="shared" ca="1" si="586"/>
        <v/>
      </c>
      <c r="CD166" s="3">
        <f>IF(RTD("tos.rtd",,CD$43,"."&amp;$B$134&amp;$AS$82&amp;"C"&amp;$A166)="N/A",0,RTD("tos.rtd",,CD$43,"."&amp;$B$134&amp;$AS$82&amp;"C"&amp;$A166))</f>
        <v>0.98</v>
      </c>
      <c r="CE166" s="3">
        <f>-IF(RTD("tos.rtd",,CE$43,"."&amp;$B$134&amp;$AS$82&amp;"P"&amp;$A166)="N/A",0,RTD("tos.rtd",,CE$43,"."&amp;$B$134&amp;$AS$82&amp;"P"&amp;$A166))</f>
        <v>0.11</v>
      </c>
      <c r="CF166" s="3">
        <f>IF(RTD("tos.rtd",,CF$2,"."&amp;$C$134&amp;$AU$82&amp;"C"&amp;$A166)="N/A",0,RTD("tos.rtd",,CF$2,"."&amp;$C$134&amp;$AU$82&amp;"C"&amp;$A166))</f>
        <v>0.66</v>
      </c>
      <c r="CG166" s="3">
        <f>-IF(RTD("tos.rtd",,CG$2,"."&amp;$C$134&amp;$AU$82&amp;"P"&amp;$A166)="N/A",0,RTD("tos.rtd",,CG$2,"."&amp;$C$134&amp;$AU$82&amp;"P"&amp;$A166))</f>
        <v>0.35</v>
      </c>
      <c r="CH166" s="3">
        <f>IF(RTD("tos.rtd",,CH$2,"."&amp;$D$134&amp;$AW$82&amp;"C"&amp;$A166)="N/A",0,RTD("tos.rtd",,CH$2,"."&amp;$D$134&amp;$AW$82&amp;"C"&amp;$A166))</f>
        <v>0.6</v>
      </c>
      <c r="CI166" s="3">
        <f>-IF(RTD("tos.rtd",,CI$2,"."&amp;$D$134&amp;$AW$82&amp;"P"&amp;$A166)="N/A",0,RTD("tos.rtd",,CI$2,"."&amp;$D$134&amp;$AW$82&amp;"P"&amp;$A166))</f>
        <v>0.4</v>
      </c>
      <c r="CK166" s="3">
        <f t="shared" si="620"/>
        <v>1404</v>
      </c>
      <c r="CL166" s="3"/>
      <c r="CM166" s="3">
        <f t="shared" si="621"/>
        <v>1132</v>
      </c>
      <c r="CN166" s="3"/>
      <c r="CO166" s="3">
        <f t="shared" si="622"/>
        <v>-180</v>
      </c>
      <c r="CP166" s="3">
        <f t="shared" si="542"/>
        <v>2356</v>
      </c>
      <c r="CQ166" s="3">
        <f t="shared" si="552"/>
        <v>-152</v>
      </c>
      <c r="CR166" s="3"/>
      <c r="CS166" s="3">
        <f t="shared" si="553"/>
        <v>-4</v>
      </c>
      <c r="CT166" s="3"/>
      <c r="CU166" s="3">
        <f t="shared" si="554"/>
        <v>-1</v>
      </c>
      <c r="CV166" s="3"/>
      <c r="CW166" s="3" t="e">
        <f t="shared" ca="1" si="555"/>
        <v>#NUM!</v>
      </c>
      <c r="CY166" s="3" t="e">
        <f t="shared" ca="1" si="556"/>
        <v>#NUM!</v>
      </c>
      <c r="CZ166" s="70" t="e">
        <f t="shared" ca="1" si="589"/>
        <v>#NUM!</v>
      </c>
      <c r="DA166" s="3">
        <f>IF(RTD("tos.rtd",,DA$43,"."&amp;$B$134&amp;$AS$82&amp;"C"&amp;$A166)="N/A",0,RTD("tos.rtd",,DA$43,"."&amp;$B$134&amp;$AS$82&amp;"C"&amp;$A166))</f>
        <v>424.81</v>
      </c>
      <c r="DB166" s="3">
        <f>IF(RTD("tos.rtd",,DB$43,"."&amp;$B$134&amp;$AS$82&amp;"P"&amp;$A166)="N/A",0,RTD("tos.rtd",,DB$43,"."&amp;$B$134&amp;$AS$82&amp;"P"&amp;$A166))</f>
        <v>0.25</v>
      </c>
      <c r="DC166" s="3">
        <f>IF(RTD("tos.rtd",,DC$43,"."&amp;$B$134&amp;$AS$82&amp;"C"&amp;$A166)="N/A",0,RTD("tos.rtd",,DC$43,"."&amp;$B$134&amp;$AS$82&amp;"C"&amp;$A166))</f>
        <v>258</v>
      </c>
      <c r="DD166" s="3">
        <f>IF(RTD("tos.rtd",,DD$43,"."&amp;$B$134&amp;$AS$82&amp;"P"&amp;$A166)="N/A",0,RTD("tos.rtd",,DD$43,"."&amp;$B$134&amp;$AS$82&amp;"P"&amp;$A166))</f>
        <v>19.8</v>
      </c>
      <c r="DE166" s="3">
        <f>IF(RTD("tos.rtd",,DE$43,"."&amp;$B$134&amp;$AS$82&amp;"C"&amp;$A166)="N/A",0,RTD("tos.rtd",,DE$43,"."&amp;$B$134&amp;$AS$82&amp;"C"&amp;$A166))</f>
        <v>216.3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90"/>
        <v>-236.44900000000052</v>
      </c>
      <c r="DH166" s="3">
        <f t="shared" si="557"/>
        <v>0</v>
      </c>
      <c r="DI166" s="3">
        <f t="shared" si="558"/>
        <v>0</v>
      </c>
      <c r="DJ166" s="3">
        <f t="shared" si="559"/>
        <v>0</v>
      </c>
      <c r="DK166" s="3">
        <f t="shared" si="560"/>
        <v>0</v>
      </c>
      <c r="DL166" s="3">
        <f t="shared" si="561"/>
        <v>0</v>
      </c>
      <c r="DM166" s="3">
        <f t="shared" si="562"/>
        <v>0</v>
      </c>
      <c r="DN166" s="64" t="str">
        <f t="shared" si="563"/>
        <v>UNKNOWN</v>
      </c>
      <c r="DO166" s="64" t="str">
        <f t="shared" si="564"/>
        <v>UNKNOWN</v>
      </c>
      <c r="DP166" s="3">
        <f t="shared" si="565"/>
        <v>0</v>
      </c>
      <c r="DQ166" s="3">
        <f t="shared" si="566"/>
        <v>0</v>
      </c>
      <c r="DR166" s="3" t="e">
        <f t="shared" ca="1" si="567"/>
        <v>#NUM!</v>
      </c>
      <c r="DS166" s="3">
        <f t="shared" si="568"/>
        <v>0</v>
      </c>
      <c r="DT166" s="3">
        <f t="shared" si="591"/>
        <v>0</v>
      </c>
      <c r="DU166" s="3">
        <f t="shared" si="592"/>
        <v>0</v>
      </c>
      <c r="DV166" s="3">
        <f t="shared" si="569"/>
        <v>0</v>
      </c>
      <c r="DW166" s="3">
        <f t="shared" si="570"/>
        <v>56</v>
      </c>
      <c r="DX166" s="3" t="e">
        <f t="shared" ca="1" si="571"/>
        <v>#NUM!</v>
      </c>
      <c r="DY166" s="3" t="e">
        <f t="shared" ca="1" si="572"/>
        <v>#NUM!</v>
      </c>
      <c r="DZ166" s="3">
        <f t="shared" ca="1" si="573"/>
        <v>4.9056080356246236E-4</v>
      </c>
      <c r="EA166" s="3">
        <f t="shared" ca="1" si="574"/>
        <v>-4.663997759985871E-4</v>
      </c>
      <c r="EB166" s="3">
        <f t="shared" ca="1" si="575"/>
        <v>5.6634253033034892E-4</v>
      </c>
      <c r="EC166" s="3">
        <f t="shared" ca="1" si="576"/>
        <v>-5.4569383433929577E-4</v>
      </c>
      <c r="ED166" s="63">
        <f t="shared" si="593"/>
        <v>56</v>
      </c>
      <c r="EE166" s="59">
        <f t="shared" si="577"/>
        <v>0.73540000000000005</v>
      </c>
      <c r="EF166" s="59">
        <f t="shared" si="578"/>
        <v>1.268</v>
      </c>
      <c r="EG166" s="59">
        <f t="shared" si="579"/>
        <v>0.28129999999999999</v>
      </c>
      <c r="EH166" s="59">
        <f t="shared" si="580"/>
        <v>0.29759999999999998</v>
      </c>
      <c r="EI166" s="59">
        <f t="shared" si="581"/>
        <v>0.23849999999999999</v>
      </c>
      <c r="EJ166" s="59">
        <f t="shared" si="582"/>
        <v>0.24909999999999999</v>
      </c>
      <c r="EK166" s="63" t="e">
        <f t="shared" ca="1" si="594"/>
        <v>#NUM!</v>
      </c>
      <c r="EL166" s="3" t="str">
        <f>RTD("tos.rtd",,EL$43,"."&amp;$B$134&amp;$AS$82&amp;"C"&amp;$A166)</f>
        <v>73.54%</v>
      </c>
      <c r="EM166" s="3" t="str">
        <f>RTD("tos.rtd",,EM$43,"."&amp;$B$134&amp;$AS$82&amp;"P"&amp;$A166)</f>
        <v>126.80%</v>
      </c>
      <c r="EN166" s="3" t="str">
        <f>RTD("tos.rtd",,EN$2,"."&amp;$C$134&amp;$AU$82&amp;"C"&amp;$A166)</f>
        <v>28.13%</v>
      </c>
      <c r="EO166" s="3" t="str">
        <f>RTD("tos.rtd",,EO$2,"."&amp;$C$134&amp;$AU$82&amp;"P"&amp;$A166)</f>
        <v>29.76%</v>
      </c>
      <c r="EP166" s="3" t="str">
        <f>RTD("tos.rtd",,EP$2,"."&amp;$D$134&amp;$AW$82&amp;"C"&amp;$A166)</f>
        <v>23.85%</v>
      </c>
      <c r="EQ166" s="3" t="str">
        <f>RTD("tos.rtd",,EQ$2,"."&amp;$D$134&amp;$AW$82&amp;"P"&amp;$A166)</f>
        <v>24.91%</v>
      </c>
      <c r="ES166" s="63" t="str">
        <f t="shared" si="583"/>
        <v>19825,56.00</v>
      </c>
      <c r="ET166" s="63" t="str">
        <f t="shared" ca="1" si="584"/>
        <v>19825,00.00</v>
      </c>
      <c r="EU166" s="68">
        <v>565.14</v>
      </c>
      <c r="EV166" s="68" t="s">
        <v>1347</v>
      </c>
      <c r="EW166" s="68">
        <v>488.81</v>
      </c>
      <c r="EX166" s="68" t="s">
        <v>1348</v>
      </c>
      <c r="EY166" s="68">
        <v>5663.94</v>
      </c>
      <c r="EZ166" s="68" t="s">
        <v>1349</v>
      </c>
      <c r="FA166" s="68">
        <v>20063.564999999999</v>
      </c>
      <c r="FB166" s="68" t="s">
        <v>1350</v>
      </c>
      <c r="FC166" s="68" t="s">
        <v>1351</v>
      </c>
      <c r="FD166" s="68" t="s">
        <v>1352</v>
      </c>
      <c r="FE166" s="68" t="s">
        <v>1353</v>
      </c>
      <c r="FF166" s="68" t="s">
        <v>1354</v>
      </c>
    </row>
    <row r="167" spans="1:162" ht="11.1" customHeight="1" thickBot="1" x14ac:dyDescent="0.25">
      <c r="A167" s="2">
        <f t="shared" si="595"/>
        <v>19800</v>
      </c>
      <c r="B167" s="3">
        <f t="shared" ref="B167:B181" si="631">+IF($A$1="ABS",AS167-AT167,AS167+AT167)</f>
        <v>62</v>
      </c>
      <c r="C167" s="3">
        <f t="shared" ref="C167:C181" si="632">+IF($A$1="ABS",AU167-AV167,AU167+AV167)</f>
        <v>62</v>
      </c>
      <c r="D167" s="3">
        <f t="shared" ref="D167:D181" si="633">+IF($A$1="ABS",AW167-AX167,AW167+AX167)</f>
        <v>575</v>
      </c>
      <c r="E167" s="3">
        <f t="shared" ref="E167:E181" si="634">SUM(B167:D167)</f>
        <v>699</v>
      </c>
      <c r="F167" s="4">
        <f t="shared" ref="F167:F181" si="635">+$F$136/$A$136*A167</f>
        <v>20204.953789728745</v>
      </c>
      <c r="G167" s="5">
        <f t="shared" ref="G167:G181" si="636">+$G$136/$A$136*A167</f>
        <v>489.70370983671216</v>
      </c>
      <c r="AM167" s="1">
        <v>-11</v>
      </c>
      <c r="AN167" s="1">
        <v>730</v>
      </c>
      <c r="AO167" s="1">
        <v>19800</v>
      </c>
      <c r="AP167" s="1">
        <v>17</v>
      </c>
      <c r="AQ167" s="1">
        <v>-2752</v>
      </c>
      <c r="AS167" s="54">
        <f>IF(RTD("tos.rtd",,AS$83,"."&amp;$B$134&amp;$AS$82&amp;"C"&amp;$A167)="N/A",0,RTD("tos.rtd",,AS$83,"."&amp;$B$134&amp;$AS$82&amp;"C"&amp;$A167))</f>
        <v>38</v>
      </c>
      <c r="AT167" s="3">
        <f>-IF(RTD("tos.rtd",,AT$83,"."&amp;$B$134&amp;$AS$82&amp;"P"&amp;$A167)="N/A",0,RTD("tos.rtd",,AT$83,"."&amp;$B$134&amp;$AS$82&amp;"P"&amp;$A167))</f>
        <v>-24</v>
      </c>
      <c r="AU167" s="54">
        <f>IF(RTD("tos.rtd",,AU$2,"."&amp;$C$134&amp;$AU$134&amp;"C"&amp;$A167)="N/A",0,RTD("tos.rtd",,AU$2,"."&amp;$C$134&amp;$AU$134&amp;"C"&amp;$A167))</f>
        <v>34</v>
      </c>
      <c r="AV167" s="3">
        <f>-IF(RTD("tos.rtd",,AV$2,"."&amp;$C$134&amp;$AU$134&amp;"P"&amp;$A167)="N/A",0,RTD("tos.rtd",,AV$2,"."&amp;$C$134&amp;$AU$134&amp;"P"&amp;$A167))</f>
        <v>-28</v>
      </c>
      <c r="AW167" s="54">
        <f>IF(RTD("tos.rtd",,AW$2,"."&amp;$D$134&amp;$AW$134&amp;"C"&amp;$A167)="N/A",0,RTD("tos.rtd",,AW$2,"."&amp;$D$134&amp;$AW$134&amp;"C"&amp;$A167))</f>
        <v>283</v>
      </c>
      <c r="AX167" s="3">
        <f>-IF(RTD("tos.rtd",,AX$2,"."&amp;$D$134&amp;$AW$134&amp;"P"&amp;$A167)="N/A",0,RTD("tos.rtd",,AX$2,"."&amp;$D$134&amp;$AW$134&amp;"P"&amp;$A167))</f>
        <v>-292</v>
      </c>
      <c r="AY167" s="76">
        <f t="shared" ref="AY167:AY181" si="637">SUM(AS167:AX167)</f>
        <v>11</v>
      </c>
      <c r="AZ167" s="8">
        <f t="shared" si="548"/>
        <v>19800</v>
      </c>
      <c r="BA167" s="54">
        <f>IF(RTD("tos.rtd",,BA$43,"."&amp;$B$134&amp;$AS$82&amp;"C"&amp;$A167)="N/A",0,RTD("tos.rtd",,BA$43,"."&amp;$B$134&amp;$AS$82&amp;"C"&amp;$A167))</f>
        <v>17</v>
      </c>
      <c r="BB167" s="3">
        <f>-IF(RTD("tos.rtd",,BB$43,"."&amp;$B$134&amp;$AS$82&amp;"P"&amp;$A167)="N/A",0,RTD("tos.rtd",,BB$43,"."&amp;$B$134&amp;$AS$82&amp;"P"&amp;$A167))</f>
        <v>-2752</v>
      </c>
      <c r="BC167" s="54">
        <f>IF(RTD("tos.rtd",,BC$2,"."&amp;$C$134&amp;$AU$82&amp;"C"&amp;$A167)="N/A",0,RTD("tos.rtd",,BC$2,"."&amp;$C$134&amp;$AU$82&amp;"C"&amp;$A167))</f>
        <v>1</v>
      </c>
      <c r="BD167" s="3">
        <f>-IF(RTD("tos.rtd",,BD$2,"."&amp;$C$134&amp;$AU$82&amp;"P"&amp;$A167)="N/A",0,RTD("tos.rtd",,BD$2,"."&amp;$C$134&amp;$AU$82&amp;"P"&amp;$A167))</f>
        <v>-23</v>
      </c>
      <c r="BE167" s="54">
        <f>IF(RTD("tos.rtd",,BE$2,"."&amp;$D$134&amp;$AW$82&amp;"C"&amp;$A167)="N/A",0,RTD("tos.rtd",,BE$2,"."&amp;$D$134&amp;$AW$82&amp;"C"&amp;$A167))</f>
        <v>0</v>
      </c>
      <c r="BF167" s="3">
        <f>-IF(RTD("tos.rtd",,BF$2,"."&amp;$D$134&amp;$AW$82&amp;"P"&amp;$A167)="N/A",0,RTD("tos.rtd",,BF$2,"."&amp;$D$134&amp;$AW$82&amp;"P"&amp;$A167))</f>
        <v>-1</v>
      </c>
      <c r="BG167" s="3">
        <f ca="1">+Hoja2!Y168</f>
        <v>-5</v>
      </c>
      <c r="BH167" s="7">
        <f t="shared" ca="1" si="549"/>
        <v>-2763</v>
      </c>
      <c r="BI167" s="32" t="str">
        <f t="shared" ca="1" si="609"/>
        <v/>
      </c>
      <c r="BJ167" s="3" t="e">
        <f ca="1">IF($BP$1=1,DX167,IF(RTD("tos.rtd",,BJ$43,"."&amp;$B$134&amp;$AS$82&amp;"C"&amp;$A167)="N/A",0,RTD("tos.rtd",,BJ$43,"."&amp;$B$134&amp;$AS$82&amp;"C"&amp;$A167)))</f>
        <v>#NUM!</v>
      </c>
      <c r="BK167" s="3" t="e">
        <f ca="1">IF($BP$1=1,DY167,-IF(RTD("tos.rtd",,BK$43,"."&amp;$B$134&amp;$AS$82&amp;"P"&amp;$A167)="N/A",0,RTD("tos.rtd",,BK$43,"."&amp;$B$134&amp;$AS$82&amp;"P"&amp;$A167)))</f>
        <v>#NUM!</v>
      </c>
      <c r="BL167" s="3">
        <f ca="1">IF($BP$1=1,DZ167,IF(RTD("tos.rtd",,BL$2,"."&amp;$C$134&amp;$AU$82&amp;"C"&amp;$A167)="N/A",0,RTD("tos.rtd",,BL$2,"."&amp;$C$134&amp;$AU$82&amp;"C"&amp;$A167)))</f>
        <v>4.865912315324161E-4</v>
      </c>
      <c r="BM167" s="3">
        <f ca="1">IF($BP$1=1,EA167,-IF(RTD("tos.rtd",,BM$2,"."&amp;$C$134&amp;$AU$82&amp;"P"&amp;$A167)="N/A",0,RTD("tos.rtd",,BM$2,"."&amp;$C$134&amp;$AU$82&amp;"P"&amp;$A167)))</f>
        <v>-4.6010956923606534E-4</v>
      </c>
      <c r="BN167" s="3">
        <f ca="1">IF($BP$1=1,EB167,IF(RTD("tos.rtd",,BN$2,"."&amp;$D$134&amp;$AW$82&amp;"C"&amp;$A167)="N/A",0,RTD("tos.rtd",,BN$2,"."&amp;$D$134&amp;$AW$82&amp;"C"&amp;$A167)))</f>
        <v>5.5547468715838101E-4</v>
      </c>
      <c r="BO167" s="3">
        <f ca="1">IF($BP$1=1,EC167,-IF(RTD("tos.rtd",,BO$2,"."&amp;$D$134&amp;$AW$82&amp;"P"&amp;$A167)="N/A",0,RTD("tos.rtd",,BO$2,"."&amp;$D$134&amp;$AW$82&amp;"P"&amp;$A167)))</f>
        <v>-5.3579401919681452E-4</v>
      </c>
      <c r="BQ167" s="3" t="e">
        <f t="shared" ref="BQ167:BQ181" ca="1" si="638">+$A$84*$A$84*AS167*BJ167-$A$84*$A$84*AT167*BK167</f>
        <v>#NUM!</v>
      </c>
      <c r="BR167" s="3" t="e">
        <f t="shared" ca="1" si="550"/>
        <v>#NUM!</v>
      </c>
      <c r="BS167" s="3">
        <f t="shared" ref="BS167:BS181" ca="1" si="639">+$A$84*$A$84*AU167*BL167-$A$84*$A$84*AV167*BM167</f>
        <v>117279.68884806935</v>
      </c>
      <c r="BT167" s="3" t="str">
        <f t="shared" ca="1" si="551"/>
        <v/>
      </c>
      <c r="BU167" s="3">
        <f t="shared" ref="BU167:BU181" ca="1" si="640">+$A$84*$A$84*AW167*BN167-$A$84*$A$84*AX167*BO167</f>
        <v>23945.300391608849</v>
      </c>
      <c r="BV167" s="3" t="str">
        <f t="shared" ca="1" si="551"/>
        <v>Cruce +</v>
      </c>
      <c r="BX167" s="3" t="e">
        <f t="shared" ca="1" si="585"/>
        <v>#NUM!</v>
      </c>
      <c r="BY167" s="3" t="e">
        <f t="shared" ca="1" si="586"/>
        <v>#NUM!</v>
      </c>
      <c r="BZ167" s="3">
        <f t="shared" ca="1" si="587"/>
        <v>-2485.4629038579033</v>
      </c>
      <c r="CA167" s="3" t="str">
        <f t="shared" ca="1" si="586"/>
        <v/>
      </c>
      <c r="CB167" s="3">
        <f t="shared" ca="1" si="588"/>
        <v>-131.90427321456804</v>
      </c>
      <c r="CC167" s="3" t="str">
        <f t="shared" ca="1" si="586"/>
        <v/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</v>
      </c>
      <c r="CF167" s="3">
        <f>IF(RTD("tos.rtd",,CF$2,"."&amp;$C$134&amp;$AU$82&amp;"C"&amp;$A167)="N/A",0,RTD("tos.rtd",,CF$2,"."&amp;$C$134&amp;$AU$82&amp;"C"&amp;$A167))</f>
        <v>0.67</v>
      </c>
      <c r="CG167" s="3">
        <f>-IF(RTD("tos.rtd",,CG$2,"."&amp;$C$134&amp;$AU$82&amp;"P"&amp;$A167)="N/A",0,RTD("tos.rtd",,CG$2,"."&amp;$C$134&amp;$AU$82&amp;"P"&amp;$A167))</f>
        <v>0.33</v>
      </c>
      <c r="CH167" s="3">
        <f>IF(RTD("tos.rtd",,CH$2,"."&amp;$D$134&amp;$AW$82&amp;"C"&amp;$A167)="N/A",0,RTD("tos.rtd",,CH$2,"."&amp;$D$134&amp;$AW$82&amp;"C"&amp;$A167))</f>
        <v>0.61</v>
      </c>
      <c r="CI167" s="3">
        <f>-IF(RTD("tos.rtd",,CI$2,"."&amp;$D$134&amp;$AW$82&amp;"P"&amp;$A167)="N/A",0,RTD("tos.rtd",,CI$2,"."&amp;$D$134&amp;$AW$82&amp;"P"&amp;$A167))</f>
        <v>0.4</v>
      </c>
      <c r="CK167" s="3">
        <f t="shared" si="620"/>
        <v>3800</v>
      </c>
      <c r="CL167" s="3"/>
      <c r="CM167" s="3">
        <f t="shared" si="621"/>
        <v>1354</v>
      </c>
      <c r="CN167" s="3"/>
      <c r="CO167" s="3">
        <f t="shared" si="622"/>
        <v>5582.9999999999982</v>
      </c>
      <c r="CP167" s="3">
        <f t="shared" si="542"/>
        <v>10736.999999999998</v>
      </c>
      <c r="CQ167" s="3">
        <f t="shared" si="552"/>
        <v>-2735</v>
      </c>
      <c r="CR167" s="3"/>
      <c r="CS167" s="3">
        <f t="shared" si="553"/>
        <v>-22</v>
      </c>
      <c r="CT167" s="3"/>
      <c r="CU167" s="3">
        <f t="shared" si="554"/>
        <v>-1</v>
      </c>
      <c r="CV167" s="3"/>
      <c r="CW167" s="3" t="e">
        <f t="shared" ca="1" si="555"/>
        <v>#NUM!</v>
      </c>
      <c r="CY167" s="3" t="e">
        <f t="shared" ca="1" si="556"/>
        <v>#NUM!</v>
      </c>
      <c r="CZ167" s="70" t="e">
        <f t="shared" ca="1" si="589"/>
        <v>#NUM!</v>
      </c>
      <c r="DA167" s="3">
        <f>IF(RTD("tos.rtd",,DA$43,"."&amp;$B$134&amp;$AS$82&amp;"C"&amp;$A167)="N/A",0,RTD("tos.rtd",,DA$43,"."&amp;$B$134&amp;$AS$82&amp;"C"&amp;$A167))</f>
        <v>235.15</v>
      </c>
      <c r="DB167" s="3">
        <f>IF(RTD("tos.rtd",,DB$43,"."&amp;$B$134&amp;$AS$82&amp;"P"&amp;$A167)="N/A",0,RTD("tos.rtd",,DB$43,"."&amp;$B$134&amp;$AS$82&amp;"P"&amp;$A167))</f>
        <v>0.05</v>
      </c>
      <c r="DC167" s="3">
        <f>IF(RTD("tos.rtd",,DC$43,"."&amp;$B$134&amp;$AS$82&amp;"C"&amp;$A167)="N/A",0,RTD("tos.rtd",,DC$43,"."&amp;$B$134&amp;$AS$82&amp;"C"&amp;$A167))</f>
        <v>282</v>
      </c>
      <c r="DD167" s="3">
        <f>IF(RTD("tos.rtd",,DD$43,"."&amp;$B$134&amp;$AS$82&amp;"P"&amp;$A167)="N/A",0,RTD("tos.rtd",,DD$43,"."&amp;$B$134&amp;$AS$82&amp;"P"&amp;$A167))</f>
        <v>0.05</v>
      </c>
      <c r="DE167" s="3">
        <f>IF(RTD("tos.rtd",,DE$43,"."&amp;$B$134&amp;$AS$82&amp;"C"&amp;$A167)="N/A",0,RTD("tos.rtd",,DE$43,"."&amp;$B$134&amp;$AS$82&amp;"C"&amp;$A167))</f>
        <v>234.8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90"/>
        <v>-261.44900000000052</v>
      </c>
      <c r="DH167" s="3">
        <f t="shared" si="557"/>
        <v>0</v>
      </c>
      <c r="DI167" s="3">
        <f t="shared" si="558"/>
        <v>0</v>
      </c>
      <c r="DJ167" s="3">
        <f t="shared" si="559"/>
        <v>0</v>
      </c>
      <c r="DK167" s="3">
        <f t="shared" si="560"/>
        <v>0</v>
      </c>
      <c r="DL167" s="3">
        <f t="shared" si="561"/>
        <v>0</v>
      </c>
      <c r="DM167" s="3">
        <f t="shared" si="562"/>
        <v>0</v>
      </c>
      <c r="DN167" s="64" t="str">
        <f t="shared" si="563"/>
        <v>UNKNOWN</v>
      </c>
      <c r="DO167" s="64" t="str">
        <f t="shared" si="564"/>
        <v>UNKNOWN</v>
      </c>
      <c r="DP167" s="3">
        <f t="shared" si="565"/>
        <v>0</v>
      </c>
      <c r="DQ167" s="3">
        <f t="shared" si="566"/>
        <v>0</v>
      </c>
      <c r="DR167" s="3" t="e">
        <f t="shared" ca="1" si="567"/>
        <v>#NUM!</v>
      </c>
      <c r="DS167" s="3">
        <f t="shared" si="568"/>
        <v>0</v>
      </c>
      <c r="DT167" s="3">
        <f t="shared" si="591"/>
        <v>0</v>
      </c>
      <c r="DU167" s="3">
        <f t="shared" si="592"/>
        <v>0</v>
      </c>
      <c r="DV167" s="3">
        <f t="shared" si="569"/>
        <v>-11</v>
      </c>
      <c r="DW167" s="3">
        <f t="shared" si="570"/>
        <v>730</v>
      </c>
      <c r="DX167" s="3" t="e">
        <f t="shared" ca="1" si="571"/>
        <v>#NUM!</v>
      </c>
      <c r="DY167" s="3" t="e">
        <f t="shared" ca="1" si="572"/>
        <v>#NUM!</v>
      </c>
      <c r="DZ167" s="3">
        <f t="shared" ca="1" si="573"/>
        <v>4.865912315324161E-4</v>
      </c>
      <c r="EA167" s="3">
        <f t="shared" ca="1" si="574"/>
        <v>-4.6010956923606534E-4</v>
      </c>
      <c r="EB167" s="3">
        <f t="shared" ca="1" si="575"/>
        <v>5.5547468715838101E-4</v>
      </c>
      <c r="EC167" s="3">
        <f t="shared" ca="1" si="576"/>
        <v>-5.3579401919681452E-4</v>
      </c>
      <c r="ED167" s="63">
        <f t="shared" si="593"/>
        <v>719</v>
      </c>
      <c r="EE167" s="59">
        <f t="shared" si="577"/>
        <v>0.25</v>
      </c>
      <c r="EF167" s="59">
        <f t="shared" si="578"/>
        <v>0.56530000000000002</v>
      </c>
      <c r="EG167" s="59">
        <f t="shared" si="579"/>
        <v>0.28000000000000003</v>
      </c>
      <c r="EH167" s="59">
        <f t="shared" si="580"/>
        <v>0.29849999999999999</v>
      </c>
      <c r="EI167" s="59">
        <f t="shared" si="581"/>
        <v>0.23930000000000001</v>
      </c>
      <c r="EJ167" s="59">
        <f t="shared" si="582"/>
        <v>0.25</v>
      </c>
      <c r="EK167" s="63" t="e">
        <f t="shared" ca="1" si="594"/>
        <v>#NUM!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56.53%</v>
      </c>
      <c r="EN167" s="3" t="str">
        <f>RTD("tos.rtd",,EN$2,"."&amp;$C$134&amp;$AU$82&amp;"C"&amp;$A167)</f>
        <v>28.00%</v>
      </c>
      <c r="EO167" s="3" t="str">
        <f>RTD("tos.rtd",,EO$2,"."&amp;$C$134&amp;$AU$82&amp;"P"&amp;$A167)</f>
        <v>29.85%</v>
      </c>
      <c r="EP167" s="3" t="str">
        <f>RTD("tos.rtd",,EP$2,"."&amp;$D$134&amp;$AW$82&amp;"C"&amp;$A167)</f>
        <v>23.93%</v>
      </c>
      <c r="EQ167" s="3" t="str">
        <f>RTD("tos.rtd",,EQ$2,"."&amp;$D$134&amp;$AW$82&amp;"P"&amp;$A167)</f>
        <v>25.00%</v>
      </c>
      <c r="ES167" s="63" t="str">
        <f t="shared" si="583"/>
        <v>19800,719.00</v>
      </c>
      <c r="ET167" s="63" t="str">
        <f t="shared" ca="1" si="584"/>
        <v>19800,00.00</v>
      </c>
      <c r="EU167" s="68">
        <v>565.29</v>
      </c>
      <c r="EV167" s="68" t="s">
        <v>1355</v>
      </c>
      <c r="EW167" s="68">
        <v>488.95</v>
      </c>
      <c r="EX167" s="68" t="s">
        <v>1356</v>
      </c>
      <c r="EY167" s="68">
        <v>5663.94</v>
      </c>
      <c r="EZ167" s="68" t="s">
        <v>1357</v>
      </c>
      <c r="FA167" s="68">
        <v>20063.564999999999</v>
      </c>
      <c r="FB167" s="68" t="s">
        <v>1358</v>
      </c>
      <c r="FC167" s="68" t="s">
        <v>1359</v>
      </c>
      <c r="FD167" s="68" t="s">
        <v>1360</v>
      </c>
      <c r="FE167" s="68" t="s">
        <v>1361</v>
      </c>
      <c r="FF167" s="68" t="s">
        <v>1362</v>
      </c>
    </row>
    <row r="168" spans="1:162" ht="11.1" customHeight="1" thickBot="1" x14ac:dyDescent="0.25">
      <c r="A168" s="2">
        <f t="shared" si="595"/>
        <v>19775</v>
      </c>
      <c r="B168" s="3">
        <f t="shared" ref="B168:B175" si="641">+IF($A$1="ABS",AS168-AT168,AS168+AT168)</f>
        <v>15</v>
      </c>
      <c r="C168" s="3">
        <f t="shared" ref="C168:C175" si="642">+IF($A$1="ABS",AU168-AV168,AU168+AV168)</f>
        <v>32</v>
      </c>
      <c r="D168" s="3">
        <f t="shared" ref="D168:D175" si="643">+IF($A$1="ABS",AW168-AX168,AW168+AX168)</f>
        <v>39</v>
      </c>
      <c r="E168" s="3">
        <f t="shared" ref="E168:E175" si="644">SUM(B168:D168)</f>
        <v>86</v>
      </c>
      <c r="F168" s="4">
        <f t="shared" ref="F168:F175" si="645">+$F$136/$A$136*A168</f>
        <v>20179.442484438685</v>
      </c>
      <c r="G168" s="5">
        <f t="shared" ref="G168:G175" si="646">+$G$136/$A$136*A168</f>
        <v>489.08539707176681</v>
      </c>
      <c r="AM168" s="1">
        <v>0</v>
      </c>
      <c r="AN168" s="1">
        <v>15</v>
      </c>
      <c r="AO168" s="1">
        <v>19775</v>
      </c>
      <c r="AP168" s="1">
        <v>0</v>
      </c>
      <c r="AQ168" s="1">
        <v>-69</v>
      </c>
      <c r="AS168" s="54">
        <f>IF(RTD("tos.rtd",,AS$83,"."&amp;$B$134&amp;$AS$82&amp;"C"&amp;$A168)="N/A",0,RTD("tos.rtd",,AS$83,"."&amp;$B$134&amp;$AS$82&amp;"C"&amp;$A168))</f>
        <v>12</v>
      </c>
      <c r="AT168" s="3">
        <f>-IF(RTD("tos.rtd",,AT$83,"."&amp;$B$134&amp;$AS$82&amp;"P"&amp;$A168)="N/A",0,RTD("tos.rtd",,AT$83,"."&amp;$B$134&amp;$AS$82&amp;"P"&amp;$A168))</f>
        <v>-3</v>
      </c>
      <c r="AU168" s="54">
        <f>IF(RTD("tos.rtd",,AU$2,"."&amp;$C$134&amp;$AU$134&amp;"C"&amp;$A168)="N/A",0,RTD("tos.rtd",,AU$2,"."&amp;$C$134&amp;$AU$134&amp;"C"&amp;$A168))</f>
        <v>22</v>
      </c>
      <c r="AV168" s="3">
        <f>-IF(RTD("tos.rtd",,AV$2,"."&amp;$C$134&amp;$AU$134&amp;"P"&amp;$A168)="N/A",0,RTD("tos.rtd",,AV$2,"."&amp;$C$134&amp;$AU$134&amp;"P"&amp;$A168))</f>
        <v>-10</v>
      </c>
      <c r="AW168" s="54">
        <f>IF(RTD("tos.rtd",,AW$2,"."&amp;$D$134&amp;$AW$134&amp;"C"&amp;$A168)="N/A",0,RTD("tos.rtd",,AW$2,"."&amp;$D$134&amp;$AW$134&amp;"C"&amp;$A168))</f>
        <v>17</v>
      </c>
      <c r="AX168" s="3">
        <f>-IF(RTD("tos.rtd",,AX$2,"."&amp;$D$134&amp;$AW$134&amp;"P"&amp;$A168)="N/A",0,RTD("tos.rtd",,AX$2,"."&amp;$D$134&amp;$AW$134&amp;"P"&amp;$A168))</f>
        <v>-22</v>
      </c>
      <c r="AY168" s="76">
        <f t="shared" ref="AY168:AY175" si="647">SUM(AS168:AX168)</f>
        <v>16</v>
      </c>
      <c r="AZ168" s="8">
        <f t="shared" si="548"/>
        <v>19775</v>
      </c>
      <c r="BA168" s="54">
        <f>IF(RTD("tos.rtd",,BA$43,"."&amp;$B$134&amp;$AS$82&amp;"C"&amp;$A168)="N/A",0,RTD("tos.rtd",,BA$43,"."&amp;$B$134&amp;$AS$82&amp;"C"&amp;$A168))</f>
        <v>0</v>
      </c>
      <c r="BB168" s="3">
        <f>-IF(RTD("tos.rtd",,BB$43,"."&amp;$B$134&amp;$AS$82&amp;"P"&amp;$A168)="N/A",0,RTD("tos.rtd",,BB$43,"."&amp;$B$134&amp;$AS$82&amp;"P"&amp;$A168))</f>
        <v>-69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-9</v>
      </c>
      <c r="BE168" s="54">
        <f>IF(RTD("tos.rtd",,BE$2,"."&amp;$D$134&amp;$AW$82&amp;"C"&amp;$A168)="N/A",0,RTD("tos.rtd",,BE$2,"."&amp;$D$134&amp;$AW$82&amp;"C"&amp;$A168))</f>
        <v>1</v>
      </c>
      <c r="BF168" s="3">
        <f>-IF(RTD("tos.rtd",,BF$2,"."&amp;$D$134&amp;$AW$82&amp;"P"&amp;$A168)="N/A",0,RTD("tos.rtd",,BF$2,"."&amp;$D$134&amp;$AW$82&amp;"P"&amp;$A168))</f>
        <v>0</v>
      </c>
      <c r="BG168" s="3">
        <f ca="1">+Hoja2!Y169</f>
        <v>0</v>
      </c>
      <c r="BH168" s="7">
        <f t="shared" ca="1" si="549"/>
        <v>-77</v>
      </c>
      <c r="BI168" s="32" t="str">
        <f t="shared" ca="1" si="609"/>
        <v/>
      </c>
      <c r="BJ168" s="3" t="e">
        <f ca="1">IF($BP$1=1,DX168,IF(RTD("tos.rtd",,BJ$43,"."&amp;$B$134&amp;$AS$82&amp;"C"&amp;$A168)="N/A",0,RTD("tos.rtd",,BJ$43,"."&amp;$B$134&amp;$AS$82&amp;"C"&amp;$A168)))</f>
        <v>#NUM!</v>
      </c>
      <c r="BK168" s="3" t="e">
        <f ca="1">IF($BP$1=1,DY168,-IF(RTD("tos.rtd",,BK$43,"."&amp;$B$134&amp;$AS$82&amp;"P"&amp;$A168)="N/A",0,RTD("tos.rtd",,BK$43,"."&amp;$B$134&amp;$AS$82&amp;"P"&amp;$A168)))</f>
        <v>#NUM!</v>
      </c>
      <c r="BL168" s="3">
        <f ca="1">IF($BP$1=1,DZ168,IF(RTD("tos.rtd",,BL$2,"."&amp;$C$134&amp;$AU$82&amp;"C"&amp;$A168)="N/A",0,RTD("tos.rtd",,BL$2,"."&amp;$C$134&amp;$AU$82&amp;"C"&amp;$A168)))</f>
        <v>4.7711659863899778E-4</v>
      </c>
      <c r="BM168" s="3">
        <f ca="1">IF($BP$1=1,EA168,-IF(RTD("tos.rtd",,BM$2,"."&amp;$C$134&amp;$AU$82&amp;"P"&amp;$A168)="N/A",0,RTD("tos.rtd",,BM$2,"."&amp;$C$134&amp;$AU$82&amp;"P"&amp;$A168)))</f>
        <v>-4.537780150663407E-4</v>
      </c>
      <c r="BN168" s="3">
        <f ca="1">IF($BP$1=1,EB168,IF(RTD("tos.rtd",,BN$2,"."&amp;$D$134&amp;$AW$82&amp;"C"&amp;$A168)="N/A",0,RTD("tos.rtd",,BN$2,"."&amp;$D$134&amp;$AW$82&amp;"C"&amp;$A168)))</f>
        <v>5.4410242508165301E-4</v>
      </c>
      <c r="BO168" s="3">
        <f ca="1">IF($BP$1=1,EC168,-IF(RTD("tos.rtd",,BO$2,"."&amp;$D$134&amp;$AW$82&amp;"P"&amp;$A168)="N/A",0,RTD("tos.rtd",,BO$2,"."&amp;$D$134&amp;$AW$82&amp;"P"&amp;$A168)))</f>
        <v>-5.256201090695575E-4</v>
      </c>
      <c r="BQ168" s="3" t="e">
        <f t="shared" ref="BQ168:BQ175" ca="1" si="648">+$A$84*$A$84*AS168*BJ168-$A$84*$A$84*AT168*BK168</f>
        <v>#NUM!</v>
      </c>
      <c r="BR168" s="3" t="e">
        <f t="shared" ca="1" si="550"/>
        <v>#NUM!</v>
      </c>
      <c r="BS168" s="3">
        <f t="shared" ref="BS168:BS175" ca="1" si="649">+$A$84*$A$84*AU168*BL168-$A$84*$A$84*AV168*BM168</f>
        <v>190887.18260540426</v>
      </c>
      <c r="BT168" s="3" t="str">
        <f t="shared" ca="1" si="551"/>
        <v/>
      </c>
      <c r="BU168" s="3">
        <f t="shared" ref="BU168:BU175" ca="1" si="650">+$A$84*$A$84*AW168*BN168-$A$84*$A$84*AX168*BO168</f>
        <v>-74124.855038540496</v>
      </c>
      <c r="BV168" s="3" t="str">
        <f t="shared" ca="1" si="551"/>
        <v>Cruce -</v>
      </c>
      <c r="BX168" s="3" t="e">
        <f t="shared" ca="1" si="585"/>
        <v>#NUM!</v>
      </c>
      <c r="BY168" s="3" t="e">
        <f t="shared" ca="1" si="586"/>
        <v>#NUM!</v>
      </c>
      <c r="BZ168" s="3">
        <f t="shared" ca="1" si="587"/>
        <v>-1005.4187135388569</v>
      </c>
      <c r="CA168" s="3" t="str">
        <f t="shared" ca="1" si="586"/>
        <v/>
      </c>
      <c r="CB168" s="3">
        <f t="shared" ca="1" si="588"/>
        <v>133.9496753664138</v>
      </c>
      <c r="CC168" s="3" t="str">
        <f t="shared" ca="1" si="586"/>
        <v>Cruce +</v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0.1</v>
      </c>
      <c r="CF168" s="3">
        <f>IF(RTD("tos.rtd",,CF$2,"."&amp;$C$134&amp;$AU$82&amp;"C"&amp;$A168)="N/A",0,RTD("tos.rtd",,CF$2,"."&amp;$C$134&amp;$AU$82&amp;"C"&amp;$A168))</f>
        <v>0.69</v>
      </c>
      <c r="CG168" s="3">
        <f>-IF(RTD("tos.rtd",,CG$2,"."&amp;$C$134&amp;$AU$82&amp;"P"&amp;$A168)="N/A",0,RTD("tos.rtd",,CG$2,"."&amp;$C$134&amp;$AU$82&amp;"P"&amp;$A168))</f>
        <v>0.32</v>
      </c>
      <c r="CH168" s="3">
        <f>IF(RTD("tos.rtd",,CH$2,"."&amp;$D$134&amp;$AW$82&amp;"C"&amp;$A168)="N/A",0,RTD("tos.rtd",,CH$2,"."&amp;$D$134&amp;$AW$82&amp;"C"&amp;$A168))</f>
        <v>0.61</v>
      </c>
      <c r="CI168" s="3">
        <f>-IF(RTD("tos.rtd",,CI$2,"."&amp;$D$134&amp;$AW$82&amp;"P"&amp;$A168)="N/A",0,RTD("tos.rtd",,CI$2,"."&amp;$D$134&amp;$AW$82&amp;"P"&amp;$A168))</f>
        <v>0.39</v>
      </c>
      <c r="CK168" s="3">
        <f t="shared" ref="CK168:CK175" si="651">+AS168*CD168*100+AT168*CE168*100</f>
        <v>1170</v>
      </c>
      <c r="CL168" s="3"/>
      <c r="CM168" s="3">
        <f t="shared" ref="CM168:CM175" si="652">+AU168*CF168*100+AV168*CG168*100</f>
        <v>1198</v>
      </c>
      <c r="CN168" s="3"/>
      <c r="CO168" s="3">
        <f t="shared" ref="CO168:CO175" si="653">+AW168*CH168*100+AX168*CI168*100</f>
        <v>179</v>
      </c>
      <c r="CP168" s="3">
        <f t="shared" si="542"/>
        <v>2547</v>
      </c>
      <c r="CQ168" s="3">
        <f t="shared" si="552"/>
        <v>-69</v>
      </c>
      <c r="CR168" s="3"/>
      <c r="CS168" s="3">
        <f t="shared" si="553"/>
        <v>-9</v>
      </c>
      <c r="CT168" s="3"/>
      <c r="CU168" s="3">
        <f t="shared" si="554"/>
        <v>1</v>
      </c>
      <c r="CV168" s="3"/>
      <c r="CW168" s="3" t="e">
        <f t="shared" ca="1" si="555"/>
        <v>#NUM!</v>
      </c>
      <c r="CY168" s="3" t="e">
        <f t="shared" ca="1" si="556"/>
        <v>#NUM!</v>
      </c>
      <c r="CZ168" s="70" t="e">
        <f t="shared" ca="1" si="589"/>
        <v>#NUM!</v>
      </c>
      <c r="DA168" s="3">
        <f>IF(RTD("tos.rtd",,DA$43,"."&amp;$B$134&amp;$AS$82&amp;"C"&amp;$A168)="N/A",0,RTD("tos.rtd",,DA$43,"."&amp;$B$134&amp;$AS$82&amp;"C"&amp;$A168))</f>
        <v>341.1</v>
      </c>
      <c r="DB168" s="3">
        <f>IF(RTD("tos.rtd",,DB$43,"."&amp;$B$134&amp;$AS$82&amp;"P"&amp;$A168)="N/A",0,RTD("tos.rtd",,DB$43,"."&amp;$B$134&amp;$AS$82&amp;"P"&amp;$A168))</f>
        <v>1.2</v>
      </c>
      <c r="DC168" s="3">
        <f>IF(RTD("tos.rtd",,DC$43,"."&amp;$B$134&amp;$AS$82&amp;"C"&amp;$A168)="N/A",0,RTD("tos.rtd",,DC$43,"."&amp;$B$134&amp;$AS$82&amp;"C"&amp;$A168))</f>
        <v>308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259.8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90"/>
        <v>-286.44900000000052</v>
      </c>
      <c r="DH168" s="3">
        <f t="shared" si="557"/>
        <v>0</v>
      </c>
      <c r="DI168" s="3">
        <f t="shared" si="558"/>
        <v>0</v>
      </c>
      <c r="DJ168" s="3">
        <f t="shared" si="559"/>
        <v>0</v>
      </c>
      <c r="DK168" s="3">
        <f t="shared" si="560"/>
        <v>0</v>
      </c>
      <c r="DL168" s="3">
        <f t="shared" si="561"/>
        <v>0</v>
      </c>
      <c r="DM168" s="3">
        <f t="shared" si="562"/>
        <v>0</v>
      </c>
      <c r="DN168" s="64" t="str">
        <f t="shared" si="563"/>
        <v>UNKNOWN</v>
      </c>
      <c r="DO168" s="64" t="str">
        <f t="shared" si="564"/>
        <v>UNKNOWN</v>
      </c>
      <c r="DP168" s="3">
        <f t="shared" si="565"/>
        <v>0</v>
      </c>
      <c r="DQ168" s="3">
        <f t="shared" si="566"/>
        <v>0</v>
      </c>
      <c r="DR168" s="3" t="e">
        <f t="shared" ca="1" si="567"/>
        <v>#NUM!</v>
      </c>
      <c r="DS168" s="3">
        <f t="shared" si="568"/>
        <v>0</v>
      </c>
      <c r="DT168" s="3">
        <f t="shared" si="591"/>
        <v>0</v>
      </c>
      <c r="DU168" s="3">
        <f t="shared" si="592"/>
        <v>0</v>
      </c>
      <c r="DV168" s="3">
        <f t="shared" si="569"/>
        <v>0</v>
      </c>
      <c r="DW168" s="3">
        <f t="shared" si="570"/>
        <v>15</v>
      </c>
      <c r="DX168" s="3" t="e">
        <f t="shared" ca="1" si="571"/>
        <v>#NUM!</v>
      </c>
      <c r="DY168" s="3" t="e">
        <f t="shared" ca="1" si="572"/>
        <v>#NUM!</v>
      </c>
      <c r="DZ168" s="3">
        <f t="shared" ca="1" si="573"/>
        <v>4.7711659863899778E-4</v>
      </c>
      <c r="EA168" s="3">
        <f t="shared" ca="1" si="574"/>
        <v>-4.537780150663407E-4</v>
      </c>
      <c r="EB168" s="3">
        <f t="shared" ca="1" si="575"/>
        <v>5.4410242508165301E-4</v>
      </c>
      <c r="EC168" s="3">
        <f t="shared" ca="1" si="576"/>
        <v>-5.256201090695575E-4</v>
      </c>
      <c r="ED168" s="63">
        <f t="shared" si="593"/>
        <v>15</v>
      </c>
      <c r="EE168" s="59">
        <f t="shared" si="577"/>
        <v>0.25</v>
      </c>
      <c r="EF168" s="59">
        <f t="shared" si="578"/>
        <v>1.4598</v>
      </c>
      <c r="EG168" s="59">
        <f t="shared" si="579"/>
        <v>0.28210000000000002</v>
      </c>
      <c r="EH168" s="59">
        <f t="shared" si="580"/>
        <v>0.29920000000000002</v>
      </c>
      <c r="EI168" s="59">
        <f t="shared" si="581"/>
        <v>0.24010000000000001</v>
      </c>
      <c r="EJ168" s="59">
        <f t="shared" si="582"/>
        <v>0.25080000000000002</v>
      </c>
      <c r="EK168" s="63" t="e">
        <f t="shared" ca="1" si="594"/>
        <v>#NUM!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145.98%</v>
      </c>
      <c r="EN168" s="3" t="str">
        <f>RTD("tos.rtd",,EN$2,"."&amp;$C$134&amp;$AU$82&amp;"C"&amp;$A168)</f>
        <v>28.21%</v>
      </c>
      <c r="EO168" s="3" t="str">
        <f>RTD("tos.rtd",,EO$2,"."&amp;$C$134&amp;$AU$82&amp;"P"&amp;$A168)</f>
        <v>29.92%</v>
      </c>
      <c r="EP168" s="3" t="str">
        <f>RTD("tos.rtd",,EP$2,"."&amp;$D$134&amp;$AW$82&amp;"C"&amp;$A168)</f>
        <v>24.01%</v>
      </c>
      <c r="EQ168" s="3" t="str">
        <f>RTD("tos.rtd",,EQ$2,"."&amp;$D$134&amp;$AW$82&amp;"P"&amp;$A168)</f>
        <v>25.08%</v>
      </c>
      <c r="ES168" s="63" t="str">
        <f t="shared" si="583"/>
        <v>19775,15.00</v>
      </c>
      <c r="ET168" s="63" t="str">
        <f t="shared" ca="1" si="584"/>
        <v>19775,00.00</v>
      </c>
      <c r="EU168" s="68">
        <v>565.17999999999995</v>
      </c>
      <c r="EV168" s="68" t="s">
        <v>1363</v>
      </c>
      <c r="EW168" s="68">
        <v>488.72</v>
      </c>
      <c r="EX168" s="68" t="s">
        <v>1364</v>
      </c>
      <c r="EY168" s="68">
        <v>5663.94</v>
      </c>
      <c r="EZ168" s="68" t="s">
        <v>1365</v>
      </c>
      <c r="FA168" s="68">
        <v>20063.564999999999</v>
      </c>
      <c r="FB168" s="68" t="s">
        <v>1366</v>
      </c>
      <c r="FC168" s="68" t="s">
        <v>1367</v>
      </c>
      <c r="FD168" s="68" t="s">
        <v>1368</v>
      </c>
      <c r="FE168" s="68" t="s">
        <v>1369</v>
      </c>
      <c r="FF168" s="68" t="s">
        <v>1370</v>
      </c>
    </row>
    <row r="169" spans="1:162" ht="11.1" customHeight="1" thickBot="1" x14ac:dyDescent="0.25">
      <c r="A169" s="2">
        <f t="shared" si="595"/>
        <v>19750</v>
      </c>
      <c r="B169" s="3">
        <f t="shared" si="641"/>
        <v>27</v>
      </c>
      <c r="C169" s="3">
        <f t="shared" si="642"/>
        <v>86</v>
      </c>
      <c r="D169" s="3">
        <f t="shared" si="643"/>
        <v>297</v>
      </c>
      <c r="E169" s="3">
        <f t="shared" si="644"/>
        <v>410</v>
      </c>
      <c r="F169" s="4">
        <f t="shared" si="645"/>
        <v>20153.931179148622</v>
      </c>
      <c r="G169" s="5">
        <f t="shared" si="646"/>
        <v>488.46708430682145</v>
      </c>
      <c r="AM169" s="1">
        <v>1</v>
      </c>
      <c r="AN169" s="1">
        <v>-33</v>
      </c>
      <c r="AO169" s="1">
        <v>19750</v>
      </c>
      <c r="AP169" s="1">
        <v>1</v>
      </c>
      <c r="AQ169" s="1">
        <v>-290</v>
      </c>
      <c r="AS169" s="54">
        <f>IF(RTD("tos.rtd",,AS$83,"."&amp;$B$134&amp;$AS$82&amp;"C"&amp;$A169)="N/A",0,RTD("tos.rtd",,AS$83,"."&amp;$B$134&amp;$AS$82&amp;"C"&amp;$A169))</f>
        <v>12</v>
      </c>
      <c r="AT169" s="3">
        <f>-IF(RTD("tos.rtd",,AT$83,"."&amp;$B$134&amp;$AS$82&amp;"P"&amp;$A169)="N/A",0,RTD("tos.rtd",,AT$83,"."&amp;$B$134&amp;$AS$82&amp;"P"&amp;$A169))</f>
        <v>-15</v>
      </c>
      <c r="AU169" s="54">
        <f>IF(RTD("tos.rtd",,AU$2,"."&amp;$C$134&amp;$AU$134&amp;"C"&amp;$A169)="N/A",0,RTD("tos.rtd",,AU$2,"."&amp;$C$134&amp;$AU$134&amp;"C"&amp;$A169))</f>
        <v>71</v>
      </c>
      <c r="AV169" s="3">
        <f>-IF(RTD("tos.rtd",,AV$2,"."&amp;$C$134&amp;$AU$134&amp;"P"&amp;$A169)="N/A",0,RTD("tos.rtd",,AV$2,"."&amp;$C$134&amp;$AU$134&amp;"P"&amp;$A169))</f>
        <v>-15</v>
      </c>
      <c r="AW169" s="54">
        <f>IF(RTD("tos.rtd",,AW$2,"."&amp;$D$134&amp;$AW$134&amp;"C"&amp;$A169)="N/A",0,RTD("tos.rtd",,AW$2,"."&amp;$D$134&amp;$AW$134&amp;"C"&amp;$A169))</f>
        <v>154</v>
      </c>
      <c r="AX169" s="3">
        <f>-IF(RTD("tos.rtd",,AX$2,"."&amp;$D$134&amp;$AW$134&amp;"P"&amp;$A169)="N/A",0,RTD("tos.rtd",,AX$2,"."&amp;$D$134&amp;$AW$134&amp;"P"&amp;$A169))</f>
        <v>-143</v>
      </c>
      <c r="AY169" s="76">
        <f t="shared" si="647"/>
        <v>64</v>
      </c>
      <c r="AZ169" s="8">
        <f t="shared" si="548"/>
        <v>19750</v>
      </c>
      <c r="BA169" s="54">
        <f>IF(RTD("tos.rtd",,BA$43,"."&amp;$B$134&amp;$AS$82&amp;"C"&amp;$A169)="N/A",0,RTD("tos.rtd",,BA$43,"."&amp;$B$134&amp;$AS$82&amp;"C"&amp;$A169))</f>
        <v>1</v>
      </c>
      <c r="BB169" s="3">
        <f>-IF(RTD("tos.rtd",,BB$43,"."&amp;$B$134&amp;$AS$82&amp;"P"&amp;$A169)="N/A",0,RTD("tos.rtd",,BB$43,"."&amp;$B$134&amp;$AS$82&amp;"P"&amp;$A169))</f>
        <v>-290</v>
      </c>
      <c r="BC169" s="54">
        <f>IF(RTD("tos.rtd",,BC$2,"."&amp;$C$134&amp;$AU$82&amp;"C"&amp;$A169)="N/A",0,RTD("tos.rtd",,BC$2,"."&amp;$C$134&amp;$AU$82&amp;"C"&amp;$A169))</f>
        <v>0</v>
      </c>
      <c r="BD169" s="3">
        <f>-IF(RTD("tos.rtd",,BD$2,"."&amp;$C$134&amp;$AU$82&amp;"P"&amp;$A169)="N/A",0,RTD("tos.rtd",,BD$2,"."&amp;$C$134&amp;$AU$82&amp;"P"&amp;$A169))</f>
        <v>-13</v>
      </c>
      <c r="BE169" s="54">
        <f>IF(RTD("tos.rtd",,BE$2,"."&amp;$D$134&amp;$AW$82&amp;"C"&amp;$A169)="N/A",0,RTD("tos.rtd",,BE$2,"."&amp;$D$134&amp;$AW$82&amp;"C"&amp;$A169))</f>
        <v>1</v>
      </c>
      <c r="BF169" s="3">
        <f>-IF(RTD("tos.rtd",,BF$2,"."&amp;$D$134&amp;$AW$82&amp;"P"&amp;$A169)="N/A",0,RTD("tos.rtd",,BF$2,"."&amp;$D$134&amp;$AW$82&amp;"P"&amp;$A169))</f>
        <v>-5</v>
      </c>
      <c r="BG169" s="3">
        <f ca="1">+Hoja2!Y170</f>
        <v>0</v>
      </c>
      <c r="BH169" s="7">
        <f t="shared" ca="1" si="549"/>
        <v>-306</v>
      </c>
      <c r="BI169" s="32" t="str">
        <f t="shared" ca="1" si="609"/>
        <v/>
      </c>
      <c r="BJ169" s="3" t="e">
        <f ca="1">IF($BP$1=1,DX169,IF(RTD("tos.rtd",,BJ$43,"."&amp;$B$134&amp;$AS$82&amp;"C"&amp;$A169)="N/A",0,RTD("tos.rtd",,BJ$43,"."&amp;$B$134&amp;$AS$82&amp;"C"&amp;$A169)))</f>
        <v>#NUM!</v>
      </c>
      <c r="BK169" s="3" t="e">
        <f ca="1">IF($BP$1=1,DY169,-IF(RTD("tos.rtd",,BK$43,"."&amp;$B$134&amp;$AS$82&amp;"P"&amp;$A169)="N/A",0,RTD("tos.rtd",,BK$43,"."&amp;$B$134&amp;$AS$82&amp;"P"&amp;$A169)))</f>
        <v>#NUM!</v>
      </c>
      <c r="BL169" s="3">
        <f ca="1">IF($BP$1=1,DZ169,IF(RTD("tos.rtd",,BL$2,"."&amp;$C$134&amp;$AU$82&amp;"C"&amp;$A169)="N/A",0,RTD("tos.rtd",,BL$2,"."&amp;$C$134&amp;$AU$82&amp;"C"&amp;$A169)))</f>
        <v>4.7129960942940099E-4</v>
      </c>
      <c r="BM169" s="3">
        <f ca="1">IF($BP$1=1,EA169,-IF(RTD("tos.rtd",,BM$2,"."&amp;$C$134&amp;$AU$82&amp;"P"&amp;$A169)="N/A",0,RTD("tos.rtd",,BM$2,"."&amp;$C$134&amp;$AU$82&amp;"P"&amp;$A169)))</f>
        <v>-4.4714204393967008E-4</v>
      </c>
      <c r="BN169" s="3">
        <f ca="1">IF($BP$1=1,EB169,IF(RTD("tos.rtd",,BN$2,"."&amp;$D$134&amp;$AW$82&amp;"C"&amp;$A169)="N/A",0,RTD("tos.rtd",,BN$2,"."&amp;$D$134&amp;$AW$82&amp;"C"&amp;$A169)))</f>
        <v>5.3227695708089233E-4</v>
      </c>
      <c r="BO169" s="3">
        <f ca="1">IF($BP$1=1,EC169,-IF(RTD("tos.rtd",,BO$2,"."&amp;$D$134&amp;$AW$82&amp;"P"&amp;$A169)="N/A",0,RTD("tos.rtd",,BO$2,"."&amp;$D$134&amp;$AW$82&amp;"P"&amp;$A169)))</f>
        <v>-5.1502644367156793E-4</v>
      </c>
      <c r="BQ169" s="3" t="e">
        <f t="shared" ca="1" si="648"/>
        <v>#NUM!</v>
      </c>
      <c r="BR169" s="3" t="e">
        <f t="shared" ca="1" si="550"/>
        <v>#NUM!</v>
      </c>
      <c r="BS169" s="3">
        <f t="shared" ca="1" si="649"/>
        <v>857089.75665233121</v>
      </c>
      <c r="BT169" s="3" t="str">
        <f t="shared" ca="1" si="551"/>
        <v/>
      </c>
      <c r="BU169" s="3">
        <f t="shared" ca="1" si="650"/>
        <v>266587.61856990634</v>
      </c>
      <c r="BV169" s="3" t="str">
        <f t="shared" ca="1" si="551"/>
        <v>Cruce +</v>
      </c>
      <c r="BX169" s="3" t="e">
        <f t="shared" ca="1" si="585"/>
        <v>#NUM!</v>
      </c>
      <c r="BY169" s="3" t="e">
        <f t="shared" ca="1" si="586"/>
        <v>#NUM!</v>
      </c>
      <c r="BZ169" s="3">
        <f t="shared" ca="1" si="587"/>
        <v>-1431.0337085012402</v>
      </c>
      <c r="CA169" s="3" t="str">
        <f t="shared" ca="1" si="586"/>
        <v/>
      </c>
      <c r="CB169" s="3">
        <f t="shared" ca="1" si="588"/>
        <v>-502.91964610808833</v>
      </c>
      <c r="CC169" s="3" t="str">
        <f t="shared" ca="1" si="586"/>
        <v>Cruce -</v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7.0000000000000007E-2</v>
      </c>
      <c r="CF169" s="3">
        <f>IF(RTD("tos.rtd",,CF$2,"."&amp;$C$134&amp;$AU$82&amp;"C"&amp;$A169)="N/A",0,RTD("tos.rtd",,CF$2,"."&amp;$C$134&amp;$AU$82&amp;"C"&amp;$A169))</f>
        <v>0.7</v>
      </c>
      <c r="CG169" s="3">
        <f>-IF(RTD("tos.rtd",,CG$2,"."&amp;$C$134&amp;$AU$82&amp;"P"&amp;$A169)="N/A",0,RTD("tos.rtd",,CG$2,"."&amp;$C$134&amp;$AU$82&amp;"P"&amp;$A169))</f>
        <v>0.31</v>
      </c>
      <c r="CH169" s="3">
        <f>IF(RTD("tos.rtd",,CH$2,"."&amp;$D$134&amp;$AW$82&amp;"C"&amp;$A169)="N/A",0,RTD("tos.rtd",,CH$2,"."&amp;$D$134&amp;$AW$82&amp;"C"&amp;$A169))</f>
        <v>0.62</v>
      </c>
      <c r="CI169" s="3">
        <f>-IF(RTD("tos.rtd",,CI$2,"."&amp;$D$134&amp;$AW$82&amp;"P"&amp;$A169)="N/A",0,RTD("tos.rtd",,CI$2,"."&amp;$D$134&amp;$AW$82&amp;"P"&amp;$A169))</f>
        <v>0.39</v>
      </c>
      <c r="CK169" s="3">
        <f t="shared" si="651"/>
        <v>1095</v>
      </c>
      <c r="CL169" s="3"/>
      <c r="CM169" s="3">
        <f t="shared" si="652"/>
        <v>4505</v>
      </c>
      <c r="CN169" s="3"/>
      <c r="CO169" s="3">
        <f t="shared" si="653"/>
        <v>3971</v>
      </c>
      <c r="CP169" s="3">
        <f t="shared" si="542"/>
        <v>9571</v>
      </c>
      <c r="CQ169" s="3">
        <f t="shared" si="552"/>
        <v>-289</v>
      </c>
      <c r="CR169" s="3"/>
      <c r="CS169" s="3">
        <f t="shared" si="553"/>
        <v>-13</v>
      </c>
      <c r="CT169" s="3"/>
      <c r="CU169" s="3">
        <f t="shared" si="554"/>
        <v>-4</v>
      </c>
      <c r="CV169" s="3"/>
      <c r="CW169" s="3" t="e">
        <f t="shared" ca="1" si="555"/>
        <v>#NUM!</v>
      </c>
      <c r="CY169" s="3" t="e">
        <f t="shared" ca="1" si="556"/>
        <v>#NUM!</v>
      </c>
      <c r="CZ169" s="70" t="e">
        <f t="shared" ca="1" si="589"/>
        <v>#NUM!</v>
      </c>
      <c r="DA169" s="3">
        <f>IF(RTD("tos.rtd",,DA$43,"."&amp;$B$134&amp;$AS$82&amp;"C"&amp;$A169)="N/A",0,RTD("tos.rtd",,DA$43,"."&amp;$B$134&amp;$AS$82&amp;"C"&amp;$A169))</f>
        <v>437.4</v>
      </c>
      <c r="DB169" s="3">
        <f>IF(RTD("tos.rtd",,DB$43,"."&amp;$B$134&amp;$AS$82&amp;"P"&amp;$A169)="N/A",0,RTD("tos.rtd",,DB$43,"."&amp;$B$134&amp;$AS$82&amp;"P"&amp;$A169))</f>
        <v>0.92</v>
      </c>
      <c r="DC169" s="3">
        <f>IF(RTD("tos.rtd",,DC$43,"."&amp;$B$134&amp;$AS$82&amp;"C"&amp;$A169)="N/A",0,RTD("tos.rtd",,DC$43,"."&amp;$B$134&amp;$AS$82&amp;"C"&amp;$A169))</f>
        <v>332</v>
      </c>
      <c r="DD169" s="3">
        <f>IF(RTD("tos.rtd",,DD$43,"."&amp;$B$134&amp;$AS$82&amp;"P"&amp;$A169)="N/A",0,RTD("tos.rtd",,DD$43,"."&amp;$B$134&amp;$AS$82&amp;"P"&amp;$A169))</f>
        <v>13</v>
      </c>
      <c r="DE169" s="3">
        <f>IF(RTD("tos.rtd",,DE$43,"."&amp;$B$134&amp;$AS$82&amp;"C"&amp;$A169)="N/A",0,RTD("tos.rtd",,DE$43,"."&amp;$B$134&amp;$AS$82&amp;"C"&amp;$A169))</f>
        <v>284.8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90"/>
        <v>-311.44900000000052</v>
      </c>
      <c r="DH169" s="3">
        <f t="shared" si="557"/>
        <v>0</v>
      </c>
      <c r="DI169" s="3">
        <f t="shared" si="558"/>
        <v>0</v>
      </c>
      <c r="DJ169" s="3">
        <f t="shared" si="559"/>
        <v>0</v>
      </c>
      <c r="DK169" s="3">
        <f t="shared" si="560"/>
        <v>0</v>
      </c>
      <c r="DL169" s="3">
        <f t="shared" si="561"/>
        <v>0</v>
      </c>
      <c r="DM169" s="3">
        <f t="shared" si="562"/>
        <v>0</v>
      </c>
      <c r="DN169" s="64" t="str">
        <f t="shared" si="563"/>
        <v>UNKNOWN</v>
      </c>
      <c r="DO169" s="64" t="str">
        <f t="shared" si="564"/>
        <v>UNKNOWN</v>
      </c>
      <c r="DP169" s="3">
        <f t="shared" si="565"/>
        <v>0</v>
      </c>
      <c r="DQ169" s="3">
        <f t="shared" si="566"/>
        <v>0</v>
      </c>
      <c r="DR169" s="3" t="e">
        <f t="shared" ca="1" si="567"/>
        <v>#NUM!</v>
      </c>
      <c r="DS169" s="3">
        <f t="shared" si="568"/>
        <v>0</v>
      </c>
      <c r="DT169" s="3">
        <f t="shared" si="591"/>
        <v>0</v>
      </c>
      <c r="DU169" s="3">
        <f t="shared" si="592"/>
        <v>0</v>
      </c>
      <c r="DV169" s="3">
        <f t="shared" si="569"/>
        <v>1</v>
      </c>
      <c r="DW169" s="3">
        <f t="shared" si="570"/>
        <v>-33</v>
      </c>
      <c r="DX169" s="3" t="e">
        <f t="shared" ref="DX169:DX189" ca="1" si="654">(EXP(-POWER((LN($A$136/$A169)+($EC$1+POWER($EE169,2)/2)*($EM$1/$DY$1))/($EE169*SQRT($EM$1/$DY$1)),2)/2)/SQRT(2*PI())/($A$136*$EE169*SQRT($EM$1/$DY$1)))</f>
        <v>#NUM!</v>
      </c>
      <c r="DY169" s="3" t="e">
        <f t="shared" ref="DY169:DY189" ca="1" si="655">-(EXP(-POWER((LN($A$136/$A169)+($EC$1+POWER($EF169,2)/2)*($EM$1/$DY$1))/($EF169*SQRT($EM$1/$DY$1)),2)/2)/SQRT(2*PI())/($A$136*$EF169*SQRT($EM$1/$DY$1)))</f>
        <v>#NUM!</v>
      </c>
      <c r="DZ169" s="3">
        <f t="shared" ref="DZ169:DZ189" ca="1" si="656">(EXP(-POWER((LN($A$136/$A169)+($EC$1+POWER($EG169,2)/2)*($EO$1/$DY$1))/($EG169*SQRT($EO$1/$DY$1)),2)/2)/SQRT(2*PI())/($A$136*$EG169*SQRT($EO$1/$DY$1)))</f>
        <v>4.7129960942940099E-4</v>
      </c>
      <c r="EA169" s="3">
        <f t="shared" ref="EA169:EA189" ca="1" si="657">-(EXP(-POWER((LN($A$136/$A169)+($EC$1+POWER($EH169,2)/2)*($EO$1/$DY$1))/($EH169*SQRT($EO$1/$DY$1)),2)/2)/SQRT(2*PI())/($A$136*$EH169*SQRT($EO$1/$DY$1)))</f>
        <v>-4.4714204393967008E-4</v>
      </c>
      <c r="EB169" s="3">
        <f t="shared" ref="EB169:EB189" ca="1" si="658">(EXP(-POWER((LN($A$136/$A169)+($EC$1+POWER($EI169,2)/2)*($EO$1/$DY$1))/($EI169*SQRT($EO$1/$DY$1)),2)/2)/SQRT(2*PI())/($A$136*$EI169*SQRT($EO$1/$DY$1)))</f>
        <v>5.3227695708089233E-4</v>
      </c>
      <c r="EC169" s="3">
        <f t="shared" ref="EC169:EC189" ca="1" si="659">-(EXP(-POWER((LN($A$136/$A169)+($EC$1+POWER($EJ169,2)/2)*($EO$1/$DY$1))/($EJ169*SQRT($EO$1/$DY$1)),2)/2)/SQRT(2*PI())/($A$136*$EJ169*SQRT($EO$1/$DY$1)))</f>
        <v>-5.1502644367156793E-4</v>
      </c>
      <c r="ED169" s="63">
        <f t="shared" si="593"/>
        <v>-32</v>
      </c>
      <c r="EE169" s="59">
        <f t="shared" si="577"/>
        <v>0.25</v>
      </c>
      <c r="EF169" s="59">
        <f t="shared" si="578"/>
        <v>1.4023000000000001</v>
      </c>
      <c r="EG169" s="59">
        <f t="shared" si="579"/>
        <v>0.28139999999999998</v>
      </c>
      <c r="EH169" s="59">
        <f t="shared" si="580"/>
        <v>0.2999</v>
      </c>
      <c r="EI169" s="59">
        <f t="shared" si="581"/>
        <v>0.2409</v>
      </c>
      <c r="EJ169" s="59">
        <f t="shared" si="582"/>
        <v>0.25159999999999999</v>
      </c>
      <c r="EK169" s="63" t="e">
        <f t="shared" ca="1" si="594"/>
        <v>#NUM!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140.23%</v>
      </c>
      <c r="EN169" s="3" t="str">
        <f>RTD("tos.rtd",,EN$2,"."&amp;$C$134&amp;$AU$82&amp;"C"&amp;$A169)</f>
        <v>28.14%</v>
      </c>
      <c r="EO169" s="3" t="str">
        <f>RTD("tos.rtd",,EO$2,"."&amp;$C$134&amp;$AU$82&amp;"P"&amp;$A169)</f>
        <v>29.99%</v>
      </c>
      <c r="EP169" s="3" t="str">
        <f>RTD("tos.rtd",,EP$2,"."&amp;$D$134&amp;$AW$82&amp;"C"&amp;$A169)</f>
        <v>24.09%</v>
      </c>
      <c r="EQ169" s="3" t="str">
        <f>RTD("tos.rtd",,EQ$2,"."&amp;$D$134&amp;$AW$82&amp;"P"&amp;$A169)</f>
        <v>25.16%</v>
      </c>
      <c r="ES169" s="63" t="str">
        <f t="shared" si="583"/>
        <v>19750,-32.00</v>
      </c>
      <c r="ET169" s="63" t="str">
        <f t="shared" ca="1" si="584"/>
        <v>19750,00.00</v>
      </c>
      <c r="EU169" s="68">
        <v>565.12</v>
      </c>
      <c r="EV169" s="68" t="s">
        <v>1371</v>
      </c>
      <c r="EW169" s="68">
        <v>488.77</v>
      </c>
      <c r="EX169" s="68" t="s">
        <v>1372</v>
      </c>
      <c r="EY169" s="68">
        <v>5663.94</v>
      </c>
      <c r="EZ169" s="68" t="s">
        <v>1373</v>
      </c>
      <c r="FA169" s="68">
        <v>20063.564999999999</v>
      </c>
      <c r="FB169" s="68" t="s">
        <v>1374</v>
      </c>
      <c r="FC169" s="68" t="s">
        <v>1375</v>
      </c>
      <c r="FD169" s="68" t="s">
        <v>1376</v>
      </c>
      <c r="FE169" s="68" t="s">
        <v>1377</v>
      </c>
      <c r="FF169" s="68" t="s">
        <v>1378</v>
      </c>
    </row>
    <row r="170" spans="1:162" ht="11.1" customHeight="1" thickBot="1" x14ac:dyDescent="0.25">
      <c r="A170" s="2">
        <f t="shared" si="595"/>
        <v>19725</v>
      </c>
      <c r="B170" s="3">
        <f t="shared" si="641"/>
        <v>18</v>
      </c>
      <c r="C170" s="3">
        <f t="shared" si="642"/>
        <v>70</v>
      </c>
      <c r="D170" s="3">
        <f t="shared" si="643"/>
        <v>44</v>
      </c>
      <c r="E170" s="3">
        <f t="shared" si="644"/>
        <v>132</v>
      </c>
      <c r="F170" s="4">
        <f t="shared" si="645"/>
        <v>20128.419873858562</v>
      </c>
      <c r="G170" s="5">
        <f t="shared" si="646"/>
        <v>487.84877154187615</v>
      </c>
      <c r="AM170" s="1">
        <v>0</v>
      </c>
      <c r="AN170" s="1">
        <v>13</v>
      </c>
      <c r="AO170" s="1">
        <v>19725</v>
      </c>
      <c r="AP170" s="1">
        <v>0</v>
      </c>
      <c r="AQ170" s="1">
        <v>-41</v>
      </c>
      <c r="AS170" s="54">
        <f>IF(RTD("tos.rtd",,AS$83,"."&amp;$B$134&amp;$AS$82&amp;"C"&amp;$A170)="N/A",0,RTD("tos.rtd",,AS$83,"."&amp;$B$134&amp;$AS$82&amp;"C"&amp;$A170))</f>
        <v>9</v>
      </c>
      <c r="AT170" s="3">
        <f>-IF(RTD("tos.rtd",,AT$83,"."&amp;$B$134&amp;$AS$82&amp;"P"&amp;$A170)="N/A",0,RTD("tos.rtd",,AT$83,"."&amp;$B$134&amp;$AS$82&amp;"P"&amp;$A170))</f>
        <v>-9</v>
      </c>
      <c r="AU170" s="54">
        <f>IF(RTD("tos.rtd",,AU$2,"."&amp;$C$134&amp;$AU$134&amp;"C"&amp;$A170)="N/A",0,RTD("tos.rtd",,AU$2,"."&amp;$C$134&amp;$AU$134&amp;"C"&amp;$A170))</f>
        <v>43</v>
      </c>
      <c r="AV170" s="3">
        <f>-IF(RTD("tos.rtd",,AV$2,"."&amp;$C$134&amp;$AU$134&amp;"P"&amp;$A170)="N/A",0,RTD("tos.rtd",,AV$2,"."&amp;$C$134&amp;$AU$134&amp;"P"&amp;$A170))</f>
        <v>-27</v>
      </c>
      <c r="AW170" s="54">
        <f>IF(RTD("tos.rtd",,AW$2,"."&amp;$D$134&amp;$AW$134&amp;"C"&amp;$A170)="N/A",0,RTD("tos.rtd",,AW$2,"."&amp;$D$134&amp;$AW$134&amp;"C"&amp;$A170))</f>
        <v>35</v>
      </c>
      <c r="AX170" s="3">
        <f>-IF(RTD("tos.rtd",,AX$2,"."&amp;$D$134&amp;$AW$134&amp;"P"&amp;$A170)="N/A",0,RTD("tos.rtd",,AX$2,"."&amp;$D$134&amp;$AW$134&amp;"P"&amp;$A170))</f>
        <v>-9</v>
      </c>
      <c r="AY170" s="76">
        <f t="shared" si="647"/>
        <v>42</v>
      </c>
      <c r="AZ170" s="8">
        <f t="shared" si="548"/>
        <v>19725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-41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-2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0</v>
      </c>
      <c r="BG170" s="3">
        <f ca="1">+Hoja2!Y171</f>
        <v>0</v>
      </c>
      <c r="BH170" s="7">
        <f t="shared" ca="1" si="549"/>
        <v>-43</v>
      </c>
      <c r="BI170" s="32" t="str">
        <f t="shared" ca="1" si="609"/>
        <v/>
      </c>
      <c r="BJ170" s="3" t="e">
        <f ca="1">IF($BP$1=1,DX170,IF(RTD("tos.rtd",,BJ$43,"."&amp;$B$134&amp;$AS$82&amp;"C"&amp;$A170)="N/A",0,RTD("tos.rtd",,BJ$43,"."&amp;$B$134&amp;$AS$82&amp;"C"&amp;$A170)))</f>
        <v>#NUM!</v>
      </c>
      <c r="BK170" s="3" t="e">
        <f ca="1">IF($BP$1=1,DY170,-IF(RTD("tos.rtd",,BK$43,"."&amp;$B$134&amp;$AS$82&amp;"P"&amp;$A170)="N/A",0,RTD("tos.rtd",,BK$43,"."&amp;$B$134&amp;$AS$82&amp;"P"&amp;$A170)))</f>
        <v>#NUM!</v>
      </c>
      <c r="BL170" s="3">
        <f ca="1">IF($BP$1=1,DZ170,IF(RTD("tos.rtd",,BL$2,"."&amp;$C$134&amp;$AU$82&amp;"C"&amp;$A170)="N/A",0,RTD("tos.rtd",,BL$2,"."&amp;$C$134&amp;$AU$82&amp;"C"&amp;$A170)))</f>
        <v>4.6263815980037223E-4</v>
      </c>
      <c r="BM170" s="3">
        <f ca="1">IF($BP$1=1,EA170,-IF(RTD("tos.rtd",,BM$2,"."&amp;$C$134&amp;$AU$82&amp;"P"&amp;$A170)="N/A",0,RTD("tos.rtd",,BM$2,"."&amp;$C$134&amp;$AU$82&amp;"P"&amp;$A170)))</f>
        <v>-4.4045949197840146E-4</v>
      </c>
      <c r="BN170" s="3">
        <f ca="1">IF($BP$1=1,EB170,IF(RTD("tos.rtd",,BN$2,"."&amp;$D$134&amp;$AW$82&amp;"C"&amp;$A170)="N/A",0,RTD("tos.rtd",,BN$2,"."&amp;$D$134&amp;$AW$82&amp;"C"&amp;$A170)))</f>
        <v>5.202017310148426E-4</v>
      </c>
      <c r="BO170" s="3">
        <f ca="1">IF($BP$1=1,EC170,-IF(RTD("tos.rtd",,BO$2,"."&amp;$D$134&amp;$AW$82&amp;"P"&amp;$A170)="N/A",0,RTD("tos.rtd",,BO$2,"."&amp;$D$134&amp;$AW$82&amp;"P"&amp;$A170)))</f>
        <v>-5.0390931505371974E-4</v>
      </c>
      <c r="BQ170" s="3" t="e">
        <f t="shared" ca="1" si="648"/>
        <v>#NUM!</v>
      </c>
      <c r="BR170" s="3" t="e">
        <f t="shared" ca="1" si="550"/>
        <v>#NUM!</v>
      </c>
      <c r="BS170" s="3">
        <f t="shared" ca="1" si="649"/>
        <v>256309.79225807625</v>
      </c>
      <c r="BT170" s="3" t="str">
        <f t="shared" ca="1" si="551"/>
        <v/>
      </c>
      <c r="BU170" s="3">
        <f t="shared" ca="1" si="650"/>
        <v>437972.84601616301</v>
      </c>
      <c r="BV170" s="3" t="str">
        <f t="shared" ca="1" si="551"/>
        <v/>
      </c>
      <c r="BX170" s="3" t="e">
        <f t="shared" ca="1" si="585"/>
        <v>#NUM!</v>
      </c>
      <c r="BY170" s="3" t="e">
        <f t="shared" ca="1" si="586"/>
        <v>#NUM!</v>
      </c>
      <c r="BZ170" s="3">
        <f t="shared" ca="1" si="587"/>
        <v>-216.86874839312995</v>
      </c>
      <c r="CA170" s="3" t="str">
        <f t="shared" ca="1" si="586"/>
        <v/>
      </c>
      <c r="CB170" s="3">
        <f t="shared" ca="1" si="588"/>
        <v>0</v>
      </c>
      <c r="CC170" s="3" t="str">
        <f t="shared" ca="1" si="586"/>
        <v/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0.09</v>
      </c>
      <c r="CF170" s="3">
        <f>IF(RTD("tos.rtd",,CF$2,"."&amp;$C$134&amp;$AU$82&amp;"C"&amp;$A170)="N/A",0,RTD("tos.rtd",,CF$2,"."&amp;$C$134&amp;$AU$82&amp;"C"&amp;$A170))</f>
        <v>0.72</v>
      </c>
      <c r="CG170" s="3">
        <f>-IF(RTD("tos.rtd",,CG$2,"."&amp;$C$134&amp;$AU$82&amp;"P"&amp;$A170)="N/A",0,RTD("tos.rtd",,CG$2,"."&amp;$C$134&amp;$AU$82&amp;"P"&amp;$A170))</f>
        <v>0.3</v>
      </c>
      <c r="CH170" s="3">
        <f>IF(RTD("tos.rtd",,CH$2,"."&amp;$D$134&amp;$AW$82&amp;"C"&amp;$A170)="N/A",0,RTD("tos.rtd",,CH$2,"."&amp;$D$134&amp;$AW$82&amp;"C"&amp;$A170))</f>
        <v>0.62</v>
      </c>
      <c r="CI170" s="3">
        <f>-IF(RTD("tos.rtd",,CI$2,"."&amp;$D$134&amp;$AW$82&amp;"P"&amp;$A170)="N/A",0,RTD("tos.rtd",,CI$2,"."&amp;$D$134&amp;$AW$82&amp;"P"&amp;$A170))</f>
        <v>0.38</v>
      </c>
      <c r="CK170" s="3">
        <f t="shared" si="651"/>
        <v>819</v>
      </c>
      <c r="CL170" s="3"/>
      <c r="CM170" s="3">
        <f t="shared" si="652"/>
        <v>2285.9999999999995</v>
      </c>
      <c r="CN170" s="3"/>
      <c r="CO170" s="3">
        <f t="shared" si="653"/>
        <v>1828</v>
      </c>
      <c r="CP170" s="3">
        <f t="shared" si="542"/>
        <v>4933</v>
      </c>
      <c r="CQ170" s="3">
        <f t="shared" si="552"/>
        <v>-41</v>
      </c>
      <c r="CR170" s="3"/>
      <c r="CS170" s="3">
        <f t="shared" si="553"/>
        <v>-2</v>
      </c>
      <c r="CT170" s="3"/>
      <c r="CU170" s="3">
        <f t="shared" si="554"/>
        <v>0</v>
      </c>
      <c r="CV170" s="3"/>
      <c r="CW170" s="3" t="e">
        <f t="shared" ca="1" si="555"/>
        <v>#NUM!</v>
      </c>
      <c r="CY170" s="3" t="e">
        <f t="shared" ca="1" si="556"/>
        <v>#NUM!</v>
      </c>
      <c r="CZ170" s="70" t="e">
        <f t="shared" ca="1" si="589"/>
        <v>#NUM!</v>
      </c>
      <c r="DA170" s="3">
        <f>IF(RTD("tos.rtd",,DA$43,"."&amp;$B$134&amp;$AS$82&amp;"C"&amp;$A170)="N/A",0,RTD("tos.rtd",,DA$43,"."&amp;$B$134&amp;$AS$82&amp;"C"&amp;$A170))</f>
        <v>97.33</v>
      </c>
      <c r="DB170" s="3">
        <f>IF(RTD("tos.rtd",,DB$43,"."&amp;$B$134&amp;$AS$82&amp;"P"&amp;$A170)="N/A",0,RTD("tos.rtd",,DB$43,"."&amp;$B$134&amp;$AS$82&amp;"P"&amp;$A170))</f>
        <v>0.26</v>
      </c>
      <c r="DC170" s="3">
        <f>IF(RTD("tos.rtd",,DC$43,"."&amp;$B$134&amp;$AS$82&amp;"C"&amp;$A170)="N/A",0,RTD("tos.rtd",,DC$43,"."&amp;$B$134&amp;$AS$82&amp;"C"&amp;$A170))</f>
        <v>358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309.8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90"/>
        <v>-336.44900000000052</v>
      </c>
      <c r="DH170" s="3">
        <f t="shared" si="557"/>
        <v>0</v>
      </c>
      <c r="DI170" s="3">
        <f t="shared" si="558"/>
        <v>0</v>
      </c>
      <c r="DJ170" s="3">
        <f t="shared" si="559"/>
        <v>0</v>
      </c>
      <c r="DK170" s="3">
        <f t="shared" si="560"/>
        <v>0</v>
      </c>
      <c r="DL170" s="3">
        <f t="shared" si="561"/>
        <v>0</v>
      </c>
      <c r="DM170" s="3">
        <f t="shared" si="562"/>
        <v>0</v>
      </c>
      <c r="DN170" s="64" t="str">
        <f t="shared" si="563"/>
        <v>UNKNOWN</v>
      </c>
      <c r="DO170" s="64" t="str">
        <f t="shared" si="564"/>
        <v>UNKNOWN</v>
      </c>
      <c r="DP170" s="3">
        <f t="shared" si="565"/>
        <v>0</v>
      </c>
      <c r="DQ170" s="3">
        <f t="shared" si="566"/>
        <v>0</v>
      </c>
      <c r="DR170" s="3" t="e">
        <f t="shared" ca="1" si="567"/>
        <v>#NUM!</v>
      </c>
      <c r="DS170" s="3">
        <f t="shared" si="568"/>
        <v>0</v>
      </c>
      <c r="DT170" s="3">
        <f t="shared" si="591"/>
        <v>0</v>
      </c>
      <c r="DU170" s="3">
        <f t="shared" si="592"/>
        <v>0</v>
      </c>
      <c r="DV170" s="3">
        <f t="shared" si="569"/>
        <v>0</v>
      </c>
      <c r="DW170" s="3">
        <f t="shared" si="570"/>
        <v>13</v>
      </c>
      <c r="DX170" s="3" t="e">
        <f t="shared" ca="1" si="654"/>
        <v>#NUM!</v>
      </c>
      <c r="DY170" s="3" t="e">
        <f t="shared" ca="1" si="655"/>
        <v>#NUM!</v>
      </c>
      <c r="DZ170" s="3">
        <f t="shared" ca="1" si="656"/>
        <v>4.6263815980037223E-4</v>
      </c>
      <c r="EA170" s="3">
        <f t="shared" ca="1" si="657"/>
        <v>-4.4045949197840146E-4</v>
      </c>
      <c r="EB170" s="3">
        <f t="shared" ca="1" si="658"/>
        <v>5.202017310148426E-4</v>
      </c>
      <c r="EC170" s="3">
        <f t="shared" ca="1" si="659"/>
        <v>-5.0390931505371974E-4</v>
      </c>
      <c r="ED170" s="63">
        <f t="shared" si="593"/>
        <v>13</v>
      </c>
      <c r="EE170" s="59">
        <f t="shared" si="577"/>
        <v>0.25</v>
      </c>
      <c r="EF170" s="59">
        <f t="shared" si="578"/>
        <v>1.6468</v>
      </c>
      <c r="EG170" s="59">
        <f t="shared" si="579"/>
        <v>0.28249999999999997</v>
      </c>
      <c r="EH170" s="59">
        <f t="shared" si="580"/>
        <v>0.3004</v>
      </c>
      <c r="EI170" s="59">
        <f t="shared" si="581"/>
        <v>0.24160000000000001</v>
      </c>
      <c r="EJ170" s="59">
        <f t="shared" si="582"/>
        <v>0.2525</v>
      </c>
      <c r="EK170" s="63" t="e">
        <f t="shared" ca="1" si="594"/>
        <v>#NUM!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164.68%</v>
      </c>
      <c r="EN170" s="3" t="str">
        <f>RTD("tos.rtd",,EN$2,"."&amp;$C$134&amp;$AU$82&amp;"C"&amp;$A170)</f>
        <v>28.25%</v>
      </c>
      <c r="EO170" s="3" t="str">
        <f>RTD("tos.rtd",,EO$2,"."&amp;$C$134&amp;$AU$82&amp;"P"&amp;$A170)</f>
        <v>30.04%</v>
      </c>
      <c r="EP170" s="3" t="str">
        <f>RTD("tos.rtd",,EP$2,"."&amp;$D$134&amp;$AW$82&amp;"C"&amp;$A170)</f>
        <v>24.16%</v>
      </c>
      <c r="EQ170" s="3" t="str">
        <f>RTD("tos.rtd",,EQ$2,"."&amp;$D$134&amp;$AW$82&amp;"P"&amp;$A170)</f>
        <v>25.25%</v>
      </c>
      <c r="ES170" s="63" t="str">
        <f t="shared" si="583"/>
        <v>19725,13.00</v>
      </c>
      <c r="ET170" s="63" t="str">
        <f t="shared" ca="1" si="584"/>
        <v>19725,00.00</v>
      </c>
      <c r="EU170" s="68">
        <v>565.1</v>
      </c>
      <c r="EV170" s="68" t="s">
        <v>1379</v>
      </c>
      <c r="EW170" s="68">
        <v>488.74</v>
      </c>
      <c r="EX170" s="68" t="s">
        <v>1380</v>
      </c>
      <c r="EY170" s="68">
        <v>5663.94</v>
      </c>
      <c r="EZ170" s="68" t="s">
        <v>1381</v>
      </c>
      <c r="FA170" s="68">
        <v>20063.564999999999</v>
      </c>
      <c r="FB170" s="68" t="s">
        <v>1382</v>
      </c>
      <c r="FC170" s="68" t="s">
        <v>1383</v>
      </c>
      <c r="FD170" s="68" t="s">
        <v>1384</v>
      </c>
      <c r="FE170" s="68" t="s">
        <v>1385</v>
      </c>
      <c r="FF170" s="68" t="s">
        <v>1386</v>
      </c>
    </row>
    <row r="171" spans="1:162" ht="11.1" customHeight="1" thickBot="1" x14ac:dyDescent="0.25">
      <c r="A171" s="2">
        <f t="shared" si="595"/>
        <v>19700</v>
      </c>
      <c r="B171" s="3">
        <f t="shared" si="641"/>
        <v>26</v>
      </c>
      <c r="C171" s="3">
        <f t="shared" si="642"/>
        <v>85</v>
      </c>
      <c r="D171" s="3">
        <f t="shared" si="643"/>
        <v>389</v>
      </c>
      <c r="E171" s="3">
        <f t="shared" si="644"/>
        <v>500</v>
      </c>
      <c r="F171" s="4">
        <f t="shared" si="645"/>
        <v>20102.908568568499</v>
      </c>
      <c r="G171" s="5">
        <f t="shared" si="646"/>
        <v>487.23045877693079</v>
      </c>
      <c r="AM171" s="1">
        <v>-5</v>
      </c>
      <c r="AN171" s="1">
        <v>19</v>
      </c>
      <c r="AO171" s="1">
        <v>19700</v>
      </c>
      <c r="AP171" s="1">
        <v>5</v>
      </c>
      <c r="AQ171" s="1">
        <v>-312</v>
      </c>
      <c r="AS171" s="54">
        <f>IF(RTD("tos.rtd",,AS$83,"."&amp;$B$134&amp;$AS$82&amp;"C"&amp;$A171)="N/A",0,RTD("tos.rtd",,AS$83,"."&amp;$B$134&amp;$AS$82&amp;"C"&amp;$A171))</f>
        <v>6</v>
      </c>
      <c r="AT171" s="3">
        <f>-IF(RTD("tos.rtd",,AT$83,"."&amp;$B$134&amp;$AS$82&amp;"P"&amp;$A171)="N/A",0,RTD("tos.rtd",,AT$83,"."&amp;$B$134&amp;$AS$82&amp;"P"&amp;$A171))</f>
        <v>-20</v>
      </c>
      <c r="AU171" s="54">
        <f>IF(RTD("tos.rtd",,AU$2,"."&amp;$C$134&amp;$AU$134&amp;"C"&amp;$A171)="N/A",0,RTD("tos.rtd",,AU$2,"."&amp;$C$134&amp;$AU$134&amp;"C"&amp;$A171))</f>
        <v>37</v>
      </c>
      <c r="AV171" s="3">
        <f>-IF(RTD("tos.rtd",,AV$2,"."&amp;$C$134&amp;$AU$134&amp;"P"&amp;$A171)="N/A",0,RTD("tos.rtd",,AV$2,"."&amp;$C$134&amp;$AU$134&amp;"P"&amp;$A171))</f>
        <v>-48</v>
      </c>
      <c r="AW171" s="54">
        <f>IF(RTD("tos.rtd",,AW$2,"."&amp;$D$134&amp;$AW$134&amp;"C"&amp;$A171)="N/A",0,RTD("tos.rtd",,AW$2,"."&amp;$D$134&amp;$AW$134&amp;"C"&amp;$A171))</f>
        <v>113</v>
      </c>
      <c r="AX171" s="3">
        <f>-IF(RTD("tos.rtd",,AX$2,"."&amp;$D$134&amp;$AW$134&amp;"P"&amp;$A171)="N/A",0,RTD("tos.rtd",,AX$2,"."&amp;$D$134&amp;$AW$134&amp;"P"&amp;$A171))</f>
        <v>-276</v>
      </c>
      <c r="AY171" s="76">
        <f t="shared" si="647"/>
        <v>-188</v>
      </c>
      <c r="AZ171" s="8">
        <f t="shared" si="548"/>
        <v>19700</v>
      </c>
      <c r="BA171" s="54">
        <f>IF(RTD("tos.rtd",,BA$43,"."&amp;$B$134&amp;$AS$82&amp;"C"&amp;$A171)="N/A",0,RTD("tos.rtd",,BA$43,"."&amp;$B$134&amp;$AS$82&amp;"C"&amp;$A171))</f>
        <v>5</v>
      </c>
      <c r="BB171" s="3">
        <f>-IF(RTD("tos.rtd",,BB$43,"."&amp;$B$134&amp;$AS$82&amp;"P"&amp;$A171)="N/A",0,RTD("tos.rtd",,BB$43,"."&amp;$B$134&amp;$AS$82&amp;"P"&amp;$A171))</f>
        <v>-312</v>
      </c>
      <c r="BC171" s="54">
        <f>IF(RTD("tos.rtd",,BC$2,"."&amp;$C$134&amp;$AU$82&amp;"C"&amp;$A171)="N/A",0,RTD("tos.rtd",,BC$2,"."&amp;$C$134&amp;$AU$82&amp;"C"&amp;$A171))</f>
        <v>1</v>
      </c>
      <c r="BD171" s="3">
        <f>-IF(RTD("tos.rtd",,BD$2,"."&amp;$C$134&amp;$AU$82&amp;"P"&amp;$A171)="N/A",0,RTD("tos.rtd",,BD$2,"."&amp;$C$134&amp;$AU$82&amp;"P"&amp;$A171))</f>
        <v>-8</v>
      </c>
      <c r="BE171" s="54">
        <f>IF(RTD("tos.rtd",,BE$2,"."&amp;$D$134&amp;$AW$82&amp;"C"&amp;$A171)="N/A",0,RTD("tos.rtd",,BE$2,"."&amp;$D$134&amp;$AW$82&amp;"C"&amp;$A171))</f>
        <v>0</v>
      </c>
      <c r="BF171" s="3">
        <f>-IF(RTD("tos.rtd",,BF$2,"."&amp;$D$134&amp;$AW$82&amp;"P"&amp;$A171)="N/A",0,RTD("tos.rtd",,BF$2,"."&amp;$D$134&amp;$AW$82&amp;"P"&amp;$A171))</f>
        <v>-1</v>
      </c>
      <c r="BG171" s="3">
        <f ca="1">+Hoja2!Y172</f>
        <v>0</v>
      </c>
      <c r="BH171" s="7">
        <f t="shared" ca="1" si="549"/>
        <v>-315</v>
      </c>
      <c r="BI171" s="32" t="str">
        <f t="shared" ca="1" si="609"/>
        <v/>
      </c>
      <c r="BJ171" s="3" t="e">
        <f ca="1">IF($BP$1=1,DX171,IF(RTD("tos.rtd",,BJ$43,"."&amp;$B$134&amp;$AS$82&amp;"C"&amp;$A171)="N/A",0,RTD("tos.rtd",,BJ$43,"."&amp;$B$134&amp;$AS$82&amp;"C"&amp;$A171)))</f>
        <v>#NUM!</v>
      </c>
      <c r="BK171" s="3" t="e">
        <f ca="1">IF($BP$1=1,DY171,-IF(RTD("tos.rtd",,BK$43,"."&amp;$B$134&amp;$AS$82&amp;"P"&amp;$A171)="N/A",0,RTD("tos.rtd",,BK$43,"."&amp;$B$134&amp;$AS$82&amp;"P"&amp;$A171)))</f>
        <v>#NUM!</v>
      </c>
      <c r="BL171" s="3">
        <f ca="1">IF($BP$1=1,DZ171,IF(RTD("tos.rtd",,BL$2,"."&amp;$C$134&amp;$AU$82&amp;"C"&amp;$A171)="N/A",0,RTD("tos.rtd",,BL$2,"."&amp;$C$134&amp;$AU$82&amp;"C"&amp;$A171)))</f>
        <v>4.4952869235452889E-4</v>
      </c>
      <c r="BM171" s="3">
        <f ca="1">IF($BP$1=1,EA171,-IF(RTD("tos.rtd",,BM$2,"."&amp;$C$134&amp;$AU$82&amp;"P"&amp;$A171)="N/A",0,RTD("tos.rtd",,BM$2,"."&amp;$C$134&amp;$AU$82&amp;"P"&amp;$A171)))</f>
        <v>-4.3314949930224204E-4</v>
      </c>
      <c r="BN171" s="3">
        <f ca="1">IF($BP$1=1,EB171,IF(RTD("tos.rtd",,BN$2,"."&amp;$D$134&amp;$AW$82&amp;"C"&amp;$A171)="N/A",0,RTD("tos.rtd",,BN$2,"."&amp;$D$134&amp;$AW$82&amp;"C"&amp;$A171)))</f>
        <v>5.0760919893166965E-4</v>
      </c>
      <c r="BO171" s="3">
        <f ca="1">IF($BP$1=1,EC171,-IF(RTD("tos.rtd",,BO$2,"."&amp;$D$134&amp;$AW$82&amp;"P"&amp;$A171)="N/A",0,RTD("tos.rtd",,BO$2,"."&amp;$D$134&amp;$AW$82&amp;"P"&amp;$A171)))</f>
        <v>-4.9247960805096351E-4</v>
      </c>
      <c r="BQ171" s="3" t="e">
        <f t="shared" ca="1" si="648"/>
        <v>#NUM!</v>
      </c>
      <c r="BR171" s="3" t="e">
        <f t="shared" ca="1" si="550"/>
        <v>#NUM!</v>
      </c>
      <c r="BS171" s="3">
        <f t="shared" ca="1" si="649"/>
        <v>-133219.46908870561</v>
      </c>
      <c r="BT171" s="3" t="str">
        <f t="shared" ca="1" si="551"/>
        <v>Cruce -</v>
      </c>
      <c r="BU171" s="3">
        <f t="shared" ca="1" si="650"/>
        <v>-2516781.8914114172</v>
      </c>
      <c r="BV171" s="3" t="str">
        <f t="shared" ca="1" si="551"/>
        <v>Cruce -</v>
      </c>
      <c r="BX171" s="3" t="e">
        <f t="shared" ca="1" si="585"/>
        <v>#NUM!</v>
      </c>
      <c r="BY171" s="3" t="e">
        <f t="shared" ca="1" si="586"/>
        <v>#NUM!</v>
      </c>
      <c r="BZ171" s="3">
        <f t="shared" ca="1" si="587"/>
        <v>-742.41105627103627</v>
      </c>
      <c r="CA171" s="3" t="str">
        <f t="shared" ca="1" si="586"/>
        <v/>
      </c>
      <c r="CB171" s="3">
        <f t="shared" ca="1" si="588"/>
        <v>-121.24092924802824</v>
      </c>
      <c r="CC171" s="3" t="str">
        <f t="shared" ca="1" si="586"/>
        <v/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0.03</v>
      </c>
      <c r="CF171" s="3">
        <f>IF(RTD("tos.rtd",,CF$2,"."&amp;$C$134&amp;$AU$82&amp;"C"&amp;$A171)="N/A",0,RTD("tos.rtd",,CF$2,"."&amp;$C$134&amp;$AU$82&amp;"C"&amp;$A171))</f>
        <v>0.73</v>
      </c>
      <c r="CG171" s="3">
        <f>-IF(RTD("tos.rtd",,CG$2,"."&amp;$C$134&amp;$AU$82&amp;"P"&amp;$A171)="N/A",0,RTD("tos.rtd",,CG$2,"."&amp;$C$134&amp;$AU$82&amp;"P"&amp;$A171))</f>
        <v>0.28000000000000003</v>
      </c>
      <c r="CH171" s="3">
        <f>IF(RTD("tos.rtd",,CH$2,"."&amp;$D$134&amp;$AW$82&amp;"C"&amp;$A171)="N/A",0,RTD("tos.rtd",,CH$2,"."&amp;$D$134&amp;$AW$82&amp;"C"&amp;$A171))</f>
        <v>0.63</v>
      </c>
      <c r="CI171" s="3">
        <f>-IF(RTD("tos.rtd",,CI$2,"."&amp;$D$134&amp;$AW$82&amp;"P"&amp;$A171)="N/A",0,RTD("tos.rtd",,CI$2,"."&amp;$D$134&amp;$AW$82&amp;"P"&amp;$A171))</f>
        <v>0.38</v>
      </c>
      <c r="CK171" s="3">
        <f t="shared" si="651"/>
        <v>540</v>
      </c>
      <c r="CL171" s="3"/>
      <c r="CM171" s="3">
        <f t="shared" si="652"/>
        <v>1356.9999999999998</v>
      </c>
      <c r="CN171" s="3"/>
      <c r="CO171" s="3">
        <f t="shared" si="653"/>
        <v>-3369</v>
      </c>
      <c r="CP171" s="3">
        <f t="shared" si="542"/>
        <v>-1472.0000000000002</v>
      </c>
      <c r="CQ171" s="3">
        <f t="shared" si="552"/>
        <v>-307</v>
      </c>
      <c r="CR171" s="3"/>
      <c r="CS171" s="3">
        <f t="shared" si="553"/>
        <v>-7</v>
      </c>
      <c r="CT171" s="3"/>
      <c r="CU171" s="3">
        <f t="shared" si="554"/>
        <v>-1</v>
      </c>
      <c r="CV171" s="3"/>
      <c r="CW171" s="3" t="e">
        <f t="shared" ca="1" si="555"/>
        <v>#NUM!</v>
      </c>
      <c r="CY171" s="3" t="e">
        <f t="shared" ca="1" si="556"/>
        <v>#NUM!</v>
      </c>
      <c r="CZ171" s="70" t="e">
        <f t="shared" ca="1" si="589"/>
        <v>#NUM!</v>
      </c>
      <c r="DA171" s="3">
        <f>IF(RTD("tos.rtd",,DA$43,"."&amp;$B$134&amp;$AS$82&amp;"C"&amp;$A171)="N/A",0,RTD("tos.rtd",,DA$43,"."&amp;$B$134&amp;$AS$82&amp;"C"&amp;$A171))</f>
        <v>461.25</v>
      </c>
      <c r="DB171" s="3">
        <f>IF(RTD("tos.rtd",,DB$43,"."&amp;$B$134&amp;$AS$82&amp;"P"&amp;$A171)="N/A",0,RTD("tos.rtd",,DB$43,"."&amp;$B$134&amp;$AS$82&amp;"P"&amp;$A171))</f>
        <v>0.05</v>
      </c>
      <c r="DC171" s="3">
        <f>IF(RTD("tos.rtd",,DC$43,"."&amp;$B$134&amp;$AS$82&amp;"C"&amp;$A171)="N/A",0,RTD("tos.rtd",,DC$43,"."&amp;$B$134&amp;$AS$82&amp;"C"&amp;$A171))</f>
        <v>382</v>
      </c>
      <c r="DD171" s="3">
        <f>IF(RTD("tos.rtd",,DD$43,"."&amp;$B$134&amp;$AS$82&amp;"P"&amp;$A171)="N/A",0,RTD("tos.rtd",,DD$43,"."&amp;$B$134&amp;$AS$82&amp;"P"&amp;$A171))</f>
        <v>4.8</v>
      </c>
      <c r="DE171" s="3">
        <f>IF(RTD("tos.rtd",,DE$43,"."&amp;$B$134&amp;$AS$82&amp;"C"&amp;$A171)="N/A",0,RTD("tos.rtd",,DE$43,"."&amp;$B$134&amp;$AS$82&amp;"C"&amp;$A171))</f>
        <v>334.8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90"/>
        <v>-361.44900000000052</v>
      </c>
      <c r="DH171" s="3">
        <f t="shared" si="557"/>
        <v>0</v>
      </c>
      <c r="DI171" s="3">
        <f t="shared" si="558"/>
        <v>0</v>
      </c>
      <c r="DJ171" s="3">
        <f t="shared" si="559"/>
        <v>0</v>
      </c>
      <c r="DK171" s="3">
        <f t="shared" si="560"/>
        <v>0</v>
      </c>
      <c r="DL171" s="3">
        <f t="shared" si="561"/>
        <v>0</v>
      </c>
      <c r="DM171" s="3">
        <f t="shared" si="562"/>
        <v>0</v>
      </c>
      <c r="DN171" s="64" t="str">
        <f t="shared" si="563"/>
        <v>UNKNOWN</v>
      </c>
      <c r="DO171" s="64" t="str">
        <f t="shared" si="564"/>
        <v>UNKNOWN</v>
      </c>
      <c r="DP171" s="3">
        <f t="shared" si="565"/>
        <v>0</v>
      </c>
      <c r="DQ171" s="3">
        <f t="shared" si="566"/>
        <v>0</v>
      </c>
      <c r="DR171" s="3" t="e">
        <f t="shared" ca="1" si="567"/>
        <v>#NUM!</v>
      </c>
      <c r="DS171" s="3">
        <f t="shared" si="568"/>
        <v>0</v>
      </c>
      <c r="DT171" s="3">
        <f t="shared" si="591"/>
        <v>0</v>
      </c>
      <c r="DU171" s="3">
        <f t="shared" si="592"/>
        <v>0</v>
      </c>
      <c r="DV171" s="3">
        <f t="shared" si="569"/>
        <v>-5</v>
      </c>
      <c r="DW171" s="3">
        <f t="shared" si="570"/>
        <v>19</v>
      </c>
      <c r="DX171" s="3" t="e">
        <f t="shared" ca="1" si="654"/>
        <v>#NUM!</v>
      </c>
      <c r="DY171" s="3" t="e">
        <f t="shared" ca="1" si="655"/>
        <v>#NUM!</v>
      </c>
      <c r="DZ171" s="3">
        <f t="shared" ca="1" si="656"/>
        <v>4.4952869235452889E-4</v>
      </c>
      <c r="EA171" s="3">
        <f t="shared" ca="1" si="657"/>
        <v>-4.3314949930224204E-4</v>
      </c>
      <c r="EB171" s="3">
        <f t="shared" ca="1" si="658"/>
        <v>5.0760919893166965E-4</v>
      </c>
      <c r="EC171" s="3">
        <f t="shared" ca="1" si="659"/>
        <v>-4.9247960805096351E-4</v>
      </c>
      <c r="ED171" s="63">
        <f t="shared" si="593"/>
        <v>14</v>
      </c>
      <c r="EE171" s="59">
        <f t="shared" si="577"/>
        <v>0.25</v>
      </c>
      <c r="EF171" s="59">
        <f t="shared" si="578"/>
        <v>1.2962</v>
      </c>
      <c r="EG171" s="59">
        <f t="shared" si="579"/>
        <v>0.28710000000000002</v>
      </c>
      <c r="EH171" s="59">
        <f t="shared" si="580"/>
        <v>0.30120000000000002</v>
      </c>
      <c r="EI171" s="59">
        <f t="shared" si="581"/>
        <v>0.2424</v>
      </c>
      <c r="EJ171" s="59">
        <f t="shared" si="582"/>
        <v>0.25340000000000001</v>
      </c>
      <c r="EK171" s="63" t="e">
        <f t="shared" ca="1" si="594"/>
        <v>#NUM!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129.62%</v>
      </c>
      <c r="EN171" s="3" t="str">
        <f>RTD("tos.rtd",,EN$2,"."&amp;$C$134&amp;$AU$82&amp;"C"&amp;$A171)</f>
        <v>28.71%</v>
      </c>
      <c r="EO171" s="3" t="str">
        <f>RTD("tos.rtd",,EO$2,"."&amp;$C$134&amp;$AU$82&amp;"P"&amp;$A171)</f>
        <v>30.12%</v>
      </c>
      <c r="EP171" s="3" t="str">
        <f>RTD("tos.rtd",,EP$2,"."&amp;$D$134&amp;$AW$82&amp;"C"&amp;$A171)</f>
        <v>24.24%</v>
      </c>
      <c r="EQ171" s="3" t="str">
        <f>RTD("tos.rtd",,EQ$2,"."&amp;$D$134&amp;$AW$82&amp;"P"&amp;$A171)</f>
        <v>25.34%</v>
      </c>
      <c r="ES171" s="63" t="str">
        <f t="shared" si="583"/>
        <v>19700,14.00</v>
      </c>
      <c r="ET171" s="63" t="str">
        <f t="shared" ca="1" si="584"/>
        <v>19700,00.00</v>
      </c>
      <c r="EU171" s="68">
        <v>565.08000000000004</v>
      </c>
      <c r="EV171" s="68" t="s">
        <v>1387</v>
      </c>
      <c r="EW171" s="68">
        <v>488.74</v>
      </c>
      <c r="EX171" s="68" t="s">
        <v>1388</v>
      </c>
      <c r="EY171" s="68">
        <v>5663.94</v>
      </c>
      <c r="EZ171" s="68" t="s">
        <v>1389</v>
      </c>
      <c r="FA171" s="68">
        <v>20063.564999999999</v>
      </c>
      <c r="FB171" s="68" t="s">
        <v>1390</v>
      </c>
      <c r="FC171" s="68" t="s">
        <v>1391</v>
      </c>
      <c r="FD171" s="68" t="s">
        <v>1392</v>
      </c>
      <c r="FE171" s="68" t="s">
        <v>1393</v>
      </c>
      <c r="FF171" s="68" t="s">
        <v>1394</v>
      </c>
    </row>
    <row r="172" spans="1:162" ht="11.1" customHeight="1" thickBot="1" x14ac:dyDescent="0.25">
      <c r="A172" s="2">
        <f t="shared" si="595"/>
        <v>19675</v>
      </c>
      <c r="B172" s="3">
        <f t="shared" si="641"/>
        <v>12</v>
      </c>
      <c r="C172" s="3">
        <f t="shared" si="642"/>
        <v>20</v>
      </c>
      <c r="D172" s="3">
        <f t="shared" si="643"/>
        <v>35</v>
      </c>
      <c r="E172" s="3">
        <f t="shared" si="644"/>
        <v>67</v>
      </c>
      <c r="F172" s="4">
        <f t="shared" si="645"/>
        <v>20077.397263278439</v>
      </c>
      <c r="G172" s="5">
        <f t="shared" si="646"/>
        <v>486.61214601198543</v>
      </c>
      <c r="AM172" s="1">
        <v>2</v>
      </c>
      <c r="AN172" s="1">
        <v>4</v>
      </c>
      <c r="AO172" s="1">
        <v>19675</v>
      </c>
      <c r="AP172" s="1">
        <v>2</v>
      </c>
      <c r="AQ172" s="1">
        <v>-42</v>
      </c>
      <c r="AS172" s="54">
        <f>IF(RTD("tos.rtd",,AS$83,"."&amp;$B$134&amp;$AS$82&amp;"C"&amp;$A172)="N/A",0,RTD("tos.rtd",,AS$83,"."&amp;$B$134&amp;$AS$82&amp;"C"&amp;$A172))</f>
        <v>5</v>
      </c>
      <c r="AT172" s="3">
        <f>-IF(RTD("tos.rtd",,AT$83,"."&amp;$B$134&amp;$AS$82&amp;"P"&amp;$A172)="N/A",0,RTD("tos.rtd",,AT$83,"."&amp;$B$134&amp;$AS$82&amp;"P"&amp;$A172))</f>
        <v>-7</v>
      </c>
      <c r="AU172" s="54">
        <f>IF(RTD("tos.rtd",,AU$2,"."&amp;$C$134&amp;$AU$134&amp;"C"&amp;$A172)="N/A",0,RTD("tos.rtd",,AU$2,"."&amp;$C$134&amp;$AU$134&amp;"C"&amp;$A172))</f>
        <v>8</v>
      </c>
      <c r="AV172" s="3">
        <f>-IF(RTD("tos.rtd",,AV$2,"."&amp;$C$134&amp;$AU$134&amp;"P"&amp;$A172)="N/A",0,RTD("tos.rtd",,AV$2,"."&amp;$C$134&amp;$AU$134&amp;"P"&amp;$A172))</f>
        <v>-12</v>
      </c>
      <c r="AW172" s="54">
        <f>IF(RTD("tos.rtd",,AW$2,"."&amp;$D$134&amp;$AW$134&amp;"C"&amp;$A172)="N/A",0,RTD("tos.rtd",,AW$2,"."&amp;$D$134&amp;$AW$134&amp;"C"&amp;$A172))</f>
        <v>30</v>
      </c>
      <c r="AX172" s="3">
        <f>-IF(RTD("tos.rtd",,AX$2,"."&amp;$D$134&amp;$AW$134&amp;"P"&amp;$A172)="N/A",0,RTD("tos.rtd",,AX$2,"."&amp;$D$134&amp;$AW$134&amp;"P"&amp;$A172))</f>
        <v>-5</v>
      </c>
      <c r="AY172" s="76">
        <f t="shared" si="647"/>
        <v>19</v>
      </c>
      <c r="AZ172" s="8">
        <f t="shared" si="548"/>
        <v>19675</v>
      </c>
      <c r="BA172" s="54">
        <f>IF(RTD("tos.rtd",,BA$43,"."&amp;$B$134&amp;$AS$82&amp;"C"&amp;$A172)="N/A",0,RTD("tos.rtd",,BA$43,"."&amp;$B$134&amp;$AS$82&amp;"C"&amp;$A172))</f>
        <v>2</v>
      </c>
      <c r="BB172" s="3">
        <f>-IF(RTD("tos.rtd",,BB$43,"."&amp;$B$134&amp;$AS$82&amp;"P"&amp;$A172)="N/A",0,RTD("tos.rtd",,BB$43,"."&amp;$B$134&amp;$AS$82&amp;"P"&amp;$A172))</f>
        <v>-42</v>
      </c>
      <c r="BC172" s="54">
        <f>IF(RTD("tos.rtd",,BC$2,"."&amp;$C$134&amp;$AU$82&amp;"C"&amp;$A172)="N/A",0,RTD("tos.rtd",,BC$2,"."&amp;$C$134&amp;$AU$82&amp;"C"&amp;$A172))</f>
        <v>1</v>
      </c>
      <c r="BD172" s="3">
        <f>-IF(RTD("tos.rtd",,BD$2,"."&amp;$C$134&amp;$AU$82&amp;"P"&amp;$A172)="N/A",0,RTD("tos.rtd",,BD$2,"."&amp;$C$134&amp;$AU$82&amp;"P"&amp;$A172))</f>
        <v>-4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>
        <f ca="1">+Hoja2!Y173</f>
        <v>-4</v>
      </c>
      <c r="BH172" s="7">
        <f t="shared" ca="1" si="549"/>
        <v>-47</v>
      </c>
      <c r="BI172" s="32" t="str">
        <f t="shared" ca="1" si="609"/>
        <v/>
      </c>
      <c r="BJ172" s="3" t="e">
        <f ca="1">IF($BP$1=1,DX172,IF(RTD("tos.rtd",,BJ$43,"."&amp;$B$134&amp;$AS$82&amp;"C"&amp;$A172)="N/A",0,RTD("tos.rtd",,BJ$43,"."&amp;$B$134&amp;$AS$82&amp;"C"&amp;$A172)))</f>
        <v>#NUM!</v>
      </c>
      <c r="BK172" s="3" t="e">
        <f ca="1">IF($BP$1=1,DY172,-IF(RTD("tos.rtd",,BK$43,"."&amp;$B$134&amp;$AS$82&amp;"P"&amp;$A172)="N/A",0,RTD("tos.rtd",,BK$43,"."&amp;$B$134&amp;$AS$82&amp;"P"&amp;$A172)))</f>
        <v>#NUM!</v>
      </c>
      <c r="BL172" s="3">
        <f ca="1">IF($BP$1=1,DZ172,IF(RTD("tos.rtd",,BL$2,"."&amp;$C$134&amp;$AU$82&amp;"C"&amp;$A172)="N/A",0,RTD("tos.rtd",,BL$2,"."&amp;$C$134&amp;$AU$82&amp;"C"&amp;$A172)))</f>
        <v>4.4485919122828134E-4</v>
      </c>
      <c r="BM172" s="3">
        <f ca="1">IF($BP$1=1,EA172,-IF(RTD("tos.rtd",,BM$2,"."&amp;$C$134&amp;$AU$82&amp;"P"&amp;$A172)="N/A",0,RTD("tos.rtd",,BM$2,"."&amp;$C$134&amp;$AU$82&amp;"P"&amp;$A172)))</f>
        <v>-4.2560755238606532E-4</v>
      </c>
      <c r="BN172" s="3">
        <f ca="1">IF($BP$1=1,EB172,IF(RTD("tos.rtd",,BN$2,"."&amp;$D$134&amp;$AW$82&amp;"C"&amp;$A172)="N/A",0,RTD("tos.rtd",,BN$2,"."&amp;$D$134&amp;$AW$82&amp;"C"&amp;$A172)))</f>
        <v>4.9484101126527906E-4</v>
      </c>
      <c r="BO172" s="3">
        <f ca="1">IF($BP$1=1,EC172,-IF(RTD("tos.rtd",,BO$2,"."&amp;$D$134&amp;$AW$82&amp;"P"&amp;$A172)="N/A",0,RTD("tos.rtd",,BO$2,"."&amp;$D$134&amp;$AW$82&amp;"P"&amp;$A172)))</f>
        <v>-4.8090341775927089E-4</v>
      </c>
      <c r="BQ172" s="3" t="e">
        <f t="shared" ca="1" si="648"/>
        <v>#NUM!</v>
      </c>
      <c r="BR172" s="3" t="e">
        <f t="shared" ca="1" si="550"/>
        <v>#NUM!</v>
      </c>
      <c r="BS172" s="3">
        <f t="shared" ca="1" si="649"/>
        <v>-49602.8932957285</v>
      </c>
      <c r="BT172" s="3" t="str">
        <f t="shared" ca="1" si="551"/>
        <v/>
      </c>
      <c r="BU172" s="3">
        <f t="shared" ca="1" si="650"/>
        <v>398533.03886696626</v>
      </c>
      <c r="BV172" s="3" t="str">
        <f t="shared" ca="1" si="551"/>
        <v>Cruce +</v>
      </c>
      <c r="BX172" s="3" t="e">
        <f t="shared" ca="1" si="585"/>
        <v>#NUM!</v>
      </c>
      <c r="BY172" s="3" t="e">
        <f t="shared" ca="1" si="586"/>
        <v>#NUM!</v>
      </c>
      <c r="BZ172" s="3">
        <f t="shared" ca="1" si="587"/>
        <v>-309.59470476235538</v>
      </c>
      <c r="CA172" s="3" t="str">
        <f t="shared" ca="1" si="586"/>
        <v/>
      </c>
      <c r="CB172" s="3">
        <f t="shared" ca="1" si="588"/>
        <v>0</v>
      </c>
      <c r="CC172" s="3" t="str">
        <f t="shared" ca="1" si="586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0.08</v>
      </c>
      <c r="CF172" s="3">
        <f>IF(RTD("tos.rtd",,CF$2,"."&amp;$C$134&amp;$AU$82&amp;"C"&amp;$A172)="N/A",0,RTD("tos.rtd",,CF$2,"."&amp;$C$134&amp;$AU$82&amp;"C"&amp;$A172))</f>
        <v>0.74</v>
      </c>
      <c r="CG172" s="3">
        <f>-IF(RTD("tos.rtd",,CG$2,"."&amp;$C$134&amp;$AU$82&amp;"P"&amp;$A172)="N/A",0,RTD("tos.rtd",,CG$2,"."&amp;$C$134&amp;$AU$82&amp;"P"&amp;$A172))</f>
        <v>0.27</v>
      </c>
      <c r="CH172" s="3">
        <f>IF(RTD("tos.rtd",,CH$2,"."&amp;$D$134&amp;$AW$82&amp;"C"&amp;$A172)="N/A",0,RTD("tos.rtd",,CH$2,"."&amp;$D$134&amp;$AW$82&amp;"C"&amp;$A172))</f>
        <v>0.63</v>
      </c>
      <c r="CI172" s="3">
        <f>-IF(RTD("tos.rtd",,CI$2,"."&amp;$D$134&amp;$AW$82&amp;"P"&amp;$A172)="N/A",0,RTD("tos.rtd",,CI$2,"."&amp;$D$134&amp;$AW$82&amp;"P"&amp;$A172))</f>
        <v>0.37</v>
      </c>
      <c r="CK172" s="3">
        <f t="shared" si="651"/>
        <v>444</v>
      </c>
      <c r="CL172" s="3"/>
      <c r="CM172" s="3">
        <f t="shared" si="652"/>
        <v>268</v>
      </c>
      <c r="CN172" s="3"/>
      <c r="CO172" s="3">
        <f t="shared" si="653"/>
        <v>1704.9999999999998</v>
      </c>
      <c r="CP172" s="3">
        <f t="shared" si="542"/>
        <v>2417</v>
      </c>
      <c r="CQ172" s="3">
        <f t="shared" si="552"/>
        <v>-40</v>
      </c>
      <c r="CR172" s="3"/>
      <c r="CS172" s="3">
        <f t="shared" si="553"/>
        <v>-3</v>
      </c>
      <c r="CT172" s="3"/>
      <c r="CU172" s="3">
        <f t="shared" si="554"/>
        <v>0</v>
      </c>
      <c r="CV172" s="3"/>
      <c r="CW172" s="3" t="e">
        <f t="shared" ca="1" si="555"/>
        <v>#NUM!</v>
      </c>
      <c r="CY172" s="3" t="e">
        <f t="shared" ca="1" si="556"/>
        <v>#NUM!</v>
      </c>
      <c r="CZ172" s="70" t="e">
        <f t="shared" ca="1" si="589"/>
        <v>#NUM!</v>
      </c>
      <c r="DA172" s="3">
        <f>IF(RTD("tos.rtd",,DA$43,"."&amp;$B$134&amp;$AS$82&amp;"C"&amp;$A172)="N/A",0,RTD("tos.rtd",,DA$43,"."&amp;$B$134&amp;$AS$82&amp;"C"&amp;$A172))</f>
        <v>432.86</v>
      </c>
      <c r="DB172" s="3">
        <f>IF(RTD("tos.rtd",,DB$43,"."&amp;$B$134&amp;$AS$82&amp;"P"&amp;$A172)="N/A",0,RTD("tos.rtd",,DB$43,"."&amp;$B$134&amp;$AS$82&amp;"P"&amp;$A172))</f>
        <v>1.36</v>
      </c>
      <c r="DC172" s="3">
        <f>IF(RTD("tos.rtd",,DC$43,"."&amp;$B$134&amp;$AS$82&amp;"C"&amp;$A172)="N/A",0,RTD("tos.rtd",,DC$43,"."&amp;$B$134&amp;$AS$82&amp;"C"&amp;$A172))</f>
        <v>408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359.8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90"/>
        <v>-386.44900000000052</v>
      </c>
      <c r="DH172" s="3">
        <f t="shared" si="557"/>
        <v>0</v>
      </c>
      <c r="DI172" s="3">
        <f t="shared" si="558"/>
        <v>0</v>
      </c>
      <c r="DJ172" s="3">
        <f t="shared" si="559"/>
        <v>0</v>
      </c>
      <c r="DK172" s="3">
        <f t="shared" si="560"/>
        <v>0</v>
      </c>
      <c r="DL172" s="3">
        <f t="shared" si="561"/>
        <v>0</v>
      </c>
      <c r="DM172" s="3">
        <f t="shared" si="562"/>
        <v>0</v>
      </c>
      <c r="DN172" s="64" t="str">
        <f t="shared" si="563"/>
        <v>UNKNOWN</v>
      </c>
      <c r="DO172" s="64" t="str">
        <f t="shared" si="564"/>
        <v>UNKNOWN</v>
      </c>
      <c r="DP172" s="3">
        <f t="shared" si="565"/>
        <v>0</v>
      </c>
      <c r="DQ172" s="3">
        <f t="shared" si="566"/>
        <v>0</v>
      </c>
      <c r="DR172" s="3" t="e">
        <f t="shared" ca="1" si="567"/>
        <v>#NUM!</v>
      </c>
      <c r="DS172" s="3">
        <f t="shared" si="568"/>
        <v>0</v>
      </c>
      <c r="DT172" s="3">
        <f t="shared" si="591"/>
        <v>0</v>
      </c>
      <c r="DU172" s="3">
        <f t="shared" si="592"/>
        <v>0</v>
      </c>
      <c r="DV172" s="3">
        <f t="shared" si="569"/>
        <v>2</v>
      </c>
      <c r="DW172" s="3">
        <f t="shared" si="570"/>
        <v>4</v>
      </c>
      <c r="DX172" s="3" t="e">
        <f t="shared" ca="1" si="654"/>
        <v>#NUM!</v>
      </c>
      <c r="DY172" s="3" t="e">
        <f t="shared" ca="1" si="655"/>
        <v>#NUM!</v>
      </c>
      <c r="DZ172" s="3">
        <f t="shared" ca="1" si="656"/>
        <v>4.4485919122828134E-4</v>
      </c>
      <c r="EA172" s="3">
        <f t="shared" ca="1" si="657"/>
        <v>-4.2560755238606532E-4</v>
      </c>
      <c r="EB172" s="3">
        <f t="shared" ca="1" si="658"/>
        <v>4.9484101126527906E-4</v>
      </c>
      <c r="EC172" s="3">
        <f t="shared" ca="1" si="659"/>
        <v>-4.8090341775927089E-4</v>
      </c>
      <c r="ED172" s="63">
        <f t="shared" si="593"/>
        <v>6</v>
      </c>
      <c r="EE172" s="59">
        <f t="shared" si="577"/>
        <v>0.25</v>
      </c>
      <c r="EF172" s="59">
        <f t="shared" si="578"/>
        <v>1.8299000000000001</v>
      </c>
      <c r="EG172" s="59">
        <f t="shared" si="579"/>
        <v>0.28449999999999998</v>
      </c>
      <c r="EH172" s="59">
        <f t="shared" si="580"/>
        <v>0.30199999999999999</v>
      </c>
      <c r="EI172" s="59">
        <f t="shared" si="581"/>
        <v>0.24310000000000001</v>
      </c>
      <c r="EJ172" s="59">
        <f t="shared" si="582"/>
        <v>0.25419999999999998</v>
      </c>
      <c r="EK172" s="63" t="e">
        <f t="shared" ca="1" si="594"/>
        <v>#NUM!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182.99%</v>
      </c>
      <c r="EN172" s="3" t="str">
        <f>RTD("tos.rtd",,EN$2,"."&amp;$C$134&amp;$AU$82&amp;"C"&amp;$A172)</f>
        <v>28.45%</v>
      </c>
      <c r="EO172" s="3" t="str">
        <f>RTD("tos.rtd",,EO$2,"."&amp;$C$134&amp;$AU$82&amp;"P"&amp;$A172)</f>
        <v>30.20%</v>
      </c>
      <c r="EP172" s="3" t="str">
        <f>RTD("tos.rtd",,EP$2,"."&amp;$D$134&amp;$AW$82&amp;"C"&amp;$A172)</f>
        <v>24.31%</v>
      </c>
      <c r="EQ172" s="3" t="str">
        <f>RTD("tos.rtd",,EQ$2,"."&amp;$D$134&amp;$AW$82&amp;"P"&amp;$A172)</f>
        <v>25.42%</v>
      </c>
      <c r="ES172" s="63" t="str">
        <f t="shared" si="583"/>
        <v>19675,06.00</v>
      </c>
      <c r="ET172" s="63" t="str">
        <f t="shared" ca="1" si="584"/>
        <v>19675,00.00</v>
      </c>
      <c r="EU172" s="68">
        <v>565.08000000000004</v>
      </c>
      <c r="EV172" s="68" t="s">
        <v>1395</v>
      </c>
      <c r="EW172" s="68">
        <v>488.74</v>
      </c>
      <c r="EX172" s="68" t="s">
        <v>1396</v>
      </c>
      <c r="EY172" s="68">
        <v>5663.94</v>
      </c>
      <c r="EZ172" s="68" t="s">
        <v>1397</v>
      </c>
      <c r="FA172" s="68">
        <v>20063.564999999999</v>
      </c>
      <c r="FB172" s="68" t="s">
        <v>1398</v>
      </c>
      <c r="FC172" s="68" t="s">
        <v>1399</v>
      </c>
      <c r="FD172" s="68" t="s">
        <v>1400</v>
      </c>
      <c r="FE172" s="68" t="s">
        <v>1401</v>
      </c>
      <c r="FF172" s="68" t="s">
        <v>1402</v>
      </c>
    </row>
    <row r="173" spans="1:162" ht="11.1" customHeight="1" thickBot="1" x14ac:dyDescent="0.25">
      <c r="A173" s="2">
        <f t="shared" si="595"/>
        <v>19650</v>
      </c>
      <c r="B173" s="3">
        <f t="shared" si="641"/>
        <v>119</v>
      </c>
      <c r="C173" s="3">
        <f t="shared" si="642"/>
        <v>31</v>
      </c>
      <c r="D173" s="3">
        <f t="shared" si="643"/>
        <v>65</v>
      </c>
      <c r="E173" s="3">
        <f t="shared" si="644"/>
        <v>215</v>
      </c>
      <c r="F173" s="4">
        <f t="shared" si="645"/>
        <v>20051.885957988376</v>
      </c>
      <c r="G173" s="5">
        <f t="shared" si="646"/>
        <v>485.99383324704013</v>
      </c>
      <c r="AM173" s="1">
        <v>6</v>
      </c>
      <c r="AN173" s="1">
        <v>50</v>
      </c>
      <c r="AO173" s="1">
        <v>19650</v>
      </c>
      <c r="AP173" s="1">
        <v>22</v>
      </c>
      <c r="AQ173" s="1">
        <v>-678</v>
      </c>
      <c r="AS173" s="54">
        <f>IF(RTD("tos.rtd",,AS$83,"."&amp;$B$134&amp;$AS$82&amp;"C"&amp;$A173)="N/A",0,RTD("tos.rtd",,AS$83,"."&amp;$B$134&amp;$AS$82&amp;"C"&amp;$A173))</f>
        <v>95</v>
      </c>
      <c r="AT173" s="3">
        <f>-IF(RTD("tos.rtd",,AT$83,"."&amp;$B$134&amp;$AS$82&amp;"P"&amp;$A173)="N/A",0,RTD("tos.rtd",,AT$83,"."&amp;$B$134&amp;$AS$82&amp;"P"&amp;$A173))</f>
        <v>-24</v>
      </c>
      <c r="AU173" s="54">
        <f>IF(RTD("tos.rtd",,AU$2,"."&amp;$C$134&amp;$AU$134&amp;"C"&amp;$A173)="N/A",0,RTD("tos.rtd",,AU$2,"."&amp;$C$134&amp;$AU$134&amp;"C"&amp;$A173))</f>
        <v>10</v>
      </c>
      <c r="AV173" s="3">
        <f>-IF(RTD("tos.rtd",,AV$2,"."&amp;$C$134&amp;$AU$134&amp;"P"&amp;$A173)="N/A",0,RTD("tos.rtd",,AV$2,"."&amp;$C$134&amp;$AU$134&amp;"P"&amp;$A173))</f>
        <v>-21</v>
      </c>
      <c r="AW173" s="54">
        <f>IF(RTD("tos.rtd",,AW$2,"."&amp;$D$134&amp;$AW$134&amp;"C"&amp;$A173)="N/A",0,RTD("tos.rtd",,AW$2,"."&amp;$D$134&amp;$AW$134&amp;"C"&amp;$A173))</f>
        <v>41</v>
      </c>
      <c r="AX173" s="3">
        <f>-IF(RTD("tos.rtd",,AX$2,"."&amp;$D$134&amp;$AW$134&amp;"P"&amp;$A173)="N/A",0,RTD("tos.rtd",,AX$2,"."&amp;$D$134&amp;$AW$134&amp;"P"&amp;$A173))</f>
        <v>-24</v>
      </c>
      <c r="AY173" s="76">
        <f t="shared" si="647"/>
        <v>77</v>
      </c>
      <c r="AZ173" s="8">
        <f t="shared" si="548"/>
        <v>19650</v>
      </c>
      <c r="BA173" s="54">
        <f>IF(RTD("tos.rtd",,BA$43,"."&amp;$B$134&amp;$AS$82&amp;"C"&amp;$A173)="N/A",0,RTD("tos.rtd",,BA$43,"."&amp;$B$134&amp;$AS$82&amp;"C"&amp;$A173))</f>
        <v>22</v>
      </c>
      <c r="BB173" s="3">
        <f>-IF(RTD("tos.rtd",,BB$43,"."&amp;$B$134&amp;$AS$82&amp;"P"&amp;$A173)="N/A",0,RTD("tos.rtd",,BB$43,"."&amp;$B$134&amp;$AS$82&amp;"P"&amp;$A173))</f>
        <v>-678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-3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0</v>
      </c>
      <c r="BG173" s="3">
        <f ca="1">+Hoja2!Y174</f>
        <v>0</v>
      </c>
      <c r="BH173" s="7">
        <f t="shared" ca="1" si="549"/>
        <v>-659</v>
      </c>
      <c r="BI173" s="32" t="str">
        <f t="shared" ca="1" si="609"/>
        <v/>
      </c>
      <c r="BJ173" s="3" t="e">
        <f ca="1">IF($BP$1=1,DX173,IF(RTD("tos.rtd",,BJ$43,"."&amp;$B$134&amp;$AS$82&amp;"C"&amp;$A173)="N/A",0,RTD("tos.rtd",,BJ$43,"."&amp;$B$134&amp;$AS$82&amp;"C"&amp;$A173)))</f>
        <v>#NUM!</v>
      </c>
      <c r="BK173" s="3" t="e">
        <f ca="1">IF($BP$1=1,DY173,-IF(RTD("tos.rtd",,BK$43,"."&amp;$B$134&amp;$AS$82&amp;"P"&amp;$A173)="N/A",0,RTD("tos.rtd",,BK$43,"."&amp;$B$134&amp;$AS$82&amp;"P"&amp;$A173)))</f>
        <v>#NUM!</v>
      </c>
      <c r="BL173" s="3">
        <f ca="1">IF($BP$1=1,DZ173,IF(RTD("tos.rtd",,BL$2,"."&amp;$C$134&amp;$AU$82&amp;"C"&amp;$A173)="N/A",0,RTD("tos.rtd",,BL$2,"."&amp;$C$134&amp;$AU$82&amp;"C"&amp;$A173)))</f>
        <v>4.3565949180139596E-4</v>
      </c>
      <c r="BM173" s="3">
        <f ca="1">IF($BP$1=1,EA173,-IF(RTD("tos.rtd",,BM$2,"."&amp;$C$134&amp;$AU$82&amp;"P"&amp;$A173)="N/A",0,RTD("tos.rtd",,BM$2,"."&amp;$C$134&amp;$AU$82&amp;"P"&amp;$A173)))</f>
        <v>-4.1825535477508743E-4</v>
      </c>
      <c r="BN173" s="3">
        <f ca="1">IF($BP$1=1,EB173,IF(RTD("tos.rtd",,BN$2,"."&amp;$D$134&amp;$AW$82&amp;"C"&amp;$A173)="N/A",0,RTD("tos.rtd",,BN$2,"."&amp;$D$134&amp;$AW$82&amp;"C"&amp;$A173)))</f>
        <v>4.8156489750329317E-4</v>
      </c>
      <c r="BO173" s="3">
        <f ca="1">IF($BP$1=1,EC173,-IF(RTD("tos.rtd",,BO$2,"."&amp;$D$134&amp;$AW$82&amp;"P"&amp;$A173)="N/A",0,RTD("tos.rtd",,BO$2,"."&amp;$D$134&amp;$AW$82&amp;"P"&amp;$A173)))</f>
        <v>-4.6907537111629319E-4</v>
      </c>
      <c r="BQ173" s="3" t="e">
        <f t="shared" ca="1" si="648"/>
        <v>#NUM!</v>
      </c>
      <c r="BR173" s="3" t="e">
        <f t="shared" ca="1" si="550"/>
        <v>#NUM!</v>
      </c>
      <c r="BS173" s="3">
        <f t="shared" ca="1" si="649"/>
        <v>-141809.64400165554</v>
      </c>
      <c r="BT173" s="3" t="str">
        <f t="shared" ca="1" si="551"/>
        <v/>
      </c>
      <c r="BU173" s="3">
        <f t="shared" ca="1" si="650"/>
        <v>271856.72880775458</v>
      </c>
      <c r="BV173" s="3" t="str">
        <f t="shared" ca="1" si="551"/>
        <v/>
      </c>
      <c r="BX173" s="3" t="e">
        <f t="shared" ca="1" si="585"/>
        <v>#NUM!</v>
      </c>
      <c r="BY173" s="3" t="e">
        <f t="shared" ca="1" si="586"/>
        <v>#NUM!</v>
      </c>
      <c r="BZ173" s="3">
        <f t="shared" ca="1" si="587"/>
        <v>-308.9041680928708</v>
      </c>
      <c r="CA173" s="3" t="str">
        <f t="shared" ca="1" si="586"/>
        <v/>
      </c>
      <c r="CB173" s="3">
        <f t="shared" ca="1" si="588"/>
        <v>0</v>
      </c>
      <c r="CC173" s="3" t="str">
        <f t="shared" ca="1" si="586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0.08</v>
      </c>
      <c r="CF173" s="3">
        <f>IF(RTD("tos.rtd",,CF$2,"."&amp;$C$134&amp;$AU$82&amp;"C"&amp;$A173)="N/A",0,RTD("tos.rtd",,CF$2,"."&amp;$C$134&amp;$AU$82&amp;"C"&amp;$A173))</f>
        <v>0.75</v>
      </c>
      <c r="CG173" s="3">
        <f>-IF(RTD("tos.rtd",,CG$2,"."&amp;$C$134&amp;$AU$82&amp;"P"&amp;$A173)="N/A",0,RTD("tos.rtd",,CG$2,"."&amp;$C$134&amp;$AU$82&amp;"P"&amp;$A173))</f>
        <v>0.26</v>
      </c>
      <c r="CH173" s="3">
        <f>IF(RTD("tos.rtd",,CH$2,"."&amp;$D$134&amp;$AW$82&amp;"C"&amp;$A173)="N/A",0,RTD("tos.rtd",,CH$2,"."&amp;$D$134&amp;$AW$82&amp;"C"&amp;$A173))</f>
        <v>0.64</v>
      </c>
      <c r="CI173" s="3">
        <f>-IF(RTD("tos.rtd",,CI$2,"."&amp;$D$134&amp;$AW$82&amp;"P"&amp;$A173)="N/A",0,RTD("tos.rtd",,CI$2,"."&amp;$D$134&amp;$AW$82&amp;"P"&amp;$A173))</f>
        <v>0.36</v>
      </c>
      <c r="CK173" s="3">
        <f t="shared" si="651"/>
        <v>9308</v>
      </c>
      <c r="CL173" s="3"/>
      <c r="CM173" s="3">
        <f t="shared" si="652"/>
        <v>204</v>
      </c>
      <c r="CN173" s="3"/>
      <c r="CO173" s="3">
        <f t="shared" si="653"/>
        <v>1760</v>
      </c>
      <c r="CP173" s="3">
        <f t="shared" si="542"/>
        <v>11272</v>
      </c>
      <c r="CQ173" s="3">
        <f t="shared" si="552"/>
        <v>-656</v>
      </c>
      <c r="CR173" s="3"/>
      <c r="CS173" s="3">
        <f t="shared" si="553"/>
        <v>-3</v>
      </c>
      <c r="CT173" s="3"/>
      <c r="CU173" s="3">
        <f t="shared" si="554"/>
        <v>0</v>
      </c>
      <c r="CV173" s="3"/>
      <c r="CW173" s="3" t="e">
        <f t="shared" ca="1" si="555"/>
        <v>#NUM!</v>
      </c>
      <c r="CY173" s="3" t="e">
        <f t="shared" ca="1" si="556"/>
        <v>#NUM!</v>
      </c>
      <c r="CZ173" s="70" t="e">
        <f t="shared" ca="1" si="589"/>
        <v>#NUM!</v>
      </c>
      <c r="DA173" s="3">
        <f>IF(RTD("tos.rtd",,DA$43,"."&amp;$B$134&amp;$AS$82&amp;"C"&amp;$A173)="N/A",0,RTD("tos.rtd",,DA$43,"."&amp;$B$134&amp;$AS$82&amp;"C"&amp;$A173))</f>
        <v>458.03</v>
      </c>
      <c r="DB173" s="3">
        <f>IF(RTD("tos.rtd",,DB$43,"."&amp;$B$134&amp;$AS$82&amp;"P"&amp;$A173)="N/A",0,RTD("tos.rtd",,DB$43,"."&amp;$B$134&amp;$AS$82&amp;"P"&amp;$A173))</f>
        <v>0.25</v>
      </c>
      <c r="DC173" s="3">
        <f>IF(RTD("tos.rtd",,DC$43,"."&amp;$B$134&amp;$AS$82&amp;"C"&amp;$A173)="N/A",0,RTD("tos.rtd",,DC$43,"."&amp;$B$134&amp;$AS$82&amp;"C"&amp;$A173))</f>
        <v>432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384.8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90"/>
        <v>-411.44900000000052</v>
      </c>
      <c r="DH173" s="3">
        <f t="shared" si="557"/>
        <v>0</v>
      </c>
      <c r="DI173" s="3">
        <f t="shared" si="558"/>
        <v>0</v>
      </c>
      <c r="DJ173" s="3">
        <f t="shared" si="559"/>
        <v>0</v>
      </c>
      <c r="DK173" s="3">
        <f t="shared" si="560"/>
        <v>0</v>
      </c>
      <c r="DL173" s="3">
        <f t="shared" si="561"/>
        <v>0</v>
      </c>
      <c r="DM173" s="3">
        <f t="shared" si="562"/>
        <v>0</v>
      </c>
      <c r="DN173" s="64" t="str">
        <f t="shared" si="563"/>
        <v>UNKNOWN</v>
      </c>
      <c r="DO173" s="64" t="str">
        <f t="shared" si="564"/>
        <v>UNKNOWN</v>
      </c>
      <c r="DP173" s="3">
        <f t="shared" si="565"/>
        <v>0</v>
      </c>
      <c r="DQ173" s="3">
        <f t="shared" si="566"/>
        <v>0</v>
      </c>
      <c r="DR173" s="3" t="e">
        <f t="shared" ca="1" si="567"/>
        <v>#NUM!</v>
      </c>
      <c r="DS173" s="3">
        <f t="shared" si="568"/>
        <v>0</v>
      </c>
      <c r="DT173" s="3">
        <f t="shared" si="591"/>
        <v>0</v>
      </c>
      <c r="DU173" s="3">
        <f t="shared" si="592"/>
        <v>0</v>
      </c>
      <c r="DV173" s="3">
        <f t="shared" si="569"/>
        <v>6</v>
      </c>
      <c r="DW173" s="3">
        <f t="shared" si="570"/>
        <v>50</v>
      </c>
      <c r="DX173" s="3" t="e">
        <f t="shared" ca="1" si="654"/>
        <v>#NUM!</v>
      </c>
      <c r="DY173" s="3" t="e">
        <f t="shared" ca="1" si="655"/>
        <v>#NUM!</v>
      </c>
      <c r="DZ173" s="3">
        <f t="shared" ca="1" si="656"/>
        <v>4.3565949180139596E-4</v>
      </c>
      <c r="EA173" s="3">
        <f t="shared" ca="1" si="657"/>
        <v>-4.1825535477508743E-4</v>
      </c>
      <c r="EB173" s="3">
        <f t="shared" ca="1" si="658"/>
        <v>4.8156489750329317E-4</v>
      </c>
      <c r="EC173" s="3">
        <f t="shared" ca="1" si="659"/>
        <v>-4.6907537111629319E-4</v>
      </c>
      <c r="ED173" s="63">
        <f t="shared" si="593"/>
        <v>56</v>
      </c>
      <c r="EE173" s="59">
        <f t="shared" si="577"/>
        <v>0.25</v>
      </c>
      <c r="EF173" s="59">
        <f t="shared" si="578"/>
        <v>1.9201999999999999</v>
      </c>
      <c r="EG173" s="59">
        <f t="shared" si="579"/>
        <v>0.28549999999999998</v>
      </c>
      <c r="EH173" s="59">
        <f t="shared" si="580"/>
        <v>0.3024</v>
      </c>
      <c r="EI173" s="59">
        <f t="shared" si="581"/>
        <v>0.24399999999999999</v>
      </c>
      <c r="EJ173" s="59">
        <f t="shared" si="582"/>
        <v>0.255</v>
      </c>
      <c r="EK173" s="63" t="e">
        <f t="shared" ca="1" si="594"/>
        <v>#NUM!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192.02%</v>
      </c>
      <c r="EN173" s="3" t="str">
        <f>RTD("tos.rtd",,EN$2,"."&amp;$C$134&amp;$AU$82&amp;"C"&amp;$A173)</f>
        <v>28.55%</v>
      </c>
      <c r="EO173" s="3" t="str">
        <f>RTD("tos.rtd",,EO$2,"."&amp;$C$134&amp;$AU$82&amp;"P"&amp;$A173)</f>
        <v>30.24%</v>
      </c>
      <c r="EP173" s="3" t="str">
        <f>RTD("tos.rtd",,EP$2,"."&amp;$D$134&amp;$AW$82&amp;"C"&amp;$A173)</f>
        <v>24.40%</v>
      </c>
      <c r="EQ173" s="3" t="str">
        <f>RTD("tos.rtd",,EQ$2,"."&amp;$D$134&amp;$AW$82&amp;"P"&amp;$A173)</f>
        <v>25.50%</v>
      </c>
      <c r="ES173" s="63" t="str">
        <f t="shared" si="583"/>
        <v>19650,56.00</v>
      </c>
      <c r="ET173" s="63" t="str">
        <f t="shared" ca="1" si="584"/>
        <v>19650,00.00</v>
      </c>
      <c r="EU173" s="68">
        <v>565.16</v>
      </c>
      <c r="EV173" s="68" t="s">
        <v>1403</v>
      </c>
      <c r="EW173" s="68">
        <v>488.85</v>
      </c>
      <c r="EX173" s="68" t="s">
        <v>1404</v>
      </c>
      <c r="EY173" s="68">
        <v>5663.94</v>
      </c>
      <c r="EZ173" s="68" t="s">
        <v>1405</v>
      </c>
      <c r="FA173" s="68">
        <v>20063.564999999999</v>
      </c>
      <c r="FB173" s="68" t="s">
        <v>1406</v>
      </c>
      <c r="FC173" s="68" t="s">
        <v>1407</v>
      </c>
      <c r="FD173" s="68" t="s">
        <v>1408</v>
      </c>
      <c r="FE173" s="68" t="s">
        <v>1409</v>
      </c>
      <c r="FF173" s="68" t="s">
        <v>1410</v>
      </c>
    </row>
    <row r="174" spans="1:162" ht="11.1" customHeight="1" thickBot="1" x14ac:dyDescent="0.25">
      <c r="A174" s="2">
        <f t="shared" si="595"/>
        <v>19625</v>
      </c>
      <c r="B174" s="3">
        <f t="shared" si="641"/>
        <v>8</v>
      </c>
      <c r="C174" s="3">
        <f t="shared" si="642"/>
        <v>36</v>
      </c>
      <c r="D174" s="3">
        <f t="shared" si="643"/>
        <v>88</v>
      </c>
      <c r="E174" s="3">
        <f t="shared" si="644"/>
        <v>132</v>
      </c>
      <c r="F174" s="4">
        <f t="shared" si="645"/>
        <v>20026.374652698316</v>
      </c>
      <c r="G174" s="5">
        <f t="shared" si="646"/>
        <v>485.37552048209477</v>
      </c>
      <c r="AM174" s="1">
        <v>0</v>
      </c>
      <c r="AN174" s="1">
        <v>3</v>
      </c>
      <c r="AO174" s="1">
        <v>19625</v>
      </c>
      <c r="AP174" s="1">
        <v>0</v>
      </c>
      <c r="AQ174" s="1">
        <v>-48</v>
      </c>
      <c r="AS174" s="54">
        <f>IF(RTD("tos.rtd",,AS$83,"."&amp;$B$134&amp;$AS$82&amp;"C"&amp;$A174)="N/A",0,RTD("tos.rtd",,AS$83,"."&amp;$B$134&amp;$AS$82&amp;"C"&amp;$A174))</f>
        <v>4</v>
      </c>
      <c r="AT174" s="3">
        <f>-IF(RTD("tos.rtd",,AT$83,"."&amp;$B$134&amp;$AS$82&amp;"P"&amp;$A174)="N/A",0,RTD("tos.rtd",,AT$83,"."&amp;$B$134&amp;$AS$82&amp;"P"&amp;$A174))</f>
        <v>-4</v>
      </c>
      <c r="AU174" s="54">
        <f>IF(RTD("tos.rtd",,AU$2,"."&amp;$C$134&amp;$AU$134&amp;"C"&amp;$A174)="N/A",0,RTD("tos.rtd",,AU$2,"."&amp;$C$134&amp;$AU$134&amp;"C"&amp;$A174))</f>
        <v>28</v>
      </c>
      <c r="AV174" s="3">
        <f>-IF(RTD("tos.rtd",,AV$2,"."&amp;$C$134&amp;$AU$134&amp;"P"&amp;$A174)="N/A",0,RTD("tos.rtd",,AV$2,"."&amp;$C$134&amp;$AU$134&amp;"P"&amp;$A174))</f>
        <v>-8</v>
      </c>
      <c r="AW174" s="54">
        <f>IF(RTD("tos.rtd",,AW$2,"."&amp;$D$134&amp;$AW$134&amp;"C"&amp;$A174)="N/A",0,RTD("tos.rtd",,AW$2,"."&amp;$D$134&amp;$AW$134&amp;"C"&amp;$A174))</f>
        <v>41</v>
      </c>
      <c r="AX174" s="3">
        <f>-IF(RTD("tos.rtd",,AX$2,"."&amp;$D$134&amp;$AW$134&amp;"P"&amp;$A174)="N/A",0,RTD("tos.rtd",,AX$2,"."&amp;$D$134&amp;$AW$134&amp;"P"&amp;$A174))</f>
        <v>-47</v>
      </c>
      <c r="AY174" s="76">
        <f t="shared" si="647"/>
        <v>14</v>
      </c>
      <c r="AZ174" s="8">
        <f t="shared" si="548"/>
        <v>19625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-48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-4</v>
      </c>
      <c r="BE174" s="54">
        <f>IF(RTD("tos.rtd",,BE$2,"."&amp;$D$134&amp;$AW$82&amp;"C"&amp;$A174)="N/A",0,RTD("tos.rtd",,BE$2,"."&amp;$D$134&amp;$AW$82&amp;"C"&amp;$A174))</f>
        <v>10</v>
      </c>
      <c r="BF174" s="3">
        <f>-IF(RTD("tos.rtd",,BF$2,"."&amp;$D$134&amp;$AW$82&amp;"P"&amp;$A174)="N/A",0,RTD("tos.rtd",,BF$2,"."&amp;$D$134&amp;$AW$82&amp;"P"&amp;$A174))</f>
        <v>-1</v>
      </c>
      <c r="BG174" s="3">
        <f ca="1">+Hoja2!Y175</f>
        <v>0</v>
      </c>
      <c r="BH174" s="7">
        <f t="shared" ca="1" si="549"/>
        <v>-43</v>
      </c>
      <c r="BI174" s="32" t="str">
        <f t="shared" ca="1" si="609"/>
        <v/>
      </c>
      <c r="BJ174" s="3" t="e">
        <f ca="1">IF($BP$1=1,DX174,IF(RTD("tos.rtd",,BJ$43,"."&amp;$B$134&amp;$AS$82&amp;"C"&amp;$A174)="N/A",0,RTD("tos.rtd",,BJ$43,"."&amp;$B$134&amp;$AS$82&amp;"C"&amp;$A174)))</f>
        <v>#NUM!</v>
      </c>
      <c r="BK174" s="3" t="e">
        <f ca="1">IF($BP$1=1,DY174,-IF(RTD("tos.rtd",,BK$43,"."&amp;$B$134&amp;$AS$82&amp;"P"&amp;$A174)="N/A",0,RTD("tos.rtd",,BK$43,"."&amp;$B$134&amp;$AS$82&amp;"P"&amp;$A174)))</f>
        <v>#NUM!</v>
      </c>
      <c r="BL174" s="3">
        <f ca="1">IF($BP$1=1,DZ174,IF(RTD("tos.rtd",,BL$2,"."&amp;$C$134&amp;$AU$82&amp;"C"&amp;$A174)="N/A",0,RTD("tos.rtd",,BL$2,"."&amp;$C$134&amp;$AU$82&amp;"C"&amp;$A174)))</f>
        <v>4.2726622929679795E-4</v>
      </c>
      <c r="BM174" s="3">
        <f ca="1">IF($BP$1=1,EA174,-IF(RTD("tos.rtd",,BM$2,"."&amp;$C$134&amp;$AU$82&amp;"P"&amp;$A174)="N/A",0,RTD("tos.rtd",,BM$2,"."&amp;$C$134&amp;$AU$82&amp;"P"&amp;$A174)))</f>
        <v>-4.1028538045426052E-4</v>
      </c>
      <c r="BN174" s="3">
        <f ca="1">IF($BP$1=1,EB174,IF(RTD("tos.rtd",,BN$2,"."&amp;$D$134&amp;$AW$82&amp;"C"&amp;$A174)="N/A",0,RTD("tos.rtd",,BN$2,"."&amp;$D$134&amp;$AW$82&amp;"C"&amp;$A174)))</f>
        <v>4.683100250429948E-4</v>
      </c>
      <c r="BO174" s="3">
        <f ca="1">IF($BP$1=1,EC174,-IF(RTD("tos.rtd",,BO$2,"."&amp;$D$134&amp;$AW$82&amp;"P"&amp;$A174)="N/A",0,RTD("tos.rtd",,BO$2,"."&amp;$D$134&amp;$AW$82&amp;"P"&amp;$A174)))</f>
        <v>-4.569338303011723E-4</v>
      </c>
      <c r="BQ174" s="3" t="e">
        <f t="shared" ca="1" si="648"/>
        <v>#NUM!</v>
      </c>
      <c r="BR174" s="3" t="e">
        <f t="shared" ca="1" si="550"/>
        <v>#NUM!</v>
      </c>
      <c r="BS174" s="3">
        <f t="shared" ca="1" si="649"/>
        <v>278097.6894475689</v>
      </c>
      <c r="BT174" s="3" t="str">
        <f t="shared" ca="1" si="551"/>
        <v>Cruce +</v>
      </c>
      <c r="BU174" s="3">
        <f t="shared" ca="1" si="650"/>
        <v>-72884.406354927574</v>
      </c>
      <c r="BV174" s="3" t="str">
        <f t="shared" ca="1" si="551"/>
        <v>Cruce -</v>
      </c>
      <c r="BX174" s="3" t="e">
        <f t="shared" ca="1" si="585"/>
        <v>#NUM!</v>
      </c>
      <c r="BY174" s="3" t="e">
        <f t="shared" ca="1" si="586"/>
        <v>#NUM!</v>
      </c>
      <c r="BZ174" s="3">
        <f t="shared" ca="1" si="587"/>
        <v>-404.02388216657067</v>
      </c>
      <c r="CA174" s="3" t="str">
        <f t="shared" ca="1" si="586"/>
        <v/>
      </c>
      <c r="CB174" s="3">
        <f t="shared" ca="1" si="588"/>
        <v>1040.4173808557011</v>
      </c>
      <c r="CC174" s="3" t="str">
        <f t="shared" ca="1" si="586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7.0000000000000007E-2</v>
      </c>
      <c r="CF174" s="3">
        <f>IF(RTD("tos.rtd",,CF$2,"."&amp;$C$134&amp;$AU$82&amp;"C"&amp;$A174)="N/A",0,RTD("tos.rtd",,CF$2,"."&amp;$C$134&amp;$AU$82&amp;"C"&amp;$A174))</f>
        <v>0.77</v>
      </c>
      <c r="CG174" s="3">
        <f>-IF(RTD("tos.rtd",,CG$2,"."&amp;$C$134&amp;$AU$82&amp;"P"&amp;$A174)="N/A",0,RTD("tos.rtd",,CG$2,"."&amp;$C$134&amp;$AU$82&amp;"P"&amp;$A174))</f>
        <v>0.25</v>
      </c>
      <c r="CH174" s="3">
        <f>IF(RTD("tos.rtd",,CH$2,"."&amp;$D$134&amp;$AW$82&amp;"C"&amp;$A174)="N/A",0,RTD("tos.rtd",,CH$2,"."&amp;$D$134&amp;$AW$82&amp;"C"&amp;$A174))</f>
        <v>0.65</v>
      </c>
      <c r="CI174" s="3">
        <f>-IF(RTD("tos.rtd",,CI$2,"."&amp;$D$134&amp;$AW$82&amp;"P"&amp;$A174)="N/A",0,RTD("tos.rtd",,CI$2,"."&amp;$D$134&amp;$AW$82&amp;"P"&amp;$A174))</f>
        <v>0.36</v>
      </c>
      <c r="CK174" s="3">
        <f t="shared" si="651"/>
        <v>372</v>
      </c>
      <c r="CL174" s="3"/>
      <c r="CM174" s="3">
        <f t="shared" si="652"/>
        <v>1956</v>
      </c>
      <c r="CN174" s="3"/>
      <c r="CO174" s="3">
        <f t="shared" si="653"/>
        <v>973.00000000000023</v>
      </c>
      <c r="CP174" s="3">
        <f t="shared" si="542"/>
        <v>3301</v>
      </c>
      <c r="CQ174" s="3">
        <f t="shared" si="552"/>
        <v>-48</v>
      </c>
      <c r="CR174" s="3"/>
      <c r="CS174" s="3">
        <f t="shared" si="553"/>
        <v>-4</v>
      </c>
      <c r="CT174" s="3"/>
      <c r="CU174" s="3">
        <f t="shared" si="554"/>
        <v>9</v>
      </c>
      <c r="CV174" s="3"/>
      <c r="CW174" s="3" t="e">
        <f t="shared" ca="1" si="555"/>
        <v>#NUM!</v>
      </c>
      <c r="CY174" s="3" t="e">
        <f t="shared" ca="1" si="556"/>
        <v>#NUM!</v>
      </c>
      <c r="CZ174" s="70" t="e">
        <f t="shared" ca="1" si="589"/>
        <v>#NUM!</v>
      </c>
      <c r="DA174" s="3">
        <f>IF(RTD("tos.rtd",,DA$43,"."&amp;$B$134&amp;$AS$82&amp;"C"&amp;$A174)="N/A",0,RTD("tos.rtd",,DA$43,"."&amp;$B$134&amp;$AS$82&amp;"C"&amp;$A174))</f>
        <v>506.3</v>
      </c>
      <c r="DB174" s="3">
        <f>IF(RTD("tos.rtd",,DB$43,"."&amp;$B$134&amp;$AS$82&amp;"P"&amp;$A174)="N/A",0,RTD("tos.rtd",,DB$43,"."&amp;$B$134&amp;$AS$82&amp;"P"&amp;$A174))</f>
        <v>0.2</v>
      </c>
      <c r="DC174" s="3">
        <f>IF(RTD("tos.rtd",,DC$43,"."&amp;$B$134&amp;$AS$82&amp;"C"&amp;$A174)="N/A",0,RTD("tos.rtd",,DC$43,"."&amp;$B$134&amp;$AS$82&amp;"C"&amp;$A174))</f>
        <v>460.8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410.8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90"/>
        <v>-436.44900000000052</v>
      </c>
      <c r="DH174" s="3">
        <f t="shared" si="557"/>
        <v>0</v>
      </c>
      <c r="DI174" s="3">
        <f t="shared" si="558"/>
        <v>0</v>
      </c>
      <c r="DJ174" s="3">
        <f t="shared" si="559"/>
        <v>0</v>
      </c>
      <c r="DK174" s="3">
        <f t="shared" si="560"/>
        <v>0</v>
      </c>
      <c r="DL174" s="3">
        <f t="shared" si="561"/>
        <v>0</v>
      </c>
      <c r="DM174" s="3">
        <f t="shared" si="562"/>
        <v>0</v>
      </c>
      <c r="DN174" s="64" t="str">
        <f t="shared" si="563"/>
        <v>UNKNOWN</v>
      </c>
      <c r="DO174" s="64" t="str">
        <f t="shared" si="564"/>
        <v>UNKNOWN</v>
      </c>
      <c r="DP174" s="3">
        <f t="shared" si="565"/>
        <v>0</v>
      </c>
      <c r="DQ174" s="3">
        <f t="shared" si="566"/>
        <v>0</v>
      </c>
      <c r="DR174" s="3" t="e">
        <f t="shared" ca="1" si="567"/>
        <v>#NUM!</v>
      </c>
      <c r="DS174" s="3">
        <f t="shared" si="568"/>
        <v>0</v>
      </c>
      <c r="DT174" s="3">
        <f t="shared" si="591"/>
        <v>0</v>
      </c>
      <c r="DU174" s="3">
        <f t="shared" si="592"/>
        <v>0</v>
      </c>
      <c r="DV174" s="3">
        <f t="shared" si="569"/>
        <v>0</v>
      </c>
      <c r="DW174" s="3">
        <f t="shared" si="570"/>
        <v>3</v>
      </c>
      <c r="DX174" s="3" t="e">
        <f t="shared" ca="1" si="654"/>
        <v>#NUM!</v>
      </c>
      <c r="DY174" s="3" t="e">
        <f t="shared" ca="1" si="655"/>
        <v>#NUM!</v>
      </c>
      <c r="DZ174" s="3">
        <f t="shared" ca="1" si="656"/>
        <v>4.2726622929679795E-4</v>
      </c>
      <c r="EA174" s="3">
        <f t="shared" ca="1" si="657"/>
        <v>-4.1028538045426052E-4</v>
      </c>
      <c r="EB174" s="3">
        <f t="shared" ca="1" si="658"/>
        <v>4.683100250429948E-4</v>
      </c>
      <c r="EC174" s="3">
        <f t="shared" ca="1" si="659"/>
        <v>-4.569338303011723E-4</v>
      </c>
      <c r="ED174" s="63">
        <f t="shared" si="593"/>
        <v>3</v>
      </c>
      <c r="EE174" s="59">
        <f t="shared" si="577"/>
        <v>0.25</v>
      </c>
      <c r="EF174" s="59">
        <f t="shared" si="578"/>
        <v>2.0099</v>
      </c>
      <c r="EG174" s="59">
        <f t="shared" si="579"/>
        <v>0.28549999999999998</v>
      </c>
      <c r="EH174" s="59">
        <f t="shared" si="580"/>
        <v>0.30320000000000003</v>
      </c>
      <c r="EI174" s="59">
        <f t="shared" si="581"/>
        <v>0.2447</v>
      </c>
      <c r="EJ174" s="59">
        <f t="shared" si="582"/>
        <v>0.25590000000000002</v>
      </c>
      <c r="EK174" s="63" t="e">
        <f t="shared" ca="1" si="594"/>
        <v>#NUM!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200.99%</v>
      </c>
      <c r="EN174" s="3" t="str">
        <f>RTD("tos.rtd",,EN$2,"."&amp;$C$134&amp;$AU$82&amp;"C"&amp;$A174)</f>
        <v>28.55%</v>
      </c>
      <c r="EO174" s="3" t="str">
        <f>RTD("tos.rtd",,EO$2,"."&amp;$C$134&amp;$AU$82&amp;"P"&amp;$A174)</f>
        <v>30.32%</v>
      </c>
      <c r="EP174" s="3" t="str">
        <f>RTD("tos.rtd",,EP$2,"."&amp;$D$134&amp;$AW$82&amp;"C"&amp;$A174)</f>
        <v>24.47%</v>
      </c>
      <c r="EQ174" s="3" t="str">
        <f>RTD("tos.rtd",,EQ$2,"."&amp;$D$134&amp;$AW$82&amp;"P"&amp;$A174)</f>
        <v>25.59%</v>
      </c>
      <c r="ES174" s="63" t="str">
        <f t="shared" si="583"/>
        <v>19625,03.00</v>
      </c>
      <c r="ET174" s="63" t="str">
        <f t="shared" ca="1" si="584"/>
        <v>19625,00.00</v>
      </c>
      <c r="EU174" s="68">
        <v>565.25</v>
      </c>
      <c r="EV174" s="68" t="s">
        <v>1411</v>
      </c>
      <c r="EW174" s="68">
        <v>488.94</v>
      </c>
      <c r="EX174" s="68" t="s">
        <v>1412</v>
      </c>
      <c r="EY174" s="68">
        <v>5663.94</v>
      </c>
      <c r="EZ174" s="68" t="s">
        <v>1413</v>
      </c>
      <c r="FA174" s="68">
        <v>20063.564999999999</v>
      </c>
      <c r="FB174" s="68" t="s">
        <v>1414</v>
      </c>
      <c r="FC174" s="68" t="s">
        <v>1415</v>
      </c>
      <c r="FD174" s="68" t="s">
        <v>1416</v>
      </c>
      <c r="FE174" s="68" t="s">
        <v>1417</v>
      </c>
      <c r="FF174" s="68" t="s">
        <v>1418</v>
      </c>
    </row>
    <row r="175" spans="1:162" ht="11.1" customHeight="1" thickBot="1" x14ac:dyDescent="0.25">
      <c r="A175" s="2">
        <f t="shared" si="595"/>
        <v>19600</v>
      </c>
      <c r="B175" s="3">
        <f t="shared" si="641"/>
        <v>33</v>
      </c>
      <c r="C175" s="3">
        <f t="shared" si="642"/>
        <v>113</v>
      </c>
      <c r="D175" s="3">
        <f t="shared" si="643"/>
        <v>1133</v>
      </c>
      <c r="E175" s="3">
        <f t="shared" si="644"/>
        <v>1279</v>
      </c>
      <c r="F175" s="4">
        <f t="shared" si="645"/>
        <v>20000.863347408253</v>
      </c>
      <c r="G175" s="5">
        <f t="shared" si="646"/>
        <v>484.75720771714941</v>
      </c>
      <c r="AM175" s="1">
        <v>1</v>
      </c>
      <c r="AN175" s="1">
        <v>-58</v>
      </c>
      <c r="AO175" s="1">
        <v>19600</v>
      </c>
      <c r="AP175" s="1">
        <v>1</v>
      </c>
      <c r="AQ175" s="1">
        <v>-562</v>
      </c>
      <c r="AS175" s="54">
        <f>IF(RTD("tos.rtd",,AS$83,"."&amp;$B$134&amp;$AS$82&amp;"C"&amp;$A175)="N/A",0,RTD("tos.rtd",,AS$83,"."&amp;$B$134&amp;$AS$82&amp;"C"&amp;$A175))</f>
        <v>11</v>
      </c>
      <c r="AT175" s="3">
        <f>-IF(RTD("tos.rtd",,AT$83,"."&amp;$B$134&amp;$AS$82&amp;"P"&amp;$A175)="N/A",0,RTD("tos.rtd",,AT$83,"."&amp;$B$134&amp;$AS$82&amp;"P"&amp;$A175))</f>
        <v>-22</v>
      </c>
      <c r="AU175" s="54">
        <f>IF(RTD("tos.rtd",,AU$2,"."&amp;$C$134&amp;$AU$134&amp;"C"&amp;$A175)="N/A",0,RTD("tos.rtd",,AU$2,"."&amp;$C$134&amp;$AU$134&amp;"C"&amp;$A175))</f>
        <v>58</v>
      </c>
      <c r="AV175" s="3">
        <f>-IF(RTD("tos.rtd",,AV$2,"."&amp;$C$134&amp;$AU$134&amp;"P"&amp;$A175)="N/A",0,RTD("tos.rtd",,AV$2,"."&amp;$C$134&amp;$AU$134&amp;"P"&amp;$A175))</f>
        <v>-55</v>
      </c>
      <c r="AW175" s="54">
        <f>IF(RTD("tos.rtd",,AW$2,"."&amp;$D$134&amp;$AW$134&amp;"C"&amp;$A175)="N/A",0,RTD("tos.rtd",,AW$2,"."&amp;$D$134&amp;$AW$134&amp;"C"&amp;$A175))</f>
        <v>569</v>
      </c>
      <c r="AX175" s="3">
        <f>-IF(RTD("tos.rtd",,AX$2,"."&amp;$D$134&amp;$AW$134&amp;"P"&amp;$A175)="N/A",0,RTD("tos.rtd",,AX$2,"."&amp;$D$134&amp;$AW$134&amp;"P"&amp;$A175))</f>
        <v>-564</v>
      </c>
      <c r="AY175" s="76">
        <f t="shared" si="647"/>
        <v>-3</v>
      </c>
      <c r="AZ175" s="8">
        <f t="shared" si="548"/>
        <v>19600</v>
      </c>
      <c r="BA175" s="54">
        <f>IF(RTD("tos.rtd",,BA$43,"."&amp;$B$134&amp;$AS$82&amp;"C"&amp;$A175)="N/A",0,RTD("tos.rtd",,BA$43,"."&amp;$B$134&amp;$AS$82&amp;"C"&amp;$A175))</f>
        <v>1</v>
      </c>
      <c r="BB175" s="3">
        <f>-IF(RTD("tos.rtd",,BB$43,"."&amp;$B$134&amp;$AS$82&amp;"P"&amp;$A175)="N/A",0,RTD("tos.rtd",,BB$43,"."&amp;$B$134&amp;$AS$82&amp;"P"&amp;$A175))</f>
        <v>-562</v>
      </c>
      <c r="BC175" s="54">
        <f>IF(RTD("tos.rtd",,BC$2,"."&amp;$C$134&amp;$AU$82&amp;"C"&amp;$A175)="N/A",0,RTD("tos.rtd",,BC$2,"."&amp;$C$134&amp;$AU$82&amp;"C"&amp;$A175))</f>
        <v>0</v>
      </c>
      <c r="BD175" s="3">
        <f>-IF(RTD("tos.rtd",,BD$2,"."&amp;$C$134&amp;$AU$82&amp;"P"&amp;$A175)="N/A",0,RTD("tos.rtd",,BD$2,"."&amp;$C$134&amp;$AU$82&amp;"P"&amp;$A175))</f>
        <v>-26</v>
      </c>
      <c r="BE175" s="54">
        <f>IF(RTD("tos.rtd",,BE$2,"."&amp;$D$134&amp;$AW$82&amp;"C"&amp;$A175)="N/A",0,RTD("tos.rtd",,BE$2,"."&amp;$D$134&amp;$AW$82&amp;"C"&amp;$A175))</f>
        <v>0</v>
      </c>
      <c r="BF175" s="3">
        <f>-IF(RTD("tos.rtd",,BF$2,"."&amp;$D$134&amp;$AW$82&amp;"P"&amp;$A175)="N/A",0,RTD("tos.rtd",,BF$2,"."&amp;$D$134&amp;$AW$82&amp;"P"&amp;$A175))</f>
        <v>0</v>
      </c>
      <c r="BG175" s="3">
        <f ca="1">+Hoja2!Y176</f>
        <v>-7</v>
      </c>
      <c r="BH175" s="7">
        <f t="shared" ca="1" si="549"/>
        <v>-594</v>
      </c>
      <c r="BI175" s="32" t="str">
        <f t="shared" ca="1" si="609"/>
        <v/>
      </c>
      <c r="BJ175" s="3" t="e">
        <f ca="1">IF($BP$1=1,DX175,IF(RTD("tos.rtd",,BJ$43,"."&amp;$B$134&amp;$AS$82&amp;"C"&amp;$A175)="N/A",0,RTD("tos.rtd",,BJ$43,"."&amp;$B$134&amp;$AS$82&amp;"C"&amp;$A175)))</f>
        <v>#NUM!</v>
      </c>
      <c r="BK175" s="3" t="e">
        <f ca="1">IF($BP$1=1,DY175,-IF(RTD("tos.rtd",,BK$43,"."&amp;$B$134&amp;$AS$82&amp;"P"&amp;$A175)="N/A",0,RTD("tos.rtd",,BK$43,"."&amp;$B$134&amp;$AS$82&amp;"P"&amp;$A175)))</f>
        <v>#NUM!</v>
      </c>
      <c r="BL175" s="3">
        <f ca="1">IF($BP$1=1,DZ175,IF(RTD("tos.rtd",,BL$2,"."&amp;$C$134&amp;$AU$82&amp;"C"&amp;$A175)="N/A",0,RTD("tos.rtd",,BL$2,"."&amp;$C$134&amp;$AU$82&amp;"C"&amp;$A175)))</f>
        <v>4.1848001933570778E-4</v>
      </c>
      <c r="BM175" s="3">
        <f ca="1">IF($BP$1=1,EA175,-IF(RTD("tos.rtd",,BM$2,"."&amp;$C$134&amp;$AU$82&amp;"P"&amp;$A175)="N/A",0,RTD("tos.rtd",,BM$2,"."&amp;$C$134&amp;$AU$82&amp;"P"&amp;$A175)))</f>
        <v>-4.0240665323013411E-4</v>
      </c>
      <c r="BN175" s="3">
        <f ca="1">IF($BP$1=1,EB175,IF(RTD("tos.rtd",,BN$2,"."&amp;$D$134&amp;$AW$82&amp;"C"&amp;$A175)="N/A",0,RTD("tos.rtd",,BN$2,"."&amp;$D$134&amp;$AW$82&amp;"C"&amp;$A175)))</f>
        <v>4.5478001904325477E-4</v>
      </c>
      <c r="BO175" s="3">
        <f ca="1">IF($BP$1=1,EC175,-IF(RTD("tos.rtd",,BO$2,"."&amp;$D$134&amp;$AW$82&amp;"P"&amp;$A175)="N/A",0,RTD("tos.rtd",,BO$2,"."&amp;$D$134&amp;$AW$82&amp;"P"&amp;$A175)))</f>
        <v>-4.4464163876189777E-4</v>
      </c>
      <c r="BQ175" s="3" t="e">
        <f t="shared" ca="1" si="648"/>
        <v>#NUM!</v>
      </c>
      <c r="BR175" s="3" t="e">
        <f t="shared" ca="1" si="550"/>
        <v>#NUM!</v>
      </c>
      <c r="BS175" s="3">
        <f t="shared" ca="1" si="649"/>
        <v>68537.191838939674</v>
      </c>
      <c r="BT175" s="3" t="str">
        <f t="shared" ca="1" si="551"/>
        <v/>
      </c>
      <c r="BU175" s="3">
        <f t="shared" ca="1" si="650"/>
        <v>256018.66153244674</v>
      </c>
      <c r="BV175" s="3" t="str">
        <f t="shared" ca="1" si="551"/>
        <v>Cruce +</v>
      </c>
      <c r="BX175" s="3" t="e">
        <f t="shared" ca="1" si="585"/>
        <v>#NUM!</v>
      </c>
      <c r="BY175" s="3" t="e">
        <f t="shared" ca="1" si="586"/>
        <v>#NUM!</v>
      </c>
      <c r="BZ175" s="3">
        <f t="shared" ca="1" si="587"/>
        <v>-2575.7250659040596</v>
      </c>
      <c r="CA175" s="3" t="str">
        <f t="shared" ca="1" si="586"/>
        <v/>
      </c>
      <c r="CB175" s="3">
        <f t="shared" ca="1" si="588"/>
        <v>0</v>
      </c>
      <c r="CC175" s="3" t="str">
        <f t="shared" ca="1" si="586"/>
        <v/>
      </c>
      <c r="CD175" s="3">
        <f>IF(RTD("tos.rtd",,CD$43,"."&amp;$B$134&amp;$AS$82&amp;"C"&amp;$A175)="N/A",0,RTD("tos.rtd",,CD$43,"."&amp;$B$134&amp;$AS$82&amp;"C"&amp;$A175))</f>
        <v>0.97</v>
      </c>
      <c r="CE175" s="3">
        <f>-IF(RTD("tos.rtd",,CE$43,"."&amp;$B$134&amp;$AS$82&amp;"P"&amp;$A175)="N/A",0,RTD("tos.rtd",,CE$43,"."&amp;$B$134&amp;$AS$82&amp;"P"&amp;$A175))</f>
        <v>0</v>
      </c>
      <c r="CF175" s="3">
        <f>IF(RTD("tos.rtd",,CF$2,"."&amp;$C$134&amp;$AU$82&amp;"C"&amp;$A175)="N/A",0,RTD("tos.rtd",,CF$2,"."&amp;$C$134&amp;$AU$82&amp;"C"&amp;$A175))</f>
        <v>0.78</v>
      </c>
      <c r="CG175" s="3">
        <f>-IF(RTD("tos.rtd",,CG$2,"."&amp;$C$134&amp;$AU$82&amp;"P"&amp;$A175)="N/A",0,RTD("tos.rtd",,CG$2,"."&amp;$C$134&amp;$AU$82&amp;"P"&amp;$A175))</f>
        <v>0.24</v>
      </c>
      <c r="CH175" s="3">
        <f>IF(RTD("tos.rtd",,CH$2,"."&amp;$D$134&amp;$AW$82&amp;"C"&amp;$A175)="N/A",0,RTD("tos.rtd",,CH$2,"."&amp;$D$134&amp;$AW$82&amp;"C"&amp;$A175))</f>
        <v>0.65</v>
      </c>
      <c r="CI175" s="3">
        <f>-IF(RTD("tos.rtd",,CI$2,"."&amp;$D$134&amp;$AW$82&amp;"P"&amp;$A175)="N/A",0,RTD("tos.rtd",,CI$2,"."&amp;$D$134&amp;$AW$82&amp;"P"&amp;$A175))</f>
        <v>0.35</v>
      </c>
      <c r="CK175" s="3">
        <f t="shared" si="651"/>
        <v>1067</v>
      </c>
      <c r="CL175" s="3"/>
      <c r="CM175" s="3">
        <f t="shared" si="652"/>
        <v>3204</v>
      </c>
      <c r="CN175" s="3"/>
      <c r="CO175" s="3">
        <f t="shared" si="653"/>
        <v>17245.000000000004</v>
      </c>
      <c r="CP175" s="3">
        <f t="shared" si="542"/>
        <v>21516.000000000004</v>
      </c>
      <c r="CQ175" s="3">
        <f t="shared" si="552"/>
        <v>-561</v>
      </c>
      <c r="CR175" s="3"/>
      <c r="CS175" s="3">
        <f t="shared" si="553"/>
        <v>-26</v>
      </c>
      <c r="CT175" s="3"/>
      <c r="CU175" s="3">
        <f t="shared" si="554"/>
        <v>0</v>
      </c>
      <c r="CV175" s="3"/>
      <c r="CW175" s="3" t="e">
        <f t="shared" ca="1" si="555"/>
        <v>#NUM!</v>
      </c>
      <c r="CY175" s="3" t="e">
        <f t="shared" ca="1" si="556"/>
        <v>#NUM!</v>
      </c>
      <c r="CZ175" s="70" t="e">
        <f t="shared" ca="1" si="589"/>
        <v>#NUM!</v>
      </c>
      <c r="DA175" s="3">
        <f>IF(RTD("tos.rtd",,DA$43,"."&amp;$B$134&amp;$AS$82&amp;"C"&amp;$A175)="N/A",0,RTD("tos.rtd",,DA$43,"."&amp;$B$134&amp;$AS$82&amp;"C"&amp;$A175))</f>
        <v>430.46</v>
      </c>
      <c r="DB175" s="3">
        <f>IF(RTD("tos.rtd",,DB$43,"."&amp;$B$134&amp;$AS$82&amp;"P"&amp;$A175)="N/A",0,RTD("tos.rtd",,DB$43,"."&amp;$B$134&amp;$AS$82&amp;"P"&amp;$A175))</f>
        <v>0.25</v>
      </c>
      <c r="DC175" s="3">
        <f>IF(RTD("tos.rtd",,DC$43,"."&amp;$B$134&amp;$AS$82&amp;"C"&amp;$A175)="N/A",0,RTD("tos.rtd",,DC$43,"."&amp;$B$134&amp;$AS$82&amp;"C"&amp;$A175))</f>
        <v>498</v>
      </c>
      <c r="DD175" s="3">
        <f>IF(RTD("tos.rtd",,DD$43,"."&amp;$B$134&amp;$AS$82&amp;"P"&amp;$A175)="N/A",0,RTD("tos.rtd",,DD$43,"."&amp;$B$134&amp;$AS$82&amp;"P"&amp;$A175))</f>
        <v>0.4</v>
      </c>
      <c r="DE175" s="3">
        <f>IF(RTD("tos.rtd",,DE$43,"."&amp;$B$134&amp;$AS$82&amp;"C"&amp;$A175)="N/A",0,RTD("tos.rtd",,DE$43,"."&amp;$B$134&amp;$AS$82&amp;"C"&amp;$A175))</f>
        <v>431.2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90"/>
        <v>-461.44900000000052</v>
      </c>
      <c r="DH175" s="3">
        <f t="shared" si="557"/>
        <v>0</v>
      </c>
      <c r="DI175" s="3">
        <f t="shared" si="558"/>
        <v>0</v>
      </c>
      <c r="DJ175" s="3">
        <f t="shared" si="559"/>
        <v>0</v>
      </c>
      <c r="DK175" s="3">
        <f t="shared" si="560"/>
        <v>0</v>
      </c>
      <c r="DL175" s="3">
        <f t="shared" si="561"/>
        <v>0</v>
      </c>
      <c r="DM175" s="3">
        <f t="shared" si="562"/>
        <v>0</v>
      </c>
      <c r="DN175" s="64" t="str">
        <f t="shared" si="563"/>
        <v>UNKNOWN</v>
      </c>
      <c r="DO175" s="64" t="str">
        <f t="shared" si="564"/>
        <v>UNKNOWN</v>
      </c>
      <c r="DP175" s="3">
        <f t="shared" si="565"/>
        <v>0</v>
      </c>
      <c r="DQ175" s="3">
        <f t="shared" si="566"/>
        <v>0</v>
      </c>
      <c r="DR175" s="3" t="e">
        <f t="shared" ca="1" si="567"/>
        <v>#NUM!</v>
      </c>
      <c r="DS175" s="3">
        <f t="shared" si="568"/>
        <v>0</v>
      </c>
      <c r="DT175" s="3">
        <f t="shared" si="591"/>
        <v>0</v>
      </c>
      <c r="DU175" s="3">
        <f t="shared" si="592"/>
        <v>0</v>
      </c>
      <c r="DV175" s="3">
        <f t="shared" si="569"/>
        <v>1</v>
      </c>
      <c r="DW175" s="3">
        <f t="shared" si="570"/>
        <v>-58</v>
      </c>
      <c r="DX175" s="3" t="e">
        <f t="shared" ca="1" si="654"/>
        <v>#NUM!</v>
      </c>
      <c r="DY175" s="3" t="e">
        <f t="shared" ca="1" si="655"/>
        <v>#NUM!</v>
      </c>
      <c r="DZ175" s="3">
        <f t="shared" ca="1" si="656"/>
        <v>4.1848001933570778E-4</v>
      </c>
      <c r="EA175" s="3">
        <f t="shared" ca="1" si="657"/>
        <v>-4.0240665323013411E-4</v>
      </c>
      <c r="EB175" s="3">
        <f t="shared" ca="1" si="658"/>
        <v>4.5478001904325477E-4</v>
      </c>
      <c r="EC175" s="3">
        <f t="shared" ca="1" si="659"/>
        <v>-4.4464163876189777E-4</v>
      </c>
      <c r="ED175" s="63">
        <f t="shared" si="593"/>
        <v>-57</v>
      </c>
      <c r="EE175" s="59">
        <f t="shared" si="577"/>
        <v>1.6624000000000001</v>
      </c>
      <c r="EF175" s="59">
        <f t="shared" si="578"/>
        <v>1.1529</v>
      </c>
      <c r="EG175" s="59">
        <f t="shared" si="579"/>
        <v>0.28560000000000002</v>
      </c>
      <c r="EH175" s="59">
        <f t="shared" si="580"/>
        <v>0.30370000000000003</v>
      </c>
      <c r="EI175" s="59">
        <f t="shared" si="581"/>
        <v>0.2455</v>
      </c>
      <c r="EJ175" s="59">
        <f t="shared" si="582"/>
        <v>0.25679999999999997</v>
      </c>
      <c r="EK175" s="63" t="e">
        <f t="shared" ca="1" si="594"/>
        <v>#NUM!</v>
      </c>
      <c r="EL175" s="3" t="str">
        <f>RTD("tos.rtd",,EL$43,"."&amp;$B$134&amp;$AS$82&amp;"C"&amp;$A175)</f>
        <v>166.24%</v>
      </c>
      <c r="EM175" s="3" t="str">
        <f>RTD("tos.rtd",,EM$43,"."&amp;$B$134&amp;$AS$82&amp;"P"&amp;$A175)</f>
        <v>115.29%</v>
      </c>
      <c r="EN175" s="3" t="str">
        <f>RTD("tos.rtd",,EN$2,"."&amp;$C$134&amp;$AU$82&amp;"C"&amp;$A175)</f>
        <v>28.56%</v>
      </c>
      <c r="EO175" s="3" t="str">
        <f>RTD("tos.rtd",,EO$2,"."&amp;$C$134&amp;$AU$82&amp;"P"&amp;$A175)</f>
        <v>30.37%</v>
      </c>
      <c r="EP175" s="3" t="str">
        <f>RTD("tos.rtd",,EP$2,"."&amp;$D$134&amp;$AW$82&amp;"C"&amp;$A175)</f>
        <v>24.55%</v>
      </c>
      <c r="EQ175" s="3" t="str">
        <f>RTD("tos.rtd",,EQ$2,"."&amp;$D$134&amp;$AW$82&amp;"P"&amp;$A175)</f>
        <v>25.68%</v>
      </c>
      <c r="ES175" s="63" t="str">
        <f t="shared" si="583"/>
        <v>19600,-57.00</v>
      </c>
      <c r="ET175" s="63" t="str">
        <f t="shared" ca="1" si="584"/>
        <v>19600,00.00</v>
      </c>
      <c r="EU175" s="68">
        <v>565.29</v>
      </c>
      <c r="EV175" s="68" t="s">
        <v>1419</v>
      </c>
      <c r="EW175" s="68">
        <v>489.03</v>
      </c>
      <c r="EX175" s="68" t="s">
        <v>1420</v>
      </c>
      <c r="EY175" s="68">
        <v>5663.94</v>
      </c>
      <c r="EZ175" s="68" t="s">
        <v>1421</v>
      </c>
      <c r="FA175" s="68">
        <v>20063.564999999999</v>
      </c>
      <c r="FB175" s="68" t="s">
        <v>1422</v>
      </c>
      <c r="FC175" s="68" t="s">
        <v>1423</v>
      </c>
      <c r="FD175" s="68" t="s">
        <v>1424</v>
      </c>
      <c r="FE175" s="68" t="s">
        <v>1425</v>
      </c>
      <c r="FF175" s="68" t="s">
        <v>1426</v>
      </c>
    </row>
    <row r="176" spans="1:162" ht="11.1" customHeight="1" thickBot="1" x14ac:dyDescent="0.25">
      <c r="A176" s="2">
        <f t="shared" si="595"/>
        <v>19575</v>
      </c>
      <c r="B176" s="3">
        <f t="shared" si="631"/>
        <v>22</v>
      </c>
      <c r="C176" s="3">
        <f t="shared" si="632"/>
        <v>24</v>
      </c>
      <c r="D176" s="3">
        <f t="shared" si="633"/>
        <v>154</v>
      </c>
      <c r="E176" s="3">
        <f t="shared" si="634"/>
        <v>200</v>
      </c>
      <c r="F176" s="4">
        <f t="shared" si="635"/>
        <v>19975.352042118193</v>
      </c>
      <c r="G176" s="5">
        <f t="shared" si="636"/>
        <v>484.13889495220405</v>
      </c>
      <c r="AM176" s="1">
        <v>-4</v>
      </c>
      <c r="AN176" s="1">
        <v>-14</v>
      </c>
      <c r="AO176" s="1">
        <v>19575</v>
      </c>
      <c r="AP176" s="1">
        <v>9</v>
      </c>
      <c r="AQ176" s="1">
        <v>-50</v>
      </c>
      <c r="AS176" s="54">
        <f>IF(RTD("tos.rtd",,AS$83,"."&amp;$B$134&amp;$AS$82&amp;"C"&amp;$A176)="N/A",0,RTD("tos.rtd",,AS$83,"."&amp;$B$134&amp;$AS$82&amp;"C"&amp;$A176))</f>
        <v>16</v>
      </c>
      <c r="AT176" s="3">
        <f>-IF(RTD("tos.rtd",,AT$83,"."&amp;$B$134&amp;$AS$82&amp;"P"&amp;$A176)="N/A",0,RTD("tos.rtd",,AT$83,"."&amp;$B$134&amp;$AS$82&amp;"P"&amp;$A176))</f>
        <v>-6</v>
      </c>
      <c r="AU176" s="54">
        <f>IF(RTD("tos.rtd",,AU$2,"."&amp;$C$134&amp;$AU$134&amp;"C"&amp;$A176)="N/A",0,RTD("tos.rtd",,AU$2,"."&amp;$C$134&amp;$AU$134&amp;"C"&amp;$A176))</f>
        <v>16</v>
      </c>
      <c r="AV176" s="3">
        <f>-IF(RTD("tos.rtd",,AV$2,"."&amp;$C$134&amp;$AU$134&amp;"P"&amp;$A176)="N/A",0,RTD("tos.rtd",,AV$2,"."&amp;$C$134&amp;$AU$134&amp;"P"&amp;$A176))</f>
        <v>-8</v>
      </c>
      <c r="AW176" s="54">
        <f>IF(RTD("tos.rtd",,AW$2,"."&amp;$D$134&amp;$AW$134&amp;"C"&amp;$A176)="N/A",0,RTD("tos.rtd",,AW$2,"."&amp;$D$134&amp;$AW$134&amp;"C"&amp;$A176))</f>
        <v>73</v>
      </c>
      <c r="AX176" s="3">
        <f>-IF(RTD("tos.rtd",,AX$2,"."&amp;$D$134&amp;$AW$134&amp;"P"&amp;$A176)="N/A",0,RTD("tos.rtd",,AX$2,"."&amp;$D$134&amp;$AW$134&amp;"P"&amp;$A176))</f>
        <v>-81</v>
      </c>
      <c r="AY176" s="76">
        <f t="shared" si="637"/>
        <v>10</v>
      </c>
      <c r="AZ176" s="8">
        <f t="shared" si="548"/>
        <v>19575</v>
      </c>
      <c r="BA176" s="54">
        <f>IF(RTD("tos.rtd",,BA$43,"."&amp;$B$134&amp;$AS$82&amp;"C"&amp;$A176)="N/A",0,RTD("tos.rtd",,BA$43,"."&amp;$B$134&amp;$AS$82&amp;"C"&amp;$A176))</f>
        <v>9</v>
      </c>
      <c r="BB176" s="3">
        <f>-IF(RTD("tos.rtd",,BB$43,"."&amp;$B$134&amp;$AS$82&amp;"P"&amp;$A176)="N/A",0,RTD("tos.rtd",,BB$43,"."&amp;$B$134&amp;$AS$82&amp;"P"&amp;$A176))</f>
        <v>-50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-1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-1</v>
      </c>
      <c r="BG176" s="3">
        <f ca="1">+Hoja2!Y177</f>
        <v>0</v>
      </c>
      <c r="BH176" s="7">
        <f t="shared" ca="1" si="549"/>
        <v>-43</v>
      </c>
      <c r="BI176" s="32" t="str">
        <f t="shared" ca="1" si="609"/>
        <v/>
      </c>
      <c r="BJ176" s="3" t="e">
        <f ca="1">IF($BP$1=1,DX176,IF(RTD("tos.rtd",,BJ$43,"."&amp;$B$134&amp;$AS$82&amp;"C"&amp;$A176)="N/A",0,RTD("tos.rtd",,BJ$43,"."&amp;$B$134&amp;$AS$82&amp;"C"&amp;$A176)))</f>
        <v>#NUM!</v>
      </c>
      <c r="BK176" s="3" t="e">
        <f ca="1">IF($BP$1=1,DY176,-IF(RTD("tos.rtd",,BK$43,"."&amp;$B$134&amp;$AS$82&amp;"P"&amp;$A176)="N/A",0,RTD("tos.rtd",,BK$43,"."&amp;$B$134&amp;$AS$82&amp;"P"&amp;$A176)))</f>
        <v>#NUM!</v>
      </c>
      <c r="BL176" s="3">
        <f ca="1">IF($BP$1=1,DZ176,IF(RTD("tos.rtd",,BL$2,"."&amp;$C$134&amp;$AU$82&amp;"C"&amp;$A176)="N/A",0,RTD("tos.rtd",,BL$2,"."&amp;$C$134&amp;$AU$82&amp;"C"&amp;$A176)))</f>
        <v>4.0943037530496529E-4</v>
      </c>
      <c r="BM176" s="3">
        <f ca="1">IF($BP$1=1,EA176,-IF(RTD("tos.rtd",,BM$2,"."&amp;$C$134&amp;$AU$82&amp;"P"&amp;$A176)="N/A",0,RTD("tos.rtd",,BM$2,"."&amp;$C$134&amp;$AU$82&amp;"P"&amp;$A176)))</f>
        <v>-3.9401483652979025E-4</v>
      </c>
      <c r="BN176" s="3">
        <f ca="1">IF($BP$1=1,EB176,IF(RTD("tos.rtd",,BN$2,"."&amp;$D$134&amp;$AW$82&amp;"C"&amp;$A176)="N/A",0,RTD("tos.rtd",,BN$2,"."&amp;$D$134&amp;$AW$82&amp;"C"&amp;$A176)))</f>
        <v>4.4120911950256038E-4</v>
      </c>
      <c r="BO176" s="3">
        <f ca="1">IF($BP$1=1,EC176,-IF(RTD("tos.rtd",,BO$2,"."&amp;$D$134&amp;$AW$82&amp;"P"&amp;$A176)="N/A",0,RTD("tos.rtd",,BO$2,"."&amp;$D$134&amp;$AW$82&amp;"P"&amp;$A176)))</f>
        <v>-4.3231579005939948E-4</v>
      </c>
      <c r="BQ176" s="3" t="e">
        <f t="shared" ca="1" si="638"/>
        <v>#NUM!</v>
      </c>
      <c r="BR176" s="3" t="e">
        <f t="shared" ca="1" si="550"/>
        <v>#NUM!</v>
      </c>
      <c r="BS176" s="3">
        <f t="shared" ca="1" si="639"/>
        <v>108878.08748423784</v>
      </c>
      <c r="BT176" s="3" t="str">
        <f t="shared" ca="1" si="551"/>
        <v/>
      </c>
      <c r="BU176" s="3">
        <f t="shared" ca="1" si="640"/>
        <v>-89995.174122829223</v>
      </c>
      <c r="BV176" s="3" t="str">
        <f t="shared" ca="1" si="551"/>
        <v>Cruce -</v>
      </c>
      <c r="BX176" s="3" t="e">
        <f t="shared" ca="1" si="585"/>
        <v>#NUM!</v>
      </c>
      <c r="BY176" s="3" t="e">
        <f t="shared" ca="1" si="586"/>
        <v>#NUM!</v>
      </c>
      <c r="BZ176" s="3">
        <f t="shared" ca="1" si="587"/>
        <v>-97.00041207277404</v>
      </c>
      <c r="CA176" s="3" t="str">
        <f t="shared" ca="1" si="586"/>
        <v/>
      </c>
      <c r="CB176" s="3">
        <f t="shared" ca="1" si="588"/>
        <v>-106.42951963601519</v>
      </c>
      <c r="CC176" s="3" t="str">
        <f t="shared" ca="1" si="586"/>
        <v/>
      </c>
      <c r="CD176" s="3">
        <f>IF(RTD("tos.rtd",,CD$43,"."&amp;$B$134&amp;$AS$82&amp;"C"&amp;$A176)="N/A",0,RTD("tos.rtd",,CD$43,"."&amp;$B$134&amp;$AS$82&amp;"C"&amp;$A176))</f>
        <v>1</v>
      </c>
      <c r="CE176" s="3">
        <f>-IF(RTD("tos.rtd",,CE$43,"."&amp;$B$134&amp;$AS$82&amp;"P"&amp;$A176)="N/A",0,RTD("tos.rtd",,CE$43,"."&amp;$B$134&amp;$AS$82&amp;"P"&amp;$A176))</f>
        <v>7.0000000000000007E-2</v>
      </c>
      <c r="CF176" s="3">
        <f>IF(RTD("tos.rtd",,CF$2,"."&amp;$C$134&amp;$AU$82&amp;"C"&amp;$A176)="N/A",0,RTD("tos.rtd",,CF$2,"."&amp;$C$134&amp;$AU$82&amp;"C"&amp;$A176))</f>
        <v>0.79</v>
      </c>
      <c r="CG176" s="3">
        <f>-IF(RTD("tos.rtd",,CG$2,"."&amp;$C$134&amp;$AU$82&amp;"P"&amp;$A176)="N/A",0,RTD("tos.rtd",,CG$2,"."&amp;$C$134&amp;$AU$82&amp;"P"&amp;$A176))</f>
        <v>0.22</v>
      </c>
      <c r="CH176" s="3">
        <f>IF(RTD("tos.rtd",,CH$2,"."&amp;$D$134&amp;$AW$82&amp;"C"&amp;$A176)="N/A",0,RTD("tos.rtd",,CH$2,"."&amp;$D$134&amp;$AW$82&amp;"C"&amp;$A176))</f>
        <v>0.66</v>
      </c>
      <c r="CI176" s="3">
        <f>-IF(RTD("tos.rtd",,CI$2,"."&amp;$D$134&amp;$AW$82&amp;"P"&amp;$A176)="N/A",0,RTD("tos.rtd",,CI$2,"."&amp;$D$134&amp;$AW$82&amp;"P"&amp;$A176))</f>
        <v>0.35</v>
      </c>
      <c r="CK176" s="3">
        <f t="shared" ref="CK176:CK189" si="660">+AS176*CD176*100+AT176*CE176*100</f>
        <v>1558</v>
      </c>
      <c r="CL176" s="3"/>
      <c r="CM176" s="3">
        <f t="shared" ref="CM176:CM189" si="661">+AU176*CF176*100+AV176*CG176*100</f>
        <v>1088</v>
      </c>
      <c r="CN176" s="3"/>
      <c r="CO176" s="3">
        <f t="shared" ref="CO176:CO189" si="662">+AW176*CH176*100+AX176*CI176*100</f>
        <v>1983</v>
      </c>
      <c r="CP176" s="3">
        <f t="shared" si="542"/>
        <v>4629</v>
      </c>
      <c r="CQ176" s="3">
        <f t="shared" si="552"/>
        <v>-41</v>
      </c>
      <c r="CR176" s="3"/>
      <c r="CS176" s="3">
        <f t="shared" si="553"/>
        <v>-1</v>
      </c>
      <c r="CT176" s="3"/>
      <c r="CU176" s="3">
        <f t="shared" si="554"/>
        <v>-1</v>
      </c>
      <c r="CV176" s="3"/>
      <c r="CW176" s="3" t="e">
        <f t="shared" ca="1" si="555"/>
        <v>#NUM!</v>
      </c>
      <c r="CY176" s="3" t="e">
        <f t="shared" ca="1" si="556"/>
        <v>#NUM!</v>
      </c>
      <c r="CZ176" s="70" t="e">
        <f t="shared" ca="1" si="589"/>
        <v>#NUM!</v>
      </c>
      <c r="DA176" s="3">
        <f>IF(RTD("tos.rtd",,DA$43,"."&amp;$B$134&amp;$AS$82&amp;"C"&amp;$A176)="N/A",0,RTD("tos.rtd",,DA$43,"."&amp;$B$134&amp;$AS$82&amp;"C"&amp;$A176))</f>
        <v>495.9</v>
      </c>
      <c r="DB176" s="3">
        <f>IF(RTD("tos.rtd",,DB$43,"."&amp;$B$134&amp;$AS$82&amp;"P"&amp;$A176)="N/A",0,RTD("tos.rtd",,DB$43,"."&amp;$B$134&amp;$AS$82&amp;"P"&amp;$A176))</f>
        <v>0.21</v>
      </c>
      <c r="DC176" s="3">
        <f>IF(RTD("tos.rtd",,DC$43,"."&amp;$B$134&amp;$AS$82&amp;"C"&amp;$A176)="N/A",0,RTD("tos.rtd",,DC$43,"."&amp;$B$134&amp;$AS$82&amp;"C"&amp;$A176))</f>
        <v>522</v>
      </c>
      <c r="DD176" s="3">
        <f>IF(RTD("tos.rtd",,DD$43,"."&amp;$B$134&amp;$AS$82&amp;"P"&amp;$A176)="N/A",0,RTD("tos.rtd",,DD$43,"."&amp;$B$134&amp;$AS$82&amp;"P"&amp;$A176))</f>
        <v>19.8</v>
      </c>
      <c r="DE176" s="3">
        <f>IF(RTD("tos.rtd",,DE$43,"."&amp;$B$134&amp;$AS$82&amp;"C"&amp;$A176)="N/A",0,RTD("tos.rtd",,DE$43,"."&amp;$B$134&amp;$AS$82&amp;"C"&amp;$A176))</f>
        <v>449.3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90"/>
        <v>-486.44900000000052</v>
      </c>
      <c r="DH176" s="3">
        <f t="shared" si="557"/>
        <v>0</v>
      </c>
      <c r="DI176" s="3">
        <f t="shared" si="558"/>
        <v>0</v>
      </c>
      <c r="DJ176" s="3">
        <f t="shared" si="559"/>
        <v>0</v>
      </c>
      <c r="DK176" s="3">
        <f t="shared" si="560"/>
        <v>0</v>
      </c>
      <c r="DL176" s="3">
        <f t="shared" si="561"/>
        <v>0</v>
      </c>
      <c r="DM176" s="3">
        <f t="shared" si="562"/>
        <v>0</v>
      </c>
      <c r="DN176" s="64" t="str">
        <f t="shared" si="563"/>
        <v>UNKNOWN</v>
      </c>
      <c r="DO176" s="64" t="str">
        <f t="shared" si="564"/>
        <v>UNKNOWN</v>
      </c>
      <c r="DP176" s="3">
        <f t="shared" si="565"/>
        <v>0</v>
      </c>
      <c r="DQ176" s="3">
        <f t="shared" si="566"/>
        <v>0</v>
      </c>
      <c r="DR176" s="3" t="e">
        <f t="shared" ca="1" si="567"/>
        <v>#NUM!</v>
      </c>
      <c r="DS176" s="3">
        <f t="shared" si="568"/>
        <v>0</v>
      </c>
      <c r="DT176" s="3">
        <f t="shared" si="591"/>
        <v>0</v>
      </c>
      <c r="DU176" s="3">
        <f t="shared" si="592"/>
        <v>0</v>
      </c>
      <c r="DV176" s="3">
        <f t="shared" si="569"/>
        <v>-4</v>
      </c>
      <c r="DW176" s="3">
        <f t="shared" si="570"/>
        <v>-14</v>
      </c>
      <c r="DX176" s="3" t="e">
        <f t="shared" ca="1" si="654"/>
        <v>#NUM!</v>
      </c>
      <c r="DY176" s="3" t="e">
        <f t="shared" ca="1" si="655"/>
        <v>#NUM!</v>
      </c>
      <c r="DZ176" s="3">
        <f t="shared" ca="1" si="656"/>
        <v>4.0943037530496529E-4</v>
      </c>
      <c r="EA176" s="3">
        <f t="shared" ca="1" si="657"/>
        <v>-3.9401483652979025E-4</v>
      </c>
      <c r="EB176" s="3">
        <f t="shared" ca="1" si="658"/>
        <v>4.4120911950256038E-4</v>
      </c>
      <c r="EC176" s="3">
        <f t="shared" ca="1" si="659"/>
        <v>-4.3231579005939948E-4</v>
      </c>
      <c r="ED176" s="63">
        <f t="shared" si="593"/>
        <v>-18</v>
      </c>
      <c r="EE176" s="59">
        <f t="shared" si="577"/>
        <v>0.25</v>
      </c>
      <c r="EF176" s="59">
        <f t="shared" si="578"/>
        <v>2.1871999999999998</v>
      </c>
      <c r="EG176" s="59">
        <f t="shared" si="579"/>
        <v>0.28570000000000001</v>
      </c>
      <c r="EH176" s="59">
        <f t="shared" si="580"/>
        <v>0.30459999999999998</v>
      </c>
      <c r="EI176" s="59">
        <f t="shared" si="581"/>
        <v>0.2462</v>
      </c>
      <c r="EJ176" s="59">
        <f t="shared" si="582"/>
        <v>0.2576</v>
      </c>
      <c r="EK176" s="63" t="e">
        <f t="shared" ca="1" si="594"/>
        <v>#NUM!</v>
      </c>
      <c r="EL176" s="3" t="str">
        <f>RTD("tos.rtd",,EL$43,"."&amp;$B$134&amp;$AS$82&amp;"C"&amp;$A176)</f>
        <v>--</v>
      </c>
      <c r="EM176" s="3" t="str">
        <f>RTD("tos.rtd",,EM$43,"."&amp;$B$134&amp;$AS$82&amp;"P"&amp;$A176)</f>
        <v>218.72%</v>
      </c>
      <c r="EN176" s="3" t="str">
        <f>RTD("tos.rtd",,EN$2,"."&amp;$C$134&amp;$AU$82&amp;"C"&amp;$A176)</f>
        <v>28.57%</v>
      </c>
      <c r="EO176" s="3" t="str">
        <f>RTD("tos.rtd",,EO$2,"."&amp;$C$134&amp;$AU$82&amp;"P"&amp;$A176)</f>
        <v>30.46%</v>
      </c>
      <c r="EP176" s="3" t="str">
        <f>RTD("tos.rtd",,EP$2,"."&amp;$D$134&amp;$AW$82&amp;"C"&amp;$A176)</f>
        <v>24.62%</v>
      </c>
      <c r="EQ176" s="3" t="str">
        <f>RTD("tos.rtd",,EQ$2,"."&amp;$D$134&amp;$AW$82&amp;"P"&amp;$A176)</f>
        <v>25.76%</v>
      </c>
      <c r="ES176" s="63" t="str">
        <f t="shared" si="583"/>
        <v>19575,-18.00</v>
      </c>
      <c r="ET176" s="63" t="str">
        <f t="shared" ca="1" si="584"/>
        <v>19575,00.00</v>
      </c>
      <c r="EU176" s="68">
        <v>565.29999999999995</v>
      </c>
      <c r="EV176" s="68" t="s">
        <v>1427</v>
      </c>
      <c r="EW176" s="68">
        <v>489.01</v>
      </c>
      <c r="EX176" s="68" t="s">
        <v>1428</v>
      </c>
      <c r="EY176" s="68">
        <v>5663.94</v>
      </c>
      <c r="EZ176" s="68" t="s">
        <v>1429</v>
      </c>
      <c r="FA176" s="68">
        <v>20063.564999999999</v>
      </c>
      <c r="FB176" s="68" t="s">
        <v>1430</v>
      </c>
      <c r="FC176" s="68" t="s">
        <v>1431</v>
      </c>
      <c r="FD176" s="68" t="s">
        <v>1432</v>
      </c>
      <c r="FE176" s="68" t="s">
        <v>1433</v>
      </c>
      <c r="FF176" s="68" t="s">
        <v>1434</v>
      </c>
    </row>
    <row r="177" spans="1:162" ht="11.1" customHeight="1" thickBot="1" x14ac:dyDescent="0.25">
      <c r="A177" s="2">
        <f t="shared" si="595"/>
        <v>19550</v>
      </c>
      <c r="B177" s="3">
        <f t="shared" si="631"/>
        <v>17</v>
      </c>
      <c r="C177" s="3">
        <f t="shared" si="632"/>
        <v>72</v>
      </c>
      <c r="D177" s="3">
        <f t="shared" si="633"/>
        <v>145</v>
      </c>
      <c r="E177" s="3">
        <f t="shared" si="634"/>
        <v>234</v>
      </c>
      <c r="F177" s="4">
        <f t="shared" si="635"/>
        <v>19949.84073682813</v>
      </c>
      <c r="G177" s="5">
        <f t="shared" si="636"/>
        <v>483.52058218725875</v>
      </c>
      <c r="AM177" s="1">
        <v>0</v>
      </c>
      <c r="AN177" s="1">
        <v>-13</v>
      </c>
      <c r="AO177" s="1">
        <v>19550</v>
      </c>
      <c r="AP177" s="1">
        <v>0</v>
      </c>
      <c r="AQ177" s="1">
        <v>-51</v>
      </c>
      <c r="AS177" s="54">
        <f>IF(RTD("tos.rtd",,AS$83,"."&amp;$B$134&amp;$AS$82&amp;"C"&amp;$A177)="N/A",0,RTD("tos.rtd",,AS$83,"."&amp;$B$134&amp;$AS$82&amp;"C"&amp;$A177))</f>
        <v>5</v>
      </c>
      <c r="AT177" s="3">
        <f>-IF(RTD("tos.rtd",,AT$83,"."&amp;$B$134&amp;$AS$82&amp;"P"&amp;$A177)="N/A",0,RTD("tos.rtd",,AT$83,"."&amp;$B$134&amp;$AS$82&amp;"P"&amp;$A177))</f>
        <v>-12</v>
      </c>
      <c r="AU177" s="54">
        <f>IF(RTD("tos.rtd",,AU$2,"."&amp;$C$134&amp;$AU$134&amp;"C"&amp;$A177)="N/A",0,RTD("tos.rtd",,AU$2,"."&amp;$C$134&amp;$AU$134&amp;"C"&amp;$A177))</f>
        <v>31</v>
      </c>
      <c r="AV177" s="3">
        <f>-IF(RTD("tos.rtd",,AV$2,"."&amp;$C$134&amp;$AU$134&amp;"P"&amp;$A177)="N/A",0,RTD("tos.rtd",,AV$2,"."&amp;$C$134&amp;$AU$134&amp;"P"&amp;$A177))</f>
        <v>-41</v>
      </c>
      <c r="AW177" s="54">
        <f>IF(RTD("tos.rtd",,AW$2,"."&amp;$D$134&amp;$AW$134&amp;"C"&amp;$A177)="N/A",0,RTD("tos.rtd",,AW$2,"."&amp;$D$134&amp;$AW$134&amp;"C"&amp;$A177))</f>
        <v>72</v>
      </c>
      <c r="AX177" s="3">
        <f>-IF(RTD("tos.rtd",,AX$2,"."&amp;$D$134&amp;$AW$134&amp;"P"&amp;$A177)="N/A",0,RTD("tos.rtd",,AX$2,"."&amp;$D$134&amp;$AW$134&amp;"P"&amp;$A177))</f>
        <v>-73</v>
      </c>
      <c r="AY177" s="76">
        <f t="shared" si="637"/>
        <v>-18</v>
      </c>
      <c r="AZ177" s="8">
        <f t="shared" si="548"/>
        <v>19550</v>
      </c>
      <c r="BA177" s="54">
        <f>IF(RTD("tos.rtd",,BA$43,"."&amp;$B$134&amp;$AS$82&amp;"C"&amp;$A177)="N/A",0,RTD("tos.rtd",,BA$43,"."&amp;$B$134&amp;$AS$82&amp;"C"&amp;$A177))</f>
        <v>0</v>
      </c>
      <c r="BB177" s="3">
        <f>-IF(RTD("tos.rtd",,BB$43,"."&amp;$B$134&amp;$AS$82&amp;"P"&amp;$A177)="N/A",0,RTD("tos.rtd",,BB$43,"."&amp;$B$134&amp;$AS$82&amp;"P"&amp;$A177))</f>
        <v>-51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-15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-2</v>
      </c>
      <c r="BG177" s="3">
        <f ca="1">+Hoja2!Y178</f>
        <v>-1</v>
      </c>
      <c r="BH177" s="7">
        <f t="shared" ca="1" si="549"/>
        <v>-69</v>
      </c>
      <c r="BI177" s="32" t="str">
        <f t="shared" ca="1" si="609"/>
        <v/>
      </c>
      <c r="BJ177" s="3" t="e">
        <f ca="1">IF($BP$1=1,DX177,IF(RTD("tos.rtd",,BJ$43,"."&amp;$B$134&amp;$AS$82&amp;"C"&amp;$A177)="N/A",0,RTD("tos.rtd",,BJ$43,"."&amp;$B$134&amp;$AS$82&amp;"C"&amp;$A177)))</f>
        <v>#NUM!</v>
      </c>
      <c r="BK177" s="3" t="e">
        <f ca="1">IF($BP$1=1,DY177,-IF(RTD("tos.rtd",,BK$43,"."&amp;$B$134&amp;$AS$82&amp;"P"&amp;$A177)="N/A",0,RTD("tos.rtd",,BK$43,"."&amp;$B$134&amp;$AS$82&amp;"P"&amp;$A177)))</f>
        <v>#NUM!</v>
      </c>
      <c r="BL177" s="3">
        <f ca="1">IF($BP$1=1,DZ177,IF(RTD("tos.rtd",,BL$2,"."&amp;$C$134&amp;$AU$82&amp;"C"&amp;$A177)="N/A",0,RTD("tos.rtd",,BL$2,"."&amp;$C$134&amp;$AU$82&amp;"C"&amp;$A177)))</f>
        <v>4.0014161716691595E-4</v>
      </c>
      <c r="BM177" s="3">
        <f ca="1">IF($BP$1=1,EA177,-IF(RTD("tos.rtd",,BM$2,"."&amp;$C$134&amp;$AU$82&amp;"P"&amp;$A177)="N/A",0,RTD("tos.rtd",,BM$2,"."&amp;$C$134&amp;$AU$82&amp;"P"&amp;$A177)))</f>
        <v>-3.8602465657365883E-4</v>
      </c>
      <c r="BN177" s="3">
        <f ca="1">IF($BP$1=1,EB177,IF(RTD("tos.rtd",,BN$2,"."&amp;$D$134&amp;$AW$82&amp;"C"&amp;$A177)="N/A",0,RTD("tos.rtd",,BN$2,"."&amp;$D$134&amp;$AW$82&amp;"C"&amp;$A177)))</f>
        <v>4.272192701072778E-4</v>
      </c>
      <c r="BO177" s="3">
        <f ca="1">IF($BP$1=1,EC177,-IF(RTD("tos.rtd",,BO$2,"."&amp;$D$134&amp;$AW$82&amp;"P"&amp;$A177)="N/A",0,RTD("tos.rtd",,BO$2,"."&amp;$D$134&amp;$AW$82&amp;"P"&amp;$A177)))</f>
        <v>-4.1989097093370656E-4</v>
      </c>
      <c r="BQ177" s="3" t="e">
        <f t="shared" ca="1" si="638"/>
        <v>#NUM!</v>
      </c>
      <c r="BR177" s="3" t="e">
        <f t="shared" ca="1" si="550"/>
        <v>#NUM!</v>
      </c>
      <c r="BS177" s="3">
        <f t="shared" ca="1" si="639"/>
        <v>-109642.22355675435</v>
      </c>
      <c r="BT177" s="3" t="str">
        <f t="shared" ca="1" si="551"/>
        <v>Cruce -</v>
      </c>
      <c r="BU177" s="3">
        <f t="shared" ca="1" si="640"/>
        <v>3451.6162325737532</v>
      </c>
      <c r="BV177" s="3" t="str">
        <f t="shared" ca="1" si="551"/>
        <v>Cruce +</v>
      </c>
      <c r="BX177" s="3" t="e">
        <f t="shared" ca="1" si="585"/>
        <v>#NUM!</v>
      </c>
      <c r="BY177" s="3" t="e">
        <f t="shared" ca="1" si="586"/>
        <v>#NUM!</v>
      </c>
      <c r="BZ177" s="3">
        <f t="shared" ca="1" si="587"/>
        <v>-1425.5002839873362</v>
      </c>
      <c r="CA177" s="3" t="str">
        <f t="shared" ca="1" si="586"/>
        <v/>
      </c>
      <c r="CB177" s="3">
        <f t="shared" ca="1" si="588"/>
        <v>-206.74143930682817</v>
      </c>
      <c r="CC177" s="3" t="str">
        <f t="shared" ca="1" si="586"/>
        <v/>
      </c>
      <c r="CD177" s="3">
        <f>IF(RTD("tos.rtd",,CD$43,"."&amp;$B$134&amp;$AS$82&amp;"C"&amp;$A177)="N/A",0,RTD("tos.rtd",,CD$43,"."&amp;$B$134&amp;$AS$82&amp;"C"&amp;$A177))</f>
        <v>0.97</v>
      </c>
      <c r="CE177" s="3">
        <f>-IF(RTD("tos.rtd",,CE$43,"."&amp;$B$134&amp;$AS$82&amp;"P"&amp;$A177)="N/A",0,RTD("tos.rtd",,CE$43,"."&amp;$B$134&amp;$AS$82&amp;"P"&amp;$A177))</f>
        <v>0.04</v>
      </c>
      <c r="CF177" s="3">
        <f>IF(RTD("tos.rtd",,CF$2,"."&amp;$C$134&amp;$AU$82&amp;"C"&amp;$A177)="N/A",0,RTD("tos.rtd",,CF$2,"."&amp;$C$134&amp;$AU$82&amp;"C"&amp;$A177))</f>
        <v>0.8</v>
      </c>
      <c r="CG177" s="3">
        <f>-IF(RTD("tos.rtd",,CG$2,"."&amp;$C$134&amp;$AU$82&amp;"P"&amp;$A177)="N/A",0,RTD("tos.rtd",,CG$2,"."&amp;$C$134&amp;$AU$82&amp;"P"&amp;$A177))</f>
        <v>0.21</v>
      </c>
      <c r="CH177" s="3">
        <f>IF(RTD("tos.rtd",,CH$2,"."&amp;$D$134&amp;$AW$82&amp;"C"&amp;$A177)="N/A",0,RTD("tos.rtd",,CH$2,"."&amp;$D$134&amp;$AW$82&amp;"C"&amp;$A177))</f>
        <v>0.66</v>
      </c>
      <c r="CI177" s="3">
        <f>-IF(RTD("tos.rtd",,CI$2,"."&amp;$D$134&amp;$AW$82&amp;"P"&amp;$A177)="N/A",0,RTD("tos.rtd",,CI$2,"."&amp;$D$134&amp;$AW$82&amp;"P"&amp;$A177))</f>
        <v>0.34</v>
      </c>
      <c r="CK177" s="3">
        <f t="shared" si="660"/>
        <v>436.99999999999994</v>
      </c>
      <c r="CL177" s="3"/>
      <c r="CM177" s="3">
        <f t="shared" si="661"/>
        <v>1619</v>
      </c>
      <c r="CN177" s="3"/>
      <c r="CO177" s="3">
        <f t="shared" si="662"/>
        <v>2270</v>
      </c>
      <c r="CP177" s="3">
        <f t="shared" si="542"/>
        <v>4326</v>
      </c>
      <c r="CQ177" s="3">
        <f t="shared" si="552"/>
        <v>-51</v>
      </c>
      <c r="CR177" s="3"/>
      <c r="CS177" s="3">
        <f t="shared" si="553"/>
        <v>-15</v>
      </c>
      <c r="CT177" s="3"/>
      <c r="CU177" s="3">
        <f t="shared" si="554"/>
        <v>-2</v>
      </c>
      <c r="CV177" s="3"/>
      <c r="CW177" s="3" t="e">
        <f t="shared" ca="1" si="555"/>
        <v>#NUM!</v>
      </c>
      <c r="CY177" s="3" t="e">
        <f t="shared" ca="1" si="556"/>
        <v>#NUM!</v>
      </c>
      <c r="CZ177" s="70" t="e">
        <f t="shared" ca="1" si="589"/>
        <v>#NUM!</v>
      </c>
      <c r="DA177" s="3">
        <f>IF(RTD("tos.rtd",,DA$43,"."&amp;$B$134&amp;$AS$82&amp;"C"&amp;$A177)="N/A",0,RTD("tos.rtd",,DA$43,"."&amp;$B$134&amp;$AS$82&amp;"C"&amp;$A177))</f>
        <v>527.6</v>
      </c>
      <c r="DB177" s="3">
        <f>IF(RTD("tos.rtd",,DB$43,"."&amp;$B$134&amp;$AS$82&amp;"P"&amp;$A177)="N/A",0,RTD("tos.rtd",,DB$43,"."&amp;$B$134&amp;$AS$82&amp;"P"&amp;$A177))</f>
        <v>0.05</v>
      </c>
      <c r="DC177" s="3">
        <f>IF(RTD("tos.rtd",,DC$43,"."&amp;$B$134&amp;$AS$82&amp;"C"&amp;$A177)="N/A",0,RTD("tos.rtd",,DC$43,"."&amp;$B$134&amp;$AS$82&amp;"C"&amp;$A177))</f>
        <v>548</v>
      </c>
      <c r="DD177" s="3">
        <f>IF(RTD("tos.rtd",,DD$43,"."&amp;$B$134&amp;$AS$82&amp;"P"&amp;$A177)="N/A",0,RTD("tos.rtd",,DD$43,"."&amp;$B$134&amp;$AS$82&amp;"P"&amp;$A177))</f>
        <v>9.6999999999999993</v>
      </c>
      <c r="DE177" s="3">
        <f>IF(RTD("tos.rtd",,DE$43,"."&amp;$B$134&amp;$AS$82&amp;"C"&amp;$A177)="N/A",0,RTD("tos.rtd",,DE$43,"."&amp;$B$134&amp;$AS$82&amp;"C"&amp;$A177))</f>
        <v>481.2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90"/>
        <v>-511.44900000000052</v>
      </c>
      <c r="DH177" s="3">
        <f t="shared" si="557"/>
        <v>0</v>
      </c>
      <c r="DI177" s="3">
        <f t="shared" si="558"/>
        <v>0</v>
      </c>
      <c r="DJ177" s="3">
        <f t="shared" si="559"/>
        <v>0</v>
      </c>
      <c r="DK177" s="3">
        <f t="shared" si="560"/>
        <v>0</v>
      </c>
      <c r="DL177" s="3">
        <f t="shared" si="561"/>
        <v>0</v>
      </c>
      <c r="DM177" s="3">
        <f t="shared" si="562"/>
        <v>0</v>
      </c>
      <c r="DN177" s="64" t="str">
        <f t="shared" si="563"/>
        <v>UNKNOWN</v>
      </c>
      <c r="DO177" s="64" t="str">
        <f t="shared" si="564"/>
        <v>UNKNOWN</v>
      </c>
      <c r="DP177" s="3">
        <f t="shared" si="565"/>
        <v>0</v>
      </c>
      <c r="DQ177" s="3">
        <f t="shared" si="566"/>
        <v>0</v>
      </c>
      <c r="DR177" s="3" t="e">
        <f t="shared" ca="1" si="567"/>
        <v>#NUM!</v>
      </c>
      <c r="DS177" s="3">
        <f t="shared" si="568"/>
        <v>0</v>
      </c>
      <c r="DT177" s="3">
        <f t="shared" si="591"/>
        <v>0</v>
      </c>
      <c r="DU177" s="3">
        <f t="shared" si="592"/>
        <v>0</v>
      </c>
      <c r="DV177" s="3">
        <f t="shared" si="569"/>
        <v>0</v>
      </c>
      <c r="DW177" s="3">
        <f t="shared" si="570"/>
        <v>-13</v>
      </c>
      <c r="DX177" s="3" t="e">
        <f t="shared" ca="1" si="654"/>
        <v>#NUM!</v>
      </c>
      <c r="DY177" s="3" t="e">
        <f t="shared" ca="1" si="655"/>
        <v>#NUM!</v>
      </c>
      <c r="DZ177" s="3">
        <f t="shared" ca="1" si="656"/>
        <v>4.0014161716691595E-4</v>
      </c>
      <c r="EA177" s="3">
        <f t="shared" ca="1" si="657"/>
        <v>-3.8602465657365883E-4</v>
      </c>
      <c r="EB177" s="3">
        <f t="shared" ca="1" si="658"/>
        <v>4.272192701072778E-4</v>
      </c>
      <c r="EC177" s="3">
        <f t="shared" ca="1" si="659"/>
        <v>-4.1989097093370656E-4</v>
      </c>
      <c r="ED177" s="63">
        <f t="shared" si="593"/>
        <v>-13</v>
      </c>
      <c r="EE177" s="59">
        <f t="shared" si="577"/>
        <v>1.8125</v>
      </c>
      <c r="EF177" s="59">
        <f t="shared" si="578"/>
        <v>1.9636</v>
      </c>
      <c r="EG177" s="59">
        <f t="shared" si="579"/>
        <v>0.2858</v>
      </c>
      <c r="EH177" s="59">
        <f t="shared" si="580"/>
        <v>0.30480000000000002</v>
      </c>
      <c r="EI177" s="59">
        <f t="shared" si="581"/>
        <v>0.24740000000000001</v>
      </c>
      <c r="EJ177" s="59">
        <f t="shared" si="582"/>
        <v>0.25840000000000002</v>
      </c>
      <c r="EK177" s="63" t="e">
        <f t="shared" ca="1" si="594"/>
        <v>#NUM!</v>
      </c>
      <c r="EL177" s="3" t="str">
        <f>RTD("tos.rtd",,EL$43,"."&amp;$B$134&amp;$AS$82&amp;"C"&amp;$A177)</f>
        <v>181.25%</v>
      </c>
      <c r="EM177" s="3" t="str">
        <f>RTD("tos.rtd",,EM$43,"."&amp;$B$134&amp;$AS$82&amp;"P"&amp;$A177)</f>
        <v>196.36%</v>
      </c>
      <c r="EN177" s="3" t="str">
        <f>RTD("tos.rtd",,EN$2,"."&amp;$C$134&amp;$AU$82&amp;"C"&amp;$A177)</f>
        <v>28.58%</v>
      </c>
      <c r="EO177" s="3" t="str">
        <f>RTD("tos.rtd",,EO$2,"."&amp;$C$134&amp;$AU$82&amp;"P"&amp;$A177)</f>
        <v>30.48%</v>
      </c>
      <c r="EP177" s="3" t="str">
        <f>RTD("tos.rtd",,EP$2,"."&amp;$D$134&amp;$AW$82&amp;"C"&amp;$A177)</f>
        <v>24.74%</v>
      </c>
      <c r="EQ177" s="3" t="str">
        <f>RTD("tos.rtd",,EQ$2,"."&amp;$D$134&amp;$AW$82&amp;"P"&amp;$A177)</f>
        <v>25.84%</v>
      </c>
      <c r="ES177" s="63" t="str">
        <f t="shared" si="583"/>
        <v>19550,-13.00</v>
      </c>
      <c r="ET177" s="63" t="str">
        <f t="shared" ca="1" si="584"/>
        <v>19550,00.00</v>
      </c>
      <c r="EU177" s="68">
        <v>565.24</v>
      </c>
      <c r="EV177" s="68" t="s">
        <v>1435</v>
      </c>
      <c r="EW177" s="68">
        <v>489</v>
      </c>
      <c r="EX177" s="68" t="s">
        <v>1436</v>
      </c>
      <c r="EY177" s="68">
        <v>5663.94</v>
      </c>
      <c r="EZ177" s="68" t="s">
        <v>1437</v>
      </c>
      <c r="FA177" s="68">
        <v>20063.564999999999</v>
      </c>
      <c r="FB177" s="68" t="s">
        <v>1438</v>
      </c>
      <c r="FC177" s="68" t="s">
        <v>1439</v>
      </c>
      <c r="FD177" s="68" t="s">
        <v>1440</v>
      </c>
      <c r="FE177" s="68" t="s">
        <v>1441</v>
      </c>
      <c r="FF177" s="68" t="s">
        <v>1442</v>
      </c>
    </row>
    <row r="178" spans="1:162" ht="11.1" customHeight="1" thickBot="1" x14ac:dyDescent="0.25">
      <c r="A178" s="2">
        <f t="shared" si="595"/>
        <v>19525</v>
      </c>
      <c r="B178" s="3">
        <f t="shared" si="631"/>
        <v>10</v>
      </c>
      <c r="C178" s="3">
        <f t="shared" si="632"/>
        <v>25</v>
      </c>
      <c r="D178" s="3">
        <f t="shared" si="633"/>
        <v>49</v>
      </c>
      <c r="E178" s="3">
        <f t="shared" si="634"/>
        <v>84</v>
      </c>
      <c r="F178" s="4">
        <f t="shared" si="635"/>
        <v>19924.32943153807</v>
      </c>
      <c r="G178" s="5">
        <f t="shared" si="636"/>
        <v>482.9022694223134</v>
      </c>
      <c r="AM178" s="1">
        <v>0</v>
      </c>
      <c r="AN178" s="1">
        <v>-11</v>
      </c>
      <c r="AO178" s="1">
        <v>19525</v>
      </c>
      <c r="AP178" s="1">
        <v>0</v>
      </c>
      <c r="AQ178" s="1">
        <v>-32</v>
      </c>
      <c r="AS178" s="54">
        <f>IF(RTD("tos.rtd",,AS$83,"."&amp;$B$134&amp;$AS$82&amp;"C"&amp;$A178)="N/A",0,RTD("tos.rtd",,AS$83,"."&amp;$B$134&amp;$AS$82&amp;"C"&amp;$A178))</f>
        <v>4</v>
      </c>
      <c r="AT178" s="3">
        <f>-IF(RTD("tos.rtd",,AT$83,"."&amp;$B$134&amp;$AS$82&amp;"P"&amp;$A178)="N/A",0,RTD("tos.rtd",,AT$83,"."&amp;$B$134&amp;$AS$82&amp;"P"&amp;$A178))</f>
        <v>-6</v>
      </c>
      <c r="AU178" s="54">
        <f>IF(RTD("tos.rtd",,AU$2,"."&amp;$C$134&amp;$AU$134&amp;"C"&amp;$A178)="N/A",0,RTD("tos.rtd",,AU$2,"."&amp;$C$134&amp;$AU$134&amp;"C"&amp;$A178))</f>
        <v>22</v>
      </c>
      <c r="AV178" s="3">
        <f>-IF(RTD("tos.rtd",,AV$2,"."&amp;$C$134&amp;$AU$134&amp;"P"&amp;$A178)="N/A",0,RTD("tos.rtd",,AV$2,"."&amp;$C$134&amp;$AU$134&amp;"P"&amp;$A178))</f>
        <v>-3</v>
      </c>
      <c r="AW178" s="54">
        <f>IF(RTD("tos.rtd",,AW$2,"."&amp;$D$134&amp;$AW$134&amp;"C"&amp;$A178)="N/A",0,RTD("tos.rtd",,AW$2,"."&amp;$D$134&amp;$AW$134&amp;"C"&amp;$A178))</f>
        <v>23</v>
      </c>
      <c r="AX178" s="3">
        <f>-IF(RTD("tos.rtd",,AX$2,"."&amp;$D$134&amp;$AW$134&amp;"P"&amp;$A178)="N/A",0,RTD("tos.rtd",,AX$2,"."&amp;$D$134&amp;$AW$134&amp;"P"&amp;$A178))</f>
        <v>-26</v>
      </c>
      <c r="AY178" s="76">
        <f t="shared" si="637"/>
        <v>14</v>
      </c>
      <c r="AZ178" s="8">
        <f t="shared" si="548"/>
        <v>19525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-32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-14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-3</v>
      </c>
      <c r="BG178" s="3">
        <f ca="1">+Hoja2!Y179</f>
        <v>0</v>
      </c>
      <c r="BH178" s="7">
        <f t="shared" ca="1" si="549"/>
        <v>-49</v>
      </c>
      <c r="BI178" s="32" t="str">
        <f t="shared" ca="1" si="609"/>
        <v/>
      </c>
      <c r="BJ178" s="3" t="e">
        <f ca="1">IF($BP$1=1,DX178,IF(RTD("tos.rtd",,BJ$43,"."&amp;$B$134&amp;$AS$82&amp;"C"&amp;$A178)="N/A",0,RTD("tos.rtd",,BJ$43,"."&amp;$B$134&amp;$AS$82&amp;"C"&amp;$A178)))</f>
        <v>#NUM!</v>
      </c>
      <c r="BK178" s="3" t="e">
        <f ca="1">IF($BP$1=1,DY178,-IF(RTD("tos.rtd",,BK$43,"."&amp;$B$134&amp;$AS$82&amp;"P"&amp;$A178)="N/A",0,RTD("tos.rtd",,BK$43,"."&amp;$B$134&amp;$AS$82&amp;"P"&amp;$A178)))</f>
        <v>#NUM!</v>
      </c>
      <c r="BL178" s="3">
        <f ca="1">IF($BP$1=1,DZ178,IF(RTD("tos.rtd",,BL$2,"."&amp;$C$134&amp;$AU$82&amp;"C"&amp;$A178)="N/A",0,RTD("tos.rtd",,BL$2,"."&amp;$C$134&amp;$AU$82&amp;"C"&amp;$A178)))</f>
        <v>3.9057236397157928E-4</v>
      </c>
      <c r="BM178" s="3">
        <f ca="1">IF($BP$1=1,EA178,-IF(RTD("tos.rtd",,BM$2,"."&amp;$C$134&amp;$AU$82&amp;"P"&amp;$A178)="N/A",0,RTD("tos.rtd",,BM$2,"."&amp;$C$134&amp;$AU$82&amp;"P"&amp;$A178)))</f>
        <v>-3.7743841656990933E-4</v>
      </c>
      <c r="BN178" s="3">
        <f ca="1">IF($BP$1=1,EB178,IF(RTD("tos.rtd",,BN$2,"."&amp;$D$134&amp;$AW$82&amp;"C"&amp;$A178)="N/A",0,RTD("tos.rtd",,BN$2,"."&amp;$D$134&amp;$AW$82&amp;"C"&amp;$A178)))</f>
        <v>4.1370723387711627E-4</v>
      </c>
      <c r="BO178" s="3">
        <f ca="1">IF($BP$1=1,EC178,-IF(RTD("tos.rtd",,BO$2,"."&amp;$D$134&amp;$AW$82&amp;"P"&amp;$A178)="N/A",0,RTD("tos.rtd",,BO$2,"."&amp;$D$134&amp;$AW$82&amp;"P"&amp;$A178)))</f>
        <v>-4.0734382827697696E-4</v>
      </c>
      <c r="BQ178" s="3" t="e">
        <f t="shared" ca="1" si="638"/>
        <v>#NUM!</v>
      </c>
      <c r="BR178" s="3" t="e">
        <f t="shared" ca="1" si="550"/>
        <v>#NUM!</v>
      </c>
      <c r="BS178" s="3">
        <f t="shared" ca="1" si="639"/>
        <v>238986.84162832092</v>
      </c>
      <c r="BT178" s="3" t="str">
        <f t="shared" ca="1" si="551"/>
        <v>Cruce +</v>
      </c>
      <c r="BU178" s="3">
        <f t="shared" ca="1" si="640"/>
        <v>-34458.739070143434</v>
      </c>
      <c r="BV178" s="3" t="str">
        <f t="shared" ca="1" si="551"/>
        <v>Cruce -</v>
      </c>
      <c r="BX178" s="3" t="e">
        <f t="shared" ca="1" si="585"/>
        <v>#NUM!</v>
      </c>
      <c r="BY178" s="3" t="e">
        <f t="shared" ca="1" si="586"/>
        <v>#NUM!</v>
      </c>
      <c r="BZ178" s="3">
        <f t="shared" ca="1" si="587"/>
        <v>-1300.8737225876478</v>
      </c>
      <c r="CA178" s="3" t="str">
        <f t="shared" ca="1" si="586"/>
        <v/>
      </c>
      <c r="CB178" s="3">
        <f t="shared" ca="1" si="588"/>
        <v>-300.84541647847811</v>
      </c>
      <c r="CC178" s="3" t="str">
        <f t="shared" ca="1" si="586"/>
        <v/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0.01</v>
      </c>
      <c r="CF178" s="3">
        <f>IF(RTD("tos.rtd",,CF$2,"."&amp;$C$134&amp;$AU$82&amp;"C"&amp;$A178)="N/A",0,RTD("tos.rtd",,CF$2,"."&amp;$C$134&amp;$AU$82&amp;"C"&amp;$A178))</f>
        <v>0.81</v>
      </c>
      <c r="CG178" s="3">
        <f>-IF(RTD("tos.rtd",,CG$2,"."&amp;$C$134&amp;$AU$82&amp;"P"&amp;$A178)="N/A",0,RTD("tos.rtd",,CG$2,"."&amp;$C$134&amp;$AU$82&amp;"P"&amp;$A178))</f>
        <v>0.2</v>
      </c>
      <c r="CH178" s="3">
        <f>IF(RTD("tos.rtd",,CH$2,"."&amp;$D$134&amp;$AW$82&amp;"C"&amp;$A178)="N/A",0,RTD("tos.rtd",,CH$2,"."&amp;$D$134&amp;$AW$82&amp;"C"&amp;$A178))</f>
        <v>0.67</v>
      </c>
      <c r="CI178" s="3">
        <f>-IF(RTD("tos.rtd",,CI$2,"."&amp;$D$134&amp;$AW$82&amp;"P"&amp;$A178)="N/A",0,RTD("tos.rtd",,CI$2,"."&amp;$D$134&amp;$AW$82&amp;"P"&amp;$A178))</f>
        <v>0.34</v>
      </c>
      <c r="CK178" s="3">
        <f t="shared" si="660"/>
        <v>394</v>
      </c>
      <c r="CL178" s="3"/>
      <c r="CM178" s="3">
        <f t="shared" si="661"/>
        <v>1722</v>
      </c>
      <c r="CN178" s="3"/>
      <c r="CO178" s="3">
        <f t="shared" si="662"/>
        <v>657</v>
      </c>
      <c r="CP178" s="3">
        <f t="shared" si="542"/>
        <v>2773</v>
      </c>
      <c r="CQ178" s="3">
        <f t="shared" si="552"/>
        <v>-32</v>
      </c>
      <c r="CR178" s="3"/>
      <c r="CS178" s="3">
        <f t="shared" si="553"/>
        <v>-14</v>
      </c>
      <c r="CT178" s="3"/>
      <c r="CU178" s="3">
        <f t="shared" si="554"/>
        <v>-3</v>
      </c>
      <c r="CV178" s="3"/>
      <c r="CW178" s="3" t="e">
        <f t="shared" ca="1" si="555"/>
        <v>#NUM!</v>
      </c>
      <c r="CY178" s="3" t="e">
        <f t="shared" ca="1" si="556"/>
        <v>#NUM!</v>
      </c>
      <c r="CZ178" s="70" t="e">
        <f t="shared" ca="1" si="589"/>
        <v>#NUM!</v>
      </c>
      <c r="DA178" s="3">
        <f>IF(RTD("tos.rtd",,DA$43,"."&amp;$B$134&amp;$AS$82&amp;"C"&amp;$A178)="N/A",0,RTD("tos.rtd",,DA$43,"."&amp;$B$134&amp;$AS$82&amp;"C"&amp;$A178))</f>
        <v>376.38</v>
      </c>
      <c r="DB178" s="3">
        <f>IF(RTD("tos.rtd",,DB$43,"."&amp;$B$134&amp;$AS$82&amp;"P"&amp;$A178)="N/A",0,RTD("tos.rtd",,DB$43,"."&amp;$B$134&amp;$AS$82&amp;"P"&amp;$A178))</f>
        <v>2.81</v>
      </c>
      <c r="DC178" s="3">
        <f>IF(RTD("tos.rtd",,DC$43,"."&amp;$B$134&amp;$AS$82&amp;"C"&amp;$A178)="N/A",0,RTD("tos.rtd",,DC$43,"."&amp;$B$134&amp;$AS$82&amp;"C"&amp;$A178))</f>
        <v>572</v>
      </c>
      <c r="DD178" s="3">
        <f>IF(RTD("tos.rtd",,DD$43,"."&amp;$B$134&amp;$AS$82&amp;"P"&amp;$A178)="N/A",0,RTD("tos.rtd",,DD$43,"."&amp;$B$134&amp;$AS$82&amp;"P"&amp;$A178))</f>
        <v>1.85</v>
      </c>
      <c r="DE178" s="3">
        <f>IF(RTD("tos.rtd",,DE$43,"."&amp;$B$134&amp;$AS$82&amp;"C"&amp;$A178)="N/A",0,RTD("tos.rtd",,DE$43,"."&amp;$B$134&amp;$AS$82&amp;"C"&amp;$A178))</f>
        <v>499.3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90"/>
        <v>-536.44900000000052</v>
      </c>
      <c r="DH178" s="3">
        <f t="shared" si="557"/>
        <v>0</v>
      </c>
      <c r="DI178" s="3">
        <f t="shared" si="558"/>
        <v>0</v>
      </c>
      <c r="DJ178" s="3">
        <f t="shared" si="559"/>
        <v>0</v>
      </c>
      <c r="DK178" s="3">
        <f t="shared" si="560"/>
        <v>0</v>
      </c>
      <c r="DL178" s="3">
        <f t="shared" si="561"/>
        <v>0</v>
      </c>
      <c r="DM178" s="3">
        <f t="shared" si="562"/>
        <v>0</v>
      </c>
      <c r="DN178" s="64" t="str">
        <f t="shared" si="563"/>
        <v>UNKNOWN</v>
      </c>
      <c r="DO178" s="64" t="str">
        <f t="shared" si="564"/>
        <v>UNKNOWN</v>
      </c>
      <c r="DP178" s="3">
        <f t="shared" si="565"/>
        <v>0</v>
      </c>
      <c r="DQ178" s="3">
        <f t="shared" si="566"/>
        <v>0</v>
      </c>
      <c r="DR178" s="3" t="e">
        <f t="shared" ca="1" si="567"/>
        <v>#NUM!</v>
      </c>
      <c r="DS178" s="3">
        <f t="shared" si="568"/>
        <v>0</v>
      </c>
      <c r="DT178" s="3">
        <f t="shared" si="591"/>
        <v>0</v>
      </c>
      <c r="DU178" s="3">
        <f t="shared" si="592"/>
        <v>0</v>
      </c>
      <c r="DV178" s="3">
        <f t="shared" si="569"/>
        <v>0</v>
      </c>
      <c r="DW178" s="3">
        <f t="shared" si="570"/>
        <v>-11</v>
      </c>
      <c r="DX178" s="3" t="e">
        <f t="shared" ca="1" si="654"/>
        <v>#NUM!</v>
      </c>
      <c r="DY178" s="3" t="e">
        <f t="shared" ca="1" si="655"/>
        <v>#NUM!</v>
      </c>
      <c r="DZ178" s="3">
        <f t="shared" ca="1" si="656"/>
        <v>3.9057236397157928E-4</v>
      </c>
      <c r="EA178" s="3">
        <f t="shared" ca="1" si="657"/>
        <v>-3.7743841656990933E-4</v>
      </c>
      <c r="EB178" s="3">
        <f t="shared" ca="1" si="658"/>
        <v>4.1370723387711627E-4</v>
      </c>
      <c r="EC178" s="3">
        <f t="shared" ca="1" si="659"/>
        <v>-4.0734382827697696E-4</v>
      </c>
      <c r="ED178" s="63">
        <f t="shared" si="593"/>
        <v>-11</v>
      </c>
      <c r="EE178" s="59">
        <f t="shared" si="577"/>
        <v>0.25</v>
      </c>
      <c r="EF178" s="59">
        <f t="shared" si="578"/>
        <v>1.5768</v>
      </c>
      <c r="EG178" s="59">
        <f t="shared" si="579"/>
        <v>0.28599999999999998</v>
      </c>
      <c r="EH178" s="59">
        <f t="shared" si="580"/>
        <v>0.30559999999999998</v>
      </c>
      <c r="EI178" s="59">
        <f t="shared" si="581"/>
        <v>0.24779999999999999</v>
      </c>
      <c r="EJ178" s="59">
        <f t="shared" si="582"/>
        <v>0.25929999999999997</v>
      </c>
      <c r="EK178" s="63" t="e">
        <f t="shared" ca="1" si="594"/>
        <v>#NUM!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157.68%</v>
      </c>
      <c r="EN178" s="3" t="str">
        <f>RTD("tos.rtd",,EN$2,"."&amp;$C$134&amp;$AU$82&amp;"C"&amp;$A178)</f>
        <v>28.60%</v>
      </c>
      <c r="EO178" s="3" t="str">
        <f>RTD("tos.rtd",,EO$2,"."&amp;$C$134&amp;$AU$82&amp;"P"&amp;$A178)</f>
        <v>30.56%</v>
      </c>
      <c r="EP178" s="3" t="str">
        <f>RTD("tos.rtd",,EP$2,"."&amp;$D$134&amp;$AW$82&amp;"C"&amp;$A178)</f>
        <v>24.78%</v>
      </c>
      <c r="EQ178" s="3" t="str">
        <f>RTD("tos.rtd",,EQ$2,"."&amp;$D$134&amp;$AW$82&amp;"P"&amp;$A178)</f>
        <v>25.93%</v>
      </c>
      <c r="ES178" s="63" t="str">
        <f t="shared" si="583"/>
        <v>19525,-11.00</v>
      </c>
      <c r="ET178" s="63" t="str">
        <f t="shared" ca="1" si="584"/>
        <v>19525,00.00</v>
      </c>
      <c r="EU178" s="68">
        <v>565.4</v>
      </c>
      <c r="EV178" s="68" t="s">
        <v>1443</v>
      </c>
      <c r="EW178" s="68">
        <v>489.08</v>
      </c>
      <c r="EX178" s="68" t="s">
        <v>1444</v>
      </c>
      <c r="EY178" s="68">
        <v>5663.94</v>
      </c>
      <c r="EZ178" s="68" t="s">
        <v>1445</v>
      </c>
      <c r="FA178" s="68">
        <v>20063.564999999999</v>
      </c>
      <c r="FB178" s="68" t="s">
        <v>1446</v>
      </c>
      <c r="FC178" s="68" t="s">
        <v>1447</v>
      </c>
      <c r="FD178" s="68" t="s">
        <v>1448</v>
      </c>
      <c r="FE178" s="68" t="s">
        <v>1449</v>
      </c>
      <c r="FF178" s="68" t="s">
        <v>1450</v>
      </c>
    </row>
    <row r="179" spans="1:162" ht="11.1" customHeight="1" thickBot="1" x14ac:dyDescent="0.25">
      <c r="A179" s="2">
        <f t="shared" si="595"/>
        <v>19500</v>
      </c>
      <c r="B179" s="3">
        <f t="shared" si="631"/>
        <v>52</v>
      </c>
      <c r="C179" s="3">
        <f t="shared" si="632"/>
        <v>178</v>
      </c>
      <c r="D179" s="3">
        <f t="shared" si="633"/>
        <v>2385</v>
      </c>
      <c r="E179" s="3">
        <f t="shared" si="634"/>
        <v>2615</v>
      </c>
      <c r="F179" s="4">
        <f t="shared" si="635"/>
        <v>19898.818126248007</v>
      </c>
      <c r="G179" s="5">
        <f t="shared" si="636"/>
        <v>482.28395665736804</v>
      </c>
      <c r="AM179" s="1">
        <v>-6</v>
      </c>
      <c r="AN179" s="1">
        <v>-125</v>
      </c>
      <c r="AO179" s="1">
        <v>19500</v>
      </c>
      <c r="AP179" s="1">
        <v>9</v>
      </c>
      <c r="AQ179" s="1">
        <v>-178</v>
      </c>
      <c r="AS179" s="54">
        <f>IF(RTD("tos.rtd",,AS$83,"."&amp;$B$134&amp;$AS$82&amp;"C"&amp;$A179)="N/A",0,RTD("tos.rtd",,AS$83,"."&amp;$B$134&amp;$AS$82&amp;"C"&amp;$A179))</f>
        <v>15</v>
      </c>
      <c r="AT179" s="3">
        <f>-IF(RTD("tos.rtd",,AT$83,"."&amp;$B$134&amp;$AS$82&amp;"P"&amp;$A179)="N/A",0,RTD("tos.rtd",,AT$83,"."&amp;$B$134&amp;$AS$82&amp;"P"&amp;$A179))</f>
        <v>-37</v>
      </c>
      <c r="AU179" s="54">
        <f>IF(RTD("tos.rtd",,AU$2,"."&amp;$C$134&amp;$AU$134&amp;"C"&amp;$A179)="N/A",0,RTD("tos.rtd",,AU$2,"."&amp;$C$134&amp;$AU$134&amp;"C"&amp;$A179))</f>
        <v>81</v>
      </c>
      <c r="AV179" s="3">
        <f>-IF(RTD("tos.rtd",,AV$2,"."&amp;$C$134&amp;$AU$134&amp;"P"&amp;$A179)="N/A",0,RTD("tos.rtd",,AV$2,"."&amp;$C$134&amp;$AU$134&amp;"P"&amp;$A179))</f>
        <v>-97</v>
      </c>
      <c r="AW179" s="54">
        <f>IF(RTD("tos.rtd",,AW$2,"."&amp;$D$134&amp;$AW$134&amp;"C"&amp;$A179)="N/A",0,RTD("tos.rtd",,AW$2,"."&amp;$D$134&amp;$AW$134&amp;"C"&amp;$A179))</f>
        <v>1063</v>
      </c>
      <c r="AX179" s="3">
        <f>-IF(RTD("tos.rtd",,AX$2,"."&amp;$D$134&amp;$AW$134&amp;"P"&amp;$A179)="N/A",0,RTD("tos.rtd",,AX$2,"."&amp;$D$134&amp;$AW$134&amp;"P"&amp;$A179))</f>
        <v>-1322</v>
      </c>
      <c r="AY179" s="76">
        <f t="shared" si="637"/>
        <v>-297</v>
      </c>
      <c r="AZ179" s="8">
        <f t="shared" si="548"/>
        <v>19500</v>
      </c>
      <c r="BA179" s="54">
        <f>IF(RTD("tos.rtd",,BA$43,"."&amp;$B$134&amp;$AS$82&amp;"C"&amp;$A179)="N/A",0,RTD("tos.rtd",,BA$43,"."&amp;$B$134&amp;$AS$82&amp;"C"&amp;$A179))</f>
        <v>9</v>
      </c>
      <c r="BB179" s="3">
        <f>-IF(RTD("tos.rtd",,BB$43,"."&amp;$B$134&amp;$AS$82&amp;"P"&amp;$A179)="N/A",0,RTD("tos.rtd",,BB$43,"."&amp;$B$134&amp;$AS$82&amp;"P"&amp;$A179))</f>
        <v>-178</v>
      </c>
      <c r="BC179" s="54">
        <f>IF(RTD("tos.rtd",,BC$2,"."&amp;$C$134&amp;$AU$82&amp;"C"&amp;$A179)="N/A",0,RTD("tos.rtd",,BC$2,"."&amp;$C$134&amp;$AU$82&amp;"C"&amp;$A179))</f>
        <v>0</v>
      </c>
      <c r="BD179" s="3">
        <f>-IF(RTD("tos.rtd",,BD$2,"."&amp;$C$134&amp;$AU$82&amp;"P"&amp;$A179)="N/A",0,RTD("tos.rtd",,BD$2,"."&amp;$C$134&amp;$AU$82&amp;"P"&amp;$A179))</f>
        <v>-13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-1</v>
      </c>
      <c r="BG179" s="3">
        <f ca="1">+Hoja2!Y180</f>
        <v>-18</v>
      </c>
      <c r="BH179" s="7">
        <f t="shared" ca="1" si="549"/>
        <v>-201</v>
      </c>
      <c r="BI179" s="32" t="str">
        <f t="shared" ca="1" si="609"/>
        <v/>
      </c>
      <c r="BJ179" s="3" t="e">
        <f ca="1">IF($BP$1=1,DX179,IF(RTD("tos.rtd",,BJ$43,"."&amp;$B$134&amp;$AS$82&amp;"C"&amp;$A179)="N/A",0,RTD("tos.rtd",,BJ$43,"."&amp;$B$134&amp;$AS$82&amp;"C"&amp;$A179)))</f>
        <v>#NUM!</v>
      </c>
      <c r="BK179" s="3" t="e">
        <f ca="1">IF($BP$1=1,DY179,-IF(RTD("tos.rtd",,BK$43,"."&amp;$B$134&amp;$AS$82&amp;"P"&amp;$A179)="N/A",0,RTD("tos.rtd",,BK$43,"."&amp;$B$134&amp;$AS$82&amp;"P"&amp;$A179)))</f>
        <v>#NUM!</v>
      </c>
      <c r="BL179" s="3">
        <f ca="1">IF($BP$1=1,DZ179,IF(RTD("tos.rtd",,BL$2,"."&amp;$C$134&amp;$AU$82&amp;"C"&amp;$A179)="N/A",0,RTD("tos.rtd",,BL$2,"."&amp;$C$134&amp;$AU$82&amp;"C"&amp;$A179)))</f>
        <v>3.8094532410758175E-4</v>
      </c>
      <c r="BM179" s="3">
        <f ca="1">IF($BP$1=1,EA179,-IF(RTD("tos.rtd",,BM$2,"."&amp;$C$134&amp;$AU$82&amp;"P"&amp;$A179)="N/A",0,RTD("tos.rtd",,BM$2,"."&amp;$C$134&amp;$AU$82&amp;"P"&amp;$A179)))</f>
        <v>-3.6875993733773003E-4</v>
      </c>
      <c r="BN179" s="3">
        <f ca="1">IF($BP$1=1,EB179,IF(RTD("tos.rtd",,BN$2,"."&amp;$D$134&amp;$AW$82&amp;"C"&amp;$A179)="N/A",0,RTD("tos.rtd",,BN$2,"."&amp;$D$134&amp;$AW$82&amp;"C"&amp;$A179)))</f>
        <v>3.9982189813751116E-4</v>
      </c>
      <c r="BO179" s="3">
        <f ca="1">IF($BP$1=1,EC179,-IF(RTD("tos.rtd",,BO$2,"."&amp;$D$134&amp;$AW$82&amp;"P"&amp;$A179)="N/A",0,RTD("tos.rtd",,BO$2,"."&amp;$D$134&amp;$AW$82&amp;"P"&amp;$A179)))</f>
        <v>-3.9478661411279051E-4</v>
      </c>
      <c r="BQ179" s="3" t="e">
        <f t="shared" ca="1" si="638"/>
        <v>#NUM!</v>
      </c>
      <c r="BR179" s="3" t="e">
        <f t="shared" ca="1" si="550"/>
        <v>#NUM!</v>
      </c>
      <c r="BS179" s="3">
        <f t="shared" ca="1" si="639"/>
        <v>-157390.46781852527</v>
      </c>
      <c r="BT179" s="3" t="str">
        <f t="shared" ca="1" si="551"/>
        <v>Cruce -</v>
      </c>
      <c r="BU179" s="3">
        <f t="shared" ca="1" si="640"/>
        <v>-3104062.0595232658</v>
      </c>
      <c r="BV179" s="3" t="str">
        <f t="shared" ca="1" si="551"/>
        <v/>
      </c>
      <c r="BX179" s="3" t="e">
        <f t="shared" ca="1" si="585"/>
        <v>#NUM!</v>
      </c>
      <c r="BY179" s="3" t="e">
        <f t="shared" ca="1" si="586"/>
        <v>#NUM!</v>
      </c>
      <c r="BZ179" s="3">
        <f t="shared" ca="1" si="587"/>
        <v>-1180.1795600019595</v>
      </c>
      <c r="CA179" s="3" t="str">
        <f t="shared" ca="1" si="586"/>
        <v/>
      </c>
      <c r="CB179" s="3">
        <f t="shared" ca="1" si="588"/>
        <v>-97.190411881509405</v>
      </c>
      <c r="CC179" s="3" t="str">
        <f t="shared" ca="1" si="586"/>
        <v/>
      </c>
      <c r="CD179" s="3">
        <f>IF(RTD("tos.rtd",,CD$43,"."&amp;$B$134&amp;$AS$82&amp;"C"&amp;$A179)="N/A",0,RTD("tos.rtd",,CD$43,"."&amp;$B$134&amp;$AS$82&amp;"C"&amp;$A179))</f>
        <v>0.97</v>
      </c>
      <c r="CE179" s="3">
        <f>-IF(RTD("tos.rtd",,CE$43,"."&amp;$B$134&amp;$AS$82&amp;"P"&amp;$A179)="N/A",0,RTD("tos.rtd",,CE$43,"."&amp;$B$134&amp;$AS$82&amp;"P"&amp;$A179))</f>
        <v>0.01</v>
      </c>
      <c r="CF179" s="3">
        <f>IF(RTD("tos.rtd",,CF$2,"."&amp;$C$134&amp;$AU$82&amp;"C"&amp;$A179)="N/A",0,RTD("tos.rtd",,CF$2,"."&amp;$C$134&amp;$AU$82&amp;"C"&amp;$A179))</f>
        <v>0.82</v>
      </c>
      <c r="CG179" s="3">
        <f>-IF(RTD("tos.rtd",,CG$2,"."&amp;$C$134&amp;$AU$82&amp;"P"&amp;$A179)="N/A",0,RTD("tos.rtd",,CG$2,"."&amp;$C$134&amp;$AU$82&amp;"P"&amp;$A179))</f>
        <v>0.19</v>
      </c>
      <c r="CH179" s="3">
        <f>IF(RTD("tos.rtd",,CH$2,"."&amp;$D$134&amp;$AW$82&amp;"C"&amp;$A179)="N/A",0,RTD("tos.rtd",,CH$2,"."&amp;$D$134&amp;$AW$82&amp;"C"&amp;$A179))</f>
        <v>0.67</v>
      </c>
      <c r="CI179" s="3">
        <f>-IF(RTD("tos.rtd",,CI$2,"."&amp;$D$134&amp;$AW$82&amp;"P"&amp;$A179)="N/A",0,RTD("tos.rtd",,CI$2,"."&amp;$D$134&amp;$AW$82&amp;"P"&amp;$A179))</f>
        <v>0.33</v>
      </c>
      <c r="CK179" s="3">
        <f t="shared" si="660"/>
        <v>1418</v>
      </c>
      <c r="CL179" s="3"/>
      <c r="CM179" s="3">
        <f t="shared" si="661"/>
        <v>4799</v>
      </c>
      <c r="CN179" s="3"/>
      <c r="CO179" s="3">
        <f t="shared" si="662"/>
        <v>27594.999999999993</v>
      </c>
      <c r="CP179" s="3">
        <f t="shared" si="542"/>
        <v>33811.999999999993</v>
      </c>
      <c r="CQ179" s="3">
        <f t="shared" si="552"/>
        <v>-169</v>
      </c>
      <c r="CR179" s="3"/>
      <c r="CS179" s="3">
        <f t="shared" si="553"/>
        <v>-13</v>
      </c>
      <c r="CT179" s="3"/>
      <c r="CU179" s="3">
        <f t="shared" si="554"/>
        <v>-1</v>
      </c>
      <c r="CV179" s="3"/>
      <c r="CW179" s="3" t="e">
        <f t="shared" ca="1" si="555"/>
        <v>#NUM!</v>
      </c>
      <c r="CY179" s="3" t="e">
        <f t="shared" ca="1" si="556"/>
        <v>#NUM!</v>
      </c>
      <c r="CZ179" s="70" t="e">
        <f t="shared" ca="1" si="589"/>
        <v>#NUM!</v>
      </c>
      <c r="DA179" s="3">
        <f>IF(RTD("tos.rtd",,DA$43,"."&amp;$B$134&amp;$AS$82&amp;"C"&amp;$A179)="N/A",0,RTD("tos.rtd",,DA$43,"."&amp;$B$134&amp;$AS$82&amp;"C"&amp;$A179))</f>
        <v>571.45000000000005</v>
      </c>
      <c r="DB179" s="3">
        <f>IF(RTD("tos.rtd",,DB$43,"."&amp;$B$134&amp;$AS$82&amp;"P"&amp;$A179)="N/A",0,RTD("tos.rtd",,DB$43,"."&amp;$B$134&amp;$AS$82&amp;"P"&amp;$A179))</f>
        <v>0.05</v>
      </c>
      <c r="DC179" s="3">
        <f>IF(RTD("tos.rtd",,DC$43,"."&amp;$B$134&amp;$AS$82&amp;"C"&amp;$A179)="N/A",0,RTD("tos.rtd",,DC$43,"."&amp;$B$134&amp;$AS$82&amp;"C"&amp;$A179))</f>
        <v>598</v>
      </c>
      <c r="DD179" s="3">
        <f>IF(RTD("tos.rtd",,DD$43,"."&amp;$B$134&amp;$AS$82&amp;"P"&amp;$A179)="N/A",0,RTD("tos.rtd",,DD$43,"."&amp;$B$134&amp;$AS$82&amp;"P"&amp;$A179))</f>
        <v>1.8</v>
      </c>
      <c r="DE179" s="3">
        <f>IF(RTD("tos.rtd",,DE$43,"."&amp;$B$134&amp;$AS$82&amp;"C"&amp;$A179)="N/A",0,RTD("tos.rtd",,DE$43,"."&amp;$B$134&amp;$AS$82&amp;"C"&amp;$A179))</f>
        <v>530.70000000000005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90"/>
        <v>-561.44900000000052</v>
      </c>
      <c r="DH179" s="3">
        <f t="shared" si="557"/>
        <v>0</v>
      </c>
      <c r="DI179" s="3">
        <f t="shared" si="558"/>
        <v>0</v>
      </c>
      <c r="DJ179" s="3">
        <f t="shared" si="559"/>
        <v>0</v>
      </c>
      <c r="DK179" s="3">
        <f t="shared" si="560"/>
        <v>0</v>
      </c>
      <c r="DL179" s="3">
        <f t="shared" si="561"/>
        <v>0</v>
      </c>
      <c r="DM179" s="3">
        <f t="shared" si="562"/>
        <v>0</v>
      </c>
      <c r="DN179" s="64" t="str">
        <f t="shared" si="563"/>
        <v>UNKNOWN</v>
      </c>
      <c r="DO179" s="64" t="str">
        <f t="shared" si="564"/>
        <v>UNKNOWN</v>
      </c>
      <c r="DP179" s="3">
        <f t="shared" si="565"/>
        <v>0</v>
      </c>
      <c r="DQ179" s="3">
        <f t="shared" si="566"/>
        <v>0</v>
      </c>
      <c r="DR179" s="3" t="e">
        <f t="shared" ca="1" si="567"/>
        <v>#NUM!</v>
      </c>
      <c r="DS179" s="3">
        <f t="shared" si="568"/>
        <v>0</v>
      </c>
      <c r="DT179" s="3">
        <f t="shared" si="591"/>
        <v>0</v>
      </c>
      <c r="DU179" s="3">
        <f t="shared" si="592"/>
        <v>0</v>
      </c>
      <c r="DV179" s="3">
        <f t="shared" si="569"/>
        <v>-6</v>
      </c>
      <c r="DW179" s="3">
        <f t="shared" si="570"/>
        <v>-125</v>
      </c>
      <c r="DX179" s="3" t="e">
        <f t="shared" ca="1" si="654"/>
        <v>#NUM!</v>
      </c>
      <c r="DY179" s="3" t="e">
        <f t="shared" ca="1" si="655"/>
        <v>#NUM!</v>
      </c>
      <c r="DZ179" s="3">
        <f t="shared" ca="1" si="656"/>
        <v>3.8094532410758175E-4</v>
      </c>
      <c r="EA179" s="3">
        <f t="shared" ca="1" si="657"/>
        <v>-3.6875993733773003E-4</v>
      </c>
      <c r="EB179" s="3">
        <f t="shared" ca="1" si="658"/>
        <v>3.9982189813751116E-4</v>
      </c>
      <c r="EC179" s="3">
        <f t="shared" ca="1" si="659"/>
        <v>-3.9478661411279051E-4</v>
      </c>
      <c r="ED179" s="63">
        <f t="shared" si="593"/>
        <v>-131</v>
      </c>
      <c r="EE179" s="59">
        <f t="shared" si="577"/>
        <v>1.9340999999999999</v>
      </c>
      <c r="EF179" s="59">
        <f t="shared" si="578"/>
        <v>1.6356999999999999</v>
      </c>
      <c r="EG179" s="59">
        <f t="shared" si="579"/>
        <v>0.28599999999999998</v>
      </c>
      <c r="EH179" s="59">
        <f t="shared" si="580"/>
        <v>0.30640000000000001</v>
      </c>
      <c r="EI179" s="59">
        <f t="shared" si="581"/>
        <v>0.24890000000000001</v>
      </c>
      <c r="EJ179" s="59">
        <f t="shared" si="582"/>
        <v>0.26019999999999999</v>
      </c>
      <c r="EK179" s="63" t="e">
        <f t="shared" ca="1" si="594"/>
        <v>#NUM!</v>
      </c>
      <c r="EL179" s="3" t="str">
        <f>RTD("tos.rtd",,EL$43,"."&amp;$B$134&amp;$AS$82&amp;"C"&amp;$A179)</f>
        <v>193.41%</v>
      </c>
      <c r="EM179" s="3" t="str">
        <f>RTD("tos.rtd",,EM$43,"."&amp;$B$134&amp;$AS$82&amp;"P"&amp;$A179)</f>
        <v>163.57%</v>
      </c>
      <c r="EN179" s="3" t="str">
        <f>RTD("tos.rtd",,EN$2,"."&amp;$C$134&amp;$AU$82&amp;"C"&amp;$A179)</f>
        <v>28.60%</v>
      </c>
      <c r="EO179" s="3" t="str">
        <f>RTD("tos.rtd",,EO$2,"."&amp;$C$134&amp;$AU$82&amp;"P"&amp;$A179)</f>
        <v>30.64%</v>
      </c>
      <c r="EP179" s="3" t="str">
        <f>RTD("tos.rtd",,EP$2,"."&amp;$D$134&amp;$AW$82&amp;"C"&amp;$A179)</f>
        <v>24.89%</v>
      </c>
      <c r="EQ179" s="3" t="str">
        <f>RTD("tos.rtd",,EQ$2,"."&amp;$D$134&amp;$AW$82&amp;"P"&amp;$A179)</f>
        <v>26.02%</v>
      </c>
      <c r="ES179" s="63" t="str">
        <f t="shared" si="583"/>
        <v>19500,-131.00</v>
      </c>
      <c r="ET179" s="63" t="str">
        <f t="shared" ca="1" si="584"/>
        <v>19500,00.00</v>
      </c>
      <c r="EU179" s="68">
        <v>565.44000000000005</v>
      </c>
      <c r="EV179" s="68" t="s">
        <v>1451</v>
      </c>
      <c r="EW179" s="68">
        <v>489.16</v>
      </c>
      <c r="EX179" s="68" t="s">
        <v>1452</v>
      </c>
      <c r="EY179" s="68">
        <v>5663.94</v>
      </c>
      <c r="EZ179" s="68" t="s">
        <v>1453</v>
      </c>
      <c r="FA179" s="68">
        <v>20063.564999999999</v>
      </c>
      <c r="FB179" s="68" t="s">
        <v>1454</v>
      </c>
      <c r="FC179" s="68" t="s">
        <v>1455</v>
      </c>
      <c r="FD179" s="68" t="s">
        <v>1456</v>
      </c>
      <c r="FE179" s="68" t="s">
        <v>1457</v>
      </c>
      <c r="FF179" s="68" t="s">
        <v>1458</v>
      </c>
    </row>
    <row r="180" spans="1:162" ht="11.1" customHeight="1" thickBot="1" x14ac:dyDescent="0.25">
      <c r="A180" s="2">
        <f t="shared" si="595"/>
        <v>19475</v>
      </c>
      <c r="B180" s="3">
        <f t="shared" si="631"/>
        <v>11</v>
      </c>
      <c r="C180" s="3">
        <f t="shared" si="632"/>
        <v>291</v>
      </c>
      <c r="D180" s="3">
        <f t="shared" si="633"/>
        <v>70</v>
      </c>
      <c r="E180" s="3">
        <f t="shared" si="634"/>
        <v>372</v>
      </c>
      <c r="F180" s="4">
        <f t="shared" si="635"/>
        <v>19873.306820957947</v>
      </c>
      <c r="G180" s="5">
        <f t="shared" si="636"/>
        <v>481.66564389242268</v>
      </c>
      <c r="AM180" s="1">
        <v>0</v>
      </c>
      <c r="AN180" s="1">
        <v>0</v>
      </c>
      <c r="AO180" s="1">
        <v>19475</v>
      </c>
      <c r="AP180" s="1">
        <v>0</v>
      </c>
      <c r="AQ180" s="1">
        <v>-5</v>
      </c>
      <c r="AS180" s="54">
        <f>IF(RTD("tos.rtd",,AS$83,"."&amp;$B$134&amp;$AS$82&amp;"C"&amp;$A180)="N/A",0,RTD("tos.rtd",,AS$83,"."&amp;$B$134&amp;$AS$82&amp;"C"&amp;$A180))</f>
        <v>1</v>
      </c>
      <c r="AT180" s="3">
        <f>-IF(RTD("tos.rtd",,AT$83,"."&amp;$B$134&amp;$AS$82&amp;"P"&amp;$A180)="N/A",0,RTD("tos.rtd",,AT$83,"."&amp;$B$134&amp;$AS$82&amp;"P"&amp;$A180))</f>
        <v>-10</v>
      </c>
      <c r="AU180" s="54">
        <f>IF(RTD("tos.rtd",,AU$2,"."&amp;$C$134&amp;$AU$134&amp;"C"&amp;$A180)="N/A",0,RTD("tos.rtd",,AU$2,"."&amp;$C$134&amp;$AU$134&amp;"C"&amp;$A180))</f>
        <v>257</v>
      </c>
      <c r="AV180" s="3">
        <f>-IF(RTD("tos.rtd",,AV$2,"."&amp;$C$134&amp;$AU$134&amp;"P"&amp;$A180)="N/A",0,RTD("tos.rtd",,AV$2,"."&amp;$C$134&amp;$AU$134&amp;"P"&amp;$A180))</f>
        <v>-34</v>
      </c>
      <c r="AW180" s="54">
        <f>IF(RTD("tos.rtd",,AW$2,"."&amp;$D$134&amp;$AW$134&amp;"C"&amp;$A180)="N/A",0,RTD("tos.rtd",,AW$2,"."&amp;$D$134&amp;$AW$134&amp;"C"&amp;$A180))</f>
        <v>33</v>
      </c>
      <c r="AX180" s="3">
        <f>-IF(RTD("tos.rtd",,AX$2,"."&amp;$D$134&amp;$AW$134&amp;"P"&amp;$A180)="N/A",0,RTD("tos.rtd",,AX$2,"."&amp;$D$134&amp;$AW$134&amp;"P"&amp;$A180))</f>
        <v>-37</v>
      </c>
      <c r="AY180" s="76">
        <f t="shared" si="637"/>
        <v>210</v>
      </c>
      <c r="AZ180" s="8">
        <f t="shared" si="548"/>
        <v>19475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-5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-6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-4</v>
      </c>
      <c r="BG180" s="3">
        <f ca="1">+Hoja2!Y181</f>
        <v>-3</v>
      </c>
      <c r="BH180" s="7">
        <f t="shared" ca="1" si="549"/>
        <v>-18</v>
      </c>
      <c r="BI180" s="32" t="str">
        <f t="shared" ca="1" si="609"/>
        <v/>
      </c>
      <c r="BJ180" s="3" t="e">
        <f ca="1">IF($BP$1=1,DX180,IF(RTD("tos.rtd",,BJ$43,"."&amp;$B$134&amp;$AS$82&amp;"C"&amp;$A180)="N/A",0,RTD("tos.rtd",,BJ$43,"."&amp;$B$134&amp;$AS$82&amp;"C"&amp;$A180)))</f>
        <v>#NUM!</v>
      </c>
      <c r="BK180" s="3" t="e">
        <f ca="1">IF($BP$1=1,DY180,-IF(RTD("tos.rtd",,BK$43,"."&amp;$B$134&amp;$AS$82&amp;"P"&amp;$A180)="N/A",0,RTD("tos.rtd",,BK$43,"."&amp;$B$134&amp;$AS$82&amp;"P"&amp;$A180)))</f>
        <v>#NUM!</v>
      </c>
      <c r="BL180" s="3">
        <f ca="1">IF($BP$1=1,DZ180,IF(RTD("tos.rtd",,BL$2,"."&amp;$C$134&amp;$AU$82&amp;"C"&amp;$A180)="N/A",0,RTD("tos.rtd",,BL$2,"."&amp;$C$134&amp;$AU$82&amp;"C"&amp;$A180)))</f>
        <v>3.7118696814365283E-4</v>
      </c>
      <c r="BM180" s="3">
        <f ca="1">IF($BP$1=1,EA180,-IF(RTD("tos.rtd",,BM$2,"."&amp;$C$134&amp;$AU$82&amp;"P"&amp;$A180)="N/A",0,RTD("tos.rtd",,BM$2,"."&amp;$C$134&amp;$AU$82&amp;"P"&amp;$A180)))</f>
        <v>-3.6022607166783584E-4</v>
      </c>
      <c r="BN180" s="3">
        <f ca="1">IF($BP$1=1,EB180,IF(RTD("tos.rtd",,BN$2,"."&amp;$D$134&amp;$AW$82&amp;"C"&amp;$A180)="N/A",0,RTD("tos.rtd",,BN$2,"."&amp;$D$134&amp;$AW$82&amp;"C"&amp;$A180)))</f>
        <v>3.8622050895938771E-4</v>
      </c>
      <c r="BO180" s="3">
        <f ca="1">IF($BP$1=1,EC180,-IF(RTD("tos.rtd",,BO$2,"."&amp;$D$134&amp;$AW$82&amp;"P"&amp;$A180)="N/A",0,RTD("tos.rtd",,BO$2,"."&amp;$D$134&amp;$AW$82&amp;"P"&amp;$A180)))</f>
        <v>-3.8225023048744732E-4</v>
      </c>
      <c r="BQ180" s="3" t="e">
        <f t="shared" ca="1" si="638"/>
        <v>#NUM!</v>
      </c>
      <c r="BR180" s="3" t="e">
        <f t="shared" ca="1" si="550"/>
        <v>#NUM!</v>
      </c>
      <c r="BS180" s="3">
        <f t="shared" ca="1" si="639"/>
        <v>2663590.996349256</v>
      </c>
      <c r="BT180" s="3" t="str">
        <f t="shared" ca="1" si="551"/>
        <v>Cruce +</v>
      </c>
      <c r="BU180" s="3">
        <f t="shared" ca="1" si="640"/>
        <v>-44783.759333231486</v>
      </c>
      <c r="BV180" s="3" t="str">
        <f t="shared" ca="1" si="551"/>
        <v/>
      </c>
      <c r="BX180" s="3" t="e">
        <f t="shared" ca="1" si="585"/>
        <v>#NUM!</v>
      </c>
      <c r="BY180" s="3" t="e">
        <f t="shared" ca="1" si="586"/>
        <v>#NUM!</v>
      </c>
      <c r="BZ180" s="3">
        <f t="shared" ca="1" si="587"/>
        <v>-532.092817096163</v>
      </c>
      <c r="CA180" s="3" t="str">
        <f t="shared" ca="1" si="586"/>
        <v/>
      </c>
      <c r="CB180" s="3">
        <f t="shared" ca="1" si="588"/>
        <v>-376.41658571800366</v>
      </c>
      <c r="CC180" s="3" t="str">
        <f t="shared" ca="1" si="586"/>
        <v/>
      </c>
      <c r="CD180" s="3">
        <f>IF(RTD("tos.rtd",,CD$43,"."&amp;$B$134&amp;$AS$82&amp;"C"&amp;$A180)="N/A",0,RTD("tos.rtd",,CD$43,"."&amp;$B$134&amp;$AS$82&amp;"C"&amp;$A180))</f>
        <v>0.98</v>
      </c>
      <c r="CE180" s="3">
        <f>-IF(RTD("tos.rtd",,CE$43,"."&amp;$B$134&amp;$AS$82&amp;"P"&amp;$A180)="N/A",0,RTD("tos.rtd",,CE$43,"."&amp;$B$134&amp;$AS$82&amp;"P"&amp;$A180))</f>
        <v>0.06</v>
      </c>
      <c r="CF180" s="3">
        <f>IF(RTD("tos.rtd",,CF$2,"."&amp;$C$134&amp;$AU$82&amp;"C"&amp;$A180)="N/A",0,RTD("tos.rtd",,CF$2,"."&amp;$C$134&amp;$AU$82&amp;"C"&amp;$A180))</f>
        <v>0.83</v>
      </c>
      <c r="CG180" s="3">
        <f>-IF(RTD("tos.rtd",,CG$2,"."&amp;$C$134&amp;$AU$82&amp;"P"&amp;$A180)="N/A",0,RTD("tos.rtd",,CG$2,"."&amp;$C$134&amp;$AU$82&amp;"P"&amp;$A180))</f>
        <v>0.18</v>
      </c>
      <c r="CH180" s="3">
        <f>IF(RTD("tos.rtd",,CH$2,"."&amp;$D$134&amp;$AW$82&amp;"C"&amp;$A180)="N/A",0,RTD("tos.rtd",,CH$2,"."&amp;$D$134&amp;$AW$82&amp;"C"&amp;$A180))</f>
        <v>0.68</v>
      </c>
      <c r="CI180" s="3">
        <f>-IF(RTD("tos.rtd",,CI$2,"."&amp;$D$134&amp;$AW$82&amp;"P"&amp;$A180)="N/A",0,RTD("tos.rtd",,CI$2,"."&amp;$D$134&amp;$AW$82&amp;"P"&amp;$A180))</f>
        <v>0.33</v>
      </c>
      <c r="CK180" s="3">
        <f t="shared" si="660"/>
        <v>38</v>
      </c>
      <c r="CL180" s="3"/>
      <c r="CM180" s="3">
        <f t="shared" si="661"/>
        <v>20719</v>
      </c>
      <c r="CN180" s="3"/>
      <c r="CO180" s="3">
        <f t="shared" si="662"/>
        <v>1023</v>
      </c>
      <c r="CP180" s="3">
        <f t="shared" si="542"/>
        <v>21780</v>
      </c>
      <c r="CQ180" s="3">
        <f t="shared" si="552"/>
        <v>-5</v>
      </c>
      <c r="CR180" s="3"/>
      <c r="CS180" s="3">
        <f t="shared" si="553"/>
        <v>-6</v>
      </c>
      <c r="CT180" s="3"/>
      <c r="CU180" s="3">
        <f t="shared" si="554"/>
        <v>-4</v>
      </c>
      <c r="CV180" s="3"/>
      <c r="CW180" s="3" t="e">
        <f t="shared" ca="1" si="555"/>
        <v>#NUM!</v>
      </c>
      <c r="CY180" s="3" t="e">
        <f t="shared" ca="1" si="556"/>
        <v>#NUM!</v>
      </c>
      <c r="CZ180" s="70" t="e">
        <f t="shared" ca="1" si="589"/>
        <v>#NUM!</v>
      </c>
      <c r="DA180" s="3">
        <f>IF(RTD("tos.rtd",,DA$43,"."&amp;$B$134&amp;$AS$82&amp;"C"&amp;$A180)="N/A",0,RTD("tos.rtd",,DA$43,"."&amp;$B$134&amp;$AS$82&amp;"C"&amp;$A180))</f>
        <v>647.70000000000005</v>
      </c>
      <c r="DB180" s="3">
        <f>IF(RTD("tos.rtd",,DB$43,"."&amp;$B$134&amp;$AS$82&amp;"P"&amp;$A180)="N/A",0,RTD("tos.rtd",,DB$43,"."&amp;$B$134&amp;$AS$82&amp;"P"&amp;$A180))</f>
        <v>1</v>
      </c>
      <c r="DC180" s="3">
        <f>IF(RTD("tos.rtd",,DC$43,"."&amp;$B$134&amp;$AS$82&amp;"C"&amp;$A180)="N/A",0,RTD("tos.rtd",,DC$43,"."&amp;$B$134&amp;$AS$82&amp;"C"&amp;$A180))</f>
        <v>622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555.70000000000005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90"/>
        <v>-586.44900000000052</v>
      </c>
      <c r="DH180" s="3">
        <f t="shared" si="557"/>
        <v>0</v>
      </c>
      <c r="DI180" s="3">
        <f t="shared" si="558"/>
        <v>0</v>
      </c>
      <c r="DJ180" s="3">
        <f t="shared" si="559"/>
        <v>0</v>
      </c>
      <c r="DK180" s="3">
        <f t="shared" si="560"/>
        <v>0</v>
      </c>
      <c r="DL180" s="3">
        <f t="shared" si="561"/>
        <v>0</v>
      </c>
      <c r="DM180" s="3">
        <f t="shared" si="562"/>
        <v>0</v>
      </c>
      <c r="DN180" s="64" t="str">
        <f t="shared" si="563"/>
        <v>UNKNOWN</v>
      </c>
      <c r="DO180" s="64" t="str">
        <f t="shared" si="564"/>
        <v>UNKNOWN</v>
      </c>
      <c r="DP180" s="3">
        <f t="shared" si="565"/>
        <v>0</v>
      </c>
      <c r="DQ180" s="3">
        <f t="shared" si="566"/>
        <v>0</v>
      </c>
      <c r="DR180" s="3" t="e">
        <f t="shared" ca="1" si="567"/>
        <v>#NUM!</v>
      </c>
      <c r="DS180" s="3">
        <f t="shared" si="568"/>
        <v>0</v>
      </c>
      <c r="DT180" s="3">
        <f t="shared" si="591"/>
        <v>0</v>
      </c>
      <c r="DU180" s="3">
        <f t="shared" si="592"/>
        <v>0</v>
      </c>
      <c r="DV180" s="3">
        <f t="shared" si="569"/>
        <v>0</v>
      </c>
      <c r="DW180" s="3">
        <f t="shared" si="570"/>
        <v>0</v>
      </c>
      <c r="DX180" s="3" t="e">
        <f t="shared" ca="1" si="654"/>
        <v>#NUM!</v>
      </c>
      <c r="DY180" s="3" t="e">
        <f t="shared" ca="1" si="655"/>
        <v>#NUM!</v>
      </c>
      <c r="DZ180" s="3">
        <f t="shared" ca="1" si="656"/>
        <v>3.7118696814365283E-4</v>
      </c>
      <c r="EA180" s="3">
        <f t="shared" ca="1" si="657"/>
        <v>-3.6022607166783584E-4</v>
      </c>
      <c r="EB180" s="3">
        <f t="shared" ca="1" si="658"/>
        <v>3.8622050895938771E-4</v>
      </c>
      <c r="EC180" s="3">
        <f t="shared" ca="1" si="659"/>
        <v>-3.8225023048744732E-4</v>
      </c>
      <c r="ED180" s="63">
        <f t="shared" si="593"/>
        <v>0</v>
      </c>
      <c r="EE180" s="59">
        <f t="shared" si="577"/>
        <v>1.9468000000000001</v>
      </c>
      <c r="EF180" s="59">
        <f t="shared" si="578"/>
        <v>2.5354999999999999</v>
      </c>
      <c r="EG180" s="59">
        <f t="shared" si="579"/>
        <v>0.28589999999999999</v>
      </c>
      <c r="EH180" s="59">
        <f t="shared" si="580"/>
        <v>0.30680000000000002</v>
      </c>
      <c r="EI180" s="59">
        <f t="shared" si="581"/>
        <v>0.24940000000000001</v>
      </c>
      <c r="EJ180" s="59">
        <f t="shared" si="582"/>
        <v>0.2611</v>
      </c>
      <c r="EK180" s="63" t="e">
        <f t="shared" ca="1" si="594"/>
        <v>#NUM!</v>
      </c>
      <c r="EL180" s="3" t="str">
        <f>RTD("tos.rtd",,EL$43,"."&amp;$B$134&amp;$AS$82&amp;"C"&amp;$A180)</f>
        <v>194.68%</v>
      </c>
      <c r="EM180" s="3" t="str">
        <f>RTD("tos.rtd",,EM$43,"."&amp;$B$134&amp;$AS$82&amp;"P"&amp;$A180)</f>
        <v>253.55%</v>
      </c>
      <c r="EN180" s="3" t="str">
        <f>RTD("tos.rtd",,EN$2,"."&amp;$C$134&amp;$AU$82&amp;"C"&amp;$A180)</f>
        <v>28.59%</v>
      </c>
      <c r="EO180" s="3" t="str">
        <f>RTD("tos.rtd",,EO$2,"."&amp;$C$134&amp;$AU$82&amp;"P"&amp;$A180)</f>
        <v>30.68%</v>
      </c>
      <c r="EP180" s="3" t="str">
        <f>RTD("tos.rtd",,EP$2,"."&amp;$D$134&amp;$AW$82&amp;"C"&amp;$A180)</f>
        <v>24.94%</v>
      </c>
      <c r="EQ180" s="3" t="str">
        <f>RTD("tos.rtd",,EQ$2,"."&amp;$D$134&amp;$AW$82&amp;"P"&amp;$A180)</f>
        <v>26.11%</v>
      </c>
      <c r="ES180" s="63" t="str">
        <f t="shared" si="583"/>
        <v>19475,00.00</v>
      </c>
      <c r="ET180" s="63" t="str">
        <f t="shared" ca="1" si="584"/>
        <v>19475,00.00</v>
      </c>
      <c r="EU180" s="68">
        <v>565.41</v>
      </c>
      <c r="EV180" s="68" t="s">
        <v>1459</v>
      </c>
      <c r="EW180" s="68">
        <v>489.11</v>
      </c>
      <c r="EX180" s="68" t="s">
        <v>1460</v>
      </c>
      <c r="EY180" s="68">
        <v>5663.94</v>
      </c>
      <c r="EZ180" s="68" t="s">
        <v>1461</v>
      </c>
      <c r="FA180" s="68">
        <v>20063.564999999999</v>
      </c>
      <c r="FB180" s="68" t="s">
        <v>1462</v>
      </c>
      <c r="FC180" s="68" t="s">
        <v>1463</v>
      </c>
      <c r="FD180" s="68" t="s">
        <v>1464</v>
      </c>
      <c r="FE180" s="68" t="s">
        <v>1465</v>
      </c>
      <c r="FF180" s="68" t="s">
        <v>1466</v>
      </c>
    </row>
    <row r="181" spans="1:162" ht="11.1" customHeight="1" thickBot="1" x14ac:dyDescent="0.25">
      <c r="A181" s="2">
        <f t="shared" si="595"/>
        <v>19450</v>
      </c>
      <c r="B181" s="3">
        <f t="shared" si="631"/>
        <v>26</v>
      </c>
      <c r="C181" s="3">
        <f t="shared" si="632"/>
        <v>40</v>
      </c>
      <c r="D181" s="3">
        <f t="shared" si="633"/>
        <v>182</v>
      </c>
      <c r="E181" s="3">
        <f t="shared" si="634"/>
        <v>248</v>
      </c>
      <c r="F181" s="4">
        <f t="shared" si="635"/>
        <v>19847.795515667884</v>
      </c>
      <c r="G181" s="5">
        <f t="shared" si="636"/>
        <v>481.04733112747738</v>
      </c>
      <c r="AM181" s="1">
        <v>0</v>
      </c>
      <c r="AN181" s="1">
        <v>4</v>
      </c>
      <c r="AO181" s="1">
        <v>19450</v>
      </c>
      <c r="AP181" s="1">
        <v>0</v>
      </c>
      <c r="AQ181" s="1">
        <v>-29</v>
      </c>
      <c r="AS181" s="54">
        <f>IF(RTD("tos.rtd",,AS$83,"."&amp;$B$134&amp;$AS$82&amp;"C"&amp;$A181)="N/A",0,RTD("tos.rtd",,AS$83,"."&amp;$B$134&amp;$AS$82&amp;"C"&amp;$A181))</f>
        <v>8</v>
      </c>
      <c r="AT181" s="3">
        <f>-IF(RTD("tos.rtd",,AT$83,"."&amp;$B$134&amp;$AS$82&amp;"P"&amp;$A181)="N/A",0,RTD("tos.rtd",,AT$83,"."&amp;$B$134&amp;$AS$82&amp;"P"&amp;$A181))</f>
        <v>-18</v>
      </c>
      <c r="AU181" s="54">
        <f>IF(RTD("tos.rtd",,AU$2,"."&amp;$C$134&amp;$AU$134&amp;"C"&amp;$A181)="N/A",0,RTD("tos.rtd",,AU$2,"."&amp;$C$134&amp;$AU$134&amp;"C"&amp;$A181))</f>
        <v>25</v>
      </c>
      <c r="AV181" s="3">
        <f>-IF(RTD("tos.rtd",,AV$2,"."&amp;$C$134&amp;$AU$134&amp;"P"&amp;$A181)="N/A",0,RTD("tos.rtd",,AV$2,"."&amp;$C$134&amp;$AU$134&amp;"P"&amp;$A181))</f>
        <v>-15</v>
      </c>
      <c r="AW181" s="54">
        <f>IF(RTD("tos.rtd",,AW$2,"."&amp;$D$134&amp;$AW$134&amp;"C"&amp;$A181)="N/A",0,RTD("tos.rtd",,AW$2,"."&amp;$D$134&amp;$AW$134&amp;"C"&amp;$A181))</f>
        <v>94</v>
      </c>
      <c r="AX181" s="3">
        <f>-IF(RTD("tos.rtd",,AX$2,"."&amp;$D$134&amp;$AW$134&amp;"P"&amp;$A181)="N/A",0,RTD("tos.rtd",,AX$2,"."&amp;$D$134&amp;$AW$134&amp;"P"&amp;$A181))</f>
        <v>-88</v>
      </c>
      <c r="AY181" s="76">
        <f t="shared" si="637"/>
        <v>6</v>
      </c>
      <c r="AZ181" s="8">
        <f t="shared" si="548"/>
        <v>19450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-29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-3</v>
      </c>
      <c r="BE181" s="54">
        <f>IF(RTD("tos.rtd",,BE$2,"."&amp;$D$134&amp;$AW$82&amp;"C"&amp;$A181)="N/A",0,RTD("tos.rtd",,BE$2,"."&amp;$D$134&amp;$AW$82&amp;"C"&amp;$A181))</f>
        <v>0</v>
      </c>
      <c r="BF181" s="3">
        <f>-IF(RTD("tos.rtd",,BF$2,"."&amp;$D$134&amp;$AW$82&amp;"P"&amp;$A181)="N/A",0,RTD("tos.rtd",,BF$2,"."&amp;$D$134&amp;$AW$82&amp;"P"&amp;$A181))</f>
        <v>-4</v>
      </c>
      <c r="BG181" s="3">
        <f ca="1">+Hoja2!Y182</f>
        <v>-3</v>
      </c>
      <c r="BH181" s="7">
        <f t="shared" ca="1" si="549"/>
        <v>-39</v>
      </c>
      <c r="BI181" s="32" t="str">
        <f t="shared" ca="1" si="609"/>
        <v/>
      </c>
      <c r="BJ181" s="3" t="e">
        <f ca="1">IF($BP$1=1,DX181,IF(RTD("tos.rtd",,BJ$43,"."&amp;$B$134&amp;$AS$82&amp;"C"&amp;$A181)="N/A",0,RTD("tos.rtd",,BJ$43,"."&amp;$B$134&amp;$AS$82&amp;"C"&amp;$A181)))</f>
        <v>#NUM!</v>
      </c>
      <c r="BK181" s="3" t="e">
        <f ca="1">IF($BP$1=1,DY181,-IF(RTD("tos.rtd",,BK$43,"."&amp;$B$134&amp;$AS$82&amp;"P"&amp;$A181)="N/A",0,RTD("tos.rtd",,BK$43,"."&amp;$B$134&amp;$AS$82&amp;"P"&amp;$A181)))</f>
        <v>#NUM!</v>
      </c>
      <c r="BL181" s="3">
        <f ca="1">IF($BP$1=1,DZ181,IF(RTD("tos.rtd",,BL$2,"."&amp;$C$134&amp;$AU$82&amp;"C"&amp;$A181)="N/A",0,RTD("tos.rtd",,BL$2,"."&amp;$C$134&amp;$AU$82&amp;"C"&amp;$A181)))</f>
        <v>3.6129793299022805E-4</v>
      </c>
      <c r="BM181" s="3">
        <f ca="1">IF($BP$1=1,EA181,-IF(RTD("tos.rtd",,BM$2,"."&amp;$C$134&amp;$AU$82&amp;"P"&amp;$A181)="N/A",0,RTD("tos.rtd",,BM$2,"."&amp;$C$134&amp;$AU$82&amp;"P"&amp;$A181)))</f>
        <v>-3.5148891511410516E-4</v>
      </c>
      <c r="BN181" s="3">
        <f ca="1">IF($BP$1=1,EB181,IF(RTD("tos.rtd",,BN$2,"."&amp;$D$134&amp;$AW$82&amp;"C"&amp;$A181)="N/A",0,RTD("tos.rtd",,BN$2,"."&amp;$D$134&amp;$AW$82&amp;"C"&amp;$A181)))</f>
        <v>3.7251577322593127E-4</v>
      </c>
      <c r="BO181" s="3">
        <f ca="1">IF($BP$1=1,EC181,-IF(RTD("tos.rtd",,BO$2,"."&amp;$D$134&amp;$AW$82&amp;"P"&amp;$A181)="N/A",0,RTD("tos.rtd",,BO$2,"."&amp;$D$134&amp;$AW$82&amp;"P"&amp;$A181)))</f>
        <v>-3.6982070319424603E-4</v>
      </c>
      <c r="BQ181" s="3" t="e">
        <f t="shared" ca="1" si="638"/>
        <v>#NUM!</v>
      </c>
      <c r="BR181" s="3" t="e">
        <f t="shared" ca="1" si="550"/>
        <v>#NUM!</v>
      </c>
      <c r="BS181" s="3">
        <f t="shared" ca="1" si="639"/>
        <v>120453.69644280677</v>
      </c>
      <c r="BT181" s="3" t="str">
        <f t="shared" ca="1" si="551"/>
        <v/>
      </c>
      <c r="BU181" s="3">
        <f t="shared" ca="1" si="640"/>
        <v>79197.839433880872</v>
      </c>
      <c r="BV181" s="3" t="str">
        <f t="shared" ca="1" si="551"/>
        <v>Cruce +</v>
      </c>
      <c r="BX181" s="3" t="e">
        <f t="shared" ca="1" si="585"/>
        <v>#NUM!</v>
      </c>
      <c r="BY181" s="3" t="e">
        <f t="shared" ca="1" si="586"/>
        <v>#NUM!</v>
      </c>
      <c r="BZ181" s="3">
        <f t="shared" ca="1" si="587"/>
        <v>-259.59354656815856</v>
      </c>
      <c r="CA181" s="3" t="str">
        <f t="shared" ca="1" si="586"/>
        <v/>
      </c>
      <c r="CB181" s="3">
        <f t="shared" ca="1" si="588"/>
        <v>-364.17674947296257</v>
      </c>
      <c r="CC181" s="3" t="str">
        <f t="shared" ca="1" si="586"/>
        <v/>
      </c>
      <c r="CD181" s="3">
        <f>IF(RTD("tos.rtd",,CD$43,"."&amp;$B$134&amp;$AS$82&amp;"C"&amp;$A181)="N/A",0,RTD("tos.rtd",,CD$43,"."&amp;$B$134&amp;$AS$82&amp;"C"&amp;$A181))</f>
        <v>0.98</v>
      </c>
      <c r="CE181" s="3">
        <f>-IF(RTD("tos.rtd",,CE$43,"."&amp;$B$134&amp;$AS$82&amp;"P"&amp;$A181)="N/A",0,RTD("tos.rtd",,CE$43,"."&amp;$B$134&amp;$AS$82&amp;"P"&amp;$A181))</f>
        <v>0.06</v>
      </c>
      <c r="CF181" s="3">
        <f>IF(RTD("tos.rtd",,CF$2,"."&amp;$C$134&amp;$AU$82&amp;"C"&amp;$A181)="N/A",0,RTD("tos.rtd",,CF$2,"."&amp;$C$134&amp;$AU$82&amp;"C"&amp;$A181))</f>
        <v>0.84</v>
      </c>
      <c r="CG181" s="3">
        <f>-IF(RTD("tos.rtd",,CG$2,"."&amp;$C$134&amp;$AU$82&amp;"P"&amp;$A181)="N/A",0,RTD("tos.rtd",,CG$2,"."&amp;$C$134&amp;$AU$82&amp;"P"&amp;$A181))</f>
        <v>0.17</v>
      </c>
      <c r="CH181" s="3">
        <f>IF(RTD("tos.rtd",,CH$2,"."&amp;$D$134&amp;$AW$82&amp;"C"&amp;$A181)="N/A",0,RTD("tos.rtd",,CH$2,"."&amp;$D$134&amp;$AW$82&amp;"C"&amp;$A181))</f>
        <v>0.68</v>
      </c>
      <c r="CI181" s="3">
        <f>-IF(RTD("tos.rtd",,CI$2,"."&amp;$D$134&amp;$AW$82&amp;"P"&amp;$A181)="N/A",0,RTD("tos.rtd",,CI$2,"."&amp;$D$134&amp;$AW$82&amp;"P"&amp;$A181))</f>
        <v>0.32</v>
      </c>
      <c r="CK181" s="3">
        <f t="shared" si="660"/>
        <v>676</v>
      </c>
      <c r="CL181" s="3"/>
      <c r="CM181" s="3">
        <f t="shared" si="661"/>
        <v>1845</v>
      </c>
      <c r="CN181" s="3"/>
      <c r="CO181" s="3">
        <f t="shared" si="662"/>
        <v>3576</v>
      </c>
      <c r="CP181" s="3">
        <f t="shared" si="542"/>
        <v>6097</v>
      </c>
      <c r="CQ181" s="3">
        <f t="shared" si="552"/>
        <v>-29</v>
      </c>
      <c r="CR181" s="3"/>
      <c r="CS181" s="3">
        <f t="shared" si="553"/>
        <v>-3</v>
      </c>
      <c r="CT181" s="3"/>
      <c r="CU181" s="3">
        <f t="shared" si="554"/>
        <v>-4</v>
      </c>
      <c r="CV181" s="3"/>
      <c r="CW181" s="3" t="e">
        <f t="shared" ca="1" si="555"/>
        <v>#NUM!</v>
      </c>
      <c r="CY181" s="3" t="e">
        <f t="shared" ca="1" si="556"/>
        <v>#NUM!</v>
      </c>
      <c r="CZ181" s="70" t="e">
        <f t="shared" ca="1" si="589"/>
        <v>#NUM!</v>
      </c>
      <c r="DA181" s="3">
        <f>IF(RTD("tos.rtd",,DA$43,"."&amp;$B$134&amp;$AS$82&amp;"C"&amp;$A181)="N/A",0,RTD("tos.rtd",,DA$43,"."&amp;$B$134&amp;$AS$82&amp;"C"&amp;$A181))</f>
        <v>802.02</v>
      </c>
      <c r="DB181" s="3">
        <f>IF(RTD("tos.rtd",,DB$43,"."&amp;$B$134&amp;$AS$82&amp;"P"&amp;$A181)="N/A",0,RTD("tos.rtd",,DB$43,"."&amp;$B$134&amp;$AS$82&amp;"P"&amp;$A181))</f>
        <v>0.21</v>
      </c>
      <c r="DC181" s="3">
        <f>IF(RTD("tos.rtd",,DC$43,"."&amp;$B$134&amp;$AS$82&amp;"C"&amp;$A181)="N/A",0,RTD("tos.rtd",,DC$43,"."&amp;$B$134&amp;$AS$82&amp;"C"&amp;$A181))</f>
        <v>648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580.70000000000005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90"/>
        <v>-611.44900000000052</v>
      </c>
      <c r="DH181" s="3">
        <f t="shared" si="557"/>
        <v>0</v>
      </c>
      <c r="DI181" s="3">
        <f t="shared" si="558"/>
        <v>0</v>
      </c>
      <c r="DJ181" s="3">
        <f t="shared" si="559"/>
        <v>0</v>
      </c>
      <c r="DK181" s="3">
        <f t="shared" si="560"/>
        <v>0</v>
      </c>
      <c r="DL181" s="3">
        <f t="shared" si="561"/>
        <v>0</v>
      </c>
      <c r="DM181" s="3">
        <f t="shared" si="562"/>
        <v>0</v>
      </c>
      <c r="DN181" s="64" t="str">
        <f t="shared" si="563"/>
        <v>UNKNOWN</v>
      </c>
      <c r="DO181" s="64" t="str">
        <f t="shared" si="564"/>
        <v>UNKNOWN</v>
      </c>
      <c r="DP181" s="3">
        <f t="shared" si="565"/>
        <v>0</v>
      </c>
      <c r="DQ181" s="3">
        <f t="shared" si="566"/>
        <v>0</v>
      </c>
      <c r="DR181" s="3" t="e">
        <f t="shared" ca="1" si="567"/>
        <v>#NUM!</v>
      </c>
      <c r="DS181" s="3">
        <f t="shared" si="568"/>
        <v>0</v>
      </c>
      <c r="DT181" s="3">
        <f t="shared" si="591"/>
        <v>0</v>
      </c>
      <c r="DU181" s="3">
        <f t="shared" si="592"/>
        <v>0</v>
      </c>
      <c r="DV181" s="3">
        <f t="shared" si="569"/>
        <v>0</v>
      </c>
      <c r="DW181" s="3">
        <f t="shared" si="570"/>
        <v>4</v>
      </c>
      <c r="DX181" s="3" t="e">
        <f t="shared" ca="1" si="654"/>
        <v>#NUM!</v>
      </c>
      <c r="DY181" s="3" t="e">
        <f t="shared" ca="1" si="655"/>
        <v>#NUM!</v>
      </c>
      <c r="DZ181" s="3">
        <f t="shared" ca="1" si="656"/>
        <v>3.6129793299022805E-4</v>
      </c>
      <c r="EA181" s="3">
        <f t="shared" ca="1" si="657"/>
        <v>-3.5148891511410516E-4</v>
      </c>
      <c r="EB181" s="3">
        <f t="shared" ca="1" si="658"/>
        <v>3.7251577322593127E-4</v>
      </c>
      <c r="EC181" s="3">
        <f t="shared" ca="1" si="659"/>
        <v>-3.6982070319424603E-4</v>
      </c>
      <c r="ED181" s="63">
        <f t="shared" si="593"/>
        <v>4</v>
      </c>
      <c r="EE181" s="59">
        <f t="shared" si="577"/>
        <v>2.0800999999999998</v>
      </c>
      <c r="EF181" s="59">
        <f t="shared" si="578"/>
        <v>2.6215000000000002</v>
      </c>
      <c r="EG181" s="59">
        <f t="shared" si="579"/>
        <v>0.28570000000000001</v>
      </c>
      <c r="EH181" s="59">
        <f t="shared" si="580"/>
        <v>0.30740000000000001</v>
      </c>
      <c r="EI181" s="59">
        <f t="shared" si="581"/>
        <v>0.2505</v>
      </c>
      <c r="EJ181" s="59">
        <f t="shared" si="582"/>
        <v>0.26179999999999998</v>
      </c>
      <c r="EK181" s="63" t="e">
        <f t="shared" ca="1" si="594"/>
        <v>#NUM!</v>
      </c>
      <c r="EL181" s="3" t="str">
        <f>RTD("tos.rtd",,EL$43,"."&amp;$B$134&amp;$AS$82&amp;"C"&amp;$A181)</f>
        <v>208.01%</v>
      </c>
      <c r="EM181" s="3" t="str">
        <f>RTD("tos.rtd",,EM$43,"."&amp;$B$134&amp;$AS$82&amp;"P"&amp;$A181)</f>
        <v>262.15%</v>
      </c>
      <c r="EN181" s="3" t="str">
        <f>RTD("tos.rtd",,EN$2,"."&amp;$C$134&amp;$AU$82&amp;"C"&amp;$A181)</f>
        <v>28.57%</v>
      </c>
      <c r="EO181" s="3" t="str">
        <f>RTD("tos.rtd",,EO$2,"."&amp;$C$134&amp;$AU$82&amp;"P"&amp;$A181)</f>
        <v>30.74%</v>
      </c>
      <c r="EP181" s="3" t="str">
        <f>RTD("tos.rtd",,EP$2,"."&amp;$D$134&amp;$AW$82&amp;"C"&amp;$A181)</f>
        <v>25.05%</v>
      </c>
      <c r="EQ181" s="3" t="str">
        <f>RTD("tos.rtd",,EQ$2,"."&amp;$D$134&amp;$AW$82&amp;"P"&amp;$A181)</f>
        <v>26.18%</v>
      </c>
      <c r="ES181" s="63" t="str">
        <f t="shared" si="583"/>
        <v>19450,04.00</v>
      </c>
      <c r="ET181" s="63" t="str">
        <f t="shared" ca="1" si="584"/>
        <v>19450,00.00</v>
      </c>
      <c r="EU181" s="68">
        <v>565.41</v>
      </c>
      <c r="EV181" s="68" t="s">
        <v>1467</v>
      </c>
      <c r="EW181" s="68">
        <v>489.12</v>
      </c>
      <c r="EX181" s="68" t="s">
        <v>1468</v>
      </c>
      <c r="EY181" s="68">
        <v>5663.94</v>
      </c>
      <c r="EZ181" s="68" t="s">
        <v>1469</v>
      </c>
      <c r="FA181" s="68">
        <v>20063.564999999999</v>
      </c>
      <c r="FB181" s="68" t="s">
        <v>1470</v>
      </c>
      <c r="FC181" s="68" t="s">
        <v>1471</v>
      </c>
      <c r="FD181" s="68" t="s">
        <v>1472</v>
      </c>
      <c r="FE181" s="68" t="s">
        <v>1473</v>
      </c>
      <c r="FF181" s="68" t="s">
        <v>1474</v>
      </c>
    </row>
    <row r="182" spans="1:162" ht="11.1" customHeight="1" thickBot="1" x14ac:dyDescent="0.25">
      <c r="A182" s="2">
        <f t="shared" si="595"/>
        <v>19425</v>
      </c>
      <c r="B182" s="3">
        <f t="shared" si="628"/>
        <v>37</v>
      </c>
      <c r="C182" s="3">
        <f t="shared" si="629"/>
        <v>61</v>
      </c>
      <c r="D182" s="3">
        <f t="shared" si="630"/>
        <v>85</v>
      </c>
      <c r="E182" s="3">
        <f t="shared" ref="E182:E189" si="663">SUM(B182:D182)</f>
        <v>183</v>
      </c>
      <c r="F182" s="4">
        <f t="shared" si="623"/>
        <v>19822.284210377824</v>
      </c>
      <c r="G182" s="5">
        <f t="shared" ref="G182:G189" si="664">+$G$136/$A$136*A182</f>
        <v>480.42901836253202</v>
      </c>
      <c r="AM182" s="1">
        <v>0</v>
      </c>
      <c r="AN182" s="1">
        <v>-23</v>
      </c>
      <c r="AO182" s="1">
        <v>19425</v>
      </c>
      <c r="AP182" s="1">
        <v>0</v>
      </c>
      <c r="AQ182" s="1">
        <v>-26</v>
      </c>
      <c r="AS182" s="54">
        <f>IF(RTD("tos.rtd",,AS$83,"."&amp;$B$134&amp;$AS$82&amp;"C"&amp;$A182)="N/A",0,RTD("tos.rtd",,AS$83,"."&amp;$B$134&amp;$AS$82&amp;"C"&amp;$A182))</f>
        <v>1</v>
      </c>
      <c r="AT182" s="3">
        <f>-IF(RTD("tos.rtd",,AT$83,"."&amp;$B$134&amp;$AS$82&amp;"P"&amp;$A182)="N/A",0,RTD("tos.rtd",,AT$83,"."&amp;$B$134&amp;$AS$82&amp;"P"&amp;$A182))</f>
        <v>-36</v>
      </c>
      <c r="AU182" s="54">
        <f>IF(RTD("tos.rtd",,AU$2,"."&amp;$C$134&amp;$AU$134&amp;"C"&amp;$A182)="N/A",0,RTD("tos.rtd",,AU$2,"."&amp;$C$134&amp;$AU$134&amp;"C"&amp;$A182))</f>
        <v>33</v>
      </c>
      <c r="AV182" s="3">
        <f>-IF(RTD("tos.rtd",,AV$2,"."&amp;$C$134&amp;$AU$134&amp;"P"&amp;$A182)="N/A",0,RTD("tos.rtd",,AV$2,"."&amp;$C$134&amp;$AU$134&amp;"P"&amp;$A182))</f>
        <v>-28</v>
      </c>
      <c r="AW182" s="54">
        <f>IF(RTD("tos.rtd",,AW$2,"."&amp;$D$134&amp;$AW$134&amp;"C"&amp;$A182)="N/A",0,RTD("tos.rtd",,AW$2,"."&amp;$D$134&amp;$AW$134&amp;"C"&amp;$A182))</f>
        <v>43</v>
      </c>
      <c r="AX182" s="3">
        <f>-IF(RTD("tos.rtd",,AX$2,"."&amp;$D$134&amp;$AW$134&amp;"P"&amp;$A182)="N/A",0,RTD("tos.rtd",,AX$2,"."&amp;$D$134&amp;$AW$134&amp;"P"&amp;$A182))</f>
        <v>-42</v>
      </c>
      <c r="AY182" s="76">
        <f t="shared" si="624"/>
        <v>-29</v>
      </c>
      <c r="AZ182" s="8">
        <f t="shared" si="548"/>
        <v>19425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-26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-13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-3</v>
      </c>
      <c r="BG182" s="3">
        <f ca="1">+Hoja2!Y183</f>
        <v>-8</v>
      </c>
      <c r="BH182" s="7">
        <f t="shared" ca="1" si="549"/>
        <v>-50</v>
      </c>
      <c r="BI182" s="32" t="str">
        <f t="shared" ca="1" si="609"/>
        <v/>
      </c>
      <c r="BJ182" s="3" t="e">
        <f ca="1">IF($BP$1=1,DX182,IF(RTD("tos.rtd",,BJ$43,"."&amp;$B$134&amp;$AS$82&amp;"C"&amp;$A182)="N/A",0,RTD("tos.rtd",,BJ$43,"."&amp;$B$134&amp;$AS$82&amp;"C"&amp;$A182)))</f>
        <v>#NUM!</v>
      </c>
      <c r="BK182" s="3" t="e">
        <f ca="1">IF($BP$1=1,DY182,-IF(RTD("tos.rtd",,BK$43,"."&amp;$B$134&amp;$AS$82&amp;"P"&amp;$A182)="N/A",0,RTD("tos.rtd",,BK$43,"."&amp;$B$134&amp;$AS$82&amp;"P"&amp;$A182)))</f>
        <v>#NUM!</v>
      </c>
      <c r="BL182" s="3">
        <f ca="1">IF($BP$1=1,DZ182,IF(RTD("tos.rtd",,BL$2,"."&amp;$C$134&amp;$AU$82&amp;"C"&amp;$A182)="N/A",0,RTD("tos.rtd",,BL$2,"."&amp;$C$134&amp;$AU$82&amp;"C"&amp;$A182)))</f>
        <v>3.5124557314562978E-4</v>
      </c>
      <c r="BM182" s="3">
        <f ca="1">IF($BP$1=1,EA182,-IF(RTD("tos.rtd",,BM$2,"."&amp;$C$134&amp;$AU$82&amp;"P"&amp;$A182)="N/A",0,RTD("tos.rtd",,BM$2,"."&amp;$C$134&amp;$AU$82&amp;"P"&amp;$A182)))</f>
        <v>-3.4247964916863836E-4</v>
      </c>
      <c r="BN182" s="3">
        <f ca="1">IF($BP$1=1,EB182,IF(RTD("tos.rtd",,BN$2,"."&amp;$D$134&amp;$AW$82&amp;"C"&amp;$A182)="N/A",0,RTD("tos.rtd",,BN$2,"."&amp;$D$134&amp;$AW$82&amp;"C"&amp;$A182)))</f>
        <v>3.5903009623156084E-4</v>
      </c>
      <c r="BO182" s="3">
        <f ca="1">IF($BP$1=1,EC182,-IF(RTD("tos.rtd",,BO$2,"."&amp;$D$134&amp;$AW$82&amp;"P"&amp;$A182)="N/A",0,RTD("tos.rtd",,BO$2,"."&amp;$D$134&amp;$AW$82&amp;"P"&amp;$A182)))</f>
        <v>-3.5735460918397209E-4</v>
      </c>
      <c r="BQ182" s="3" t="e">
        <f t="shared" ca="1" si="625"/>
        <v>#NUM!</v>
      </c>
      <c r="BR182" s="3" t="e">
        <f t="shared" ca="1" si="550"/>
        <v>#NUM!</v>
      </c>
      <c r="BS182" s="3">
        <f t="shared" ca="1" si="626"/>
        <v>64122.779882735456</v>
      </c>
      <c r="BT182" s="3" t="str">
        <f t="shared" ca="1" si="551"/>
        <v/>
      </c>
      <c r="BU182" s="3">
        <f t="shared" ca="1" si="627"/>
        <v>13755.666861224105</v>
      </c>
      <c r="BV182" s="3" t="str">
        <f t="shared" ca="1" si="551"/>
        <v/>
      </c>
      <c r="BX182" s="3" t="e">
        <f t="shared" ca="1" si="585"/>
        <v>#NUM!</v>
      </c>
      <c r="BY182" s="3" t="e">
        <f t="shared" ca="1" si="586"/>
        <v>#NUM!</v>
      </c>
      <c r="BZ182" s="3">
        <f t="shared" ca="1" si="587"/>
        <v>-1096.0721074624021</v>
      </c>
      <c r="CA182" s="3" t="str">
        <f t="shared" ca="1" si="586"/>
        <v/>
      </c>
      <c r="CB182" s="3">
        <f t="shared" ca="1" si="588"/>
        <v>-263.92567842553524</v>
      </c>
      <c r="CC182" s="3" t="str">
        <f t="shared" ca="1" si="586"/>
        <v/>
      </c>
      <c r="CD182" s="3">
        <f>IF(RTD("tos.rtd",,CD$43,"."&amp;$B$134&amp;$AS$82&amp;"C"&amp;$A182)="N/A",0,RTD("tos.rtd",,CD$43,"."&amp;$B$134&amp;$AS$82&amp;"C"&amp;$A182))</f>
        <v>0.98</v>
      </c>
      <c r="CE182" s="3">
        <f>-IF(RTD("tos.rtd",,CE$43,"."&amp;$B$134&amp;$AS$82&amp;"P"&amp;$A182)="N/A",0,RTD("tos.rtd",,CE$43,"."&amp;$B$134&amp;$AS$82&amp;"P"&amp;$A182))</f>
        <v>0.06</v>
      </c>
      <c r="CF182" s="3">
        <f>IF(RTD("tos.rtd",,CF$2,"."&amp;$C$134&amp;$AU$82&amp;"C"&amp;$A182)="N/A",0,RTD("tos.rtd",,CF$2,"."&amp;$C$134&amp;$AU$82&amp;"C"&amp;$A182))</f>
        <v>0.85</v>
      </c>
      <c r="CG182" s="3">
        <f>-IF(RTD("tos.rtd",,CG$2,"."&amp;$C$134&amp;$AU$82&amp;"P"&amp;$A182)="N/A",0,RTD("tos.rtd",,CG$2,"."&amp;$C$134&amp;$AU$82&amp;"P"&amp;$A182))</f>
        <v>0.17</v>
      </c>
      <c r="CH182" s="3">
        <f>IF(RTD("tos.rtd",,CH$2,"."&amp;$D$134&amp;$AW$82&amp;"C"&amp;$A182)="N/A",0,RTD("tos.rtd",,CH$2,"."&amp;$D$134&amp;$AW$82&amp;"C"&amp;$A182))</f>
        <v>0.69</v>
      </c>
      <c r="CI182" s="3">
        <f>-IF(RTD("tos.rtd",,CI$2,"."&amp;$D$134&amp;$AW$82&amp;"P"&amp;$A182)="N/A",0,RTD("tos.rtd",,CI$2,"."&amp;$D$134&amp;$AW$82&amp;"P"&amp;$A182))</f>
        <v>0.32</v>
      </c>
      <c r="CK182" s="3">
        <f t="shared" si="660"/>
        <v>-118</v>
      </c>
      <c r="CL182" s="3"/>
      <c r="CM182" s="3">
        <f t="shared" si="661"/>
        <v>2329</v>
      </c>
      <c r="CN182" s="3"/>
      <c r="CO182" s="3">
        <f t="shared" si="662"/>
        <v>1623</v>
      </c>
      <c r="CP182" s="3">
        <f t="shared" si="542"/>
        <v>3834</v>
      </c>
      <c r="CQ182" s="3">
        <f t="shared" si="552"/>
        <v>-26</v>
      </c>
      <c r="CR182" s="3"/>
      <c r="CS182" s="3">
        <f t="shared" si="553"/>
        <v>-13</v>
      </c>
      <c r="CT182" s="3"/>
      <c r="CU182" s="3">
        <f t="shared" si="554"/>
        <v>-3</v>
      </c>
      <c r="CV182" s="3"/>
      <c r="CW182" s="3" t="e">
        <f t="shared" ca="1" si="555"/>
        <v>#NUM!</v>
      </c>
      <c r="CY182" s="3" t="e">
        <f t="shared" ca="1" si="556"/>
        <v>#NUM!</v>
      </c>
      <c r="CZ182" s="70" t="e">
        <f t="shared" ca="1" si="589"/>
        <v>#NUM!</v>
      </c>
      <c r="DA182" s="3">
        <f>IF(RTD("tos.rtd",,DA$43,"."&amp;$B$134&amp;$AS$82&amp;"C"&amp;$A182)="N/A",0,RTD("tos.rtd",,DA$43,"."&amp;$B$134&amp;$AS$82&amp;"C"&amp;$A182))</f>
        <v>315.8</v>
      </c>
      <c r="DB182" s="3">
        <f>IF(RTD("tos.rtd",,DB$43,"."&amp;$B$134&amp;$AS$82&amp;"P"&amp;$A182)="N/A",0,RTD("tos.rtd",,DB$43,"."&amp;$B$134&amp;$AS$82&amp;"P"&amp;$A182))</f>
        <v>1</v>
      </c>
      <c r="DC182" s="3">
        <f>IF(RTD("tos.rtd",,DC$43,"."&amp;$B$134&amp;$AS$82&amp;"C"&amp;$A182)="N/A",0,RTD("tos.rtd",,DC$43,"."&amp;$B$134&amp;$AS$82&amp;"C"&amp;$A182))</f>
        <v>672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605.70000000000005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90"/>
        <v>-636.44900000000052</v>
      </c>
      <c r="DH182" s="3">
        <f t="shared" si="557"/>
        <v>0</v>
      </c>
      <c r="DI182" s="3">
        <f t="shared" si="558"/>
        <v>0</v>
      </c>
      <c r="DJ182" s="3">
        <f t="shared" si="559"/>
        <v>0</v>
      </c>
      <c r="DK182" s="3">
        <f t="shared" si="560"/>
        <v>0</v>
      </c>
      <c r="DL182" s="3">
        <f t="shared" si="561"/>
        <v>0</v>
      </c>
      <c r="DM182" s="3">
        <f t="shared" si="562"/>
        <v>0</v>
      </c>
      <c r="DN182" s="64" t="str">
        <f t="shared" si="563"/>
        <v>UNKNOWN</v>
      </c>
      <c r="DO182" s="64" t="str">
        <f t="shared" si="564"/>
        <v>UNKNOWN</v>
      </c>
      <c r="DP182" s="3">
        <f t="shared" si="565"/>
        <v>0</v>
      </c>
      <c r="DQ182" s="3">
        <f t="shared" si="566"/>
        <v>0</v>
      </c>
      <c r="DR182" s="3" t="e">
        <f t="shared" ca="1" si="567"/>
        <v>#NUM!</v>
      </c>
      <c r="DS182" s="3">
        <f t="shared" si="568"/>
        <v>0</v>
      </c>
      <c r="DT182" s="3">
        <f t="shared" si="591"/>
        <v>0</v>
      </c>
      <c r="DU182" s="3">
        <f t="shared" si="592"/>
        <v>0</v>
      </c>
      <c r="DV182" s="3">
        <f t="shared" si="569"/>
        <v>0</v>
      </c>
      <c r="DW182" s="3">
        <f t="shared" si="570"/>
        <v>-23</v>
      </c>
      <c r="DX182" s="3" t="e">
        <f t="shared" ca="1" si="654"/>
        <v>#NUM!</v>
      </c>
      <c r="DY182" s="3" t="e">
        <f t="shared" ca="1" si="655"/>
        <v>#NUM!</v>
      </c>
      <c r="DZ182" s="3">
        <f t="shared" ca="1" si="656"/>
        <v>3.5124557314562978E-4</v>
      </c>
      <c r="EA182" s="3">
        <f t="shared" ca="1" si="657"/>
        <v>-3.4247964916863836E-4</v>
      </c>
      <c r="EB182" s="3">
        <f t="shared" ca="1" si="658"/>
        <v>3.5903009623156084E-4</v>
      </c>
      <c r="EC182" s="3">
        <f t="shared" ca="1" si="659"/>
        <v>-3.5735460918397209E-4</v>
      </c>
      <c r="ED182" s="63">
        <f t="shared" si="593"/>
        <v>-23</v>
      </c>
      <c r="EE182" s="59">
        <f t="shared" si="577"/>
        <v>2.089</v>
      </c>
      <c r="EF182" s="59">
        <f t="shared" si="578"/>
        <v>2.7069999999999999</v>
      </c>
      <c r="EG182" s="59">
        <f t="shared" si="579"/>
        <v>0.28549999999999998</v>
      </c>
      <c r="EH182" s="59">
        <f t="shared" si="580"/>
        <v>0.3085</v>
      </c>
      <c r="EI182" s="59">
        <f t="shared" si="581"/>
        <v>0.251</v>
      </c>
      <c r="EJ182" s="59">
        <f t="shared" si="582"/>
        <v>0.26290000000000002</v>
      </c>
      <c r="EK182" s="63" t="e">
        <f t="shared" ca="1" si="594"/>
        <v>#NUM!</v>
      </c>
      <c r="EL182" s="3" t="str">
        <f>RTD("tos.rtd",,EL$43,"."&amp;$B$134&amp;$AS$82&amp;"C"&amp;$A182)</f>
        <v>208.90%</v>
      </c>
      <c r="EM182" s="3" t="str">
        <f>RTD("tos.rtd",,EM$43,"."&amp;$B$134&amp;$AS$82&amp;"P"&amp;$A182)</f>
        <v>270.70%</v>
      </c>
      <c r="EN182" s="3" t="str">
        <f>RTD("tos.rtd",,EN$2,"."&amp;$C$134&amp;$AU$82&amp;"C"&amp;$A182)</f>
        <v>28.55%</v>
      </c>
      <c r="EO182" s="3" t="str">
        <f>RTD("tos.rtd",,EO$2,"."&amp;$C$134&amp;$AU$82&amp;"P"&amp;$A182)</f>
        <v>30.85%</v>
      </c>
      <c r="EP182" s="3" t="str">
        <f>RTD("tos.rtd",,EP$2,"."&amp;$D$134&amp;$AW$82&amp;"C"&amp;$A182)</f>
        <v>25.10%</v>
      </c>
      <c r="EQ182" s="3" t="str">
        <f>RTD("tos.rtd",,EQ$2,"."&amp;$D$134&amp;$AW$82&amp;"P"&amp;$A182)</f>
        <v>26.29%</v>
      </c>
      <c r="ES182" s="63" t="str">
        <f t="shared" si="583"/>
        <v>19425,-23.00</v>
      </c>
      <c r="ET182" s="63" t="str">
        <f t="shared" ca="1" si="584"/>
        <v>19425,00.00</v>
      </c>
      <c r="EU182" s="68">
        <v>565.41</v>
      </c>
      <c r="EV182" s="68" t="s">
        <v>1475</v>
      </c>
      <c r="EW182" s="68">
        <v>489.18</v>
      </c>
      <c r="EX182" s="68" t="s">
        <v>1476</v>
      </c>
      <c r="EY182" s="68">
        <v>5663.94</v>
      </c>
      <c r="EZ182" s="68" t="s">
        <v>1477</v>
      </c>
      <c r="FA182" s="68">
        <v>20063.564999999999</v>
      </c>
      <c r="FB182" s="68" t="s">
        <v>1478</v>
      </c>
      <c r="FC182" s="68" t="s">
        <v>1479</v>
      </c>
      <c r="FD182" s="68" t="s">
        <v>1480</v>
      </c>
      <c r="FE182" s="68" t="s">
        <v>1481</v>
      </c>
      <c r="FF182" s="68" t="s">
        <v>1482</v>
      </c>
    </row>
    <row r="183" spans="1:162" ht="11.1" customHeight="1" thickBot="1" x14ac:dyDescent="0.25">
      <c r="A183" s="2">
        <f t="shared" si="595"/>
        <v>19400</v>
      </c>
      <c r="B183" s="3">
        <f t="shared" si="628"/>
        <v>49</v>
      </c>
      <c r="C183" s="3">
        <f t="shared" si="629"/>
        <v>95</v>
      </c>
      <c r="D183" s="3">
        <f t="shared" si="630"/>
        <v>192</v>
      </c>
      <c r="E183" s="3">
        <f t="shared" si="663"/>
        <v>336</v>
      </c>
      <c r="F183" s="4">
        <f t="shared" si="623"/>
        <v>19796.772905087761</v>
      </c>
      <c r="G183" s="5">
        <f t="shared" si="664"/>
        <v>479.81070559758666</v>
      </c>
      <c r="AM183" s="1">
        <v>0</v>
      </c>
      <c r="AN183" s="1">
        <v>-110</v>
      </c>
      <c r="AO183" s="1">
        <v>19400</v>
      </c>
      <c r="AP183" s="1">
        <v>0</v>
      </c>
      <c r="AQ183" s="1">
        <v>-142</v>
      </c>
      <c r="AS183" s="54">
        <f>IF(RTD("tos.rtd",,AS$83,"."&amp;$B$134&amp;$AS$82&amp;"C"&amp;$A183)="N/A",0,RTD("tos.rtd",,AS$83,"."&amp;$B$134&amp;$AS$82&amp;"C"&amp;$A183))</f>
        <v>9</v>
      </c>
      <c r="AT183" s="3">
        <f>-IF(RTD("tos.rtd",,AT$83,"."&amp;$B$134&amp;$AS$82&amp;"P"&amp;$A183)="N/A",0,RTD("tos.rtd",,AT$83,"."&amp;$B$134&amp;$AS$82&amp;"P"&amp;$A183))</f>
        <v>-40</v>
      </c>
      <c r="AU183" s="54">
        <f>IF(RTD("tos.rtd",,AU$2,"."&amp;$C$134&amp;$AU$134&amp;"C"&amp;$A183)="N/A",0,RTD("tos.rtd",,AU$2,"."&amp;$C$134&amp;$AU$134&amp;"C"&amp;$A183))</f>
        <v>41</v>
      </c>
      <c r="AV183" s="3">
        <f>-IF(RTD("tos.rtd",,AV$2,"."&amp;$C$134&amp;$AU$134&amp;"P"&amp;$A183)="N/A",0,RTD("tos.rtd",,AV$2,"."&amp;$C$134&amp;$AU$134&amp;"P"&amp;$A183))</f>
        <v>-54</v>
      </c>
      <c r="AW183" s="54">
        <f>IF(RTD("tos.rtd",,AW$2,"."&amp;$D$134&amp;$AW$134&amp;"C"&amp;$A183)="N/A",0,RTD("tos.rtd",,AW$2,"."&amp;$D$134&amp;$AW$134&amp;"C"&amp;$A183))</f>
        <v>49</v>
      </c>
      <c r="AX183" s="3">
        <f>-IF(RTD("tos.rtd",,AX$2,"."&amp;$D$134&amp;$AW$134&amp;"P"&amp;$A183)="N/A",0,RTD("tos.rtd",,AX$2,"."&amp;$D$134&amp;$AW$134&amp;"P"&amp;$A183))</f>
        <v>-143</v>
      </c>
      <c r="AY183" s="76">
        <f t="shared" si="624"/>
        <v>-138</v>
      </c>
      <c r="AZ183" s="8">
        <f t="shared" si="548"/>
        <v>19400</v>
      </c>
      <c r="BA183" s="54">
        <f>IF(RTD("tos.rtd",,BA$43,"."&amp;$B$134&amp;$AS$82&amp;"C"&amp;$A183)="N/A",0,RTD("tos.rtd",,BA$43,"."&amp;$B$134&amp;$AS$82&amp;"C"&amp;$A183))</f>
        <v>0</v>
      </c>
      <c r="BB183" s="3">
        <f>-IF(RTD("tos.rtd",,BB$43,"."&amp;$B$134&amp;$AS$82&amp;"P"&amp;$A183)="N/A",0,RTD("tos.rtd",,BB$43,"."&amp;$B$134&amp;$AS$82&amp;"P"&amp;$A183))</f>
        <v>-142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-9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-6</v>
      </c>
      <c r="BG183" s="3">
        <f ca="1">+Hoja2!Y184</f>
        <v>-2</v>
      </c>
      <c r="BH183" s="7">
        <f t="shared" ca="1" si="549"/>
        <v>-159</v>
      </c>
      <c r="BI183" s="32" t="str">
        <f t="shared" ca="1" si="609"/>
        <v/>
      </c>
      <c r="BJ183" s="3" t="e">
        <f ca="1">IF($BP$1=1,DX183,IF(RTD("tos.rtd",,BJ$43,"."&amp;$B$134&amp;$AS$82&amp;"C"&amp;$A183)="N/A",0,RTD("tos.rtd",,BJ$43,"."&amp;$B$134&amp;$AS$82&amp;"C"&amp;$A183)))</f>
        <v>#NUM!</v>
      </c>
      <c r="BK183" s="3" t="e">
        <f ca="1">IF($BP$1=1,DY183,-IF(RTD("tos.rtd",,BK$43,"."&amp;$B$134&amp;$AS$82&amp;"P"&amp;$A183)="N/A",0,RTD("tos.rtd",,BK$43,"."&amp;$B$134&amp;$AS$82&amp;"P"&amp;$A183)))</f>
        <v>#NUM!</v>
      </c>
      <c r="BL183" s="3">
        <f ca="1">IF($BP$1=1,DZ183,IF(RTD("tos.rtd",,BL$2,"."&amp;$C$134&amp;$AU$82&amp;"C"&amp;$A183)="N/A",0,RTD("tos.rtd",,BL$2,"."&amp;$C$134&amp;$AU$82&amp;"C"&amp;$A183)))</f>
        <v>3.4110624271148045E-4</v>
      </c>
      <c r="BM183" s="3">
        <f ca="1">IF($BP$1=1,EA183,-IF(RTD("tos.rtd",,BM$2,"."&amp;$C$134&amp;$AU$82&amp;"P"&amp;$A183)="N/A",0,RTD("tos.rtd",,BM$2,"."&amp;$C$134&amp;$AU$82&amp;"P"&amp;$A183)))</f>
        <v>-3.3380733536534442E-4</v>
      </c>
      <c r="BN183" s="3">
        <f ca="1">IF($BP$1=1,EB183,IF(RTD("tos.rtd",,BN$2,"."&amp;$D$134&amp;$AW$82&amp;"C"&amp;$A183)="N/A",0,RTD("tos.rtd",,BN$2,"."&amp;$D$134&amp;$AW$82&amp;"C"&amp;$A183)))</f>
        <v>3.4562666624073541E-4</v>
      </c>
      <c r="BO183" s="3">
        <f ca="1">IF($BP$1=1,EC183,-IF(RTD("tos.rtd",,BO$2,"."&amp;$D$134&amp;$AW$82&amp;"P"&amp;$A183)="N/A",0,RTD("tos.rtd",,BO$2,"."&amp;$D$134&amp;$AW$82&amp;"P"&amp;$A183)))</f>
        <v>-3.4507916846410761E-4</v>
      </c>
      <c r="BQ183" s="3" t="e">
        <f t="shared" ca="1" si="625"/>
        <v>#NUM!</v>
      </c>
      <c r="BR183" s="3" t="e">
        <f t="shared" ca="1" si="550"/>
        <v>#NUM!</v>
      </c>
      <c r="BS183" s="3">
        <f t="shared" ca="1" si="626"/>
        <v>-129427.40145954979</v>
      </c>
      <c r="BT183" s="3" t="str">
        <f t="shared" ca="1" si="551"/>
        <v>Cruce -</v>
      </c>
      <c r="BU183" s="3">
        <f t="shared" ca="1" si="627"/>
        <v>-1038260.4604290398</v>
      </c>
      <c r="BV183" s="3" t="str">
        <f t="shared" ca="1" si="551"/>
        <v>Cruce -</v>
      </c>
      <c r="BX183" s="3" t="e">
        <f t="shared" ca="1" si="585"/>
        <v>#NUM!</v>
      </c>
      <c r="BY183" s="3" t="e">
        <f t="shared" ca="1" si="586"/>
        <v>#NUM!</v>
      </c>
      <c r="BZ183" s="3">
        <f t="shared" ca="1" si="587"/>
        <v>-739.6042349997773</v>
      </c>
      <c r="CA183" s="3" t="str">
        <f t="shared" ca="1" si="586"/>
        <v/>
      </c>
      <c r="CB183" s="3">
        <f t="shared" ca="1" si="588"/>
        <v>-509.71920499574196</v>
      </c>
      <c r="CC183" s="3" t="str">
        <f t="shared" ca="1" si="586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0.05</v>
      </c>
      <c r="CF183" s="3">
        <f>IF(RTD("tos.rtd",,CF$2,"."&amp;$C$134&amp;$AU$82&amp;"C"&amp;$A183)="N/A",0,RTD("tos.rtd",,CF$2,"."&amp;$C$134&amp;$AU$82&amp;"C"&amp;$A183))</f>
        <v>0.86</v>
      </c>
      <c r="CG183" s="3">
        <f>-IF(RTD("tos.rtd",,CG$2,"."&amp;$C$134&amp;$AU$82&amp;"P"&amp;$A183)="N/A",0,RTD("tos.rtd",,CG$2,"."&amp;$C$134&amp;$AU$82&amp;"P"&amp;$A183))</f>
        <v>0.16</v>
      </c>
      <c r="CH183" s="3">
        <f>IF(RTD("tos.rtd",,CH$2,"."&amp;$D$134&amp;$AW$82&amp;"C"&amp;$A183)="N/A",0,RTD("tos.rtd",,CH$2,"."&amp;$D$134&amp;$AW$82&amp;"C"&amp;$A183))</f>
        <v>0.69</v>
      </c>
      <c r="CI183" s="3">
        <f>-IF(RTD("tos.rtd",,CI$2,"."&amp;$D$134&amp;$AW$82&amp;"P"&amp;$A183)="N/A",0,RTD("tos.rtd",,CI$2,"."&amp;$D$134&amp;$AW$82&amp;"P"&amp;$A183))</f>
        <v>0.31</v>
      </c>
      <c r="CK183" s="3">
        <f t="shared" si="660"/>
        <v>700</v>
      </c>
      <c r="CL183" s="3"/>
      <c r="CM183" s="3">
        <f t="shared" si="661"/>
        <v>2662</v>
      </c>
      <c r="CN183" s="3"/>
      <c r="CO183" s="3">
        <f t="shared" si="662"/>
        <v>-1052.0000000000005</v>
      </c>
      <c r="CP183" s="3">
        <f t="shared" si="542"/>
        <v>2309.9999999999995</v>
      </c>
      <c r="CQ183" s="3">
        <f t="shared" si="552"/>
        <v>-142</v>
      </c>
      <c r="CR183" s="3"/>
      <c r="CS183" s="3">
        <f t="shared" si="553"/>
        <v>-9</v>
      </c>
      <c r="CT183" s="3"/>
      <c r="CU183" s="3">
        <f t="shared" si="554"/>
        <v>-6</v>
      </c>
      <c r="CV183" s="3"/>
      <c r="CW183" s="3" t="e">
        <f t="shared" ca="1" si="555"/>
        <v>#NUM!</v>
      </c>
      <c r="CY183" s="3" t="e">
        <f t="shared" ca="1" si="556"/>
        <v>#NUM!</v>
      </c>
      <c r="CZ183" s="70" t="e">
        <f t="shared" ca="1" si="589"/>
        <v>#NUM!</v>
      </c>
      <c r="DA183" s="3">
        <f>IF(RTD("tos.rtd",,DA$43,"."&amp;$B$134&amp;$AS$82&amp;"C"&amp;$A183)="N/A",0,RTD("tos.rtd",,DA$43,"."&amp;$B$134&amp;$AS$82&amp;"C"&amp;$A183))</f>
        <v>850.67</v>
      </c>
      <c r="DB183" s="3">
        <f>IF(RTD("tos.rtd",,DB$43,"."&amp;$B$134&amp;$AS$82&amp;"P"&amp;$A183)="N/A",0,RTD("tos.rtd",,DB$43,"."&amp;$B$134&amp;$AS$82&amp;"P"&amp;$A183))</f>
        <v>0.25</v>
      </c>
      <c r="DC183" s="3">
        <f>IF(RTD("tos.rtd",,DC$43,"."&amp;$B$134&amp;$AS$82&amp;"C"&amp;$A183)="N/A",0,RTD("tos.rtd",,DC$43,"."&amp;$B$134&amp;$AS$82&amp;"C"&amp;$A183))</f>
        <v>698</v>
      </c>
      <c r="DD183" s="3">
        <f>IF(RTD("tos.rtd",,DD$43,"."&amp;$B$134&amp;$AS$82&amp;"P"&amp;$A183)="N/A",0,RTD("tos.rtd",,DD$43,"."&amp;$B$134&amp;$AS$82&amp;"P"&amp;$A183))</f>
        <v>19.8</v>
      </c>
      <c r="DE183" s="3">
        <f>IF(RTD("tos.rtd",,DE$43,"."&amp;$B$134&amp;$AS$82&amp;"C"&amp;$A183)="N/A",0,RTD("tos.rtd",,DE$43,"."&amp;$B$134&amp;$AS$82&amp;"C"&amp;$A183))</f>
        <v>624.29999999999995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90"/>
        <v>-661.44900000000052</v>
      </c>
      <c r="DH183" s="3">
        <f t="shared" si="557"/>
        <v>0</v>
      </c>
      <c r="DI183" s="3">
        <f t="shared" si="558"/>
        <v>0</v>
      </c>
      <c r="DJ183" s="3">
        <f t="shared" si="559"/>
        <v>0</v>
      </c>
      <c r="DK183" s="3">
        <f t="shared" si="560"/>
        <v>0</v>
      </c>
      <c r="DL183" s="3">
        <f t="shared" si="561"/>
        <v>0</v>
      </c>
      <c r="DM183" s="3">
        <f t="shared" si="562"/>
        <v>0</v>
      </c>
      <c r="DN183" s="64" t="str">
        <f t="shared" si="563"/>
        <v>UNKNOWN</v>
      </c>
      <c r="DO183" s="64" t="str">
        <f t="shared" si="564"/>
        <v>UNKNOWN</v>
      </c>
      <c r="DP183" s="3">
        <f t="shared" si="565"/>
        <v>0</v>
      </c>
      <c r="DQ183" s="3">
        <f t="shared" si="566"/>
        <v>0</v>
      </c>
      <c r="DR183" s="3" t="e">
        <f t="shared" ca="1" si="567"/>
        <v>#NUM!</v>
      </c>
      <c r="DS183" s="3">
        <f t="shared" si="568"/>
        <v>0</v>
      </c>
      <c r="DT183" s="3">
        <f t="shared" si="591"/>
        <v>0</v>
      </c>
      <c r="DU183" s="3">
        <f t="shared" si="592"/>
        <v>0</v>
      </c>
      <c r="DV183" s="3">
        <f t="shared" si="569"/>
        <v>0</v>
      </c>
      <c r="DW183" s="3">
        <f t="shared" si="570"/>
        <v>-110</v>
      </c>
      <c r="DX183" s="3" t="e">
        <f t="shared" ca="1" si="654"/>
        <v>#NUM!</v>
      </c>
      <c r="DY183" s="3" t="e">
        <f t="shared" ca="1" si="655"/>
        <v>#NUM!</v>
      </c>
      <c r="DZ183" s="3">
        <f t="shared" ca="1" si="656"/>
        <v>3.4110624271148045E-4</v>
      </c>
      <c r="EA183" s="3">
        <f t="shared" ca="1" si="657"/>
        <v>-3.3380733536534442E-4</v>
      </c>
      <c r="EB183" s="3">
        <f t="shared" ca="1" si="658"/>
        <v>3.4562666624073541E-4</v>
      </c>
      <c r="EC183" s="3">
        <f t="shared" ca="1" si="659"/>
        <v>-3.4507916846410761E-4</v>
      </c>
      <c r="ED183" s="63">
        <f t="shared" si="593"/>
        <v>-110</v>
      </c>
      <c r="EE183" s="59">
        <f t="shared" si="577"/>
        <v>0.25</v>
      </c>
      <c r="EF183" s="59">
        <f t="shared" si="578"/>
        <v>2.7921999999999998</v>
      </c>
      <c r="EG183" s="59">
        <f t="shared" si="579"/>
        <v>0.28510000000000002</v>
      </c>
      <c r="EH183" s="59">
        <f t="shared" si="580"/>
        <v>0.30869999999999997</v>
      </c>
      <c r="EI183" s="59">
        <f t="shared" si="581"/>
        <v>0.252</v>
      </c>
      <c r="EJ183" s="59">
        <f t="shared" si="582"/>
        <v>0.26350000000000001</v>
      </c>
      <c r="EK183" s="63" t="e">
        <f t="shared" ca="1" si="594"/>
        <v>#NUM!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279.22%</v>
      </c>
      <c r="EN183" s="3" t="str">
        <f>RTD("tos.rtd",,EN$2,"."&amp;$C$134&amp;$AU$82&amp;"C"&amp;$A183)</f>
        <v>28.51%</v>
      </c>
      <c r="EO183" s="3" t="str">
        <f>RTD("tos.rtd",,EO$2,"."&amp;$C$134&amp;$AU$82&amp;"P"&amp;$A183)</f>
        <v>30.87%</v>
      </c>
      <c r="EP183" s="3" t="str">
        <f>RTD("tos.rtd",,EP$2,"."&amp;$D$134&amp;$AW$82&amp;"C"&amp;$A183)</f>
        <v>25.20%</v>
      </c>
      <c r="EQ183" s="3" t="str">
        <f>RTD("tos.rtd",,EQ$2,"."&amp;$D$134&amp;$AW$82&amp;"P"&amp;$A183)</f>
        <v>26.35%</v>
      </c>
      <c r="ES183" s="63" t="str">
        <f t="shared" si="583"/>
        <v>19400,-110.00</v>
      </c>
      <c r="ET183" s="63" t="str">
        <f t="shared" ca="1" si="584"/>
        <v>19400,00.00</v>
      </c>
      <c r="EU183" s="68">
        <v>565.46</v>
      </c>
      <c r="EV183" s="68" t="s">
        <v>1483</v>
      </c>
      <c r="EW183" s="68">
        <v>489.19</v>
      </c>
      <c r="EX183" s="68" t="s">
        <v>1484</v>
      </c>
      <c r="EY183" s="68">
        <v>5663.94</v>
      </c>
      <c r="EZ183" s="68" t="s">
        <v>1485</v>
      </c>
      <c r="FA183" s="68">
        <v>20063.564999999999</v>
      </c>
      <c r="FB183" s="68" t="s">
        <v>1486</v>
      </c>
      <c r="FC183" s="68" t="s">
        <v>1487</v>
      </c>
      <c r="FD183" s="68" t="s">
        <v>1488</v>
      </c>
      <c r="FE183" s="68" t="s">
        <v>1489</v>
      </c>
      <c r="FF183" s="68" t="s">
        <v>1490</v>
      </c>
    </row>
    <row r="184" spans="1:162" ht="11.1" customHeight="1" thickBot="1" x14ac:dyDescent="0.25">
      <c r="A184" s="2">
        <f t="shared" si="595"/>
        <v>19375</v>
      </c>
      <c r="B184" s="3">
        <f t="shared" si="628"/>
        <v>26</v>
      </c>
      <c r="C184" s="3">
        <f t="shared" si="629"/>
        <v>30</v>
      </c>
      <c r="D184" s="3">
        <f t="shared" si="630"/>
        <v>21</v>
      </c>
      <c r="E184" s="3">
        <f t="shared" si="663"/>
        <v>77</v>
      </c>
      <c r="F184" s="4">
        <f t="shared" si="623"/>
        <v>19771.261599797701</v>
      </c>
      <c r="G184" s="5">
        <f t="shared" si="664"/>
        <v>479.1923928326413</v>
      </c>
      <c r="AM184" s="1">
        <v>0</v>
      </c>
      <c r="AN184" s="1">
        <v>0</v>
      </c>
      <c r="AO184" s="1">
        <v>19375</v>
      </c>
      <c r="AP184" s="1">
        <v>0</v>
      </c>
      <c r="AQ184" s="1">
        <v>-1</v>
      </c>
      <c r="AS184" s="54">
        <f>IF(RTD("tos.rtd",,AS$83,"."&amp;$B$134&amp;$AS$82&amp;"C"&amp;$A184)="N/A",0,RTD("tos.rtd",,AS$83,"."&amp;$B$134&amp;$AS$82&amp;"C"&amp;$A184))</f>
        <v>0</v>
      </c>
      <c r="AT184" s="3">
        <f>-IF(RTD("tos.rtd",,AT$83,"."&amp;$B$134&amp;$AS$82&amp;"P"&amp;$A184)="N/A",0,RTD("tos.rtd",,AT$83,"."&amp;$B$134&amp;$AS$82&amp;"P"&amp;$A184))</f>
        <v>-26</v>
      </c>
      <c r="AU184" s="54">
        <f>IF(RTD("tos.rtd",,AU$2,"."&amp;$C$134&amp;$AU$134&amp;"C"&amp;$A184)="N/A",0,RTD("tos.rtd",,AU$2,"."&amp;$C$134&amp;$AU$134&amp;"C"&amp;$A184))</f>
        <v>18</v>
      </c>
      <c r="AV184" s="3">
        <f>-IF(RTD("tos.rtd",,AV$2,"."&amp;$C$134&amp;$AU$134&amp;"P"&amp;$A184)="N/A",0,RTD("tos.rtd",,AV$2,"."&amp;$C$134&amp;$AU$134&amp;"P"&amp;$A184))</f>
        <v>-12</v>
      </c>
      <c r="AW184" s="54">
        <f>IF(RTD("tos.rtd",,AW$2,"."&amp;$D$134&amp;$AW$134&amp;"C"&amp;$A184)="N/A",0,RTD("tos.rtd",,AW$2,"."&amp;$D$134&amp;$AW$134&amp;"C"&amp;$A184))</f>
        <v>9</v>
      </c>
      <c r="AX184" s="3">
        <f>-IF(RTD("tos.rtd",,AX$2,"."&amp;$D$134&amp;$AW$134&amp;"P"&amp;$A184)="N/A",0,RTD("tos.rtd",,AX$2,"."&amp;$D$134&amp;$AW$134&amp;"P"&amp;$A184))</f>
        <v>-12</v>
      </c>
      <c r="AY184" s="76">
        <f t="shared" si="624"/>
        <v>-23</v>
      </c>
      <c r="AZ184" s="8">
        <f t="shared" si="548"/>
        <v>19375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-1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-16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0</v>
      </c>
      <c r="BG184" s="3">
        <f ca="1">+Hoja2!Y185</f>
        <v>0</v>
      </c>
      <c r="BH184" s="7">
        <f t="shared" ca="1" si="549"/>
        <v>-17</v>
      </c>
      <c r="BI184" s="32" t="str">
        <f t="shared" ca="1" si="609"/>
        <v/>
      </c>
      <c r="BJ184" s="3" t="e">
        <f ca="1">IF($BP$1=1,DX184,IF(RTD("tos.rtd",,BJ$43,"."&amp;$B$134&amp;$AS$82&amp;"C"&amp;$A184)="N/A",0,RTD("tos.rtd",,BJ$43,"."&amp;$B$134&amp;$AS$82&amp;"C"&amp;$A184)))</f>
        <v>#NUM!</v>
      </c>
      <c r="BK184" s="3" t="e">
        <f ca="1">IF($BP$1=1,DY184,-IF(RTD("tos.rtd",,BK$43,"."&amp;$B$134&amp;$AS$82&amp;"P"&amp;$A184)="N/A",0,RTD("tos.rtd",,BK$43,"."&amp;$B$134&amp;$AS$82&amp;"P"&amp;$A184)))</f>
        <v>#NUM!</v>
      </c>
      <c r="BL184" s="3">
        <f ca="1">IF($BP$1=1,DZ184,IF(RTD("tos.rtd",,BL$2,"."&amp;$C$134&amp;$AU$82&amp;"C"&amp;$A184)="N/A",0,RTD("tos.rtd",,BL$2,"."&amp;$C$134&amp;$AU$82&amp;"C"&amp;$A184)))</f>
        <v>3.3083997914306793E-4</v>
      </c>
      <c r="BM184" s="3">
        <f ca="1">IF($BP$1=1,EA184,-IF(RTD("tos.rtd",,BM$2,"."&amp;$C$134&amp;$AU$82&amp;"P"&amp;$A184)="N/A",0,RTD("tos.rtd",,BM$2,"."&amp;$C$134&amp;$AU$82&amp;"P"&amp;$A184)))</f>
        <v>-3.2493914343223592E-4</v>
      </c>
      <c r="BN184" s="3">
        <f ca="1">IF($BP$1=1,EB184,IF(RTD("tos.rtd",,BN$2,"."&amp;$D$134&amp;$AW$82&amp;"C"&amp;$A184)="N/A",0,RTD("tos.rtd",,BN$2,"."&amp;$D$134&amp;$AW$82&amp;"C"&amp;$A184)))</f>
        <v>3.3237109811987923E-4</v>
      </c>
      <c r="BO184" s="3">
        <f ca="1">IF($BP$1=1,EC184,-IF(RTD("tos.rtd",,BO$2,"."&amp;$D$134&amp;$AW$82&amp;"P"&amp;$A184)="N/A",0,RTD("tos.rtd",,BO$2,"."&amp;$D$134&amp;$AW$82&amp;"P"&amp;$A184)))</f>
        <v>-3.3287196670692734E-4</v>
      </c>
      <c r="BQ184" s="3" t="e">
        <f t="shared" ca="1" si="625"/>
        <v>#NUM!</v>
      </c>
      <c r="BR184" s="3" t="e">
        <f t="shared" ca="1" si="550"/>
        <v>#NUM!</v>
      </c>
      <c r="BS184" s="3">
        <f t="shared" ca="1" si="626"/>
        <v>65858.290681759958</v>
      </c>
      <c r="BT184" s="3" t="str">
        <f t="shared" ca="1" si="551"/>
        <v>Cruce +</v>
      </c>
      <c r="BU184" s="3">
        <f t="shared" ca="1" si="627"/>
        <v>-32134.648186956489</v>
      </c>
      <c r="BV184" s="3" t="str">
        <f t="shared" ca="1" si="551"/>
        <v/>
      </c>
      <c r="BX184" s="3" t="e">
        <f t="shared" ca="1" si="585"/>
        <v>#NUM!</v>
      </c>
      <c r="BY184" s="3" t="e">
        <f t="shared" ca="1" si="586"/>
        <v>#NUM!</v>
      </c>
      <c r="BZ184" s="3">
        <f t="shared" ca="1" si="587"/>
        <v>-1279.9205670162339</v>
      </c>
      <c r="CA184" s="3" t="str">
        <f t="shared" ca="1" si="586"/>
        <v/>
      </c>
      <c r="CB184" s="3">
        <f t="shared" ca="1" si="588"/>
        <v>0</v>
      </c>
      <c r="CC184" s="3" t="str">
        <f t="shared" ca="1" si="586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0.05</v>
      </c>
      <c r="CF184" s="3">
        <f>IF(RTD("tos.rtd",,CF$2,"."&amp;$C$134&amp;$AU$82&amp;"C"&amp;$A184)="N/A",0,RTD("tos.rtd",,CF$2,"."&amp;$C$134&amp;$AU$82&amp;"C"&amp;$A184))</f>
        <v>0.87</v>
      </c>
      <c r="CG184" s="3">
        <f>-IF(RTD("tos.rtd",,CG$2,"."&amp;$C$134&amp;$AU$82&amp;"P"&amp;$A184)="N/A",0,RTD("tos.rtd",,CG$2,"."&amp;$C$134&amp;$AU$82&amp;"P"&amp;$A184))</f>
        <v>0.15</v>
      </c>
      <c r="CH184" s="3">
        <f>IF(RTD("tos.rtd",,CH$2,"."&amp;$D$134&amp;$AW$82&amp;"C"&amp;$A184)="N/A",0,RTD("tos.rtd",,CH$2,"."&amp;$D$134&amp;$AW$82&amp;"C"&amp;$A184))</f>
        <v>0.7</v>
      </c>
      <c r="CI184" s="3">
        <f>-IF(RTD("tos.rtd",,CI$2,"."&amp;$D$134&amp;$AW$82&amp;"P"&amp;$A184)="N/A",0,RTD("tos.rtd",,CI$2,"."&amp;$D$134&amp;$AW$82&amp;"P"&amp;$A184))</f>
        <v>0.31</v>
      </c>
      <c r="CK184" s="3">
        <f t="shared" si="660"/>
        <v>-130</v>
      </c>
      <c r="CL184" s="3"/>
      <c r="CM184" s="3">
        <f t="shared" si="661"/>
        <v>1386</v>
      </c>
      <c r="CN184" s="3"/>
      <c r="CO184" s="3">
        <f t="shared" si="662"/>
        <v>258</v>
      </c>
      <c r="CP184" s="3">
        <f t="shared" si="542"/>
        <v>1514</v>
      </c>
      <c r="CQ184" s="3">
        <f t="shared" si="552"/>
        <v>-1</v>
      </c>
      <c r="CR184" s="3"/>
      <c r="CS184" s="3">
        <f t="shared" si="553"/>
        <v>-16</v>
      </c>
      <c r="CT184" s="3"/>
      <c r="CU184" s="3">
        <f t="shared" si="554"/>
        <v>0</v>
      </c>
      <c r="CV184" s="3"/>
      <c r="CW184" s="3" t="e">
        <f t="shared" ca="1" si="555"/>
        <v>#NUM!</v>
      </c>
      <c r="CY184" s="3" t="e">
        <f t="shared" ca="1" si="556"/>
        <v>#NUM!</v>
      </c>
      <c r="CZ184" s="70" t="e">
        <f t="shared" ca="1" si="589"/>
        <v>#NUM!</v>
      </c>
      <c r="DA184" s="3">
        <f>IF(RTD("tos.rtd",,DA$43,"."&amp;$B$134&amp;$AS$82&amp;"C"&amp;$A184)="N/A",0,RTD("tos.rtd",,DA$43,"."&amp;$B$134&amp;$AS$82&amp;"C"&amp;$A184))</f>
        <v>0</v>
      </c>
      <c r="DB184" s="3">
        <f>IF(RTD("tos.rtd",,DB$43,"."&amp;$B$134&amp;$AS$82&amp;"P"&amp;$A184)="N/A",0,RTD("tos.rtd",,DB$43,"."&amp;$B$134&amp;$AS$82&amp;"P"&amp;$A184))</f>
        <v>0.37</v>
      </c>
      <c r="DC184" s="3">
        <f>IF(RTD("tos.rtd",,DC$43,"."&amp;$B$134&amp;$AS$82&amp;"C"&amp;$A184)="N/A",0,RTD("tos.rtd",,DC$43,"."&amp;$B$134&amp;$AS$82&amp;"C"&amp;$A184))</f>
        <v>722</v>
      </c>
      <c r="DD184" s="3">
        <f>IF(RTD("tos.rtd",,DD$43,"."&amp;$B$134&amp;$AS$82&amp;"P"&amp;$A184)="N/A",0,RTD("tos.rtd",,DD$43,"."&amp;$B$134&amp;$AS$82&amp;"P"&amp;$A184))</f>
        <v>19.8</v>
      </c>
      <c r="DE184" s="3">
        <f>IF(RTD("tos.rtd",,DE$43,"."&amp;$B$134&amp;$AS$82&amp;"C"&amp;$A184)="N/A",0,RTD("tos.rtd",,DE$43,"."&amp;$B$134&amp;$AS$82&amp;"C"&amp;$A184))</f>
        <v>649.29999999999995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90"/>
        <v>-686.44900000000052</v>
      </c>
      <c r="DH184" s="3">
        <f t="shared" si="557"/>
        <v>0</v>
      </c>
      <c r="DI184" s="3">
        <f t="shared" si="558"/>
        <v>0</v>
      </c>
      <c r="DJ184" s="3">
        <f t="shared" si="559"/>
        <v>0</v>
      </c>
      <c r="DK184" s="3">
        <f t="shared" si="560"/>
        <v>0</v>
      </c>
      <c r="DL184" s="3">
        <f t="shared" si="561"/>
        <v>0</v>
      </c>
      <c r="DM184" s="3">
        <f t="shared" si="562"/>
        <v>0</v>
      </c>
      <c r="DN184" s="64" t="str">
        <f t="shared" si="563"/>
        <v>UNKNOWN</v>
      </c>
      <c r="DO184" s="64" t="str">
        <f t="shared" si="564"/>
        <v>UNKNOWN</v>
      </c>
      <c r="DP184" s="3">
        <f t="shared" si="565"/>
        <v>0</v>
      </c>
      <c r="DQ184" s="3">
        <f t="shared" si="566"/>
        <v>0</v>
      </c>
      <c r="DR184" s="3" t="e">
        <f t="shared" ca="1" si="567"/>
        <v>#NUM!</v>
      </c>
      <c r="DS184" s="3">
        <f t="shared" si="568"/>
        <v>0</v>
      </c>
      <c r="DT184" s="3">
        <f t="shared" si="591"/>
        <v>0</v>
      </c>
      <c r="DU184" s="3">
        <f t="shared" si="592"/>
        <v>0</v>
      </c>
      <c r="DV184" s="3">
        <f t="shared" si="569"/>
        <v>0</v>
      </c>
      <c r="DW184" s="3">
        <f t="shared" si="570"/>
        <v>0</v>
      </c>
      <c r="DX184" s="3" t="e">
        <f t="shared" ca="1" si="654"/>
        <v>#NUM!</v>
      </c>
      <c r="DY184" s="3" t="e">
        <f t="shared" ca="1" si="655"/>
        <v>#NUM!</v>
      </c>
      <c r="DZ184" s="3">
        <f t="shared" ca="1" si="656"/>
        <v>3.3083997914306793E-4</v>
      </c>
      <c r="EA184" s="3">
        <f t="shared" ca="1" si="657"/>
        <v>-3.2493914343223592E-4</v>
      </c>
      <c r="EB184" s="3">
        <f t="shared" ca="1" si="658"/>
        <v>3.3237109811987923E-4</v>
      </c>
      <c r="EC184" s="3">
        <f t="shared" ca="1" si="659"/>
        <v>-3.3287196670692734E-4</v>
      </c>
      <c r="ED184" s="63">
        <f t="shared" si="593"/>
        <v>0</v>
      </c>
      <c r="EE184" s="59">
        <f t="shared" si="577"/>
        <v>0.25</v>
      </c>
      <c r="EF184" s="59">
        <f t="shared" si="578"/>
        <v>2.8771</v>
      </c>
      <c r="EG184" s="59">
        <f t="shared" si="579"/>
        <v>0.28460000000000002</v>
      </c>
      <c r="EH184" s="59">
        <f t="shared" si="580"/>
        <v>0.30930000000000002</v>
      </c>
      <c r="EI184" s="59">
        <f t="shared" si="581"/>
        <v>0.2525</v>
      </c>
      <c r="EJ184" s="59">
        <f t="shared" si="582"/>
        <v>0.26450000000000001</v>
      </c>
      <c r="EK184" s="63" t="e">
        <f t="shared" ca="1" si="594"/>
        <v>#NUM!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287.71%</v>
      </c>
      <c r="EN184" s="3" t="str">
        <f>RTD("tos.rtd",,EN$2,"."&amp;$C$134&amp;$AU$82&amp;"C"&amp;$A184)</f>
        <v>28.46%</v>
      </c>
      <c r="EO184" s="3" t="str">
        <f>RTD("tos.rtd",,EO$2,"."&amp;$C$134&amp;$AU$82&amp;"P"&amp;$A184)</f>
        <v>30.93%</v>
      </c>
      <c r="EP184" s="3" t="str">
        <f>RTD("tos.rtd",,EP$2,"."&amp;$D$134&amp;$AW$82&amp;"C"&amp;$A184)</f>
        <v>25.25%</v>
      </c>
      <c r="EQ184" s="3" t="str">
        <f>RTD("tos.rtd",,EQ$2,"."&amp;$D$134&amp;$AW$82&amp;"P"&amp;$A184)</f>
        <v>26.45%</v>
      </c>
      <c r="ES184" s="63" t="str">
        <f t="shared" si="583"/>
        <v>19375,00.00</v>
      </c>
      <c r="ET184" s="63" t="str">
        <f t="shared" ca="1" si="584"/>
        <v>19375,00.00</v>
      </c>
      <c r="EU184" s="68">
        <v>565.52</v>
      </c>
      <c r="EV184" s="68" t="s">
        <v>1491</v>
      </c>
      <c r="EW184" s="68">
        <v>489.21</v>
      </c>
      <c r="EX184" s="68" t="s">
        <v>1492</v>
      </c>
      <c r="EY184" s="68">
        <v>5663.94</v>
      </c>
      <c r="EZ184" s="68" t="s">
        <v>1493</v>
      </c>
      <c r="FA184" s="68">
        <v>20063.564999999999</v>
      </c>
      <c r="FB184" s="68" t="s">
        <v>1494</v>
      </c>
      <c r="FC184" s="68" t="s">
        <v>1495</v>
      </c>
      <c r="FD184" s="68" t="s">
        <v>1496</v>
      </c>
      <c r="FE184" s="68" t="s">
        <v>1497</v>
      </c>
      <c r="FF184" s="68" t="s">
        <v>1498</v>
      </c>
    </row>
    <row r="185" spans="1:162" ht="11.1" customHeight="1" thickBot="1" x14ac:dyDescent="0.25">
      <c r="A185" s="2">
        <f t="shared" si="595"/>
        <v>19350</v>
      </c>
      <c r="B185" s="3">
        <f t="shared" si="628"/>
        <v>49</v>
      </c>
      <c r="C185" s="3">
        <f t="shared" si="629"/>
        <v>47</v>
      </c>
      <c r="D185" s="3">
        <f t="shared" si="630"/>
        <v>62</v>
      </c>
      <c r="E185" s="3">
        <f t="shared" si="663"/>
        <v>158</v>
      </c>
      <c r="F185" s="4">
        <f t="shared" si="623"/>
        <v>19745.750294507638</v>
      </c>
      <c r="G185" s="5">
        <f t="shared" si="664"/>
        <v>478.574080067696</v>
      </c>
      <c r="AM185" s="1">
        <v>0</v>
      </c>
      <c r="AN185" s="1">
        <v>-125</v>
      </c>
      <c r="AO185" s="1">
        <v>19350</v>
      </c>
      <c r="AP185" s="1">
        <v>0</v>
      </c>
      <c r="AQ185" s="1">
        <v>-402</v>
      </c>
      <c r="AS185" s="54">
        <f>IF(RTD("tos.rtd",,AS$83,"."&amp;$B$134&amp;$AS$82&amp;"C"&amp;$A185)="N/A",0,RTD("tos.rtd",,AS$83,"."&amp;$B$134&amp;$AS$82&amp;"C"&amp;$A185))</f>
        <v>4</v>
      </c>
      <c r="AT185" s="3">
        <f>-IF(RTD("tos.rtd",,AT$83,"."&amp;$B$134&amp;$AS$82&amp;"P"&amp;$A185)="N/A",0,RTD("tos.rtd",,AT$83,"."&amp;$B$134&amp;$AS$82&amp;"P"&amp;$A185))</f>
        <v>-45</v>
      </c>
      <c r="AU185" s="54">
        <f>IF(RTD("tos.rtd",,AU$2,"."&amp;$C$134&amp;$AU$134&amp;"C"&amp;$A185)="N/A",0,RTD("tos.rtd",,AU$2,"."&amp;$C$134&amp;$AU$134&amp;"C"&amp;$A185))</f>
        <v>31</v>
      </c>
      <c r="AV185" s="3">
        <f>-IF(RTD("tos.rtd",,AV$2,"."&amp;$C$134&amp;$AU$134&amp;"P"&amp;$A185)="N/A",0,RTD("tos.rtd",,AV$2,"."&amp;$C$134&amp;$AU$134&amp;"P"&amp;$A185))</f>
        <v>-16</v>
      </c>
      <c r="AW185" s="54">
        <f>IF(RTD("tos.rtd",,AW$2,"."&amp;$D$134&amp;$AW$134&amp;"C"&amp;$A185)="N/A",0,RTD("tos.rtd",,AW$2,"."&amp;$D$134&amp;$AW$134&amp;"C"&amp;$A185))</f>
        <v>31</v>
      </c>
      <c r="AX185" s="3">
        <f>-IF(RTD("tos.rtd",,AX$2,"."&amp;$D$134&amp;$AW$134&amp;"P"&amp;$A185)="N/A",0,RTD("tos.rtd",,AX$2,"."&amp;$D$134&amp;$AW$134&amp;"P"&amp;$A185))</f>
        <v>-31</v>
      </c>
      <c r="AY185" s="76">
        <f t="shared" si="624"/>
        <v>-26</v>
      </c>
      <c r="AZ185" s="8">
        <f t="shared" si="548"/>
        <v>19350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-402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-30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0</v>
      </c>
      <c r="BG185" s="3">
        <f ca="1">+Hoja2!Y186</f>
        <v>-4</v>
      </c>
      <c r="BH185" s="7">
        <f t="shared" ca="1" si="549"/>
        <v>-436</v>
      </c>
      <c r="BI185" s="32" t="str">
        <f t="shared" ca="1" si="609"/>
        <v/>
      </c>
      <c r="BJ185" s="3" t="e">
        <f ca="1">IF($BP$1=1,DX185,IF(RTD("tos.rtd",,BJ$43,"."&amp;$B$134&amp;$AS$82&amp;"C"&amp;$A185)="N/A",0,RTD("tos.rtd",,BJ$43,"."&amp;$B$134&amp;$AS$82&amp;"C"&amp;$A185)))</f>
        <v>#NUM!</v>
      </c>
      <c r="BK185" s="3" t="e">
        <f ca="1">IF($BP$1=1,DY185,-IF(RTD("tos.rtd",,BK$43,"."&amp;$B$134&amp;$AS$82&amp;"P"&amp;$A185)="N/A",0,RTD("tos.rtd",,BK$43,"."&amp;$B$134&amp;$AS$82&amp;"P"&amp;$A185)))</f>
        <v>#NUM!</v>
      </c>
      <c r="BL185" s="3">
        <f ca="1">IF($BP$1=1,DZ185,IF(RTD("tos.rtd",,BL$2,"."&amp;$C$134&amp;$AU$82&amp;"C"&amp;$A185)="N/A",0,RTD("tos.rtd",,BL$2,"."&amp;$C$134&amp;$AU$82&amp;"C"&amp;$A185)))</f>
        <v>3.2042087177505538E-4</v>
      </c>
      <c r="BM185" s="3">
        <f ca="1">IF($BP$1=1,EA185,-IF(RTD("tos.rtd",,BM$2,"."&amp;$C$134&amp;$AU$82&amp;"P"&amp;$A185)="N/A",0,RTD("tos.rtd",,BM$2,"."&amp;$C$134&amp;$AU$82&amp;"P"&amp;$A185)))</f>
        <v>-3.1603536229438855E-4</v>
      </c>
      <c r="BN185" s="3">
        <f ca="1">IF($BP$1=1,EB185,IF(RTD("tos.rtd",,BN$2,"."&amp;$D$134&amp;$AW$82&amp;"C"&amp;$A185)="N/A",0,RTD("tos.rtd",,BN$2,"."&amp;$D$134&amp;$AW$82&amp;"C"&amp;$A185)))</f>
        <v>3.1936601152815334E-4</v>
      </c>
      <c r="BO185" s="3">
        <f ca="1">IF($BP$1=1,EC185,-IF(RTD("tos.rtd",,BO$2,"."&amp;$D$134&amp;$AW$82&amp;"P"&amp;$A185)="N/A",0,RTD("tos.rtd",,BO$2,"."&amp;$D$134&amp;$AW$82&amp;"P"&amp;$A185)))</f>
        <v>-3.2081785931677647E-4</v>
      </c>
      <c r="BQ185" s="3" t="e">
        <f t="shared" ca="1" si="625"/>
        <v>#NUM!</v>
      </c>
      <c r="BR185" s="3" t="e">
        <f t="shared" ca="1" si="550"/>
        <v>#NUM!</v>
      </c>
      <c r="BS185" s="3">
        <f t="shared" ca="1" si="626"/>
        <v>156216.03391828015</v>
      </c>
      <c r="BT185" s="3" t="str">
        <f t="shared" ca="1" si="551"/>
        <v/>
      </c>
      <c r="BU185" s="3">
        <f t="shared" ca="1" si="627"/>
        <v>-1441.7894124798477</v>
      </c>
      <c r="BV185" s="3" t="str">
        <f t="shared" ca="1" si="551"/>
        <v/>
      </c>
      <c r="BX185" s="3" t="e">
        <f t="shared" ca="1" si="585"/>
        <v>#NUM!</v>
      </c>
      <c r="BY185" s="3" t="e">
        <f t="shared" ca="1" si="586"/>
        <v>#NUM!</v>
      </c>
      <c r="BZ185" s="3">
        <f t="shared" ca="1" si="587"/>
        <v>-2334.0918308140681</v>
      </c>
      <c r="CA185" s="3" t="str">
        <f t="shared" ca="1" si="586"/>
        <v/>
      </c>
      <c r="CB185" s="3">
        <f t="shared" ca="1" si="588"/>
        <v>0</v>
      </c>
      <c r="CC185" s="3" t="str">
        <f t="shared" ca="1" si="586"/>
        <v/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</v>
      </c>
      <c r="CF185" s="3">
        <f>IF(RTD("tos.rtd",,CF$2,"."&amp;$C$134&amp;$AU$82&amp;"C"&amp;$A185)="N/A",0,RTD("tos.rtd",,CF$2,"."&amp;$C$134&amp;$AU$82&amp;"C"&amp;$A185))</f>
        <v>0.88</v>
      </c>
      <c r="CG185" s="3">
        <f>-IF(RTD("tos.rtd",,CG$2,"."&amp;$C$134&amp;$AU$82&amp;"P"&amp;$A185)="N/A",0,RTD("tos.rtd",,CG$2,"."&amp;$C$134&amp;$AU$82&amp;"P"&amp;$A185))</f>
        <v>0.14000000000000001</v>
      </c>
      <c r="CH185" s="3">
        <f>IF(RTD("tos.rtd",,CH$2,"."&amp;$D$134&amp;$AW$82&amp;"C"&amp;$A185)="N/A",0,RTD("tos.rtd",,CH$2,"."&amp;$D$134&amp;$AW$82&amp;"C"&amp;$A185))</f>
        <v>0.7</v>
      </c>
      <c r="CI185" s="3">
        <f>-IF(RTD("tos.rtd",,CI$2,"."&amp;$D$134&amp;$AW$82&amp;"P"&amp;$A185)="N/A",0,RTD("tos.rtd",,CI$2,"."&amp;$D$134&amp;$AW$82&amp;"P"&amp;$A185))</f>
        <v>0.3</v>
      </c>
      <c r="CK185" s="3">
        <f t="shared" si="660"/>
        <v>400</v>
      </c>
      <c r="CL185" s="3"/>
      <c r="CM185" s="3">
        <f t="shared" si="661"/>
        <v>2504</v>
      </c>
      <c r="CN185" s="3"/>
      <c r="CO185" s="3">
        <f t="shared" si="662"/>
        <v>1240</v>
      </c>
      <c r="CP185" s="3">
        <f t="shared" si="542"/>
        <v>4144</v>
      </c>
      <c r="CQ185" s="3">
        <f t="shared" si="552"/>
        <v>-402</v>
      </c>
      <c r="CR185" s="3"/>
      <c r="CS185" s="3">
        <f t="shared" si="553"/>
        <v>-30</v>
      </c>
      <c r="CT185" s="3"/>
      <c r="CU185" s="3">
        <f t="shared" si="554"/>
        <v>0</v>
      </c>
      <c r="CV185" s="3"/>
      <c r="CW185" s="3" t="e">
        <f t="shared" ca="1" si="555"/>
        <v>#NUM!</v>
      </c>
      <c r="CY185" s="3" t="e">
        <f t="shared" ca="1" si="556"/>
        <v>#NUM!</v>
      </c>
      <c r="CZ185" s="70" t="e">
        <f t="shared" ca="1" si="589"/>
        <v>#NUM!</v>
      </c>
      <c r="DA185" s="3">
        <f>IF(RTD("tos.rtd",,DA$43,"."&amp;$B$134&amp;$AS$82&amp;"C"&amp;$A185)="N/A",0,RTD("tos.rtd",,DA$43,"."&amp;$B$134&amp;$AS$82&amp;"C"&amp;$A185))</f>
        <v>268.25</v>
      </c>
      <c r="DB185" s="3">
        <f>IF(RTD("tos.rtd",,DB$43,"."&amp;$B$134&amp;$AS$82&amp;"P"&amp;$A185)="N/A",0,RTD("tos.rtd",,DB$43,"."&amp;$B$134&amp;$AS$82&amp;"P"&amp;$A185))</f>
        <v>0.12</v>
      </c>
      <c r="DC185" s="3">
        <f>IF(RTD("tos.rtd",,DC$43,"."&amp;$B$134&amp;$AS$82&amp;"C"&amp;$A185)="N/A",0,RTD("tos.rtd",,DC$43,"."&amp;$B$134&amp;$AS$82&amp;"C"&amp;$A185))</f>
        <v>748</v>
      </c>
      <c r="DD185" s="3">
        <f>IF(RTD("tos.rtd",,DD$43,"."&amp;$B$134&amp;$AS$82&amp;"P"&amp;$A185)="N/A",0,RTD("tos.rtd",,DD$43,"."&amp;$B$134&amp;$AS$82&amp;"P"&amp;$A185))</f>
        <v>0.25</v>
      </c>
      <c r="DE185" s="3">
        <f>IF(RTD("tos.rtd",,DE$43,"."&amp;$B$134&amp;$AS$82&amp;"C"&amp;$A185)="N/A",0,RTD("tos.rtd",,DE$43,"."&amp;$B$134&amp;$AS$82&amp;"C"&amp;$A185))</f>
        <v>674.3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90"/>
        <v>-711.44900000000052</v>
      </c>
      <c r="DH185" s="3">
        <f t="shared" si="557"/>
        <v>0</v>
      </c>
      <c r="DI185" s="3">
        <f t="shared" si="558"/>
        <v>0</v>
      </c>
      <c r="DJ185" s="3">
        <f t="shared" si="559"/>
        <v>0</v>
      </c>
      <c r="DK185" s="3">
        <f t="shared" si="560"/>
        <v>0</v>
      </c>
      <c r="DL185" s="3">
        <f t="shared" si="561"/>
        <v>0</v>
      </c>
      <c r="DM185" s="3">
        <f t="shared" si="562"/>
        <v>0</v>
      </c>
      <c r="DN185" s="64" t="str">
        <f t="shared" si="563"/>
        <v>UNKNOWN</v>
      </c>
      <c r="DO185" s="64" t="str">
        <f t="shared" si="564"/>
        <v>UNKNOWN</v>
      </c>
      <c r="DP185" s="3">
        <f t="shared" si="565"/>
        <v>0</v>
      </c>
      <c r="DQ185" s="3">
        <f t="shared" si="566"/>
        <v>0</v>
      </c>
      <c r="DR185" s="3" t="e">
        <f t="shared" ca="1" si="567"/>
        <v>#NUM!</v>
      </c>
      <c r="DS185" s="3">
        <f t="shared" si="568"/>
        <v>0</v>
      </c>
      <c r="DT185" s="3">
        <f t="shared" si="591"/>
        <v>0</v>
      </c>
      <c r="DU185" s="3">
        <f t="shared" si="592"/>
        <v>0</v>
      </c>
      <c r="DV185" s="3">
        <f t="shared" si="569"/>
        <v>0</v>
      </c>
      <c r="DW185" s="3">
        <f t="shared" si="570"/>
        <v>-125</v>
      </c>
      <c r="DX185" s="3" t="e">
        <f t="shared" ca="1" si="654"/>
        <v>#NUM!</v>
      </c>
      <c r="DY185" s="3" t="e">
        <f t="shared" ca="1" si="655"/>
        <v>#NUM!</v>
      </c>
      <c r="DZ185" s="3">
        <f t="shared" ca="1" si="656"/>
        <v>3.2042087177505538E-4</v>
      </c>
      <c r="EA185" s="3">
        <f t="shared" ca="1" si="657"/>
        <v>-3.1603536229438855E-4</v>
      </c>
      <c r="EB185" s="3">
        <f t="shared" ca="1" si="658"/>
        <v>3.1936601152815334E-4</v>
      </c>
      <c r="EC185" s="3">
        <f t="shared" ca="1" si="659"/>
        <v>-3.2081785931677647E-4</v>
      </c>
      <c r="ED185" s="63">
        <f t="shared" si="593"/>
        <v>-125</v>
      </c>
      <c r="EE185" s="59">
        <f t="shared" si="577"/>
        <v>0.25</v>
      </c>
      <c r="EF185" s="59">
        <f t="shared" si="578"/>
        <v>1.6395999999999999</v>
      </c>
      <c r="EG185" s="59">
        <f t="shared" si="579"/>
        <v>0.2843</v>
      </c>
      <c r="EH185" s="59">
        <f t="shared" si="580"/>
        <v>0.31</v>
      </c>
      <c r="EI185" s="59">
        <f t="shared" si="581"/>
        <v>0.25359999999999999</v>
      </c>
      <c r="EJ185" s="59">
        <f t="shared" si="582"/>
        <v>0.26529999999999998</v>
      </c>
      <c r="EK185" s="63" t="e">
        <f t="shared" ca="1" si="594"/>
        <v>#NUM!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163.96%</v>
      </c>
      <c r="EN185" s="3" t="str">
        <f>RTD("tos.rtd",,EN$2,"."&amp;$C$134&amp;$AU$82&amp;"C"&amp;$A185)</f>
        <v>28.43%</v>
      </c>
      <c r="EO185" s="3" t="str">
        <f>RTD("tos.rtd",,EO$2,"."&amp;$C$134&amp;$AU$82&amp;"P"&amp;$A185)</f>
        <v>31.00%</v>
      </c>
      <c r="EP185" s="3" t="str">
        <f>RTD("tos.rtd",,EP$2,"."&amp;$D$134&amp;$AW$82&amp;"C"&amp;$A185)</f>
        <v>25.36%</v>
      </c>
      <c r="EQ185" s="3" t="str">
        <f>RTD("tos.rtd",,EQ$2,"."&amp;$D$134&amp;$AW$82&amp;"P"&amp;$A185)</f>
        <v>26.53%</v>
      </c>
      <c r="ES185" s="63" t="str">
        <f t="shared" si="583"/>
        <v>19350,-125.00</v>
      </c>
      <c r="ET185" s="63" t="str">
        <f t="shared" ca="1" si="584"/>
        <v>19350,00.00</v>
      </c>
      <c r="EU185" s="68">
        <v>565.66999999999996</v>
      </c>
      <c r="EV185" s="68" t="s">
        <v>1499</v>
      </c>
      <c r="EW185" s="68">
        <v>489.38</v>
      </c>
      <c r="EX185" s="68" t="s">
        <v>1500</v>
      </c>
      <c r="EY185" s="68">
        <v>5663.94</v>
      </c>
      <c r="EZ185" s="68" t="s">
        <v>1501</v>
      </c>
      <c r="FA185" s="68">
        <v>20063.564999999999</v>
      </c>
      <c r="FB185" s="68" t="s">
        <v>1502</v>
      </c>
      <c r="FC185" s="68" t="s">
        <v>1503</v>
      </c>
      <c r="FD185" s="68" t="s">
        <v>1504</v>
      </c>
      <c r="FE185" s="68" t="s">
        <v>1505</v>
      </c>
      <c r="FF185" s="68" t="s">
        <v>1506</v>
      </c>
    </row>
    <row r="186" spans="1:162" ht="11.1" customHeight="1" thickBot="1" x14ac:dyDescent="0.25">
      <c r="A186" s="2">
        <f t="shared" si="595"/>
        <v>19325</v>
      </c>
      <c r="B186" s="3">
        <f t="shared" si="628"/>
        <v>33</v>
      </c>
      <c r="C186" s="3">
        <f t="shared" si="629"/>
        <v>54</v>
      </c>
      <c r="D186" s="3">
        <f t="shared" si="630"/>
        <v>25</v>
      </c>
      <c r="E186" s="3">
        <f t="shared" si="663"/>
        <v>112</v>
      </c>
      <c r="F186" s="4">
        <f t="shared" si="623"/>
        <v>19720.238989217578</v>
      </c>
      <c r="G186" s="5">
        <f t="shared" si="664"/>
        <v>477.95576730275064</v>
      </c>
      <c r="AM186" s="1">
        <v>0</v>
      </c>
      <c r="AN186" s="1">
        <v>0</v>
      </c>
      <c r="AO186" s="1">
        <v>19325</v>
      </c>
      <c r="AP186" s="1">
        <v>0</v>
      </c>
      <c r="AQ186" s="1">
        <v>-1</v>
      </c>
      <c r="AS186" s="54">
        <f>IF(RTD("tos.rtd",,AS$83,"."&amp;$B$134&amp;$AS$82&amp;"C"&amp;$A186)="N/A",0,RTD("tos.rtd",,AS$83,"."&amp;$B$134&amp;$AS$82&amp;"C"&amp;$A186))</f>
        <v>1</v>
      </c>
      <c r="AT186" s="3">
        <f>-IF(RTD("tos.rtd",,AT$83,"."&amp;$B$134&amp;$AS$82&amp;"P"&amp;$A186)="N/A",0,RTD("tos.rtd",,AT$83,"."&amp;$B$134&amp;$AS$82&amp;"P"&amp;$A186))</f>
        <v>-32</v>
      </c>
      <c r="AU186" s="54">
        <f>IF(RTD("tos.rtd",,AU$2,"."&amp;$C$134&amp;$AU$134&amp;"C"&amp;$A186)="N/A",0,RTD("tos.rtd",,AU$2,"."&amp;$C$134&amp;$AU$134&amp;"C"&amp;$A186))</f>
        <v>30</v>
      </c>
      <c r="AV186" s="3">
        <f>-IF(RTD("tos.rtd",,AV$2,"."&amp;$C$134&amp;$AU$134&amp;"P"&amp;$A186)="N/A",0,RTD("tos.rtd",,AV$2,"."&amp;$C$134&amp;$AU$134&amp;"P"&amp;$A186))</f>
        <v>-24</v>
      </c>
      <c r="AW186" s="54">
        <f>IF(RTD("tos.rtd",,AW$2,"."&amp;$D$134&amp;$AW$134&amp;"C"&amp;$A186)="N/A",0,RTD("tos.rtd",,AW$2,"."&amp;$D$134&amp;$AW$134&amp;"C"&amp;$A186))</f>
        <v>5</v>
      </c>
      <c r="AX186" s="3">
        <f>-IF(RTD("tos.rtd",,AX$2,"."&amp;$D$134&amp;$AW$134&amp;"P"&amp;$A186)="N/A",0,RTD("tos.rtd",,AX$2,"."&amp;$D$134&amp;$AW$134&amp;"P"&amp;$A186))</f>
        <v>-20</v>
      </c>
      <c r="AY186" s="76">
        <f t="shared" si="624"/>
        <v>-40</v>
      </c>
      <c r="AZ186" s="8">
        <f t="shared" si="548"/>
        <v>19325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-1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-36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0</v>
      </c>
      <c r="BG186" s="3">
        <f ca="1">+Hoja2!Y187</f>
        <v>0</v>
      </c>
      <c r="BH186" s="7">
        <f t="shared" ca="1" si="549"/>
        <v>-37</v>
      </c>
      <c r="BI186" s="32" t="str">
        <f t="shared" ca="1" si="609"/>
        <v/>
      </c>
      <c r="BJ186" s="3" t="e">
        <f ca="1">IF($BP$1=1,DX186,IF(RTD("tos.rtd",,BJ$43,"."&amp;$B$134&amp;$AS$82&amp;"C"&amp;$A186)="N/A",0,RTD("tos.rtd",,BJ$43,"."&amp;$B$134&amp;$AS$82&amp;"C"&amp;$A186)))</f>
        <v>#NUM!</v>
      </c>
      <c r="BK186" s="3" t="e">
        <f ca="1">IF($BP$1=1,DY186,-IF(RTD("tos.rtd",,BK$43,"."&amp;$B$134&amp;$AS$82&amp;"P"&amp;$A186)="N/A",0,RTD("tos.rtd",,BK$43,"."&amp;$B$134&amp;$AS$82&amp;"P"&amp;$A186)))</f>
        <v>#NUM!</v>
      </c>
      <c r="BL186" s="3">
        <f ca="1">IF($BP$1=1,DZ186,IF(RTD("tos.rtd",,BL$2,"."&amp;$C$134&amp;$AU$82&amp;"C"&amp;$A186)="N/A",0,RTD("tos.rtd",,BL$2,"."&amp;$C$134&amp;$AU$82&amp;"C"&amp;$A186)))</f>
        <v>3.0992728879566673E-4</v>
      </c>
      <c r="BM186" s="3">
        <f ca="1">IF($BP$1=1,EA186,-IF(RTD("tos.rtd",,BM$2,"."&amp;$C$134&amp;$AU$82&amp;"P"&amp;$A186)="N/A",0,RTD("tos.rtd",,BM$2,"."&amp;$C$134&amp;$AU$82&amp;"P"&amp;$A186)))</f>
        <v>-3.0704006026001509E-4</v>
      </c>
      <c r="BN186" s="3">
        <f ca="1">IF($BP$1=1,EB186,IF(RTD("tos.rtd",,BN$2,"."&amp;$D$134&amp;$AW$82&amp;"C"&amp;$A186)="N/A",0,RTD("tos.rtd",,BN$2,"."&amp;$D$134&amp;$AW$82&amp;"C"&amp;$A186)))</f>
        <v>3.0643007920013826E-4</v>
      </c>
      <c r="BO186" s="3">
        <f ca="1">IF($BP$1=1,EC186,-IF(RTD("tos.rtd",,BO$2,"."&amp;$D$134&amp;$AW$82&amp;"P"&amp;$A186)="N/A",0,RTD("tos.rtd",,BO$2,"."&amp;$D$134&amp;$AW$82&amp;"P"&amp;$A186)))</f>
        <v>-3.0893144969174432E-4</v>
      </c>
      <c r="BQ186" s="3" t="e">
        <f t="shared" ca="1" si="625"/>
        <v>#NUM!</v>
      </c>
      <c r="BR186" s="3" t="e">
        <f t="shared" ca="1" si="550"/>
        <v>#NUM!</v>
      </c>
      <c r="BS186" s="3">
        <f t="shared" ca="1" si="626"/>
        <v>61790.133176986477</v>
      </c>
      <c r="BT186" s="3" t="str">
        <f t="shared" ca="1" si="551"/>
        <v/>
      </c>
      <c r="BU186" s="3">
        <f t="shared" ca="1" si="627"/>
        <v>-148847.99597401812</v>
      </c>
      <c r="BV186" s="3" t="str">
        <f t="shared" ca="1" si="551"/>
        <v/>
      </c>
      <c r="BX186" s="3" t="e">
        <f t="shared" ca="1" si="585"/>
        <v>#NUM!</v>
      </c>
      <c r="BY186" s="3" t="e">
        <f t="shared" ca="1" si="586"/>
        <v>#NUM!</v>
      </c>
      <c r="BZ186" s="3">
        <f t="shared" ca="1" si="587"/>
        <v>-2721.1880006693236</v>
      </c>
      <c r="CA186" s="3" t="str">
        <f t="shared" ca="1" si="586"/>
        <v/>
      </c>
      <c r="CB186" s="3">
        <f t="shared" ca="1" si="588"/>
        <v>0</v>
      </c>
      <c r="CC186" s="3" t="str">
        <f t="shared" ca="1" si="586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0.05</v>
      </c>
      <c r="CF186" s="3">
        <f>IF(RTD("tos.rtd",,CF$2,"."&amp;$C$134&amp;$AU$82&amp;"C"&amp;$A186)="N/A",0,RTD("tos.rtd",,CF$2,"."&amp;$C$134&amp;$AU$82&amp;"C"&amp;$A186))</f>
        <v>0.89</v>
      </c>
      <c r="CG186" s="3">
        <f>-IF(RTD("tos.rtd",,CG$2,"."&amp;$C$134&amp;$AU$82&amp;"P"&amp;$A186)="N/A",0,RTD("tos.rtd",,CG$2,"."&amp;$C$134&amp;$AU$82&amp;"P"&amp;$A186))</f>
        <v>0.13</v>
      </c>
      <c r="CH186" s="3">
        <f>IF(RTD("tos.rtd",,CH$2,"."&amp;$D$134&amp;$AW$82&amp;"C"&amp;$A186)="N/A",0,RTD("tos.rtd",,CH$2,"."&amp;$D$134&amp;$AW$82&amp;"C"&amp;$A186))</f>
        <v>0.71</v>
      </c>
      <c r="CI186" s="3">
        <f>-IF(RTD("tos.rtd",,CI$2,"."&amp;$D$134&amp;$AW$82&amp;"P"&amp;$A186)="N/A",0,RTD("tos.rtd",,CI$2,"."&amp;$D$134&amp;$AW$82&amp;"P"&amp;$A186))</f>
        <v>0.3</v>
      </c>
      <c r="CK186" s="3">
        <f t="shared" si="660"/>
        <v>-60</v>
      </c>
      <c r="CL186" s="3"/>
      <c r="CM186" s="3">
        <f t="shared" si="661"/>
        <v>2358</v>
      </c>
      <c r="CN186" s="3"/>
      <c r="CO186" s="3">
        <f t="shared" si="662"/>
        <v>-245</v>
      </c>
      <c r="CP186" s="3">
        <f t="shared" si="542"/>
        <v>2053</v>
      </c>
      <c r="CQ186" s="3">
        <f t="shared" si="552"/>
        <v>-1</v>
      </c>
      <c r="CR186" s="3"/>
      <c r="CS186" s="3">
        <f t="shared" si="553"/>
        <v>-36</v>
      </c>
      <c r="CT186" s="3"/>
      <c r="CU186" s="3">
        <f t="shared" si="554"/>
        <v>0</v>
      </c>
      <c r="CV186" s="3"/>
      <c r="CW186" s="3" t="e">
        <f t="shared" ca="1" si="555"/>
        <v>#NUM!</v>
      </c>
      <c r="CY186" s="3" t="e">
        <f t="shared" ca="1" si="556"/>
        <v>#NUM!</v>
      </c>
      <c r="CZ186" s="70" t="e">
        <f t="shared" ca="1" si="589"/>
        <v>#NUM!</v>
      </c>
      <c r="DA186" s="3">
        <f>IF(RTD("tos.rtd",,DA$43,"."&amp;$B$134&amp;$AS$82&amp;"C"&amp;$A186)="N/A",0,RTD("tos.rtd",,DA$43,"."&amp;$B$134&amp;$AS$82&amp;"C"&amp;$A186))</f>
        <v>334.7</v>
      </c>
      <c r="DB186" s="3">
        <f>IF(RTD("tos.rtd",,DB$43,"."&amp;$B$134&amp;$AS$82&amp;"P"&amp;$A186)="N/A",0,RTD("tos.rtd",,DB$43,"."&amp;$B$134&amp;$AS$82&amp;"P"&amp;$A186))</f>
        <v>0.4</v>
      </c>
      <c r="DC186" s="3">
        <f>IF(RTD("tos.rtd",,DC$43,"."&amp;$B$134&amp;$AS$82&amp;"C"&amp;$A186)="N/A",0,RTD("tos.rtd",,DC$43,"."&amp;$B$134&amp;$AS$82&amp;"C"&amp;$A186))</f>
        <v>772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699.3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90"/>
        <v>-736.44900000000052</v>
      </c>
      <c r="DH186" s="3">
        <f t="shared" si="557"/>
        <v>0</v>
      </c>
      <c r="DI186" s="3">
        <f t="shared" si="558"/>
        <v>0</v>
      </c>
      <c r="DJ186" s="3">
        <f t="shared" si="559"/>
        <v>0</v>
      </c>
      <c r="DK186" s="3">
        <f t="shared" si="560"/>
        <v>0</v>
      </c>
      <c r="DL186" s="3">
        <f t="shared" si="561"/>
        <v>0</v>
      </c>
      <c r="DM186" s="3">
        <f t="shared" si="562"/>
        <v>0</v>
      </c>
      <c r="DN186" s="64" t="str">
        <f t="shared" si="563"/>
        <v>UNKNOWN</v>
      </c>
      <c r="DO186" s="64" t="str">
        <f t="shared" si="564"/>
        <v>UNKNOWN</v>
      </c>
      <c r="DP186" s="3">
        <f t="shared" si="565"/>
        <v>0</v>
      </c>
      <c r="DQ186" s="3">
        <f t="shared" si="566"/>
        <v>0</v>
      </c>
      <c r="DR186" s="3" t="e">
        <f t="shared" ca="1" si="567"/>
        <v>#NUM!</v>
      </c>
      <c r="DS186" s="3">
        <f t="shared" si="568"/>
        <v>0</v>
      </c>
      <c r="DT186" s="3">
        <f t="shared" si="591"/>
        <v>0</v>
      </c>
      <c r="DU186" s="3">
        <f t="shared" si="592"/>
        <v>0</v>
      </c>
      <c r="DV186" s="3">
        <f t="shared" si="569"/>
        <v>0</v>
      </c>
      <c r="DW186" s="3">
        <f t="shared" si="570"/>
        <v>0</v>
      </c>
      <c r="DX186" s="3" t="e">
        <f t="shared" ca="1" si="654"/>
        <v>#NUM!</v>
      </c>
      <c r="DY186" s="3" t="e">
        <f t="shared" ca="1" si="655"/>
        <v>#NUM!</v>
      </c>
      <c r="DZ186" s="3">
        <f t="shared" ca="1" si="656"/>
        <v>3.0992728879566673E-4</v>
      </c>
      <c r="EA186" s="3">
        <f t="shared" ca="1" si="657"/>
        <v>-3.0704006026001509E-4</v>
      </c>
      <c r="EB186" s="3">
        <f t="shared" ca="1" si="658"/>
        <v>3.0643007920013826E-4</v>
      </c>
      <c r="EC186" s="3">
        <f t="shared" ca="1" si="659"/>
        <v>-3.0893144969174432E-4</v>
      </c>
      <c r="ED186" s="63">
        <f t="shared" si="593"/>
        <v>0</v>
      </c>
      <c r="EE186" s="59">
        <f t="shared" si="577"/>
        <v>0.25</v>
      </c>
      <c r="EF186" s="59">
        <f t="shared" si="578"/>
        <v>3.0459000000000001</v>
      </c>
      <c r="EG186" s="59">
        <f t="shared" si="579"/>
        <v>0.28389999999999999</v>
      </c>
      <c r="EH186" s="59">
        <f t="shared" si="580"/>
        <v>0.31130000000000002</v>
      </c>
      <c r="EI186" s="59">
        <f t="shared" si="581"/>
        <v>0.254</v>
      </c>
      <c r="EJ186" s="59">
        <f t="shared" si="582"/>
        <v>0.26619999999999999</v>
      </c>
      <c r="EK186" s="63" t="e">
        <f t="shared" ca="1" si="594"/>
        <v>#NUM!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304.59%</v>
      </c>
      <c r="EN186" s="3" t="str">
        <f>RTD("tos.rtd",,EN$2,"."&amp;$C$134&amp;$AU$82&amp;"C"&amp;$A186)</f>
        <v>28.39%</v>
      </c>
      <c r="EO186" s="3" t="str">
        <f>RTD("tos.rtd",,EO$2,"."&amp;$C$134&amp;$AU$82&amp;"P"&amp;$A186)</f>
        <v>31.13%</v>
      </c>
      <c r="EP186" s="3" t="str">
        <f>RTD("tos.rtd",,EP$2,"."&amp;$D$134&amp;$AW$82&amp;"C"&amp;$A186)</f>
        <v>25.40%</v>
      </c>
      <c r="EQ186" s="3" t="str">
        <f>RTD("tos.rtd",,EQ$2,"."&amp;$D$134&amp;$AW$82&amp;"P"&amp;$A186)</f>
        <v>26.62%</v>
      </c>
      <c r="ES186" s="63" t="str">
        <f t="shared" si="583"/>
        <v>19325,00.00</v>
      </c>
      <c r="ET186" s="63" t="str">
        <f t="shared" ca="1" si="584"/>
        <v>19325,00.00</v>
      </c>
      <c r="EU186" s="68">
        <v>565.69000000000005</v>
      </c>
      <c r="EV186" s="68" t="s">
        <v>1507</v>
      </c>
      <c r="EW186" s="68">
        <v>489.39</v>
      </c>
      <c r="EX186" s="68" t="s">
        <v>1508</v>
      </c>
      <c r="EY186" s="68">
        <v>5663.94</v>
      </c>
      <c r="EZ186" s="68" t="s">
        <v>1509</v>
      </c>
      <c r="FA186" s="68">
        <v>20063.564999999999</v>
      </c>
      <c r="FB186" s="68" t="s">
        <v>1510</v>
      </c>
      <c r="FC186" s="68" t="s">
        <v>1511</v>
      </c>
      <c r="FD186" s="68" t="s">
        <v>1512</v>
      </c>
      <c r="FE186" s="68" t="s">
        <v>1513</v>
      </c>
      <c r="FF186" s="68" t="s">
        <v>1514</v>
      </c>
    </row>
    <row r="187" spans="1:162" ht="11.1" customHeight="1" thickBot="1" x14ac:dyDescent="0.25">
      <c r="A187" s="2">
        <f t="shared" si="595"/>
        <v>19300</v>
      </c>
      <c r="B187" s="3">
        <f t="shared" si="628"/>
        <v>67</v>
      </c>
      <c r="C187" s="3">
        <f t="shared" si="629"/>
        <v>84</v>
      </c>
      <c r="D187" s="3">
        <f t="shared" si="630"/>
        <v>141</v>
      </c>
      <c r="E187" s="3">
        <f t="shared" si="663"/>
        <v>292</v>
      </c>
      <c r="F187" s="4">
        <f t="shared" si="623"/>
        <v>19694.727683927515</v>
      </c>
      <c r="G187" s="5">
        <f t="shared" si="664"/>
        <v>477.33745453780529</v>
      </c>
      <c r="AM187" s="1">
        <v>0</v>
      </c>
      <c r="AN187" s="1">
        <v>94</v>
      </c>
      <c r="AO187" s="1">
        <v>19300</v>
      </c>
      <c r="AP187" s="1">
        <v>0</v>
      </c>
      <c r="AQ187" s="1">
        <v>-214</v>
      </c>
      <c r="AS187" s="54">
        <f>IF(RTD("tos.rtd",,AS$83,"."&amp;$B$134&amp;$AS$82&amp;"C"&amp;$A187)="N/A",0,RTD("tos.rtd",,AS$83,"."&amp;$B$134&amp;$AS$82&amp;"C"&amp;$A187))</f>
        <v>4</v>
      </c>
      <c r="AT187" s="3">
        <f>-IF(RTD("tos.rtd",,AT$83,"."&amp;$B$134&amp;$AS$82&amp;"P"&amp;$A187)="N/A",0,RTD("tos.rtd",,AT$83,"."&amp;$B$134&amp;$AS$82&amp;"P"&amp;$A187))</f>
        <v>-63</v>
      </c>
      <c r="AU187" s="54">
        <f>IF(RTD("tos.rtd",,AU$2,"."&amp;$C$134&amp;$AU$134&amp;"C"&amp;$A187)="N/A",0,RTD("tos.rtd",,AU$2,"."&amp;$C$134&amp;$AU$134&amp;"C"&amp;$A187))</f>
        <v>69</v>
      </c>
      <c r="AV187" s="3">
        <f>-IF(RTD("tos.rtd",,AV$2,"."&amp;$C$134&amp;$AU$134&amp;"P"&amp;$A187)="N/A",0,RTD("tos.rtd",,AV$2,"."&amp;$C$134&amp;$AU$134&amp;"P"&amp;$A187))</f>
        <v>-15</v>
      </c>
      <c r="AW187" s="54">
        <f>IF(RTD("tos.rtd",,AW$2,"."&amp;$D$134&amp;$AW$134&amp;"C"&amp;$A187)="N/A",0,RTD("tos.rtd",,AW$2,"."&amp;$D$134&amp;$AW$134&amp;"C"&amp;$A187))</f>
        <v>79</v>
      </c>
      <c r="AX187" s="3">
        <f>-IF(RTD("tos.rtd",,AX$2,"."&amp;$D$134&amp;$AW$134&amp;"P"&amp;$A187)="N/A",0,RTD("tos.rtd",,AX$2,"."&amp;$D$134&amp;$AW$134&amp;"P"&amp;$A187))</f>
        <v>-62</v>
      </c>
      <c r="AY187" s="76">
        <f t="shared" si="624"/>
        <v>12</v>
      </c>
      <c r="AZ187" s="8">
        <f t="shared" si="548"/>
        <v>19300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-214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-31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-7</v>
      </c>
      <c r="BG187" s="3">
        <f ca="1">+Hoja2!Y188</f>
        <v>1</v>
      </c>
      <c r="BH187" s="7">
        <f t="shared" ca="1" si="549"/>
        <v>-251</v>
      </c>
      <c r="BI187" s="32" t="str">
        <f t="shared" ca="1" si="609"/>
        <v/>
      </c>
      <c r="BJ187" s="3" t="e">
        <f ca="1">IF($BP$1=1,DX187,IF(RTD("tos.rtd",,BJ$43,"."&amp;$B$134&amp;$AS$82&amp;"C"&amp;$A187)="N/A",0,RTD("tos.rtd",,BJ$43,"."&amp;$B$134&amp;$AS$82&amp;"C"&amp;$A187)))</f>
        <v>#NUM!</v>
      </c>
      <c r="BK187" s="3" t="e">
        <f ca="1">IF($BP$1=1,DY187,-IF(RTD("tos.rtd",,BK$43,"."&amp;$B$134&amp;$AS$82&amp;"P"&amp;$A187)="N/A",0,RTD("tos.rtd",,BK$43,"."&amp;$B$134&amp;$AS$82&amp;"P"&amp;$A187)))</f>
        <v>#NUM!</v>
      </c>
      <c r="BL187" s="3">
        <f ca="1">IF($BP$1=1,DZ187,IF(RTD("tos.rtd",,BL$2,"."&amp;$C$134&amp;$AU$82&amp;"C"&amp;$A187)="N/A",0,RTD("tos.rtd",,BL$2,"."&amp;$C$134&amp;$AU$82&amp;"C"&amp;$A187)))</f>
        <v>2.9935039711082533E-4</v>
      </c>
      <c r="BM187" s="3">
        <f ca="1">IF($BP$1=1,EA187,-IF(RTD("tos.rtd",,BM$2,"."&amp;$C$134&amp;$AU$82&amp;"P"&amp;$A187)="N/A",0,RTD("tos.rtd",,BM$2,"."&amp;$C$134&amp;$AU$82&amp;"P"&amp;$A187)))</f>
        <v>-2.9821514115718517E-4</v>
      </c>
      <c r="BN187" s="3">
        <f ca="1">IF($BP$1=1,EB187,IF(RTD("tos.rtd",,BN$2,"."&amp;$D$134&amp;$AW$82&amp;"C"&amp;$A187)="N/A",0,RTD("tos.rtd",,BN$2,"."&amp;$D$134&amp;$AW$82&amp;"C"&amp;$A187)))</f>
        <v>2.9380430833279023E-4</v>
      </c>
      <c r="BO187" s="3">
        <f ca="1">IF($BP$1=1,EC187,-IF(RTD("tos.rtd",,BO$2,"."&amp;$D$134&amp;$AW$82&amp;"P"&amp;$A187)="N/A",0,RTD("tos.rtd",,BO$2,"."&amp;$D$134&amp;$AW$82&amp;"P"&amp;$A187)))</f>
        <v>-2.9721181260421653E-4</v>
      </c>
      <c r="BQ187" s="3" t="e">
        <f t="shared" ca="1" si="625"/>
        <v>#NUM!</v>
      </c>
      <c r="BR187" s="3" t="e">
        <f t="shared" ca="1" si="550"/>
        <v>#NUM!</v>
      </c>
      <c r="BS187" s="3">
        <f t="shared" ca="1" si="626"/>
        <v>518382.00045546365</v>
      </c>
      <c r="BT187" s="3" t="str">
        <f t="shared" ca="1" si="551"/>
        <v/>
      </c>
      <c r="BU187" s="3">
        <f t="shared" ca="1" si="627"/>
        <v>153234.47128520196</v>
      </c>
      <c r="BV187" s="3" t="str">
        <f t="shared" ca="1" si="551"/>
        <v>Cruce +</v>
      </c>
      <c r="BX187" s="3" t="e">
        <f t="shared" ca="1" si="585"/>
        <v>#NUM!</v>
      </c>
      <c r="BY187" s="3" t="e">
        <f t="shared" ca="1" si="586"/>
        <v>#NUM!</v>
      </c>
      <c r="BZ187" s="3">
        <f t="shared" ca="1" si="587"/>
        <v>-2275.8958693892005</v>
      </c>
      <c r="CA187" s="3" t="str">
        <f t="shared" ca="1" si="586"/>
        <v/>
      </c>
      <c r="CB187" s="3">
        <f t="shared" ca="1" si="588"/>
        <v>-512.18294175396534</v>
      </c>
      <c r="CC187" s="3" t="str">
        <f t="shared" ca="1" si="586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</v>
      </c>
      <c r="CF187" s="3">
        <f>IF(RTD("tos.rtd",,CF$2,"."&amp;$C$134&amp;$AU$82&amp;"C"&amp;$A187)="N/A",0,RTD("tos.rtd",,CF$2,"."&amp;$C$134&amp;$AU$82&amp;"C"&amp;$A187))</f>
        <v>0.9</v>
      </c>
      <c r="CG187" s="3">
        <f>-IF(RTD("tos.rtd",,CG$2,"."&amp;$C$134&amp;$AU$82&amp;"P"&amp;$A187)="N/A",0,RTD("tos.rtd",,CG$2,"."&amp;$C$134&amp;$AU$82&amp;"P"&amp;$A187))</f>
        <v>0.13</v>
      </c>
      <c r="CH187" s="3">
        <f>IF(RTD("tos.rtd",,CH$2,"."&amp;$D$134&amp;$AW$82&amp;"C"&amp;$A187)="N/A",0,RTD("tos.rtd",,CH$2,"."&amp;$D$134&amp;$AW$82&amp;"C"&amp;$A187))</f>
        <v>0.71</v>
      </c>
      <c r="CI187" s="3">
        <f>-IF(RTD("tos.rtd",,CI$2,"."&amp;$D$134&amp;$AW$82&amp;"P"&amp;$A187)="N/A",0,RTD("tos.rtd",,CI$2,"."&amp;$D$134&amp;$AW$82&amp;"P"&amp;$A187))</f>
        <v>0.28999999999999998</v>
      </c>
      <c r="CK187" s="3">
        <f t="shared" si="660"/>
        <v>400</v>
      </c>
      <c r="CL187" s="3"/>
      <c r="CM187" s="3">
        <f t="shared" si="661"/>
        <v>6015</v>
      </c>
      <c r="CN187" s="3"/>
      <c r="CO187" s="3">
        <f t="shared" si="662"/>
        <v>3811</v>
      </c>
      <c r="CP187" s="3">
        <f t="shared" si="542"/>
        <v>10226</v>
      </c>
      <c r="CQ187" s="3">
        <f t="shared" si="552"/>
        <v>-214</v>
      </c>
      <c r="CR187" s="3"/>
      <c r="CS187" s="3">
        <f t="shared" si="553"/>
        <v>-31</v>
      </c>
      <c r="CT187" s="3"/>
      <c r="CU187" s="3">
        <f t="shared" si="554"/>
        <v>-7</v>
      </c>
      <c r="CV187" s="3"/>
      <c r="CW187" s="3" t="e">
        <f t="shared" ca="1" si="555"/>
        <v>#NUM!</v>
      </c>
      <c r="CY187" s="3" t="e">
        <f t="shared" ca="1" si="556"/>
        <v>#NUM!</v>
      </c>
      <c r="CZ187" s="70" t="e">
        <f t="shared" ca="1" si="589"/>
        <v>#NUM!</v>
      </c>
      <c r="DA187" s="3">
        <f>IF(RTD("tos.rtd",,DA$43,"."&amp;$B$134&amp;$AS$82&amp;"C"&amp;$A187)="N/A",0,RTD("tos.rtd",,DA$43,"."&amp;$B$134&amp;$AS$82&amp;"C"&amp;$A187))</f>
        <v>499.73</v>
      </c>
      <c r="DB187" s="3">
        <f>IF(RTD("tos.rtd",,DB$43,"."&amp;$B$134&amp;$AS$82&amp;"P"&amp;$A187)="N/A",0,RTD("tos.rtd",,DB$43,"."&amp;$B$134&amp;$AS$82&amp;"P"&amp;$A187))</f>
        <v>0.05</v>
      </c>
      <c r="DC187" s="3">
        <f>IF(RTD("tos.rtd",,DC$43,"."&amp;$B$134&amp;$AS$82&amp;"C"&amp;$A187)="N/A",0,RTD("tos.rtd",,DC$43,"."&amp;$B$134&amp;$AS$82&amp;"C"&amp;$A187))</f>
        <v>798</v>
      </c>
      <c r="DD187" s="3">
        <f>IF(RTD("tos.rtd",,DD$43,"."&amp;$B$134&amp;$AS$82&amp;"P"&amp;$A187)="N/A",0,RTD("tos.rtd",,DD$43,"."&amp;$B$134&amp;$AS$82&amp;"P"&amp;$A187))</f>
        <v>0.05</v>
      </c>
      <c r="DE187" s="3">
        <f>IF(RTD("tos.rtd",,DE$43,"."&amp;$B$134&amp;$AS$82&amp;"C"&amp;$A187)="N/A",0,RTD("tos.rtd",,DE$43,"."&amp;$B$134&amp;$AS$82&amp;"C"&amp;$A187))</f>
        <v>724.3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90"/>
        <v>-761.44900000000052</v>
      </c>
      <c r="DH187" s="3">
        <f t="shared" si="557"/>
        <v>0</v>
      </c>
      <c r="DI187" s="3">
        <f t="shared" si="558"/>
        <v>0</v>
      </c>
      <c r="DJ187" s="3">
        <f t="shared" si="559"/>
        <v>0</v>
      </c>
      <c r="DK187" s="3">
        <f t="shared" si="560"/>
        <v>0</v>
      </c>
      <c r="DL187" s="3">
        <f t="shared" si="561"/>
        <v>0</v>
      </c>
      <c r="DM187" s="3">
        <f t="shared" si="562"/>
        <v>0</v>
      </c>
      <c r="DN187" s="64" t="str">
        <f t="shared" si="563"/>
        <v>UNKNOWN</v>
      </c>
      <c r="DO187" s="64" t="str">
        <f t="shared" si="564"/>
        <v>UNKNOWN</v>
      </c>
      <c r="DP187" s="3">
        <f t="shared" si="565"/>
        <v>0</v>
      </c>
      <c r="DQ187" s="3">
        <f t="shared" si="566"/>
        <v>0</v>
      </c>
      <c r="DR187" s="3" t="e">
        <f t="shared" ca="1" si="567"/>
        <v>#NUM!</v>
      </c>
      <c r="DS187" s="3">
        <f t="shared" si="568"/>
        <v>0</v>
      </c>
      <c r="DT187" s="3">
        <f t="shared" si="591"/>
        <v>0</v>
      </c>
      <c r="DU187" s="3">
        <f t="shared" si="592"/>
        <v>0</v>
      </c>
      <c r="DV187" s="3">
        <f t="shared" si="569"/>
        <v>0</v>
      </c>
      <c r="DW187" s="3">
        <f t="shared" si="570"/>
        <v>94</v>
      </c>
      <c r="DX187" s="3" t="e">
        <f t="shared" ca="1" si="654"/>
        <v>#NUM!</v>
      </c>
      <c r="DY187" s="3" t="e">
        <f t="shared" ca="1" si="655"/>
        <v>#NUM!</v>
      </c>
      <c r="DZ187" s="3">
        <f t="shared" ca="1" si="656"/>
        <v>2.9935039711082533E-4</v>
      </c>
      <c r="EA187" s="3">
        <f t="shared" ca="1" si="657"/>
        <v>-2.9821514115718517E-4</v>
      </c>
      <c r="EB187" s="3">
        <f t="shared" ca="1" si="658"/>
        <v>2.9380430833279023E-4</v>
      </c>
      <c r="EC187" s="3">
        <f t="shared" ca="1" si="659"/>
        <v>-2.9721181260421653E-4</v>
      </c>
      <c r="ED187" s="63">
        <f t="shared" si="593"/>
        <v>94</v>
      </c>
      <c r="EE187" s="59">
        <f t="shared" si="577"/>
        <v>0.25</v>
      </c>
      <c r="EF187" s="59">
        <f t="shared" si="578"/>
        <v>1.5350999999999999</v>
      </c>
      <c r="EG187" s="59">
        <f t="shared" si="579"/>
        <v>0.28320000000000001</v>
      </c>
      <c r="EH187" s="59">
        <f t="shared" si="580"/>
        <v>0.312</v>
      </c>
      <c r="EI187" s="59">
        <f t="shared" si="581"/>
        <v>0.25480000000000003</v>
      </c>
      <c r="EJ187" s="59">
        <f t="shared" si="582"/>
        <v>0.26700000000000002</v>
      </c>
      <c r="EK187" s="63" t="e">
        <f t="shared" ca="1" si="594"/>
        <v>#NUM!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153.51%</v>
      </c>
      <c r="EN187" s="3" t="str">
        <f>RTD("tos.rtd",,EN$2,"."&amp;$C$134&amp;$AU$82&amp;"C"&amp;$A187)</f>
        <v>28.32%</v>
      </c>
      <c r="EO187" s="3" t="str">
        <f>RTD("tos.rtd",,EO$2,"."&amp;$C$134&amp;$AU$82&amp;"P"&amp;$A187)</f>
        <v>31.20%</v>
      </c>
      <c r="EP187" s="3" t="str">
        <f>RTD("tos.rtd",,EP$2,"."&amp;$D$134&amp;$AW$82&amp;"C"&amp;$A187)</f>
        <v>25.48%</v>
      </c>
      <c r="EQ187" s="3" t="str">
        <f>RTD("tos.rtd",,EQ$2,"."&amp;$D$134&amp;$AW$82&amp;"P"&amp;$A187)</f>
        <v>26.70%</v>
      </c>
      <c r="ES187" s="63" t="str">
        <f t="shared" si="583"/>
        <v>19300,94.00</v>
      </c>
      <c r="ET187" s="63" t="str">
        <f t="shared" ca="1" si="584"/>
        <v>19300,00.00</v>
      </c>
      <c r="EU187" s="68">
        <v>565.67999999999995</v>
      </c>
      <c r="EV187" s="68" t="s">
        <v>1515</v>
      </c>
      <c r="EW187" s="68">
        <v>489.34</v>
      </c>
      <c r="EX187" s="68" t="s">
        <v>1516</v>
      </c>
      <c r="EY187" s="68">
        <v>5663.94</v>
      </c>
      <c r="EZ187" s="68" t="s">
        <v>1517</v>
      </c>
      <c r="FA187" s="68">
        <v>20063.564999999999</v>
      </c>
      <c r="FB187" s="68" t="s">
        <v>1518</v>
      </c>
      <c r="FC187" s="68" t="s">
        <v>1519</v>
      </c>
      <c r="FD187" s="68" t="s">
        <v>1520</v>
      </c>
      <c r="FE187" s="68" t="s">
        <v>1521</v>
      </c>
      <c r="FF187" s="68" t="s">
        <v>1522</v>
      </c>
    </row>
    <row r="188" spans="1:162" ht="11.1" customHeight="1" thickBot="1" x14ac:dyDescent="0.25">
      <c r="A188" s="2">
        <f t="shared" si="595"/>
        <v>19275</v>
      </c>
      <c r="B188" s="3">
        <f t="shared" si="628"/>
        <v>17</v>
      </c>
      <c r="C188" s="3">
        <f t="shared" si="629"/>
        <v>16</v>
      </c>
      <c r="D188" s="3">
        <f t="shared" si="630"/>
        <v>12</v>
      </c>
      <c r="E188" s="3">
        <f t="shared" si="663"/>
        <v>45</v>
      </c>
      <c r="F188" s="11">
        <f t="shared" si="623"/>
        <v>19669.216378637455</v>
      </c>
      <c r="G188" s="5">
        <f t="shared" si="664"/>
        <v>476.71914177285993</v>
      </c>
      <c r="AM188" s="1">
        <v>0</v>
      </c>
      <c r="AN188" s="1">
        <v>-1</v>
      </c>
      <c r="AO188" s="1">
        <v>19275</v>
      </c>
      <c r="AP188" s="1">
        <v>0</v>
      </c>
      <c r="AQ188" s="1">
        <v>-1</v>
      </c>
      <c r="AS188" s="54">
        <f>IF(RTD("tos.rtd",,AS$83,"."&amp;$B$134&amp;$AS$82&amp;"C"&amp;$A188)="N/A",0,RTD("tos.rtd",,AS$83,"."&amp;$B$134&amp;$AS$82&amp;"C"&amp;$A188))</f>
        <v>7</v>
      </c>
      <c r="AT188" s="3">
        <f>-IF(RTD("tos.rtd",,AT$83,"."&amp;$B$134&amp;$AS$82&amp;"P"&amp;$A188)="N/A",0,RTD("tos.rtd",,AT$83,"."&amp;$B$134&amp;$AS$82&amp;"P"&amp;$A188))</f>
        <v>-10</v>
      </c>
      <c r="AU188" s="54">
        <f>IF(RTD("tos.rtd",,AU$2,"."&amp;$C$134&amp;$AU$134&amp;"C"&amp;$A188)="N/A",0,RTD("tos.rtd",,AU$2,"."&amp;$C$134&amp;$AU$134&amp;"C"&amp;$A188))</f>
        <v>10</v>
      </c>
      <c r="AV188" s="3">
        <f>-IF(RTD("tos.rtd",,AV$2,"."&amp;$C$134&amp;$AU$134&amp;"P"&amp;$A188)="N/A",0,RTD("tos.rtd",,AV$2,"."&amp;$C$134&amp;$AU$134&amp;"P"&amp;$A188))</f>
        <v>-6</v>
      </c>
      <c r="AW188" s="54">
        <f>IF(RTD("tos.rtd",,AW$2,"."&amp;$D$134&amp;$AW$134&amp;"C"&amp;$A188)="N/A",0,RTD("tos.rtd",,AW$2,"."&amp;$D$134&amp;$AW$134&amp;"C"&amp;$A188))</f>
        <v>1</v>
      </c>
      <c r="AX188" s="3">
        <f>-IF(RTD("tos.rtd",,AX$2,"."&amp;$D$134&amp;$AW$134&amp;"P"&amp;$A188)="N/A",0,RTD("tos.rtd",,AX$2,"."&amp;$D$134&amp;$AW$134&amp;"P"&amp;$A188))</f>
        <v>-11</v>
      </c>
      <c r="AY188" s="76">
        <f t="shared" si="624"/>
        <v>-9</v>
      </c>
      <c r="AZ188" s="8">
        <f t="shared" si="548"/>
        <v>19275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-1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-42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0</v>
      </c>
      <c r="BG188" s="3">
        <f ca="1">+Hoja2!Y189</f>
        <v>0</v>
      </c>
      <c r="BH188" s="7">
        <f t="shared" ca="1" si="549"/>
        <v>-43</v>
      </c>
      <c r="BI188" s="32" t="str">
        <f t="shared" ca="1" si="609"/>
        <v/>
      </c>
      <c r="BJ188" s="3" t="e">
        <f ca="1">IF($BP$1=1,DX188,IF(RTD("tos.rtd",,BJ$43,"."&amp;$B$134&amp;$AS$82&amp;"C"&amp;$A188)="N/A",0,RTD("tos.rtd",,BJ$43,"."&amp;$B$134&amp;$AS$82&amp;"C"&amp;$A188)))</f>
        <v>#NUM!</v>
      </c>
      <c r="BK188" s="3" t="e">
        <f ca="1">IF($BP$1=1,DY188,-IF(RTD("tos.rtd",,BK$43,"."&amp;$B$134&amp;$AS$82&amp;"P"&amp;$A188)="N/A",0,RTD("tos.rtd",,BK$43,"."&amp;$B$134&amp;$AS$82&amp;"P"&amp;$A188)))</f>
        <v>#NUM!</v>
      </c>
      <c r="BL188" s="3">
        <f ca="1">IF($BP$1=1,DZ188,IF(RTD("tos.rtd",,BL$2,"."&amp;$C$134&amp;$AU$82&amp;"C"&amp;$A188)="N/A",0,RTD("tos.rtd",,BL$2,"."&amp;$C$134&amp;$AU$82&amp;"C"&amp;$A188)))</f>
        <v>2.8868921932776695E-4</v>
      </c>
      <c r="BM188" s="3">
        <f ca="1">IF($BP$1=1,EA188,-IF(RTD("tos.rtd",,BM$2,"."&amp;$C$134&amp;$AU$82&amp;"P"&amp;$A188)="N/A",0,RTD("tos.rtd",,BM$2,"."&amp;$C$134&amp;$AU$82&amp;"P"&amp;$A188)))</f>
        <v>-2.8941908844958486E-4</v>
      </c>
      <c r="BN188" s="3">
        <f ca="1">IF($BP$1=1,EB188,IF(RTD("tos.rtd",,BN$2,"."&amp;$D$134&amp;$AW$82&amp;"C"&amp;$A188)="N/A",0,RTD("tos.rtd",,BN$2,"."&amp;$D$134&amp;$AW$82&amp;"C"&amp;$A188)))</f>
        <v>2.8138783404535976E-4</v>
      </c>
      <c r="BO188" s="3">
        <f ca="1">IF($BP$1=1,EC188,-IF(RTD("tos.rtd",,BO$2,"."&amp;$D$134&amp;$AW$82&amp;"P"&amp;$A188)="N/A",0,RTD("tos.rtd",,BO$2,"."&amp;$D$134&amp;$AW$82&amp;"P"&amp;$A188)))</f>
        <v>-2.8562709871296455E-4</v>
      </c>
      <c r="BQ188" s="3" t="e">
        <f t="shared" ca="1" si="625"/>
        <v>#NUM!</v>
      </c>
      <c r="BR188" s="3" t="e">
        <f t="shared" ca="1" si="550"/>
        <v>#NUM!</v>
      </c>
      <c r="BS188" s="3">
        <f t="shared" ca="1" si="626"/>
        <v>36851.8666519084</v>
      </c>
      <c r="BT188" s="3" t="str">
        <f t="shared" ca="1" si="551"/>
        <v/>
      </c>
      <c r="BU188" s="3">
        <f t="shared" ca="1" si="627"/>
        <v>-91635.247957801592</v>
      </c>
      <c r="BV188" s="3" t="str">
        <f t="shared" ca="1" si="551"/>
        <v>Cruce -</v>
      </c>
      <c r="BX188" s="3" t="e">
        <f t="shared" ca="1" si="585"/>
        <v>#NUM!</v>
      </c>
      <c r="BY188" s="3" t="e">
        <f t="shared" ca="1" si="586"/>
        <v>#NUM!</v>
      </c>
      <c r="BZ188" s="3">
        <f t="shared" ca="1" si="587"/>
        <v>-2992.5227834586362</v>
      </c>
      <c r="CA188" s="3" t="str">
        <f t="shared" ca="1" si="586"/>
        <v/>
      </c>
      <c r="CB188" s="3">
        <f t="shared" ca="1" si="588"/>
        <v>0</v>
      </c>
      <c r="CC188" s="3" t="str">
        <f t="shared" ca="1" si="586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</v>
      </c>
      <c r="CF188" s="3">
        <f>IF(RTD("tos.rtd",,CF$2,"."&amp;$C$134&amp;$AU$82&amp;"C"&amp;$A188)="N/A",0,RTD("tos.rtd",,CF$2,"."&amp;$C$134&amp;$AU$82&amp;"C"&amp;$A188))</f>
        <v>0.9</v>
      </c>
      <c r="CG188" s="3">
        <f>-IF(RTD("tos.rtd",,CG$2,"."&amp;$C$134&amp;$AU$82&amp;"P"&amp;$A188)="N/A",0,RTD("tos.rtd",,CG$2,"."&amp;$C$134&amp;$AU$82&amp;"P"&amp;$A188))</f>
        <v>0.12</v>
      </c>
      <c r="CH188" s="3">
        <f>IF(RTD("tos.rtd",,CH$2,"."&amp;$D$134&amp;$AW$82&amp;"C"&amp;$A188)="N/A",0,RTD("tos.rtd",,CH$2,"."&amp;$D$134&amp;$AW$82&amp;"C"&amp;$A188))</f>
        <v>0.72</v>
      </c>
      <c r="CI188" s="3">
        <f>-IF(RTD("tos.rtd",,CI$2,"."&amp;$D$134&amp;$AW$82&amp;"P"&amp;$A188)="N/A",0,RTD("tos.rtd",,CI$2,"."&amp;$D$134&amp;$AW$82&amp;"P"&amp;$A188))</f>
        <v>0.28999999999999998</v>
      </c>
      <c r="CK188" s="3">
        <f t="shared" si="660"/>
        <v>700</v>
      </c>
      <c r="CL188" s="3"/>
      <c r="CM188" s="3">
        <f t="shared" si="661"/>
        <v>828</v>
      </c>
      <c r="CN188" s="3"/>
      <c r="CO188" s="3">
        <f t="shared" si="662"/>
        <v>-247</v>
      </c>
      <c r="CP188" s="3">
        <f t="shared" si="542"/>
        <v>1281</v>
      </c>
      <c r="CQ188" s="3">
        <f t="shared" si="552"/>
        <v>-1</v>
      </c>
      <c r="CR188" s="3"/>
      <c r="CS188" s="3">
        <f t="shared" si="553"/>
        <v>-42</v>
      </c>
      <c r="CT188" s="3"/>
      <c r="CU188" s="3">
        <f t="shared" si="554"/>
        <v>0</v>
      </c>
      <c r="CV188" s="3"/>
      <c r="CW188" s="3" t="e">
        <f t="shared" ca="1" si="555"/>
        <v>#NUM!</v>
      </c>
      <c r="CY188" s="3" t="e">
        <f t="shared" ca="1" si="556"/>
        <v>#NUM!</v>
      </c>
      <c r="CZ188" s="70" t="e">
        <f t="shared" ca="1" si="589"/>
        <v>#NUM!</v>
      </c>
      <c r="DA188" s="3">
        <f>IF(RTD("tos.rtd",,DA$43,"."&amp;$B$134&amp;$AS$82&amp;"C"&amp;$A188)="N/A",0,RTD("tos.rtd",,DA$43,"."&amp;$B$134&amp;$AS$82&amp;"C"&amp;$A188))</f>
        <v>734.12</v>
      </c>
      <c r="DB188" s="3">
        <f>IF(RTD("tos.rtd",,DB$43,"."&amp;$B$134&amp;$AS$82&amp;"P"&amp;$A188)="N/A",0,RTD("tos.rtd",,DB$43,"."&amp;$B$134&amp;$AS$82&amp;"P"&amp;$A188))</f>
        <v>0.05</v>
      </c>
      <c r="DC188" s="3">
        <f>IF(RTD("tos.rtd",,DC$43,"."&amp;$B$134&amp;$AS$82&amp;"C"&amp;$A188)="N/A",0,RTD("tos.rtd",,DC$43,"."&amp;$B$134&amp;$AS$82&amp;"C"&amp;$A188))</f>
        <v>822</v>
      </c>
      <c r="DD188" s="3">
        <f>IF(RTD("tos.rtd",,DD$43,"."&amp;$B$134&amp;$AS$82&amp;"P"&amp;$A188)="N/A",0,RTD("tos.rtd",,DD$43,"."&amp;$B$134&amp;$AS$82&amp;"P"&amp;$A188))</f>
        <v>0.05</v>
      </c>
      <c r="DE188" s="3">
        <f>IF(RTD("tos.rtd",,DE$43,"."&amp;$B$134&amp;$AS$82&amp;"C"&amp;$A188)="N/A",0,RTD("tos.rtd",,DE$43,"."&amp;$B$134&amp;$AS$82&amp;"C"&amp;$A188))</f>
        <v>749.3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90"/>
        <v>-786.44900000000052</v>
      </c>
      <c r="DH188" s="3">
        <f t="shared" si="557"/>
        <v>0</v>
      </c>
      <c r="DI188" s="3">
        <f t="shared" si="558"/>
        <v>0</v>
      </c>
      <c r="DJ188" s="3">
        <f t="shared" si="559"/>
        <v>0</v>
      </c>
      <c r="DK188" s="3">
        <f t="shared" si="560"/>
        <v>0</v>
      </c>
      <c r="DL188" s="3">
        <f t="shared" si="561"/>
        <v>0</v>
      </c>
      <c r="DM188" s="3">
        <f t="shared" si="562"/>
        <v>0</v>
      </c>
      <c r="DN188" s="64" t="str">
        <f t="shared" si="563"/>
        <v>UNKNOWN</v>
      </c>
      <c r="DO188" s="64" t="str">
        <f t="shared" si="564"/>
        <v>UNKNOWN</v>
      </c>
      <c r="DP188" s="3">
        <f t="shared" si="565"/>
        <v>0</v>
      </c>
      <c r="DQ188" s="3">
        <f t="shared" si="566"/>
        <v>0</v>
      </c>
      <c r="DR188" s="3" t="e">
        <f t="shared" ca="1" si="567"/>
        <v>#NUM!</v>
      </c>
      <c r="DS188" s="3">
        <f t="shared" si="568"/>
        <v>0</v>
      </c>
      <c r="DT188" s="3">
        <f t="shared" si="591"/>
        <v>0</v>
      </c>
      <c r="DU188" s="3">
        <f t="shared" si="592"/>
        <v>0</v>
      </c>
      <c r="DV188" s="3">
        <f t="shared" si="569"/>
        <v>0</v>
      </c>
      <c r="DW188" s="3">
        <f t="shared" si="570"/>
        <v>-1</v>
      </c>
      <c r="DX188" s="3" t="e">
        <f t="shared" ca="1" si="654"/>
        <v>#NUM!</v>
      </c>
      <c r="DY188" s="3" t="e">
        <f t="shared" ca="1" si="655"/>
        <v>#NUM!</v>
      </c>
      <c r="DZ188" s="3">
        <f t="shared" ca="1" si="656"/>
        <v>2.8868921932776695E-4</v>
      </c>
      <c r="EA188" s="3">
        <f t="shared" ca="1" si="657"/>
        <v>-2.8941908844958486E-4</v>
      </c>
      <c r="EB188" s="3">
        <f t="shared" ca="1" si="658"/>
        <v>2.8138783404535976E-4</v>
      </c>
      <c r="EC188" s="3">
        <f t="shared" ca="1" si="659"/>
        <v>-2.8562709871296455E-4</v>
      </c>
      <c r="ED188" s="63">
        <f t="shared" si="593"/>
        <v>-1</v>
      </c>
      <c r="EE188" s="59">
        <f t="shared" si="577"/>
        <v>0.25</v>
      </c>
      <c r="EF188" s="59">
        <f t="shared" si="578"/>
        <v>1.5829</v>
      </c>
      <c r="EG188" s="59">
        <f t="shared" si="579"/>
        <v>0.28249999999999997</v>
      </c>
      <c r="EH188" s="59">
        <f t="shared" si="580"/>
        <v>0.31290000000000001</v>
      </c>
      <c r="EI188" s="59">
        <f t="shared" si="581"/>
        <v>0.2555</v>
      </c>
      <c r="EJ188" s="59">
        <f t="shared" si="582"/>
        <v>0.2676</v>
      </c>
      <c r="EK188" s="63" t="e">
        <f t="shared" ca="1" si="594"/>
        <v>#NUM!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158.29%</v>
      </c>
      <c r="EN188" s="3" t="str">
        <f>RTD("tos.rtd",,EN$2,"."&amp;$C$134&amp;$AU$82&amp;"C"&amp;$A188)</f>
        <v>28.25%</v>
      </c>
      <c r="EO188" s="3" t="str">
        <f>RTD("tos.rtd",,EO$2,"."&amp;$C$134&amp;$AU$82&amp;"P"&amp;$A188)</f>
        <v>31.29%</v>
      </c>
      <c r="EP188" s="3" t="str">
        <f>RTD("tos.rtd",,EP$2,"."&amp;$D$134&amp;$AW$82&amp;"C"&amp;$A188)</f>
        <v>25.55%</v>
      </c>
      <c r="EQ188" s="3" t="str">
        <f>RTD("tos.rtd",,EQ$2,"."&amp;$D$134&amp;$AW$82&amp;"P"&amp;$A188)</f>
        <v>26.76%</v>
      </c>
      <c r="ES188" s="63" t="str">
        <f t="shared" si="583"/>
        <v>19275,-01.00</v>
      </c>
      <c r="ET188" s="63" t="str">
        <f t="shared" ca="1" si="584"/>
        <v>19275,00.00</v>
      </c>
      <c r="EU188" s="68">
        <v>565.66</v>
      </c>
      <c r="EV188" s="68" t="s">
        <v>1523</v>
      </c>
      <c r="EW188" s="68">
        <v>489.34</v>
      </c>
      <c r="EX188" s="68" t="s">
        <v>1524</v>
      </c>
      <c r="EY188" s="68">
        <v>5663.94</v>
      </c>
      <c r="EZ188" s="68" t="s">
        <v>1525</v>
      </c>
      <c r="FA188" s="68">
        <v>20063.564999999999</v>
      </c>
      <c r="FB188" s="68" t="s">
        <v>1526</v>
      </c>
      <c r="FC188" s="68" t="s">
        <v>1527</v>
      </c>
      <c r="FD188" s="68" t="s">
        <v>1528</v>
      </c>
      <c r="FE188" s="68" t="s">
        <v>1529</v>
      </c>
      <c r="FF188" s="68" t="s">
        <v>1530</v>
      </c>
    </row>
    <row r="189" spans="1:162" ht="11.1" customHeight="1" thickBot="1" x14ac:dyDescent="0.25">
      <c r="A189" s="2">
        <f t="shared" si="595"/>
        <v>19250</v>
      </c>
      <c r="B189" s="3">
        <f t="shared" si="628"/>
        <v>38</v>
      </c>
      <c r="C189" s="3">
        <f t="shared" si="629"/>
        <v>28</v>
      </c>
      <c r="D189" s="3">
        <f t="shared" si="630"/>
        <v>105</v>
      </c>
      <c r="E189" s="3">
        <f t="shared" si="663"/>
        <v>171</v>
      </c>
      <c r="F189" s="11">
        <f t="shared" si="623"/>
        <v>19643.705073347392</v>
      </c>
      <c r="G189" s="5">
        <f t="shared" si="664"/>
        <v>476.10082900791463</v>
      </c>
      <c r="AM189" s="1">
        <v>0</v>
      </c>
      <c r="AN189" s="1">
        <v>-1</v>
      </c>
      <c r="AO189" s="1">
        <v>19250</v>
      </c>
      <c r="AP189" s="1">
        <v>0</v>
      </c>
      <c r="AQ189" s="1">
        <v>-8</v>
      </c>
      <c r="AS189" s="56">
        <f>IF(RTD("tos.rtd",,AS$83,"."&amp;$B$134&amp;$AS$82&amp;"C"&amp;$A189)="N/A",0,RTD("tos.rtd",,AS$83,"."&amp;$B$134&amp;$AS$82&amp;"C"&amp;$A189))</f>
        <v>2</v>
      </c>
      <c r="AT189" s="35">
        <f>-IF(RTD("tos.rtd",,AT$83,"."&amp;$B$134&amp;$AS$82&amp;"P"&amp;$A189)="N/A",0,RTD("tos.rtd",,AT$83,"."&amp;$B$134&amp;$AS$82&amp;"P"&amp;$A189))</f>
        <v>-36</v>
      </c>
      <c r="AU189" s="16">
        <f>IF(RTD("tos.rtd",,AU$2,"."&amp;$C$134&amp;$AU$134&amp;"C"&amp;$A189)="N/A",0,RTD("tos.rtd",,AU$2,"."&amp;$C$134&amp;$AU$134&amp;"C"&amp;$A189))</f>
        <v>21</v>
      </c>
      <c r="AV189" s="16">
        <f>-IF(RTD("tos.rtd",,AV$2,"."&amp;$C$134&amp;$AU$134&amp;"P"&amp;$A189)="N/A",0,RTD("tos.rtd",,AV$2,"."&amp;$C$134&amp;$AU$134&amp;"P"&amp;$A189))</f>
        <v>-7</v>
      </c>
      <c r="AW189" s="56">
        <f>IF(RTD("tos.rtd",,AW$2,"."&amp;$D$134&amp;$AW$134&amp;"C"&amp;$A189)="N/A",0,RTD("tos.rtd",,AW$2,"."&amp;$D$134&amp;$AW$134&amp;"C"&amp;$A189))</f>
        <v>53</v>
      </c>
      <c r="AX189" s="35">
        <f>-IF(RTD("tos.rtd",,AX$2,"."&amp;$D$134&amp;$AW$134&amp;"P"&amp;$A189)="N/A",0,RTD("tos.rtd",,AX$2,"."&amp;$D$134&amp;$AW$134&amp;"P"&amp;$A189))</f>
        <v>-52</v>
      </c>
      <c r="AY189" s="77">
        <f t="shared" si="624"/>
        <v>-19</v>
      </c>
      <c r="AZ189" s="8">
        <f t="shared" si="548"/>
        <v>19250</v>
      </c>
      <c r="BA189" s="56">
        <f>IF(RTD("tos.rtd",,BA$43,"."&amp;$B$134&amp;$AS$82&amp;"C"&amp;$A189)="N/A",0,RTD("tos.rtd",,BA$43,"."&amp;$B$134&amp;$AS$82&amp;"C"&amp;$A189))</f>
        <v>0</v>
      </c>
      <c r="BB189" s="35">
        <f>-IF(RTD("tos.rtd",,BB$43,"."&amp;$B$134&amp;$AS$82&amp;"P"&amp;$A189)="N/A",0,RTD("tos.rtd",,BB$43,"."&amp;$B$134&amp;$AS$82&amp;"P"&amp;$A189))</f>
        <v>-8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-23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0</v>
      </c>
      <c r="BG189" s="35">
        <f ca="1">+Hoja2!Y190</f>
        <v>1</v>
      </c>
      <c r="BH189" s="36">
        <f t="shared" ca="1" si="549"/>
        <v>-30</v>
      </c>
      <c r="BI189" s="32" t="str">
        <f t="shared" ca="1" si="609"/>
        <v/>
      </c>
      <c r="BJ189" s="3" t="e">
        <f ca="1">IF($BP$1=1,DX189,IF(RTD("tos.rtd",,BJ$43,"."&amp;$B$134&amp;$AS$82&amp;"C"&amp;$A189)="N/A",0,RTD("tos.rtd",,BJ$43,"."&amp;$B$134&amp;$AS$82&amp;"C"&amp;$A189)))</f>
        <v>#NUM!</v>
      </c>
      <c r="BK189" s="3" t="e">
        <f ca="1">IF($BP$1=1,DY189,-IF(RTD("tos.rtd",,BK$43,"."&amp;$B$134&amp;$AS$82&amp;"P"&amp;$A189)="N/A",0,RTD("tos.rtd",,BK$43,"."&amp;$B$134&amp;$AS$82&amp;"P"&amp;$A189)))</f>
        <v>#NUM!</v>
      </c>
      <c r="BL189" s="83">
        <f ca="1">IF($BP$1=1,DZ189,IF(RTD("tos.rtd",,BL$2,"."&amp;$C$134&amp;$AU$82&amp;"C"&amp;$A189)="N/A",0,RTD("tos.rtd",,BL$2,"."&amp;$C$134&amp;$AU$82&amp;"C"&amp;$A189)))</f>
        <v>2.7958421102236162E-4</v>
      </c>
      <c r="BM189" s="83">
        <f ca="1">IF($BP$1=1,EA189,-IF(RTD("tos.rtd",,BM$2,"."&amp;$C$134&amp;$AU$82&amp;"P"&amp;$A189)="N/A",0,RTD("tos.rtd",,BM$2,"."&amp;$C$134&amp;$AU$82&amp;"P"&amp;$A189)))</f>
        <v>-2.8070363686912491E-4</v>
      </c>
      <c r="BN189" s="3">
        <f ca="1">IF($BP$1=1,EB189,IF(RTD("tos.rtd",,BN$2,"."&amp;$D$134&amp;$AW$82&amp;"C"&amp;$A189)="N/A",0,RTD("tos.rtd",,BN$2,"."&amp;$D$134&amp;$AW$82&amp;"C"&amp;$A189)))</f>
        <v>2.6947005727444404E-4</v>
      </c>
      <c r="BO189" s="3">
        <f ca="1">IF($BP$1=1,EC189,-IF(RTD("tos.rtd",,BO$2,"."&amp;$D$134&amp;$AW$82&amp;"P"&amp;$A189)="N/A",0,RTD("tos.rtd",,BO$2,"."&amp;$D$134&amp;$AW$82&amp;"P"&amp;$A189)))</f>
        <v>-2.7432692579019258E-4</v>
      </c>
      <c r="BQ189" s="3" t="e">
        <f t="shared" ca="1" si="625"/>
        <v>#NUM!</v>
      </c>
      <c r="BR189" s="3"/>
      <c r="BS189" s="83">
        <f t="shared" ca="1" si="626"/>
        <v>125138.06120761568</v>
      </c>
      <c r="BT189" s="83"/>
      <c r="BU189" s="3">
        <f t="shared" ca="1" si="627"/>
        <v>541.79749089939287</v>
      </c>
      <c r="BV189" s="3" t="str">
        <f t="shared" ref="BV189" ca="1" si="665">IF(AND(BU189&lt;0,BU188&gt;0), "Cruce -", IF(AND(BU189&gt;0,BU188&lt;0),"Cruce +", ""))</f>
        <v>Cruce +</v>
      </c>
      <c r="BX189" s="3" t="e">
        <f t="shared" ca="1" si="585"/>
        <v>#NUM!</v>
      </c>
      <c r="BY189" s="3" t="e">
        <f t="shared" ca="1" si="586"/>
        <v>#NUM!</v>
      </c>
      <c r="BZ189" s="83">
        <f t="shared" ca="1" si="587"/>
        <v>-1589.4134337379812</v>
      </c>
      <c r="CA189" s="83" t="str">
        <f t="shared" ca="1" si="586"/>
        <v/>
      </c>
      <c r="CB189" s="3">
        <f t="shared" ca="1" si="588"/>
        <v>0</v>
      </c>
      <c r="CC189" s="3" t="str">
        <f t="shared" ca="1" si="586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</v>
      </c>
      <c r="CF189" s="83">
        <f>IF(RTD("tos.rtd",,CF$2,"."&amp;$C$134&amp;$AU$82&amp;"C"&amp;$A189)="N/A",0,RTD("tos.rtd",,CF$2,"."&amp;$C$134&amp;$AU$82&amp;"C"&amp;$A189))</f>
        <v>0.9</v>
      </c>
      <c r="CG189" s="83">
        <f>-IF(RTD("tos.rtd",,CG$2,"."&amp;$C$134&amp;$AU$82&amp;"P"&amp;$A189)="N/A",0,RTD("tos.rtd",,CG$2,"."&amp;$C$134&amp;$AU$82&amp;"P"&amp;$A189))</f>
        <v>0.11</v>
      </c>
      <c r="CH189" s="3">
        <f>IF(RTD("tos.rtd",,CH$2,"."&amp;$D$134&amp;$AW$82&amp;"C"&amp;$A189)="N/A",0,RTD("tos.rtd",,CH$2,"."&amp;$D$134&amp;$AW$82&amp;"C"&amp;$A189))</f>
        <v>0.72</v>
      </c>
      <c r="CI189" s="3">
        <f>-IF(RTD("tos.rtd",,CI$2,"."&amp;$D$134&amp;$AW$82&amp;"P"&amp;$A189)="N/A",0,RTD("tos.rtd",,CI$2,"."&amp;$D$134&amp;$AW$82&amp;"P"&amp;$A189))</f>
        <v>0.28999999999999998</v>
      </c>
      <c r="CK189" s="3">
        <f t="shared" si="660"/>
        <v>200</v>
      </c>
      <c r="CL189" s="3"/>
      <c r="CM189" s="83">
        <f t="shared" si="661"/>
        <v>1813.0000000000002</v>
      </c>
      <c r="CN189" s="83"/>
      <c r="CO189" s="3">
        <f t="shared" si="662"/>
        <v>2308</v>
      </c>
      <c r="CP189" s="3">
        <f t="shared" si="542"/>
        <v>4321</v>
      </c>
      <c r="CQ189" s="3">
        <f t="shared" si="552"/>
        <v>-8</v>
      </c>
      <c r="CR189" s="3"/>
      <c r="CS189" s="83">
        <f t="shared" si="553"/>
        <v>-23</v>
      </c>
      <c r="CT189" s="83"/>
      <c r="CU189" s="3">
        <f t="shared" si="554"/>
        <v>0</v>
      </c>
      <c r="CV189" s="3"/>
      <c r="CW189" s="3" t="e">
        <f t="shared" ca="1" si="555"/>
        <v>#NUM!</v>
      </c>
      <c r="CY189" s="3" t="e">
        <f t="shared" ca="1" si="556"/>
        <v>#NUM!</v>
      </c>
      <c r="CZ189" s="70" t="e">
        <f t="shared" ca="1" si="589"/>
        <v>#NUM!</v>
      </c>
      <c r="DA189" s="3">
        <f>IF(RTD("tos.rtd",,DA$43,"."&amp;$B$134&amp;$AS$82&amp;"C"&amp;$A189)="N/A",0,RTD("tos.rtd",,DA$43,"."&amp;$B$134&amp;$AS$82&amp;"C"&amp;$A189))</f>
        <v>755.89</v>
      </c>
      <c r="DB189" s="3">
        <f>IF(RTD("tos.rtd",,DB$43,"."&amp;$B$134&amp;$AS$82&amp;"P"&amp;$A189)="N/A",0,RTD("tos.rtd",,DB$43,"."&amp;$B$134&amp;$AS$82&amp;"P"&amp;$A189))</f>
        <v>0.38</v>
      </c>
      <c r="DC189" s="3">
        <f>IF(RTD("tos.rtd",,DC$43,"."&amp;$B$134&amp;$AS$82&amp;"C"&amp;$A189)="N/A",0,RTD("tos.rtd",,DC$43,"."&amp;$B$134&amp;$AS$82&amp;"C"&amp;$A189))</f>
        <v>848</v>
      </c>
      <c r="DD189" s="3">
        <f>IF(RTD("tos.rtd",,DD$43,"."&amp;$B$134&amp;$AS$82&amp;"P"&amp;$A189)="N/A",0,RTD("tos.rtd",,DD$43,"."&amp;$B$134&amp;$AS$82&amp;"P"&amp;$A189))</f>
        <v>0.05</v>
      </c>
      <c r="DE189" s="3">
        <f>IF(RTD("tos.rtd",,DE$43,"."&amp;$B$134&amp;$AS$82&amp;"C"&amp;$A189)="N/A",0,RTD("tos.rtd",,DE$43,"."&amp;$B$134&amp;$AS$82&amp;"C"&amp;$A189))</f>
        <v>774.3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90"/>
        <v>-811.44900000000052</v>
      </c>
      <c r="DH189" s="3">
        <f t="shared" si="557"/>
        <v>0</v>
      </c>
      <c r="DI189" s="3">
        <f t="shared" si="558"/>
        <v>0</v>
      </c>
      <c r="DJ189" s="3">
        <f t="shared" ref="DJ189" si="666">IF(DA189&gt;=(DE189+(DC189-DE189)*0.6),(BA189-AP189),IF(DA189&lt;=(DE189+(DC189-DE189)*0.4),-(BA189-AP189),0))</f>
        <v>0</v>
      </c>
      <c r="DK189" s="3">
        <f t="shared" ref="DK189" si="667">IF(DB189&lt;=(DF189+(DD189-DF189)*0.4),-(BB189-AQ189),IF(DB189&gt;=(DF189+(DD189-DF189)*0.6),(BB189-AQ189),0))</f>
        <v>0</v>
      </c>
      <c r="DL189" s="3">
        <f t="shared" si="561"/>
        <v>0</v>
      </c>
      <c r="DM189" s="3">
        <f t="shared" si="562"/>
        <v>0</v>
      </c>
      <c r="DN189" s="64" t="str">
        <f t="shared" si="563"/>
        <v>UNKNOWN</v>
      </c>
      <c r="DO189" s="64" t="str">
        <f t="shared" si="564"/>
        <v>UNKNOWN</v>
      </c>
      <c r="DP189" s="3">
        <f t="shared" si="565"/>
        <v>0</v>
      </c>
      <c r="DQ189" s="3">
        <f t="shared" si="566"/>
        <v>0</v>
      </c>
      <c r="DR189" s="83" t="e">
        <f t="shared" ca="1" si="567"/>
        <v>#NUM!</v>
      </c>
      <c r="DS189" s="83">
        <f t="shared" si="568"/>
        <v>0</v>
      </c>
      <c r="DT189" s="3">
        <f t="shared" si="591"/>
        <v>0</v>
      </c>
      <c r="DU189" s="3">
        <f t="shared" si="592"/>
        <v>0</v>
      </c>
      <c r="DV189" s="3">
        <f t="shared" si="569"/>
        <v>0</v>
      </c>
      <c r="DW189" s="3">
        <f t="shared" si="570"/>
        <v>-1</v>
      </c>
      <c r="DX189" s="3" t="e">
        <f t="shared" ca="1" si="654"/>
        <v>#NUM!</v>
      </c>
      <c r="DY189" s="3" t="e">
        <f t="shared" ca="1" si="655"/>
        <v>#NUM!</v>
      </c>
      <c r="DZ189" s="83">
        <f t="shared" ca="1" si="656"/>
        <v>2.7958421102236162E-4</v>
      </c>
      <c r="EA189" s="83">
        <f t="shared" ca="1" si="657"/>
        <v>-2.8070363686912491E-4</v>
      </c>
      <c r="EB189" s="3">
        <f t="shared" ca="1" si="658"/>
        <v>2.6947005727444404E-4</v>
      </c>
      <c r="EC189" s="3">
        <f t="shared" ca="1" si="659"/>
        <v>-2.7432692579019258E-4</v>
      </c>
      <c r="ED189" s="63">
        <f t="shared" si="593"/>
        <v>-1</v>
      </c>
      <c r="EE189" s="59">
        <f t="shared" si="577"/>
        <v>0.25</v>
      </c>
      <c r="EF189" s="59">
        <f t="shared" si="578"/>
        <v>1.6306</v>
      </c>
      <c r="EG189" s="84">
        <f t="shared" si="579"/>
        <v>0.29139999999999999</v>
      </c>
      <c r="EH189" s="84">
        <f t="shared" si="580"/>
        <v>0.31359999999999999</v>
      </c>
      <c r="EI189" s="59">
        <f t="shared" si="581"/>
        <v>0.25669999999999998</v>
      </c>
      <c r="EJ189" s="59">
        <f t="shared" si="582"/>
        <v>0.26850000000000002</v>
      </c>
      <c r="EK189" s="63" t="e">
        <f t="shared" ca="1" si="594"/>
        <v>#NUM!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163.06%</v>
      </c>
      <c r="EN189" s="83" t="str">
        <f>RTD("tos.rtd",,EN$2,"."&amp;$C$134&amp;$AU$82&amp;"C"&amp;$A189)</f>
        <v>29.14%</v>
      </c>
      <c r="EO189" s="83" t="str">
        <f>RTD("tos.rtd",,EO$2,"."&amp;$C$134&amp;$AU$82&amp;"P"&amp;$A189)</f>
        <v>31.36%</v>
      </c>
      <c r="EP189" s="3" t="str">
        <f>RTD("tos.rtd",,EP$2,"."&amp;$D$134&amp;$AW$82&amp;"C"&amp;$A189)</f>
        <v>25.67%</v>
      </c>
      <c r="EQ189" s="3" t="str">
        <f>RTD("tos.rtd",,EQ$2,"."&amp;$D$134&amp;$AW$82&amp;"P"&amp;$A189)</f>
        <v>26.85%</v>
      </c>
      <c r="ES189" s="63" t="str">
        <f t="shared" si="583"/>
        <v>19250,-01.00</v>
      </c>
      <c r="ET189" s="63" t="str">
        <f t="shared" ca="1" si="584"/>
        <v>19250,00.00</v>
      </c>
      <c r="EU189" s="68">
        <v>565.69000000000005</v>
      </c>
      <c r="EV189" s="68" t="s">
        <v>1531</v>
      </c>
      <c r="EW189" s="68">
        <v>489.34</v>
      </c>
      <c r="EX189" s="68" t="s">
        <v>1532</v>
      </c>
      <c r="EY189" s="68">
        <v>5663.94</v>
      </c>
      <c r="EZ189" s="68" t="s">
        <v>1533</v>
      </c>
      <c r="FA189" s="68">
        <v>20063.564999999999</v>
      </c>
      <c r="FB189" s="68" t="s">
        <v>1534</v>
      </c>
      <c r="FC189" s="68" t="s">
        <v>1535</v>
      </c>
      <c r="FD189" s="68" t="s">
        <v>1536</v>
      </c>
      <c r="FE189" s="68" t="s">
        <v>1537</v>
      </c>
      <c r="FF189" s="68" t="s">
        <v>1538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-2763</v>
      </c>
      <c r="BI190" s="1">
        <f ca="1">IFERROR(IF(MIN(BH137:BH189)&lt;&gt;0,INDEX(A137:A189,MATCH(MIN(BH137:BH189),BH137:BH189,0)),""),"")</f>
        <v>19800</v>
      </c>
      <c r="BP190" s="64" t="e">
        <f ca="1">INDEX(BQ190:BU190,MATCH(MAX(BQ136:BU136),BQ136:BU136,0))</f>
        <v>#NUM!</v>
      </c>
      <c r="BQ190" s="1" t="e">
        <f ca="1">IF(AND(BQ136&gt;0,ABS(MAX(BQ137:BQ189))&gt;ABS(MIN(BQ137:BQ189))),IF(MAX(BQ137:BQ189)&lt;&gt;0,INDEX($A137:$A189,MATCH(MAX(BQ137:BQ189),BQ137:BQ189,0)),""),"")</f>
        <v>#NUM!</v>
      </c>
      <c r="BS190" s="1">
        <f ca="1">IF(AND(BS136&gt;0,ABS(MAX(BS137:BS189))&gt;ABS(MIN(BS137:BS189))),IF(MAX(BS137:BS189)&lt;&gt;0,INDEX($A137:$A189,MATCH(MAX(BS137:BS189),BS137:BS189,0)),""),"")</f>
        <v>19475</v>
      </c>
      <c r="BU190" s="1">
        <f ca="1">IF(AND(BU136&gt;0,ABS(MAX(BU137:BU189))&gt;ABS(MIN(BU137:BU189))),IF(MAX(BU137:BU189)&lt;&gt;0,INDEX($A137:$A189,MATCH(MAX(BU137:BU189),BU137:BU189,0)),""),"")</f>
        <v>20500</v>
      </c>
      <c r="BW190" s="64" t="e">
        <f ca="1">INDEX(BX190:CB190,MATCH(MAX(BX136:CB136),BX136:CB136,0))</f>
        <v>#NUM!</v>
      </c>
      <c r="BX190" s="1" t="e">
        <f ca="1">IF(AND(BX136&gt;0,ABS(MAX(BX137:BX189))&gt;ABS(MIN(BX137:BX189))),IF(MAX(BX137:BX189)&lt;&gt;0,INDEX($A137:$A189,MATCH(MAX(BX137:BX189),BX137:BX189,0)),""),"")</f>
        <v>#NUM!</v>
      </c>
      <c r="BY190" s="1" t="e">
        <f ca="1">INDEX($A$137:$A$189,MATCH("Cruce -",BY137:BY189,)+1)</f>
        <v>#N/A</v>
      </c>
      <c r="BZ190" s="1" t="str">
        <f ca="1">IF(AND(BZ136&gt;0,ABS(MAX(BZ137:BZ189))&gt;ABS(MIN(BZ137:BZ189))),IF(MAX(BZ137:BZ189)&lt;&gt;0,INDEX($A137:$A189,MATCH(MAX(BZ137:BZ189),BZ137:BZ189,0)),""),"")</f>
        <v/>
      </c>
      <c r="CB190" s="1" t="str">
        <f ca="1">IF(AND(CB136&gt;0,ABS(MAX(CB137:CB189))&gt;ABS(MIN(CB137:CB189))),IF(MAX(CB137:CB189)&lt;&gt;0,INDEX($A137:$A189,MATCH(MAX(CB137:CB189),CB137:CB189,0)),""),"")</f>
        <v/>
      </c>
      <c r="CJ190" s="64">
        <f>INDEX(CK190:CO190,MATCH(MAX(CK136:CO136),CK136:CO136,0))</f>
        <v>19500</v>
      </c>
      <c r="CK190" s="1">
        <f>IF(AND(CK136&gt;0,ABS(MAX(CK137:CK189))&gt;ABS(MIN(CK137:CK189))),IF(MAX(CK137:CK189)&lt;&gt;0,INDEX($A137:$A189,MATCH(MAX(CK137:CK189),CK137:CK189,0)),""),"")</f>
        <v>19650</v>
      </c>
      <c r="CM190" s="1">
        <f>IF(AND(CM136&gt;0,ABS(MAX(CM137:CM189))&gt;ABS(MIN(CM137:CM189))),IF(MAX(CM137:CM189)&lt;&gt;0,INDEX($A137:$A189,MATCH(MAX(CM137:CM189),CM137:CM189,0)),""),"")</f>
        <v>19475</v>
      </c>
      <c r="CO190" s="1">
        <f>IF(AND(CO136&gt;0,ABS(MAX(CO137:CO189))&gt;ABS(MIN(CO137:CO189))),IF(MAX(CO137:CO189)&lt;&gt;0,INDEX($A137:$A189,MATCH(MAX(CO137:CO189),CO137:CO189,0)),""),"")</f>
        <v>19500</v>
      </c>
      <c r="CP190" s="1">
        <f>IF(ABS(MAX(CP137:CP189))&gt;ABS(MIN(CP137:CP189)),IF(MAX(CP137:CP189)&lt;&gt;0,INDEX($A137:$A189,MATCH(MAX(CP137:CP189),CP137:CP189,0)),""),"")</f>
        <v>19500</v>
      </c>
      <c r="CW190" s="1" t="e">
        <f ca="1">IF(AND(CW136&gt;0,ABS(MAX(CW137:CW189))&gt;ABS(MIN(CW137:CW189))),IF(MAX(CW137:CW189)&lt;&gt;0,INDEX($A137:$A189,MATCH(MAX(CW137:CW189),CW137:CW189,0)),""),"")</f>
        <v>#NUM!</v>
      </c>
      <c r="CY190" s="1" t="e">
        <f ca="1">IF(AND(CY136&gt;0,ABS(MAX(CY137:CY189))&gt;ABS(MIN(CY137:CY189))),IF(MAX(CY137:CY189)&lt;&gt;0,INDEX($A137:$A189,MATCH(MAX(CY137:CY189),CY137:CY189,0)),""),"")</f>
        <v>#NUM!</v>
      </c>
      <c r="DH190" s="1" t="str">
        <f t="shared" ref="DH190:DM190" si="668">IF(AND(DH136&gt;0,ABS(MAX(DH137:DH189))&gt;ABS(MIN(DH137:DH189))),IF(MAX(DH137:DH189)&lt;&gt;0,INDEX($A137:$A189,MATCH(MAX(DH137:DH189),DH137:DH189,0)),""),"")</f>
        <v/>
      </c>
      <c r="DI190" s="1" t="str">
        <f t="shared" si="668"/>
        <v/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668"/>
        <v/>
      </c>
      <c r="DM190" s="1" t="str">
        <f t="shared" si="668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e">
        <f ca="1">IF(AND(DR136&gt;0,ABS(MAX(DR137:DR189))&gt;ABS(MIN(DR137:DR189))),IF(MAX(DR137:DR189)&lt;&gt;0,INDEX($A137:$A189,MATCH(MAX(DR137:DR189),DR137:DR189,0)),""),"")</f>
        <v>#NUM!</v>
      </c>
      <c r="ED190" s="103">
        <f>IFERROR(IF(MAX(ED137:ED189)&lt;&gt;0,INDEX($A137:$A189,MATCH(MAX(ED137:ED189),ED137:ED189,0)),""),"")</f>
        <v>19800</v>
      </c>
      <c r="EU190" s="68">
        <v>565.80999999999995</v>
      </c>
      <c r="EV190" s="68" t="s">
        <v>1539</v>
      </c>
      <c r="EW190" s="68">
        <v>489.53</v>
      </c>
      <c r="EX190" s="68" t="s">
        <v>1540</v>
      </c>
      <c r="EY190" s="68">
        <v>5663.94</v>
      </c>
      <c r="EZ190" s="68" t="s">
        <v>1541</v>
      </c>
      <c r="FA190" s="68">
        <v>20063.564999999999</v>
      </c>
      <c r="FB190" s="68" t="s">
        <v>1542</v>
      </c>
      <c r="FC190" s="68" t="s">
        <v>1543</v>
      </c>
      <c r="FD190" s="68" t="s">
        <v>1544</v>
      </c>
      <c r="FE190" s="68" t="s">
        <v>1545</v>
      </c>
      <c r="FF190" s="68" t="s">
        <v>1546</v>
      </c>
    </row>
    <row r="191" spans="1:162" x14ac:dyDescent="0.2">
      <c r="BP191" s="64" t="e">
        <f ca="1">INDEX(BQ191:BU191,MATCH(MIN(BQ136:BU136),BQ136:BU136,0))</f>
        <v>#NUM!</v>
      </c>
      <c r="BQ191" s="1" t="e">
        <f ca="1">IF(AND(BQ136&lt;0,ABS(MIN(BQ137:BQ189))&gt;ABS(MAX(BQ137:BQ189))),IF(MIN(BQ137:BQ189)&lt;&gt;0,INDEX($A137:$A189,MATCH(MIN(BQ137:BQ189),BQ137:BQ189,0)),""),"")</f>
        <v>#NUM!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 t="e">
        <f ca="1">INDEX(BX191:CB191,MATCH(MIN(BX136:CB136),BX136:CB136,0))</f>
        <v>#NUM!</v>
      </c>
      <c r="BX191" s="1" t="e">
        <f ca="1">IF(AND(BX136&lt;0,ABS(MIN(BX137:BX189))&gt;ABS(MAX(BX137:BX189))),IF(MIN(BX137:BX189)&lt;&gt;0,INDEX($A137:$A189,MATCH(MIN(BX137:BX189),BX137:BX189,0)),""),"")</f>
        <v>#NUM!</v>
      </c>
      <c r="BY191" s="1" t="e">
        <f ca="1">INDEX($A$137:$A$189,MATCH("Cruce -",BY137:BY189,)-1)</f>
        <v>#N/A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 t="str">
        <f ca="1">IF(AND(CB136&lt;0,ABS(MIN(CB137:CB189))&gt;ABS(MAX(CB137:CB189))),IF(MIN(CB137:CB189)&lt;&gt;0,INDEX($A137:$A189,MATCH(MIN(CB137:CB189),CB137:CB189,0)),""),"")</f>
        <v/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e">
        <f ca="1">IF(AND(CW136&lt;0,ABS(MIN(CW137:CW189))&gt;ABS(MAX(CW137:CW189))),IF(MIN(CW137:CW189)&lt;&gt;0,INDEX($A137:$A189,MATCH(MIN(CW137:CW189),CW137:CW189,0)),""),"")</f>
        <v>#NUM!</v>
      </c>
      <c r="CY191" s="1" t="e">
        <f ca="1">IF(AND(CY136&lt;0,ABS(MIN(CY137:CY189))&gt;ABS(MAX(CY137:CY189))),IF(MIN(CY137:CY189)&lt;&gt;0,INDEX($A137:$A189,MATCH(MIN(CY137:CY189),CY137:CY189,0)),""),"")</f>
        <v>#NUM!</v>
      </c>
      <c r="DH191" s="1" t="str">
        <f t="shared" ref="DH191:DM191" si="669">IF(AND(DH136&lt;0,ABS(MIN(DH137:DH189))&gt;ABS(MAX(DH137:DH189))),IF(MIN(DH137:DH189)&lt;&gt;0,INDEX($A137:$A189,MATCH(MIN(DH137:DH189),DH137:DH189,0)),""),"")</f>
        <v/>
      </c>
      <c r="DI191" s="1" t="str">
        <f t="shared" si="669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669"/>
        <v/>
      </c>
      <c r="DM191" s="1" t="str">
        <f t="shared" si="669"/>
        <v/>
      </c>
      <c r="DN191" s="64" t="str">
        <f ca="1">BI134&amp;","&amp;BI190&amp;","&amp;ED190&amp;","&amp;ED191</f>
        <v>20200,19800,19800,19500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e">
        <f ca="1">IF(AND(DR136&lt;0,ABS(MIN(DR137:DR189))&gt;ABS(MAX(DR137:DR189))),IF(MIN(DR137:DR189)&lt;&gt;0,INDEX($A137:$A189,MATCH(MIN(DR137:DR189),DR137:DR189,0)),""),"")</f>
        <v>#NUM!</v>
      </c>
      <c r="ED191" s="103">
        <f>IFERROR(IF(MIN(ED137:ED189)&lt;&gt;0,INDEX($A137:$A189,MATCH(MIN(ED137:ED189),ED137:ED189,0)),""),"")</f>
        <v>19500</v>
      </c>
      <c r="EU191" s="68">
        <v>565.61</v>
      </c>
      <c r="EV191" s="68" t="s">
        <v>1547</v>
      </c>
      <c r="EW191" s="68">
        <v>489.35</v>
      </c>
      <c r="EX191" s="68" t="s">
        <v>1548</v>
      </c>
      <c r="EY191" s="68">
        <v>5663.94</v>
      </c>
      <c r="EZ191" s="68" t="s">
        <v>1549</v>
      </c>
      <c r="FA191" s="68">
        <v>20063.564999999999</v>
      </c>
      <c r="FB191" s="68" t="s">
        <v>1550</v>
      </c>
      <c r="FC191" s="68" t="s">
        <v>1551</v>
      </c>
      <c r="FD191" s="68" t="s">
        <v>1552</v>
      </c>
      <c r="FE191" s="68" t="s">
        <v>1553</v>
      </c>
      <c r="FF191" s="68" t="s">
        <v>1554</v>
      </c>
    </row>
    <row r="192" spans="1:162" x14ac:dyDescent="0.2">
      <c r="ET192" s="64">
        <v>250410</v>
      </c>
      <c r="EU192" s="68">
        <v>565.65</v>
      </c>
      <c r="EV192" s="68" t="s">
        <v>1555</v>
      </c>
      <c r="EW192" s="68">
        <v>489.36</v>
      </c>
      <c r="EX192" s="68" t="s">
        <v>1556</v>
      </c>
      <c r="EY192" s="68">
        <v>5663.94</v>
      </c>
      <c r="EZ192" s="68" t="s">
        <v>1557</v>
      </c>
      <c r="FA192" s="68">
        <v>20063.564999999999</v>
      </c>
      <c r="FB192" s="68" t="s">
        <v>1558</v>
      </c>
      <c r="FC192" s="68" t="s">
        <v>1559</v>
      </c>
      <c r="FD192" s="68" t="s">
        <v>1560</v>
      </c>
      <c r="FE192" s="68" t="s">
        <v>1561</v>
      </c>
      <c r="FF192" s="68" t="s">
        <v>1562</v>
      </c>
    </row>
    <row r="193" spans="151:162" x14ac:dyDescent="0.2">
      <c r="EU193" s="67">
        <v>565.73</v>
      </c>
      <c r="EV193" s="67" t="s">
        <v>1563</v>
      </c>
      <c r="EW193" s="67">
        <v>489.44</v>
      </c>
      <c r="EX193" s="67" t="s">
        <v>1564</v>
      </c>
      <c r="EY193" s="67">
        <v>5663.94</v>
      </c>
      <c r="EZ193" s="67" t="s">
        <v>1565</v>
      </c>
      <c r="FA193" s="67">
        <v>20063.564999999999</v>
      </c>
      <c r="FB193" s="67" t="s">
        <v>1566</v>
      </c>
      <c r="FC193" s="67" t="s">
        <v>1567</v>
      </c>
      <c r="FD193" s="67" t="s">
        <v>1568</v>
      </c>
      <c r="FE193" s="68" t="s">
        <v>1569</v>
      </c>
      <c r="FF193" s="68" t="s">
        <v>1570</v>
      </c>
    </row>
    <row r="194" spans="151:162" x14ac:dyDescent="0.2">
      <c r="EU194" s="67">
        <v>565.65</v>
      </c>
      <c r="EV194" s="67" t="s">
        <v>1571</v>
      </c>
      <c r="EW194" s="67">
        <v>489.37</v>
      </c>
      <c r="EX194" s="67" t="s">
        <v>1572</v>
      </c>
      <c r="EY194" s="67">
        <v>5663.94</v>
      </c>
      <c r="EZ194" s="67" t="s">
        <v>1573</v>
      </c>
      <c r="FA194" s="67">
        <v>20063.564999999999</v>
      </c>
      <c r="FB194" s="67" t="s">
        <v>1574</v>
      </c>
      <c r="FC194" s="67" t="s">
        <v>1575</v>
      </c>
      <c r="FD194" s="67" t="s">
        <v>1576</v>
      </c>
      <c r="FE194" s="68" t="s">
        <v>1577</v>
      </c>
      <c r="FF194" s="68" t="s">
        <v>1578</v>
      </c>
    </row>
    <row r="195" spans="151:162" x14ac:dyDescent="0.2">
      <c r="EU195" s="67">
        <v>565.73</v>
      </c>
      <c r="EV195" s="67" t="s">
        <v>1579</v>
      </c>
      <c r="EW195" s="67">
        <v>489.48</v>
      </c>
      <c r="EX195" s="67" t="s">
        <v>1580</v>
      </c>
      <c r="EY195" s="67">
        <v>5663.94</v>
      </c>
      <c r="EZ195" s="67" t="s">
        <v>1581</v>
      </c>
      <c r="FA195" s="67">
        <v>20063.564999999999</v>
      </c>
      <c r="FB195" s="67" t="s">
        <v>1582</v>
      </c>
      <c r="FC195" s="67" t="s">
        <v>1583</v>
      </c>
      <c r="FD195" s="67" t="s">
        <v>1584</v>
      </c>
      <c r="FE195" s="68" t="s">
        <v>1585</v>
      </c>
      <c r="FF195" s="68" t="s">
        <v>1586</v>
      </c>
    </row>
    <row r="196" spans="151:162" x14ac:dyDescent="0.2">
      <c r="EU196" s="67">
        <v>565.66</v>
      </c>
      <c r="EV196" s="67" t="s">
        <v>1587</v>
      </c>
      <c r="EW196" s="67">
        <v>489.37</v>
      </c>
      <c r="EX196" s="67" t="s">
        <v>1588</v>
      </c>
      <c r="EY196" s="67">
        <v>5663.94</v>
      </c>
      <c r="EZ196" s="67" t="s">
        <v>1589</v>
      </c>
      <c r="FA196" s="67">
        <v>20063.564999999999</v>
      </c>
      <c r="FB196" s="67" t="s">
        <v>1590</v>
      </c>
      <c r="FC196" s="67" t="s">
        <v>1591</v>
      </c>
      <c r="FD196" s="67" t="s">
        <v>1592</v>
      </c>
      <c r="FE196" s="68" t="s">
        <v>1593</v>
      </c>
      <c r="FF196" s="68" t="s">
        <v>1594</v>
      </c>
    </row>
    <row r="197" spans="151:162" x14ac:dyDescent="0.2">
      <c r="EU197" s="67">
        <v>565.66</v>
      </c>
      <c r="EV197" s="67" t="s">
        <v>1595</v>
      </c>
      <c r="EW197" s="67">
        <v>489.37</v>
      </c>
      <c r="EX197" s="67" t="s">
        <v>1596</v>
      </c>
      <c r="EY197" s="67">
        <v>5663.94</v>
      </c>
      <c r="EZ197" s="67" t="s">
        <v>1597</v>
      </c>
      <c r="FA197" s="67">
        <v>20063.564999999999</v>
      </c>
      <c r="FB197" s="67" t="s">
        <v>1598</v>
      </c>
      <c r="FC197" s="67" t="s">
        <v>1599</v>
      </c>
      <c r="FD197" s="67" t="s">
        <v>1600</v>
      </c>
      <c r="FE197" s="68" t="s">
        <v>1601</v>
      </c>
      <c r="FF197" s="68" t="s">
        <v>1602</v>
      </c>
    </row>
    <row r="198" spans="151:162" x14ac:dyDescent="0.2">
      <c r="EU198" s="67">
        <v>565.62</v>
      </c>
      <c r="EV198" s="67" t="s">
        <v>1603</v>
      </c>
      <c r="EW198" s="67">
        <v>489.37</v>
      </c>
      <c r="EX198" s="67" t="s">
        <v>1604</v>
      </c>
      <c r="EY198" s="67">
        <v>5663.94</v>
      </c>
      <c r="EZ198" s="67" t="s">
        <v>1605</v>
      </c>
      <c r="FA198" s="67">
        <v>20063.564999999999</v>
      </c>
      <c r="FB198" s="67" t="s">
        <v>1606</v>
      </c>
      <c r="FC198" s="67" t="s">
        <v>1607</v>
      </c>
      <c r="FD198" s="67" t="s">
        <v>1608</v>
      </c>
      <c r="FE198" s="68" t="s">
        <v>1609</v>
      </c>
      <c r="FF198" s="68" t="s">
        <v>1610</v>
      </c>
    </row>
    <row r="199" spans="151:162" x14ac:dyDescent="0.2">
      <c r="EU199" s="67">
        <v>565.6</v>
      </c>
      <c r="EV199" s="67" t="s">
        <v>1611</v>
      </c>
      <c r="EW199" s="67">
        <v>489.37</v>
      </c>
      <c r="EX199" s="67" t="s">
        <v>1612</v>
      </c>
      <c r="EY199" s="67">
        <v>5663.94</v>
      </c>
      <c r="EZ199" s="67" t="s">
        <v>1613</v>
      </c>
      <c r="FA199" s="67">
        <v>20063.564999999999</v>
      </c>
      <c r="FB199" s="67" t="s">
        <v>1614</v>
      </c>
      <c r="FC199" s="67" t="s">
        <v>1615</v>
      </c>
      <c r="FD199" s="67" t="s">
        <v>1616</v>
      </c>
      <c r="FE199" s="68" t="s">
        <v>1617</v>
      </c>
      <c r="FF199" s="68" t="s">
        <v>1618</v>
      </c>
    </row>
    <row r="200" spans="151:162" x14ac:dyDescent="0.2">
      <c r="EU200" s="67">
        <v>565.65</v>
      </c>
      <c r="EV200" s="67" t="s">
        <v>1619</v>
      </c>
      <c r="EW200" s="67">
        <v>489.37</v>
      </c>
      <c r="EX200" s="67" t="s">
        <v>1620</v>
      </c>
      <c r="EY200" s="67">
        <v>5663.94</v>
      </c>
      <c r="EZ200" s="67" t="s">
        <v>1621</v>
      </c>
      <c r="FA200" s="67">
        <v>20063.564999999999</v>
      </c>
      <c r="FB200" s="67" t="s">
        <v>1622</v>
      </c>
      <c r="FC200" s="67" t="s">
        <v>1623</v>
      </c>
      <c r="FD200" s="67" t="s">
        <v>1624</v>
      </c>
      <c r="FE200" s="68" t="s">
        <v>1625</v>
      </c>
      <c r="FF200" s="68" t="s">
        <v>1626</v>
      </c>
    </row>
    <row r="201" spans="151:162" x14ac:dyDescent="0.2">
      <c r="EU201" s="67">
        <v>565.66999999999996</v>
      </c>
      <c r="EV201" s="67" t="s">
        <v>1627</v>
      </c>
      <c r="EW201" s="67">
        <v>489.41</v>
      </c>
      <c r="EX201" s="67" t="s">
        <v>1628</v>
      </c>
      <c r="EY201" s="67">
        <v>5663.94</v>
      </c>
      <c r="EZ201" s="67" t="s">
        <v>1629</v>
      </c>
      <c r="FA201" s="67">
        <v>20063.564999999999</v>
      </c>
      <c r="FB201" s="67" t="s">
        <v>1630</v>
      </c>
      <c r="FC201" s="67" t="s">
        <v>1631</v>
      </c>
      <c r="FD201" s="67" t="s">
        <v>1632</v>
      </c>
      <c r="FE201" s="68" t="s">
        <v>1633</v>
      </c>
      <c r="FF201" s="68" t="s">
        <v>1634</v>
      </c>
    </row>
    <row r="202" spans="151:162" x14ac:dyDescent="0.2">
      <c r="EU202" s="67">
        <v>565.63</v>
      </c>
      <c r="EV202" s="67" t="s">
        <v>1635</v>
      </c>
      <c r="EW202" s="67">
        <v>489.36</v>
      </c>
      <c r="EX202" s="67" t="s">
        <v>1636</v>
      </c>
      <c r="EY202" s="67">
        <v>5663.94</v>
      </c>
      <c r="EZ202" s="67" t="s">
        <v>1637</v>
      </c>
      <c r="FA202" s="67">
        <v>20063.564999999999</v>
      </c>
      <c r="FB202" s="67" t="s">
        <v>1638</v>
      </c>
      <c r="FC202" s="67" t="s">
        <v>1639</v>
      </c>
      <c r="FD202" s="67" t="s">
        <v>1640</v>
      </c>
      <c r="FE202" s="68" t="s">
        <v>1641</v>
      </c>
      <c r="FF202" s="68" t="s">
        <v>1642</v>
      </c>
    </row>
    <row r="203" spans="151:162" x14ac:dyDescent="0.2">
      <c r="EU203" s="67">
        <v>565.48</v>
      </c>
      <c r="EV203" s="67" t="s">
        <v>1643</v>
      </c>
      <c r="EW203" s="67">
        <v>489.18</v>
      </c>
      <c r="EX203" s="67" t="s">
        <v>1644</v>
      </c>
      <c r="EY203" s="67">
        <v>5663.94</v>
      </c>
      <c r="EZ203" s="67" t="s">
        <v>1645</v>
      </c>
      <c r="FA203" s="67">
        <v>20063.564999999999</v>
      </c>
      <c r="FB203" s="67" t="s">
        <v>1646</v>
      </c>
      <c r="FC203" s="67" t="s">
        <v>1647</v>
      </c>
      <c r="FD203" s="67" t="s">
        <v>1648</v>
      </c>
      <c r="FE203" s="68" t="s">
        <v>1649</v>
      </c>
      <c r="FF203" s="68" t="s">
        <v>1650</v>
      </c>
    </row>
    <row r="204" spans="151:162" x14ac:dyDescent="0.2">
      <c r="EU204" s="67">
        <v>565.48</v>
      </c>
      <c r="EV204" s="67" t="s">
        <v>1651</v>
      </c>
      <c r="EW204" s="67">
        <v>489.21</v>
      </c>
      <c r="EX204" s="67" t="s">
        <v>1652</v>
      </c>
      <c r="EY204" s="67">
        <v>5663.94</v>
      </c>
      <c r="EZ204" s="67" t="s">
        <v>1653</v>
      </c>
      <c r="FA204" s="67">
        <v>20063.564999999999</v>
      </c>
      <c r="FB204" s="67" t="s">
        <v>1654</v>
      </c>
      <c r="FC204" s="67" t="s">
        <v>1655</v>
      </c>
      <c r="FD204" s="67" t="s">
        <v>1656</v>
      </c>
      <c r="FE204" s="68" t="s">
        <v>1657</v>
      </c>
      <c r="FF204" s="68" t="s">
        <v>1658</v>
      </c>
    </row>
    <row r="205" spans="151:162" x14ac:dyDescent="0.2">
      <c r="EU205" s="67">
        <v>565.54999999999995</v>
      </c>
      <c r="EV205" s="67" t="s">
        <v>1659</v>
      </c>
      <c r="EW205" s="67">
        <v>489.23</v>
      </c>
      <c r="EX205" s="67" t="s">
        <v>1660</v>
      </c>
      <c r="EY205" s="67">
        <v>5663.94</v>
      </c>
      <c r="EZ205" s="67" t="s">
        <v>1661</v>
      </c>
      <c r="FA205" s="67">
        <v>20063.564999999999</v>
      </c>
      <c r="FB205" s="67" t="s">
        <v>1662</v>
      </c>
      <c r="FC205" s="67" t="s">
        <v>1663</v>
      </c>
      <c r="FD205" s="67" t="s">
        <v>1664</v>
      </c>
      <c r="FE205" s="68" t="s">
        <v>1665</v>
      </c>
      <c r="FF205" s="68" t="s">
        <v>1666</v>
      </c>
    </row>
    <row r="206" spans="151:162" x14ac:dyDescent="0.2">
      <c r="EU206" s="67">
        <v>565.57000000000005</v>
      </c>
      <c r="EV206" s="67" t="s">
        <v>1667</v>
      </c>
      <c r="EW206" s="67">
        <v>489.26</v>
      </c>
      <c r="EX206" s="67" t="s">
        <v>1668</v>
      </c>
      <c r="EY206" s="67">
        <v>5663.94</v>
      </c>
      <c r="EZ206" s="67" t="s">
        <v>1669</v>
      </c>
      <c r="FA206" s="67">
        <v>20063.564999999999</v>
      </c>
      <c r="FB206" s="67" t="s">
        <v>1670</v>
      </c>
      <c r="FC206" s="67" t="s">
        <v>1671</v>
      </c>
      <c r="FD206" s="67" t="s">
        <v>1672</v>
      </c>
      <c r="FE206" s="68" t="s">
        <v>1673</v>
      </c>
      <c r="FF206" s="68" t="s">
        <v>1674</v>
      </c>
    </row>
    <row r="207" spans="151:162" x14ac:dyDescent="0.2">
      <c r="EU207" s="67">
        <v>565.52</v>
      </c>
      <c r="EV207" s="67" t="s">
        <v>1675</v>
      </c>
      <c r="EW207" s="67">
        <v>489.21</v>
      </c>
      <c r="EX207" s="67" t="s">
        <v>1676</v>
      </c>
      <c r="EY207" s="67">
        <v>5663.94</v>
      </c>
      <c r="EZ207" s="67" t="s">
        <v>1677</v>
      </c>
      <c r="FA207" s="67">
        <v>20063.564999999999</v>
      </c>
      <c r="FB207" s="67" t="s">
        <v>1678</v>
      </c>
      <c r="FC207" s="67" t="s">
        <v>1679</v>
      </c>
      <c r="FD207" s="67" t="s">
        <v>1680</v>
      </c>
      <c r="FE207" s="68" t="s">
        <v>1681</v>
      </c>
      <c r="FF207" s="68" t="s">
        <v>1682</v>
      </c>
    </row>
    <row r="208" spans="151:162" x14ac:dyDescent="0.2">
      <c r="EU208" s="67">
        <v>565.55999999999995</v>
      </c>
      <c r="EV208" s="67" t="s">
        <v>1683</v>
      </c>
      <c r="EW208" s="67">
        <v>489.23</v>
      </c>
      <c r="EX208" s="67" t="s">
        <v>1684</v>
      </c>
      <c r="EY208" s="67">
        <v>5663.94</v>
      </c>
      <c r="EZ208" s="67" t="s">
        <v>1685</v>
      </c>
      <c r="FA208" s="67">
        <v>20063.564999999999</v>
      </c>
      <c r="FB208" s="67" t="s">
        <v>1686</v>
      </c>
      <c r="FC208" s="67" t="s">
        <v>1687</v>
      </c>
      <c r="FD208" s="67" t="s">
        <v>1688</v>
      </c>
      <c r="FE208" s="68" t="s">
        <v>1689</v>
      </c>
      <c r="FF208" s="68" t="s">
        <v>1690</v>
      </c>
    </row>
    <row r="209" spans="151:162" x14ac:dyDescent="0.2">
      <c r="EU209" s="67">
        <v>565.53</v>
      </c>
      <c r="EV209" s="67" t="s">
        <v>1691</v>
      </c>
      <c r="EW209" s="67">
        <v>489.23</v>
      </c>
      <c r="EX209" s="67" t="s">
        <v>1692</v>
      </c>
      <c r="EY209" s="67">
        <v>5663.94</v>
      </c>
      <c r="EZ209" s="67" t="s">
        <v>1693</v>
      </c>
      <c r="FA209" s="67">
        <v>20063.564999999999</v>
      </c>
      <c r="FB209" s="67" t="s">
        <v>1694</v>
      </c>
      <c r="FC209" s="67" t="s">
        <v>1695</v>
      </c>
      <c r="FD209" s="67" t="s">
        <v>1696</v>
      </c>
      <c r="FE209" s="68" t="s">
        <v>1697</v>
      </c>
      <c r="FF209" s="68" t="s">
        <v>1698</v>
      </c>
    </row>
    <row r="210" spans="151:162" x14ac:dyDescent="0.2">
      <c r="EU210" s="67">
        <v>565.65</v>
      </c>
      <c r="EV210" s="67" t="s">
        <v>1699</v>
      </c>
      <c r="EW210" s="67">
        <v>489.39</v>
      </c>
      <c r="EX210" s="67" t="s">
        <v>1700</v>
      </c>
      <c r="EY210" s="67">
        <v>5663.94</v>
      </c>
      <c r="EZ210" s="67" t="s">
        <v>1701</v>
      </c>
      <c r="FA210" s="67">
        <v>20063.564999999999</v>
      </c>
      <c r="FB210" s="67" t="s">
        <v>1702</v>
      </c>
      <c r="FC210" s="67" t="s">
        <v>1703</v>
      </c>
      <c r="FD210" s="67" t="s">
        <v>1704</v>
      </c>
      <c r="FE210" s="68" t="s">
        <v>1705</v>
      </c>
      <c r="FF210" s="68" t="s">
        <v>1706</v>
      </c>
    </row>
    <row r="211" spans="151:162" x14ac:dyDescent="0.2">
      <c r="EU211" s="67">
        <v>565.65</v>
      </c>
      <c r="EV211" s="67" t="s">
        <v>1707</v>
      </c>
      <c r="EW211" s="67">
        <v>489.35</v>
      </c>
      <c r="EX211" s="67" t="s">
        <v>1708</v>
      </c>
      <c r="EY211" s="67">
        <v>5663.94</v>
      </c>
      <c r="EZ211" s="67" t="s">
        <v>1709</v>
      </c>
      <c r="FA211" s="67">
        <v>20063.564999999999</v>
      </c>
      <c r="FB211" s="67" t="s">
        <v>1710</v>
      </c>
      <c r="FC211" s="67" t="s">
        <v>1711</v>
      </c>
      <c r="FD211" s="67" t="s">
        <v>1712</v>
      </c>
      <c r="FE211" s="68" t="s">
        <v>1713</v>
      </c>
      <c r="FF211" s="68" t="s">
        <v>1714</v>
      </c>
    </row>
    <row r="212" spans="151:162" x14ac:dyDescent="0.2">
      <c r="EU212" s="67">
        <v>565.54999999999995</v>
      </c>
      <c r="EV212" s="67" t="s">
        <v>1715</v>
      </c>
      <c r="EW212" s="67">
        <v>489.28</v>
      </c>
      <c r="EX212" s="67" t="s">
        <v>1716</v>
      </c>
      <c r="EY212" s="67">
        <v>5663.94</v>
      </c>
      <c r="EZ212" s="67" t="s">
        <v>1717</v>
      </c>
      <c r="FA212" s="67">
        <v>20063.564999999999</v>
      </c>
      <c r="FB212" s="67" t="s">
        <v>1718</v>
      </c>
      <c r="FC212" s="67" t="s">
        <v>1719</v>
      </c>
      <c r="FD212" s="67" t="s">
        <v>1720</v>
      </c>
      <c r="FE212" s="68" t="s">
        <v>1721</v>
      </c>
      <c r="FF212" s="68" t="s">
        <v>1722</v>
      </c>
    </row>
    <row r="213" spans="151:162" x14ac:dyDescent="0.2">
      <c r="EU213" s="67">
        <v>565.5</v>
      </c>
      <c r="EV213" s="67" t="s">
        <v>1723</v>
      </c>
      <c r="EW213" s="67">
        <v>489.22</v>
      </c>
      <c r="EX213" s="67" t="s">
        <v>1724</v>
      </c>
      <c r="EY213" s="67">
        <v>5663.94</v>
      </c>
      <c r="EZ213" s="67" t="s">
        <v>1725</v>
      </c>
      <c r="FA213" s="67">
        <v>20063.564999999999</v>
      </c>
      <c r="FB213" s="67" t="s">
        <v>1726</v>
      </c>
      <c r="FC213" s="67" t="s">
        <v>1727</v>
      </c>
      <c r="FD213" s="67" t="s">
        <v>1728</v>
      </c>
      <c r="FE213" s="68" t="s">
        <v>1729</v>
      </c>
      <c r="FF213" s="68" t="s">
        <v>1730</v>
      </c>
    </row>
    <row r="214" spans="151:162" x14ac:dyDescent="0.2">
      <c r="EU214" s="67">
        <v>565.41999999999996</v>
      </c>
      <c r="EV214" s="67" t="s">
        <v>1731</v>
      </c>
      <c r="EW214" s="67">
        <v>489.17</v>
      </c>
      <c r="EX214" s="67" t="s">
        <v>1732</v>
      </c>
      <c r="EY214" s="67">
        <v>5663.94</v>
      </c>
      <c r="EZ214" s="67" t="s">
        <v>1733</v>
      </c>
      <c r="FA214" s="67">
        <v>20063.564999999999</v>
      </c>
      <c r="FB214" s="67" t="s">
        <v>1734</v>
      </c>
      <c r="FC214" s="67" t="s">
        <v>1735</v>
      </c>
      <c r="FD214" s="67" t="s">
        <v>1736</v>
      </c>
      <c r="FE214" s="68" t="s">
        <v>1737</v>
      </c>
      <c r="FF214" s="68" t="s">
        <v>1738</v>
      </c>
    </row>
    <row r="215" spans="151:162" x14ac:dyDescent="0.2">
      <c r="EU215" s="67">
        <v>565.4</v>
      </c>
      <c r="EV215" s="67" t="s">
        <v>1739</v>
      </c>
      <c r="EW215" s="67">
        <v>489.07</v>
      </c>
      <c r="EX215" s="67" t="s">
        <v>1740</v>
      </c>
      <c r="EY215" s="67">
        <v>5663.94</v>
      </c>
      <c r="EZ215" s="67" t="s">
        <v>1741</v>
      </c>
      <c r="FA215" s="67">
        <v>20063.564999999999</v>
      </c>
      <c r="FB215" s="67" t="s">
        <v>1742</v>
      </c>
      <c r="FC215" s="67" t="s">
        <v>1743</v>
      </c>
      <c r="FD215" s="67" t="s">
        <v>1744</v>
      </c>
      <c r="FE215" s="68" t="s">
        <v>1745</v>
      </c>
      <c r="FF215" s="68" t="s">
        <v>1746</v>
      </c>
    </row>
    <row r="216" spans="151:162" x14ac:dyDescent="0.2">
      <c r="EU216" s="67">
        <v>565.4</v>
      </c>
      <c r="EV216" s="67" t="s">
        <v>1747</v>
      </c>
      <c r="EW216" s="67">
        <v>489.06</v>
      </c>
      <c r="EX216" s="67" t="s">
        <v>1748</v>
      </c>
      <c r="EY216" s="67">
        <v>5663.94</v>
      </c>
      <c r="EZ216" s="67" t="s">
        <v>1749</v>
      </c>
      <c r="FA216" s="67">
        <v>20063.564999999999</v>
      </c>
      <c r="FB216" s="67" t="s">
        <v>1750</v>
      </c>
      <c r="FC216" s="67" t="s">
        <v>1751</v>
      </c>
      <c r="FD216" s="67" t="s">
        <v>1752</v>
      </c>
      <c r="FE216" s="68" t="s">
        <v>1753</v>
      </c>
      <c r="FF216" s="68" t="s">
        <v>1754</v>
      </c>
    </row>
    <row r="217" spans="151:162" x14ac:dyDescent="0.2">
      <c r="EU217" s="67">
        <v>565.4</v>
      </c>
      <c r="EV217" s="67" t="s">
        <v>1755</v>
      </c>
      <c r="EW217" s="67">
        <v>489.15</v>
      </c>
      <c r="EX217" s="67" t="s">
        <v>1756</v>
      </c>
      <c r="EY217" s="67">
        <v>5663.94</v>
      </c>
      <c r="EZ217" s="67" t="s">
        <v>1757</v>
      </c>
      <c r="FA217" s="67">
        <v>20063.564999999999</v>
      </c>
      <c r="FB217" s="67" t="s">
        <v>1758</v>
      </c>
      <c r="FC217" s="67" t="s">
        <v>1759</v>
      </c>
      <c r="FD217" s="67" t="s">
        <v>1760</v>
      </c>
      <c r="FE217" s="68" t="s">
        <v>1761</v>
      </c>
      <c r="FF217" s="68" t="s">
        <v>1762</v>
      </c>
    </row>
    <row r="218" spans="151:162" x14ac:dyDescent="0.2">
      <c r="EU218" s="67">
        <v>565.41999999999996</v>
      </c>
      <c r="EV218" s="67" t="s">
        <v>1763</v>
      </c>
      <c r="EW218" s="67">
        <v>489.18</v>
      </c>
      <c r="EX218" s="67" t="s">
        <v>1764</v>
      </c>
      <c r="EY218" s="67">
        <v>5663.94</v>
      </c>
      <c r="EZ218" s="67" t="s">
        <v>1765</v>
      </c>
      <c r="FA218" s="67">
        <v>20063.564999999999</v>
      </c>
      <c r="FB218" s="67" t="s">
        <v>1766</v>
      </c>
      <c r="FC218" s="67" t="s">
        <v>1767</v>
      </c>
      <c r="FD218" s="67" t="s">
        <v>1768</v>
      </c>
      <c r="FE218" s="68" t="s">
        <v>1769</v>
      </c>
      <c r="FF218" s="68" t="s">
        <v>1770</v>
      </c>
    </row>
    <row r="219" spans="151:162" x14ac:dyDescent="0.2">
      <c r="EU219" s="67">
        <v>565.4</v>
      </c>
      <c r="EV219" s="67" t="s">
        <v>1771</v>
      </c>
      <c r="EW219" s="67">
        <v>489.15</v>
      </c>
      <c r="EX219" s="67" t="s">
        <v>1772</v>
      </c>
      <c r="EY219" s="67">
        <v>5663.94</v>
      </c>
      <c r="EZ219" s="67" t="s">
        <v>1773</v>
      </c>
      <c r="FA219" s="67">
        <v>20063.564999999999</v>
      </c>
      <c r="FB219" s="67" t="s">
        <v>1774</v>
      </c>
      <c r="FC219" s="67" t="s">
        <v>1775</v>
      </c>
      <c r="FD219" s="67" t="s">
        <v>1776</v>
      </c>
      <c r="FE219" s="68" t="s">
        <v>1777</v>
      </c>
      <c r="FF219" s="68" t="s">
        <v>1778</v>
      </c>
    </row>
    <row r="220" spans="151:162" x14ac:dyDescent="0.2">
      <c r="EU220" s="67">
        <v>565.5</v>
      </c>
      <c r="EV220" s="67" t="s">
        <v>1779</v>
      </c>
      <c r="EW220" s="67">
        <v>489.26</v>
      </c>
      <c r="EX220" s="67" t="s">
        <v>1780</v>
      </c>
      <c r="EY220" s="67">
        <v>5663.94</v>
      </c>
      <c r="EZ220" s="67" t="s">
        <v>1781</v>
      </c>
      <c r="FA220" s="67">
        <v>20063.564999999999</v>
      </c>
      <c r="FB220" s="67" t="s">
        <v>1782</v>
      </c>
      <c r="FC220" s="67" t="s">
        <v>1783</v>
      </c>
      <c r="FD220" s="67" t="s">
        <v>1784</v>
      </c>
      <c r="FE220" s="68" t="s">
        <v>1785</v>
      </c>
      <c r="FF220" s="68" t="s">
        <v>1786</v>
      </c>
    </row>
    <row r="221" spans="151:162" x14ac:dyDescent="0.2">
      <c r="EU221" s="67">
        <v>565.42999999999995</v>
      </c>
      <c r="EV221" s="67" t="s">
        <v>1787</v>
      </c>
      <c r="EW221" s="67">
        <v>489.24</v>
      </c>
      <c r="EX221" s="67" t="s">
        <v>1788</v>
      </c>
      <c r="EY221" s="67">
        <v>5663.94</v>
      </c>
      <c r="EZ221" s="67" t="s">
        <v>1789</v>
      </c>
      <c r="FA221" s="67">
        <v>20063.564999999999</v>
      </c>
      <c r="FB221" s="67" t="s">
        <v>1790</v>
      </c>
      <c r="FC221" s="67" t="s">
        <v>1791</v>
      </c>
      <c r="FD221" s="67" t="s">
        <v>1792</v>
      </c>
      <c r="FE221" s="68" t="s">
        <v>1793</v>
      </c>
      <c r="FF221" s="68" t="s">
        <v>1794</v>
      </c>
    </row>
    <row r="222" spans="151:162" x14ac:dyDescent="0.2">
      <c r="EU222" s="67">
        <v>565.23</v>
      </c>
      <c r="EV222" s="67" t="s">
        <v>1795</v>
      </c>
      <c r="EW222" s="67">
        <v>489</v>
      </c>
      <c r="EX222" s="67" t="s">
        <v>1796</v>
      </c>
      <c r="EY222" s="67">
        <v>5663.94</v>
      </c>
      <c r="EZ222" s="67" t="s">
        <v>1797</v>
      </c>
      <c r="FA222" s="67">
        <v>20063.564999999999</v>
      </c>
      <c r="FB222" s="67" t="s">
        <v>1798</v>
      </c>
      <c r="FC222" s="67" t="s">
        <v>1799</v>
      </c>
      <c r="FD222" s="67" t="s">
        <v>1800</v>
      </c>
      <c r="FE222" s="68" t="s">
        <v>1801</v>
      </c>
      <c r="FF222" s="68" t="s">
        <v>1802</v>
      </c>
    </row>
    <row r="223" spans="151:162" x14ac:dyDescent="0.2">
      <c r="EU223" s="67">
        <v>565.32000000000005</v>
      </c>
      <c r="EV223" s="67" t="s">
        <v>1803</v>
      </c>
      <c r="EW223" s="67">
        <v>489.11</v>
      </c>
      <c r="EX223" s="67" t="s">
        <v>1804</v>
      </c>
      <c r="EY223" s="67">
        <v>5663.94</v>
      </c>
      <c r="EZ223" s="67" t="s">
        <v>1805</v>
      </c>
      <c r="FA223" s="67">
        <v>20063.564999999999</v>
      </c>
      <c r="FB223" s="67" t="s">
        <v>1806</v>
      </c>
      <c r="FC223" s="67" t="s">
        <v>1807</v>
      </c>
      <c r="FD223" s="67" t="s">
        <v>1808</v>
      </c>
      <c r="FE223" s="68" t="s">
        <v>1809</v>
      </c>
      <c r="FF223" s="68" t="s">
        <v>1810</v>
      </c>
    </row>
    <row r="224" spans="151:162" x14ac:dyDescent="0.2">
      <c r="EU224" s="67">
        <v>565.17999999999995</v>
      </c>
      <c r="EV224" s="67" t="s">
        <v>1811</v>
      </c>
      <c r="EW224" s="67">
        <v>489</v>
      </c>
      <c r="EX224" s="67" t="s">
        <v>1812</v>
      </c>
      <c r="EY224" s="67">
        <v>5663.94</v>
      </c>
      <c r="EZ224" s="67" t="s">
        <v>1813</v>
      </c>
      <c r="FA224" s="67">
        <v>20063.564999999999</v>
      </c>
      <c r="FB224" s="67" t="s">
        <v>1814</v>
      </c>
      <c r="FC224" s="67" t="s">
        <v>1815</v>
      </c>
      <c r="FD224" s="67" t="s">
        <v>1816</v>
      </c>
      <c r="FE224" s="68" t="s">
        <v>1817</v>
      </c>
      <c r="FF224" s="68" t="s">
        <v>1818</v>
      </c>
    </row>
    <row r="225" spans="151:162" x14ac:dyDescent="0.2">
      <c r="EU225" s="67">
        <v>565.26</v>
      </c>
      <c r="EV225" s="67" t="s">
        <v>1819</v>
      </c>
      <c r="EW225" s="67">
        <v>489.05</v>
      </c>
      <c r="EX225" s="67" t="s">
        <v>1820</v>
      </c>
      <c r="EY225" s="67">
        <v>5663.94</v>
      </c>
      <c r="EZ225" s="67" t="s">
        <v>1821</v>
      </c>
      <c r="FA225" s="67">
        <v>20063.564999999999</v>
      </c>
      <c r="FB225" s="67" t="s">
        <v>1822</v>
      </c>
      <c r="FC225" s="67" t="s">
        <v>1823</v>
      </c>
      <c r="FD225" s="67" t="s">
        <v>1824</v>
      </c>
      <c r="FE225" s="68" t="s">
        <v>1825</v>
      </c>
      <c r="FF225" s="68" t="s">
        <v>1826</v>
      </c>
    </row>
    <row r="226" spans="151:162" x14ac:dyDescent="0.2">
      <c r="EU226" s="67">
        <v>565.15</v>
      </c>
      <c r="EV226" s="67" t="s">
        <v>1827</v>
      </c>
      <c r="EW226" s="67">
        <v>489</v>
      </c>
      <c r="EX226" s="67" t="s">
        <v>1828</v>
      </c>
      <c r="EY226" s="67">
        <v>5663.94</v>
      </c>
      <c r="EZ226" s="67" t="s">
        <v>1829</v>
      </c>
      <c r="FA226" s="67">
        <v>20063.564999999999</v>
      </c>
      <c r="FB226" s="67" t="s">
        <v>1830</v>
      </c>
      <c r="FC226" s="67" t="s">
        <v>1831</v>
      </c>
      <c r="FD226" s="67" t="s">
        <v>1832</v>
      </c>
      <c r="FE226" s="68" t="s">
        <v>1833</v>
      </c>
      <c r="FF226" s="68" t="s">
        <v>1834</v>
      </c>
    </row>
    <row r="227" spans="151:162" x14ac:dyDescent="0.2">
      <c r="EU227" s="67">
        <v>565.15</v>
      </c>
      <c r="EV227" s="67" t="s">
        <v>1835</v>
      </c>
      <c r="EW227" s="67">
        <v>488.91</v>
      </c>
      <c r="EX227" s="67" t="s">
        <v>1836</v>
      </c>
      <c r="EY227" s="67">
        <v>5663.94</v>
      </c>
      <c r="EZ227" s="67" t="s">
        <v>1837</v>
      </c>
      <c r="FA227" s="67">
        <v>20063.564999999999</v>
      </c>
      <c r="FB227" s="67" t="s">
        <v>1838</v>
      </c>
      <c r="FC227" s="67" t="s">
        <v>1839</v>
      </c>
      <c r="FD227" s="67" t="s">
        <v>1840</v>
      </c>
      <c r="FE227" s="68" t="s">
        <v>1841</v>
      </c>
      <c r="FF227" s="68" t="s">
        <v>1842</v>
      </c>
    </row>
    <row r="228" spans="151:162" x14ac:dyDescent="0.2">
      <c r="EU228" s="67">
        <v>565.17999999999995</v>
      </c>
      <c r="EV228" s="67" t="s">
        <v>1843</v>
      </c>
      <c r="EW228" s="67">
        <v>488.97</v>
      </c>
      <c r="EX228" s="67" t="s">
        <v>1844</v>
      </c>
      <c r="EY228" s="67">
        <v>5663.94</v>
      </c>
      <c r="EZ228" s="67" t="s">
        <v>1845</v>
      </c>
      <c r="FA228" s="67">
        <v>20063.564999999999</v>
      </c>
      <c r="FB228" s="67" t="s">
        <v>1846</v>
      </c>
      <c r="FC228" s="67" t="s">
        <v>1847</v>
      </c>
      <c r="FD228" s="67" t="s">
        <v>1848</v>
      </c>
      <c r="FE228" s="68" t="s">
        <v>1849</v>
      </c>
      <c r="FF228" s="68" t="s">
        <v>1850</v>
      </c>
    </row>
    <row r="229" spans="151:162" x14ac:dyDescent="0.2">
      <c r="EU229" s="67">
        <v>565.21</v>
      </c>
      <c r="EV229" s="67" t="s">
        <v>1851</v>
      </c>
      <c r="EW229" s="67">
        <v>489</v>
      </c>
      <c r="EX229" s="67" t="s">
        <v>1852</v>
      </c>
      <c r="EY229" s="67">
        <v>5663.94</v>
      </c>
      <c r="EZ229" s="67" t="s">
        <v>1853</v>
      </c>
      <c r="FA229" s="67">
        <v>20063.564999999999</v>
      </c>
      <c r="FB229" s="67" t="s">
        <v>1854</v>
      </c>
      <c r="FC229" s="67" t="s">
        <v>1855</v>
      </c>
      <c r="FD229" s="67" t="s">
        <v>1856</v>
      </c>
      <c r="FE229" s="68" t="s">
        <v>1857</v>
      </c>
      <c r="FF229" s="68" t="s">
        <v>1858</v>
      </c>
    </row>
    <row r="230" spans="151:162" x14ac:dyDescent="0.2">
      <c r="EU230" s="67">
        <v>565.20000000000005</v>
      </c>
      <c r="EV230" s="67" t="s">
        <v>1859</v>
      </c>
      <c r="EW230" s="67">
        <v>489.03</v>
      </c>
      <c r="EX230" s="67" t="s">
        <v>1860</v>
      </c>
      <c r="EY230" s="67">
        <v>5663.94</v>
      </c>
      <c r="EZ230" s="67" t="s">
        <v>1861</v>
      </c>
      <c r="FA230" s="67">
        <v>20063.564999999999</v>
      </c>
      <c r="FB230" s="67" t="s">
        <v>1862</v>
      </c>
      <c r="FC230" s="67" t="s">
        <v>1863</v>
      </c>
      <c r="FD230" s="67" t="s">
        <v>1864</v>
      </c>
      <c r="FE230" s="68" t="s">
        <v>1865</v>
      </c>
      <c r="FF230" s="68" t="s">
        <v>1866</v>
      </c>
    </row>
    <row r="231" spans="151:162" x14ac:dyDescent="0.2">
      <c r="EU231" s="67">
        <v>565.22</v>
      </c>
      <c r="EV231" s="67" t="s">
        <v>1867</v>
      </c>
      <c r="EW231" s="67">
        <v>489.03</v>
      </c>
      <c r="EX231" s="67" t="s">
        <v>1868</v>
      </c>
      <c r="EY231" s="67">
        <v>5663.94</v>
      </c>
      <c r="EZ231" s="67" t="s">
        <v>1869</v>
      </c>
      <c r="FA231" s="67">
        <v>20063.564999999999</v>
      </c>
      <c r="FB231" s="67" t="s">
        <v>1870</v>
      </c>
      <c r="FC231" s="67" t="s">
        <v>1871</v>
      </c>
      <c r="FD231" s="67" t="s">
        <v>1872</v>
      </c>
      <c r="FE231" s="68" t="s">
        <v>1873</v>
      </c>
      <c r="FF231" s="68" t="s">
        <v>1874</v>
      </c>
    </row>
    <row r="232" spans="151:162" x14ac:dyDescent="0.2">
      <c r="EU232" s="67">
        <v>565.30999999999995</v>
      </c>
      <c r="EV232" s="67" t="s">
        <v>1875</v>
      </c>
      <c r="EW232" s="67">
        <v>489.12</v>
      </c>
      <c r="EX232" s="67" t="s">
        <v>1876</v>
      </c>
      <c r="EY232" s="67">
        <v>5663.94</v>
      </c>
      <c r="EZ232" s="67" t="s">
        <v>1877</v>
      </c>
      <c r="FA232" s="67">
        <v>20063.564999999999</v>
      </c>
      <c r="FB232" s="67" t="s">
        <v>1878</v>
      </c>
      <c r="FC232" s="67" t="s">
        <v>1879</v>
      </c>
      <c r="FD232" s="67" t="s">
        <v>1880</v>
      </c>
      <c r="FE232" s="68" t="s">
        <v>1881</v>
      </c>
      <c r="FF232" s="68" t="s">
        <v>1882</v>
      </c>
    </row>
    <row r="233" spans="151:162" x14ac:dyDescent="0.2">
      <c r="EU233" s="67">
        <v>565.5</v>
      </c>
      <c r="EV233" s="67" t="s">
        <v>1883</v>
      </c>
      <c r="EW233" s="67">
        <v>489.32</v>
      </c>
      <c r="EX233" s="67" t="s">
        <v>1884</v>
      </c>
      <c r="EY233" s="67">
        <v>5663.94</v>
      </c>
      <c r="EZ233" s="67" t="s">
        <v>1885</v>
      </c>
      <c r="FA233" s="67">
        <v>20063.564999999999</v>
      </c>
      <c r="FB233" s="67" t="s">
        <v>1886</v>
      </c>
      <c r="FC233" s="67" t="s">
        <v>1887</v>
      </c>
      <c r="FD233" s="67" t="s">
        <v>1888</v>
      </c>
      <c r="FE233" s="68" t="s">
        <v>1889</v>
      </c>
      <c r="FF233" s="68" t="s">
        <v>1890</v>
      </c>
    </row>
    <row r="234" spans="151:162" x14ac:dyDescent="0.2">
      <c r="EU234" s="67">
        <v>565.35</v>
      </c>
      <c r="EV234" s="67" t="s">
        <v>1891</v>
      </c>
      <c r="EW234" s="67">
        <v>489.21</v>
      </c>
      <c r="EX234" s="67" t="s">
        <v>1892</v>
      </c>
      <c r="EY234" s="67">
        <v>5663.94</v>
      </c>
      <c r="EZ234" s="67" t="s">
        <v>1893</v>
      </c>
      <c r="FA234" s="67">
        <v>20063.564999999999</v>
      </c>
      <c r="FB234" s="67" t="s">
        <v>1894</v>
      </c>
      <c r="FC234" s="67" t="s">
        <v>1895</v>
      </c>
      <c r="FD234" s="67" t="s">
        <v>1896</v>
      </c>
      <c r="FE234" s="68" t="s">
        <v>1897</v>
      </c>
      <c r="FF234" s="68" t="s">
        <v>1898</v>
      </c>
    </row>
    <row r="235" spans="151:162" x14ac:dyDescent="0.2">
      <c r="EU235" s="67">
        <v>565.37</v>
      </c>
      <c r="EV235" s="67" t="s">
        <v>1899</v>
      </c>
      <c r="EW235" s="67">
        <v>489.21</v>
      </c>
      <c r="EX235" s="67" t="s">
        <v>1900</v>
      </c>
      <c r="EY235" s="67">
        <v>5663.94</v>
      </c>
      <c r="EZ235" s="67" t="s">
        <v>1901</v>
      </c>
      <c r="FA235" s="67">
        <v>20063.564999999999</v>
      </c>
      <c r="FB235" s="67" t="s">
        <v>1902</v>
      </c>
      <c r="FC235" s="67" t="s">
        <v>1903</v>
      </c>
      <c r="FD235" s="67" t="s">
        <v>1904</v>
      </c>
      <c r="FE235" s="68" t="s">
        <v>1905</v>
      </c>
      <c r="FF235" s="68" t="s">
        <v>1906</v>
      </c>
    </row>
    <row r="236" spans="151:162" x14ac:dyDescent="0.2">
      <c r="EU236" s="67">
        <v>565.46</v>
      </c>
      <c r="EV236" s="67" t="s">
        <v>1907</v>
      </c>
      <c r="EW236" s="67">
        <v>489.3</v>
      </c>
      <c r="EX236" s="67" t="s">
        <v>1908</v>
      </c>
      <c r="EY236" s="67">
        <v>5663.94</v>
      </c>
      <c r="EZ236" s="67" t="s">
        <v>1909</v>
      </c>
      <c r="FA236" s="67">
        <v>20063.564999999999</v>
      </c>
      <c r="FB236" s="67" t="s">
        <v>1910</v>
      </c>
      <c r="FC236" s="67" t="s">
        <v>1911</v>
      </c>
      <c r="FD236" s="67" t="s">
        <v>1912</v>
      </c>
      <c r="FE236" s="68" t="s">
        <v>1913</v>
      </c>
      <c r="FF236" s="68" t="s">
        <v>1914</v>
      </c>
    </row>
    <row r="237" spans="151:162" x14ac:dyDescent="0.2">
      <c r="EU237" s="67">
        <v>565.59</v>
      </c>
      <c r="EV237" s="67" t="s">
        <v>1915</v>
      </c>
      <c r="EW237" s="67">
        <v>489.4</v>
      </c>
      <c r="EX237" s="67" t="s">
        <v>1916</v>
      </c>
      <c r="EY237" s="67">
        <v>5663.94</v>
      </c>
      <c r="EZ237" s="67" t="s">
        <v>1917</v>
      </c>
      <c r="FA237" s="67">
        <v>20063.564999999999</v>
      </c>
      <c r="FB237" s="67" t="s">
        <v>1918</v>
      </c>
      <c r="FC237" s="67" t="s">
        <v>1919</v>
      </c>
      <c r="FD237" s="67" t="s">
        <v>1920</v>
      </c>
      <c r="FE237" s="68" t="s">
        <v>1921</v>
      </c>
      <c r="FF237" s="68" t="s">
        <v>1922</v>
      </c>
    </row>
    <row r="238" spans="151:162" x14ac:dyDescent="0.2">
      <c r="EU238" s="67">
        <v>565.74</v>
      </c>
      <c r="EV238" s="67" t="s">
        <v>1923</v>
      </c>
      <c r="EW238" s="67">
        <v>489.56</v>
      </c>
      <c r="EX238" s="67" t="s">
        <v>1924</v>
      </c>
      <c r="EY238" s="67">
        <v>5663.94</v>
      </c>
      <c r="EZ238" s="67" t="s">
        <v>1925</v>
      </c>
      <c r="FA238" s="67">
        <v>20063.564999999999</v>
      </c>
      <c r="FB238" s="67" t="s">
        <v>1926</v>
      </c>
      <c r="FC238" s="67" t="s">
        <v>1927</v>
      </c>
      <c r="FD238" s="67" t="s">
        <v>1928</v>
      </c>
      <c r="FE238" s="68" t="s">
        <v>1929</v>
      </c>
      <c r="FF238" s="68" t="s">
        <v>1930</v>
      </c>
    </row>
    <row r="239" spans="151:162" x14ac:dyDescent="0.2">
      <c r="EU239" s="67">
        <v>565.67999999999995</v>
      </c>
      <c r="EV239" s="67" t="s">
        <v>1931</v>
      </c>
      <c r="EW239" s="67">
        <v>489.47</v>
      </c>
      <c r="EX239" s="67" t="s">
        <v>1932</v>
      </c>
      <c r="EY239" s="67">
        <v>5663.94</v>
      </c>
      <c r="EZ239" s="67" t="s">
        <v>1933</v>
      </c>
      <c r="FA239" s="67">
        <v>20063.564999999999</v>
      </c>
      <c r="FB239" s="67" t="s">
        <v>1934</v>
      </c>
      <c r="FC239" s="67" t="s">
        <v>1935</v>
      </c>
      <c r="FD239" s="67" t="s">
        <v>1936</v>
      </c>
      <c r="FE239" s="68" t="s">
        <v>1937</v>
      </c>
      <c r="FF239" s="68" t="s">
        <v>1938</v>
      </c>
    </row>
    <row r="240" spans="151:162" x14ac:dyDescent="0.2">
      <c r="EU240" s="67">
        <v>565.52</v>
      </c>
      <c r="EV240" s="67" t="s">
        <v>1939</v>
      </c>
      <c r="EW240" s="67">
        <v>489.32</v>
      </c>
      <c r="EX240" s="67" t="s">
        <v>1940</v>
      </c>
      <c r="EY240" s="67">
        <v>5663.94</v>
      </c>
      <c r="EZ240" s="67" t="s">
        <v>1941</v>
      </c>
      <c r="FA240" s="67">
        <v>20063.564999999999</v>
      </c>
      <c r="FB240" s="67" t="s">
        <v>1942</v>
      </c>
      <c r="FC240" s="67" t="s">
        <v>1943</v>
      </c>
      <c r="FD240" s="67" t="s">
        <v>1944</v>
      </c>
      <c r="FE240" s="68" t="s">
        <v>1945</v>
      </c>
      <c r="FF240" s="68" t="s">
        <v>1946</v>
      </c>
    </row>
    <row r="241" spans="151:162" x14ac:dyDescent="0.2">
      <c r="EU241" s="67">
        <v>565.53</v>
      </c>
      <c r="EV241" s="67" t="s">
        <v>1947</v>
      </c>
      <c r="EW241" s="67">
        <v>489.31</v>
      </c>
      <c r="EX241" s="67" t="s">
        <v>1948</v>
      </c>
      <c r="EY241" s="67">
        <v>5663.94</v>
      </c>
      <c r="EZ241" s="67" t="s">
        <v>1949</v>
      </c>
      <c r="FA241" s="67">
        <v>20063.564999999999</v>
      </c>
      <c r="FB241" s="67" t="s">
        <v>1950</v>
      </c>
      <c r="FC241" s="67" t="s">
        <v>1951</v>
      </c>
      <c r="FD241" s="67" t="s">
        <v>1952</v>
      </c>
      <c r="FE241" s="68" t="s">
        <v>1953</v>
      </c>
      <c r="FF241" s="68" t="s">
        <v>1954</v>
      </c>
    </row>
    <row r="242" spans="151:162" x14ac:dyDescent="0.2">
      <c r="EU242" s="67">
        <v>565.52</v>
      </c>
      <c r="EV242" s="67" t="s">
        <v>1955</v>
      </c>
      <c r="EW242" s="67">
        <v>489.35</v>
      </c>
      <c r="EX242" s="67" t="s">
        <v>1956</v>
      </c>
      <c r="EY242" s="67">
        <v>5663.94</v>
      </c>
      <c r="EZ242" s="67" t="s">
        <v>1957</v>
      </c>
      <c r="FA242" s="67">
        <v>20063.564999999999</v>
      </c>
      <c r="FB242" s="67" t="s">
        <v>1958</v>
      </c>
      <c r="FC242" s="67" t="s">
        <v>1959</v>
      </c>
      <c r="FD242" s="67" t="s">
        <v>1960</v>
      </c>
      <c r="FE242" s="68" t="s">
        <v>1961</v>
      </c>
      <c r="FF242" s="68" t="s">
        <v>1962</v>
      </c>
    </row>
    <row r="243" spans="151:162" x14ac:dyDescent="0.2">
      <c r="EU243" s="67">
        <v>565.58000000000004</v>
      </c>
      <c r="EV243" s="67" t="s">
        <v>1963</v>
      </c>
      <c r="EW243" s="67">
        <v>489.35</v>
      </c>
      <c r="EX243" s="67" t="s">
        <v>1964</v>
      </c>
      <c r="EY243" s="67">
        <v>5663.94</v>
      </c>
      <c r="EZ243" s="67" t="s">
        <v>1965</v>
      </c>
      <c r="FA243" s="67">
        <v>20063.564999999999</v>
      </c>
      <c r="FB243" s="67" t="s">
        <v>1966</v>
      </c>
      <c r="FC243" s="67" t="s">
        <v>1967</v>
      </c>
      <c r="FD243" s="67" t="s">
        <v>1968</v>
      </c>
      <c r="FE243" s="68" t="s">
        <v>1969</v>
      </c>
      <c r="FF243" s="68" t="s">
        <v>1970</v>
      </c>
    </row>
    <row r="244" spans="151:162" x14ac:dyDescent="0.2">
      <c r="EU244" s="67">
        <v>565.38</v>
      </c>
      <c r="EV244" s="67" t="s">
        <v>1971</v>
      </c>
      <c r="EW244" s="67">
        <v>489.14</v>
      </c>
      <c r="EX244" s="67" t="s">
        <v>1972</v>
      </c>
      <c r="EY244" s="67">
        <v>5663.94</v>
      </c>
      <c r="EZ244" s="67" t="s">
        <v>1973</v>
      </c>
      <c r="FA244" s="67">
        <v>20063.564999999999</v>
      </c>
      <c r="FB244" s="67" t="s">
        <v>1974</v>
      </c>
      <c r="FC244" s="67" t="s">
        <v>1975</v>
      </c>
      <c r="FD244" s="67" t="s">
        <v>1976</v>
      </c>
      <c r="FE244" s="68" t="s">
        <v>1977</v>
      </c>
      <c r="FF244" s="68" t="s">
        <v>1978</v>
      </c>
    </row>
    <row r="245" spans="151:162" x14ac:dyDescent="0.2">
      <c r="EU245" s="67">
        <v>565.36</v>
      </c>
      <c r="EV245" s="67" t="s">
        <v>1979</v>
      </c>
      <c r="EW245" s="67">
        <v>489.14</v>
      </c>
      <c r="EX245" s="67" t="s">
        <v>1980</v>
      </c>
      <c r="EY245" s="67">
        <v>5663.94</v>
      </c>
      <c r="EZ245" s="67" t="s">
        <v>1981</v>
      </c>
      <c r="FA245" s="67">
        <v>20063.564999999999</v>
      </c>
      <c r="FB245" s="67" t="s">
        <v>1982</v>
      </c>
      <c r="FC245" s="67" t="s">
        <v>1983</v>
      </c>
      <c r="FD245" s="67" t="s">
        <v>1984</v>
      </c>
      <c r="FE245" s="68" t="s">
        <v>1985</v>
      </c>
      <c r="FF245" s="68" t="s">
        <v>1986</v>
      </c>
    </row>
    <row r="246" spans="151:162" x14ac:dyDescent="0.2">
      <c r="EU246" s="67">
        <v>565.4</v>
      </c>
      <c r="EV246" s="67" t="s">
        <v>1987</v>
      </c>
      <c r="EW246" s="67">
        <v>489.19</v>
      </c>
      <c r="EX246" s="67" t="s">
        <v>1988</v>
      </c>
      <c r="EY246" s="67">
        <v>5663.94</v>
      </c>
      <c r="EZ246" s="67" t="s">
        <v>1989</v>
      </c>
      <c r="FA246" s="67">
        <v>20063.564999999999</v>
      </c>
      <c r="FB246" s="67" t="s">
        <v>1990</v>
      </c>
      <c r="FC246" s="67" t="s">
        <v>1991</v>
      </c>
      <c r="FD246" s="67" t="s">
        <v>1992</v>
      </c>
      <c r="FE246" s="68" t="s">
        <v>1993</v>
      </c>
      <c r="FF246" s="68" t="s">
        <v>1994</v>
      </c>
    </row>
    <row r="247" spans="151:162" x14ac:dyDescent="0.2">
      <c r="EU247" s="67">
        <v>565.33000000000004</v>
      </c>
      <c r="EV247" s="67" t="s">
        <v>1995</v>
      </c>
      <c r="EW247" s="67">
        <v>489.14</v>
      </c>
      <c r="EX247" s="67" t="s">
        <v>1996</v>
      </c>
      <c r="EY247" s="67">
        <v>5663.94</v>
      </c>
      <c r="EZ247" s="67" t="s">
        <v>1997</v>
      </c>
      <c r="FA247" s="67">
        <v>20063.564999999999</v>
      </c>
      <c r="FB247" s="67" t="s">
        <v>1998</v>
      </c>
      <c r="FC247" s="67" t="s">
        <v>1999</v>
      </c>
      <c r="FD247" s="67" t="s">
        <v>2000</v>
      </c>
      <c r="FE247" s="68" t="s">
        <v>2001</v>
      </c>
      <c r="FF247" s="68" t="s">
        <v>2002</v>
      </c>
    </row>
    <row r="248" spans="151:162" x14ac:dyDescent="0.2">
      <c r="EU248" s="67">
        <v>565.41999999999996</v>
      </c>
      <c r="EV248" s="67" t="s">
        <v>2003</v>
      </c>
      <c r="EW248" s="67">
        <v>489.22</v>
      </c>
      <c r="EX248" s="67" t="s">
        <v>2004</v>
      </c>
      <c r="EY248" s="67">
        <v>5663.94</v>
      </c>
      <c r="EZ248" s="67" t="s">
        <v>2005</v>
      </c>
      <c r="FA248" s="67">
        <v>20063.564999999999</v>
      </c>
      <c r="FB248" s="67" t="s">
        <v>2006</v>
      </c>
      <c r="FC248" s="67" t="s">
        <v>2007</v>
      </c>
      <c r="FD248" s="67" t="s">
        <v>2008</v>
      </c>
      <c r="FE248" s="68" t="s">
        <v>2009</v>
      </c>
      <c r="FF248" s="68" t="s">
        <v>2010</v>
      </c>
    </row>
    <row r="249" spans="151:162" x14ac:dyDescent="0.2">
      <c r="EU249" s="67">
        <v>565.47</v>
      </c>
      <c r="EV249" s="67" t="s">
        <v>2011</v>
      </c>
      <c r="EW249" s="67">
        <v>489.27</v>
      </c>
      <c r="EX249" s="67" t="s">
        <v>2012</v>
      </c>
      <c r="EY249" s="67">
        <v>5663.94</v>
      </c>
      <c r="EZ249" s="67" t="s">
        <v>2013</v>
      </c>
      <c r="FA249" s="67">
        <v>20063.564999999999</v>
      </c>
      <c r="FB249" s="67" t="s">
        <v>2014</v>
      </c>
      <c r="FC249" s="67" t="s">
        <v>2015</v>
      </c>
      <c r="FD249" s="67" t="s">
        <v>2016</v>
      </c>
      <c r="FE249" s="68" t="s">
        <v>2017</v>
      </c>
      <c r="FF249" s="68" t="s">
        <v>2018</v>
      </c>
    </row>
    <row r="250" spans="151:162" x14ac:dyDescent="0.2">
      <c r="EU250" s="67">
        <v>565.5</v>
      </c>
      <c r="EV250" s="67" t="s">
        <v>2019</v>
      </c>
      <c r="EW250" s="67">
        <v>489.28</v>
      </c>
      <c r="EX250" s="67" t="s">
        <v>2020</v>
      </c>
      <c r="EY250" s="67">
        <v>5663.94</v>
      </c>
      <c r="EZ250" s="67" t="s">
        <v>2021</v>
      </c>
      <c r="FA250" s="67">
        <v>20063.564999999999</v>
      </c>
      <c r="FB250" s="67" t="s">
        <v>2022</v>
      </c>
      <c r="FC250" s="67" t="s">
        <v>2023</v>
      </c>
      <c r="FD250" s="67" t="s">
        <v>2024</v>
      </c>
      <c r="FE250" s="68" t="s">
        <v>2025</v>
      </c>
      <c r="FF250" s="68" t="s">
        <v>2026</v>
      </c>
    </row>
    <row r="251" spans="151:162" x14ac:dyDescent="0.2">
      <c r="EU251" s="67">
        <v>565.27</v>
      </c>
      <c r="EV251" s="67" t="s">
        <v>2027</v>
      </c>
      <c r="EW251" s="67">
        <v>489.06</v>
      </c>
      <c r="EX251" s="67" t="s">
        <v>2028</v>
      </c>
      <c r="EY251" s="67">
        <v>5663.94</v>
      </c>
      <c r="EZ251" s="67" t="s">
        <v>2029</v>
      </c>
      <c r="FA251" s="67">
        <v>20063.564999999999</v>
      </c>
      <c r="FB251" s="67" t="s">
        <v>2030</v>
      </c>
      <c r="FC251" s="67" t="s">
        <v>2031</v>
      </c>
      <c r="FD251" s="67" t="s">
        <v>2032</v>
      </c>
      <c r="FE251" s="68" t="s">
        <v>2033</v>
      </c>
      <c r="FF251" s="68" t="s">
        <v>2034</v>
      </c>
    </row>
    <row r="252" spans="151:162" x14ac:dyDescent="0.2">
      <c r="EU252" s="67">
        <v>565.23</v>
      </c>
      <c r="EV252" s="67" t="s">
        <v>2035</v>
      </c>
      <c r="EW252" s="67">
        <v>489.04</v>
      </c>
      <c r="EX252" s="67" t="s">
        <v>2036</v>
      </c>
      <c r="EY252" s="67">
        <v>5663.94</v>
      </c>
      <c r="EZ252" s="67" t="s">
        <v>2037</v>
      </c>
      <c r="FA252" s="67">
        <v>20063.564999999999</v>
      </c>
      <c r="FB252" s="67" t="s">
        <v>2038</v>
      </c>
      <c r="FC252" s="67" t="s">
        <v>2039</v>
      </c>
      <c r="FD252" s="67" t="s">
        <v>2040</v>
      </c>
      <c r="FE252" s="68" t="s">
        <v>2041</v>
      </c>
      <c r="FF252" s="68" t="s">
        <v>2042</v>
      </c>
    </row>
    <row r="253" spans="151:162" x14ac:dyDescent="0.2">
      <c r="EU253" s="67">
        <v>565.23</v>
      </c>
      <c r="EV253" s="67" t="s">
        <v>2043</v>
      </c>
      <c r="EW253" s="67">
        <v>489.01</v>
      </c>
      <c r="EX253" s="67" t="s">
        <v>2044</v>
      </c>
      <c r="EY253" s="67">
        <v>5663.94</v>
      </c>
      <c r="EZ253" s="67" t="s">
        <v>2045</v>
      </c>
      <c r="FA253" s="67">
        <v>20063.564999999999</v>
      </c>
      <c r="FB253" s="67" t="s">
        <v>2046</v>
      </c>
      <c r="FC253" s="67" t="s">
        <v>2047</v>
      </c>
      <c r="FD253" s="67" t="s">
        <v>2048</v>
      </c>
      <c r="FE253" s="68" t="s">
        <v>2049</v>
      </c>
      <c r="FF253" s="68" t="s">
        <v>2050</v>
      </c>
    </row>
    <row r="254" spans="151:162" x14ac:dyDescent="0.2">
      <c r="EU254" s="67">
        <v>565.17999999999995</v>
      </c>
      <c r="EV254" s="67" t="s">
        <v>2051</v>
      </c>
      <c r="EW254" s="67">
        <v>489.05</v>
      </c>
      <c r="EX254" s="67" t="s">
        <v>2052</v>
      </c>
      <c r="EY254" s="67">
        <v>5663.94</v>
      </c>
      <c r="EZ254" s="67" t="s">
        <v>2053</v>
      </c>
      <c r="FA254" s="67">
        <v>20063.564999999999</v>
      </c>
      <c r="FB254" s="67" t="s">
        <v>2054</v>
      </c>
      <c r="FC254" s="67" t="s">
        <v>2055</v>
      </c>
      <c r="FD254" s="67" t="s">
        <v>2056</v>
      </c>
      <c r="FE254" s="68" t="s">
        <v>2057</v>
      </c>
      <c r="FF254" s="68" t="s">
        <v>2058</v>
      </c>
    </row>
    <row r="255" spans="151:162" x14ac:dyDescent="0.2">
      <c r="EU255" s="67">
        <v>565.26</v>
      </c>
      <c r="EV255" s="67" t="s">
        <v>2059</v>
      </c>
      <c r="EW255" s="67">
        <v>489.07</v>
      </c>
      <c r="EX255" s="67" t="s">
        <v>2060</v>
      </c>
      <c r="EY255" s="67">
        <v>5663.94</v>
      </c>
      <c r="EZ255" s="67" t="s">
        <v>2061</v>
      </c>
      <c r="FA255" s="67">
        <v>20063.564999999999</v>
      </c>
      <c r="FB255" s="67" t="s">
        <v>2062</v>
      </c>
      <c r="FC255" s="67" t="s">
        <v>2063</v>
      </c>
      <c r="FD255" s="67" t="s">
        <v>2064</v>
      </c>
      <c r="FE255" s="68" t="s">
        <v>2065</v>
      </c>
      <c r="FF255" s="68" t="s">
        <v>2066</v>
      </c>
    </row>
    <row r="256" spans="151:162" x14ac:dyDescent="0.2">
      <c r="EU256" s="67">
        <v>565.6</v>
      </c>
      <c r="EV256" s="67" t="s">
        <v>2067</v>
      </c>
      <c r="EW256" s="67">
        <v>489.45</v>
      </c>
      <c r="EX256" s="67" t="s">
        <v>2068</v>
      </c>
      <c r="EY256" s="67">
        <v>5663.94</v>
      </c>
      <c r="EZ256" s="67" t="s">
        <v>2069</v>
      </c>
      <c r="FA256" s="67">
        <v>20063.564999999999</v>
      </c>
      <c r="FB256" s="67" t="s">
        <v>2070</v>
      </c>
      <c r="FC256" s="67" t="s">
        <v>2071</v>
      </c>
      <c r="FD256" s="67" t="s">
        <v>2072</v>
      </c>
      <c r="FE256" s="68" t="s">
        <v>2073</v>
      </c>
      <c r="FF256" s="68" t="s">
        <v>2074</v>
      </c>
    </row>
    <row r="257" spans="151:162" x14ac:dyDescent="0.2">
      <c r="EU257" s="67">
        <v>565.52</v>
      </c>
      <c r="EV257" s="67" t="s">
        <v>2075</v>
      </c>
      <c r="EW257" s="67">
        <v>489.41</v>
      </c>
      <c r="EX257" s="67" t="s">
        <v>2076</v>
      </c>
      <c r="EY257" s="67">
        <v>5663.94</v>
      </c>
      <c r="EZ257" s="67" t="s">
        <v>2077</v>
      </c>
      <c r="FA257" s="67">
        <v>20063.564999999999</v>
      </c>
      <c r="FB257" s="67" t="s">
        <v>2078</v>
      </c>
      <c r="FC257" s="67" t="s">
        <v>2079</v>
      </c>
      <c r="FD257" s="67" t="s">
        <v>2080</v>
      </c>
      <c r="FE257" s="68" t="s">
        <v>2081</v>
      </c>
      <c r="FF257" s="68" t="s">
        <v>2082</v>
      </c>
    </row>
    <row r="258" spans="151:162" x14ac:dyDescent="0.2">
      <c r="EU258" s="67">
        <v>565.47</v>
      </c>
      <c r="EV258" s="67" t="s">
        <v>2083</v>
      </c>
      <c r="EW258" s="67">
        <v>489.38</v>
      </c>
      <c r="EX258" s="67" t="s">
        <v>2084</v>
      </c>
      <c r="EY258" s="67">
        <v>5663.94</v>
      </c>
      <c r="EZ258" s="67" t="s">
        <v>2085</v>
      </c>
      <c r="FA258" s="67">
        <v>20063.564999999999</v>
      </c>
      <c r="FB258" s="67" t="s">
        <v>2086</v>
      </c>
      <c r="FC258" s="67" t="s">
        <v>2087</v>
      </c>
      <c r="FD258" s="67" t="s">
        <v>2088</v>
      </c>
      <c r="FE258" s="68" t="s">
        <v>2089</v>
      </c>
      <c r="FF258" s="68" t="s">
        <v>2090</v>
      </c>
    </row>
    <row r="259" spans="151:162" x14ac:dyDescent="0.2">
      <c r="EU259" s="67">
        <v>565.46</v>
      </c>
      <c r="EV259" s="67" t="s">
        <v>2091</v>
      </c>
      <c r="EW259" s="67">
        <v>489.32</v>
      </c>
      <c r="EX259" s="67" t="s">
        <v>2092</v>
      </c>
      <c r="EY259" s="67">
        <v>5663.94</v>
      </c>
      <c r="EZ259" s="67" t="s">
        <v>2093</v>
      </c>
      <c r="FA259" s="67">
        <v>20063.564999999999</v>
      </c>
      <c r="FB259" s="67" t="s">
        <v>2094</v>
      </c>
      <c r="FC259" s="67" t="s">
        <v>2095</v>
      </c>
      <c r="FD259" s="67" t="s">
        <v>2096</v>
      </c>
      <c r="FE259" s="68" t="s">
        <v>2097</v>
      </c>
      <c r="FF259" s="68" t="s">
        <v>2098</v>
      </c>
    </row>
    <row r="260" spans="151:162" x14ac:dyDescent="0.2">
      <c r="EU260" s="67">
        <v>565.55999999999995</v>
      </c>
      <c r="EV260" s="67" t="s">
        <v>2099</v>
      </c>
      <c r="EW260" s="67">
        <v>489.43</v>
      </c>
      <c r="EX260" s="67" t="s">
        <v>2100</v>
      </c>
      <c r="EY260" s="67">
        <v>5663.94</v>
      </c>
      <c r="EZ260" s="67" t="s">
        <v>2101</v>
      </c>
      <c r="FA260" s="67">
        <v>20063.564999999999</v>
      </c>
      <c r="FB260" s="67" t="s">
        <v>2102</v>
      </c>
      <c r="FC260" s="67" t="s">
        <v>2103</v>
      </c>
      <c r="FD260" s="67" t="s">
        <v>2104</v>
      </c>
      <c r="FE260" s="68" t="s">
        <v>2105</v>
      </c>
      <c r="FF260" s="68" t="s">
        <v>2106</v>
      </c>
    </row>
    <row r="261" spans="151:162" x14ac:dyDescent="0.2">
      <c r="EU261" s="67">
        <v>565.48</v>
      </c>
      <c r="EV261" s="67" t="s">
        <v>2107</v>
      </c>
      <c r="EW261" s="67">
        <v>489.38</v>
      </c>
      <c r="EX261" s="67" t="s">
        <v>2108</v>
      </c>
      <c r="EY261" s="67">
        <v>5663.94</v>
      </c>
      <c r="EZ261" s="67" t="s">
        <v>2109</v>
      </c>
      <c r="FA261" s="67">
        <v>20063.564999999999</v>
      </c>
      <c r="FB261" s="67" t="s">
        <v>2110</v>
      </c>
      <c r="FC261" s="67" t="s">
        <v>2111</v>
      </c>
      <c r="FD261" s="67" t="s">
        <v>2112</v>
      </c>
      <c r="FE261" s="68" t="s">
        <v>2113</v>
      </c>
      <c r="FF261" s="68" t="s">
        <v>2114</v>
      </c>
    </row>
    <row r="262" spans="151:162" x14ac:dyDescent="0.2">
      <c r="EU262" s="67">
        <v>565.58000000000004</v>
      </c>
      <c r="EV262" s="67" t="s">
        <v>2115</v>
      </c>
      <c r="EW262" s="67">
        <v>489.41</v>
      </c>
      <c r="EX262" s="67" t="s">
        <v>2116</v>
      </c>
      <c r="EY262" s="67">
        <v>5663.94</v>
      </c>
      <c r="EZ262" s="67" t="s">
        <v>2117</v>
      </c>
      <c r="FA262" s="67">
        <v>20063.564999999999</v>
      </c>
      <c r="FB262" s="67" t="s">
        <v>2118</v>
      </c>
      <c r="FC262" s="67" t="s">
        <v>2119</v>
      </c>
      <c r="FD262" s="67" t="s">
        <v>2120</v>
      </c>
      <c r="FE262" s="68" t="s">
        <v>2121</v>
      </c>
      <c r="FF262" s="68" t="s">
        <v>2122</v>
      </c>
    </row>
    <row r="263" spans="151:162" x14ac:dyDescent="0.2">
      <c r="EU263" s="67">
        <v>565.35</v>
      </c>
      <c r="EV263" s="67" t="s">
        <v>2123</v>
      </c>
      <c r="EW263" s="67">
        <v>489.13</v>
      </c>
      <c r="EX263" s="67" t="s">
        <v>2124</v>
      </c>
      <c r="EY263" s="67">
        <v>5663.94</v>
      </c>
      <c r="EZ263" s="67" t="s">
        <v>2125</v>
      </c>
      <c r="FA263" s="67">
        <v>20063.564999999999</v>
      </c>
      <c r="FB263" s="67" t="s">
        <v>2126</v>
      </c>
      <c r="FC263" s="67" t="s">
        <v>2127</v>
      </c>
      <c r="FD263" s="67" t="s">
        <v>2128</v>
      </c>
      <c r="FE263" s="68" t="s">
        <v>2129</v>
      </c>
      <c r="FF263" s="68" t="s">
        <v>2130</v>
      </c>
    </row>
    <row r="264" spans="151:162" x14ac:dyDescent="0.2">
      <c r="EU264" s="67">
        <v>565.14</v>
      </c>
      <c r="EV264" s="67" t="s">
        <v>2131</v>
      </c>
      <c r="EW264" s="67">
        <v>488.91</v>
      </c>
      <c r="EX264" s="67" t="s">
        <v>2132</v>
      </c>
      <c r="EY264" s="67">
        <v>5663.94</v>
      </c>
      <c r="EZ264" s="67" t="s">
        <v>2133</v>
      </c>
      <c r="FA264" s="67">
        <v>20063.564999999999</v>
      </c>
      <c r="FB264" s="67" t="s">
        <v>2134</v>
      </c>
      <c r="FC264" s="67" t="s">
        <v>2135</v>
      </c>
      <c r="FD264" s="67" t="s">
        <v>2136</v>
      </c>
      <c r="FE264" s="68" t="s">
        <v>2137</v>
      </c>
      <c r="FF264" s="68" t="s">
        <v>2138</v>
      </c>
    </row>
    <row r="265" spans="151:162" x14ac:dyDescent="0.2">
      <c r="EU265" s="67">
        <v>565.12</v>
      </c>
      <c r="EV265" s="67" t="s">
        <v>2139</v>
      </c>
      <c r="EW265" s="67">
        <v>488.9</v>
      </c>
      <c r="EX265" s="67" t="s">
        <v>2140</v>
      </c>
      <c r="EY265" s="67">
        <v>5663.94</v>
      </c>
      <c r="EZ265" s="67" t="s">
        <v>2141</v>
      </c>
      <c r="FA265" s="67">
        <v>20063.564999999999</v>
      </c>
      <c r="FB265" s="67" t="s">
        <v>2142</v>
      </c>
      <c r="FC265" s="67" t="s">
        <v>2143</v>
      </c>
      <c r="FD265" s="67" t="s">
        <v>2144</v>
      </c>
      <c r="FE265" s="68" t="s">
        <v>2145</v>
      </c>
      <c r="FF265" s="68" t="s">
        <v>2146</v>
      </c>
    </row>
    <row r="266" spans="151:162" x14ac:dyDescent="0.2">
      <c r="EU266" s="67">
        <v>565.05999999999995</v>
      </c>
      <c r="EV266" s="67" t="s">
        <v>2147</v>
      </c>
      <c r="EW266" s="67">
        <v>488.88</v>
      </c>
      <c r="EX266" s="67" t="s">
        <v>2148</v>
      </c>
      <c r="EY266" s="67">
        <v>5663.94</v>
      </c>
      <c r="EZ266" s="67" t="s">
        <v>2149</v>
      </c>
      <c r="FA266" s="67">
        <v>20063.564999999999</v>
      </c>
      <c r="FB266" s="67" t="s">
        <v>2150</v>
      </c>
      <c r="FC266" s="67" t="s">
        <v>2151</v>
      </c>
      <c r="FD266" s="67" t="s">
        <v>2152</v>
      </c>
      <c r="FE266" s="68" t="s">
        <v>2153</v>
      </c>
      <c r="FF266" s="68" t="s">
        <v>2154</v>
      </c>
    </row>
    <row r="267" spans="151:162" x14ac:dyDescent="0.2">
      <c r="EU267" s="67">
        <v>565.19000000000005</v>
      </c>
      <c r="EV267" s="67" t="s">
        <v>2155</v>
      </c>
      <c r="EW267" s="67">
        <v>488.99</v>
      </c>
      <c r="EX267" s="67" t="s">
        <v>2156</v>
      </c>
      <c r="EY267" s="67">
        <v>5663.94</v>
      </c>
      <c r="EZ267" s="67" t="s">
        <v>2157</v>
      </c>
      <c r="FA267" s="67">
        <v>20063.564999999999</v>
      </c>
      <c r="FB267" s="67" t="s">
        <v>2158</v>
      </c>
      <c r="FC267" s="67" t="s">
        <v>2159</v>
      </c>
      <c r="FD267" s="67" t="s">
        <v>2160</v>
      </c>
      <c r="FE267" s="68" t="s">
        <v>2161</v>
      </c>
      <c r="FF267" s="68" t="s">
        <v>2162</v>
      </c>
    </row>
    <row r="268" spans="151:162" x14ac:dyDescent="0.2">
      <c r="EU268" s="67">
        <v>565.05999999999995</v>
      </c>
      <c r="EV268" s="67" t="s">
        <v>2163</v>
      </c>
      <c r="EW268" s="67">
        <v>488.81</v>
      </c>
      <c r="EX268" s="67" t="s">
        <v>2164</v>
      </c>
      <c r="EY268" s="67">
        <v>5663.94</v>
      </c>
      <c r="EZ268" s="67" t="s">
        <v>2165</v>
      </c>
      <c r="FA268" s="67">
        <v>20063.564999999999</v>
      </c>
      <c r="FB268" s="67" t="s">
        <v>2166</v>
      </c>
      <c r="FC268" s="67" t="s">
        <v>2167</v>
      </c>
      <c r="FD268" s="67" t="s">
        <v>2168</v>
      </c>
      <c r="FE268" s="68" t="s">
        <v>2169</v>
      </c>
      <c r="FF268" s="68" t="s">
        <v>2170</v>
      </c>
    </row>
    <row r="269" spans="151:162" x14ac:dyDescent="0.2">
      <c r="EU269" s="67">
        <v>565.05999999999995</v>
      </c>
      <c r="EV269" s="67" t="s">
        <v>2171</v>
      </c>
      <c r="EW269" s="67">
        <v>488.92</v>
      </c>
      <c r="EX269" s="67" t="s">
        <v>2172</v>
      </c>
      <c r="EY269" s="67">
        <v>5663.94</v>
      </c>
      <c r="EZ269" s="67" t="s">
        <v>2173</v>
      </c>
      <c r="FA269" s="67">
        <v>20063.564999999999</v>
      </c>
      <c r="FB269" s="67" t="s">
        <v>2174</v>
      </c>
      <c r="FC269" s="67" t="s">
        <v>2175</v>
      </c>
      <c r="FD269" s="67" t="s">
        <v>2176</v>
      </c>
      <c r="FE269" s="68" t="s">
        <v>2177</v>
      </c>
      <c r="FF269" s="68" t="s">
        <v>2178</v>
      </c>
    </row>
    <row r="270" spans="151:162" x14ac:dyDescent="0.2">
      <c r="EU270" s="67">
        <v>565.15</v>
      </c>
      <c r="EV270" s="67" t="s">
        <v>2179</v>
      </c>
      <c r="EW270" s="67">
        <v>489</v>
      </c>
      <c r="EX270" s="67" t="s">
        <v>2180</v>
      </c>
      <c r="EY270" s="67">
        <v>5663.94</v>
      </c>
      <c r="EZ270" s="67" t="s">
        <v>2181</v>
      </c>
      <c r="FA270" s="67">
        <v>20063.564999999999</v>
      </c>
      <c r="FB270" s="67" t="s">
        <v>2182</v>
      </c>
      <c r="FC270" s="67" t="s">
        <v>2183</v>
      </c>
      <c r="FD270" s="67" t="s">
        <v>2184</v>
      </c>
      <c r="FE270" s="68" t="s">
        <v>2185</v>
      </c>
      <c r="FF270" s="68" t="s">
        <v>2186</v>
      </c>
    </row>
    <row r="271" spans="151:162" x14ac:dyDescent="0.2">
      <c r="EU271" s="67">
        <v>565.08000000000004</v>
      </c>
      <c r="EV271" s="67" t="s">
        <v>2187</v>
      </c>
      <c r="EW271" s="67">
        <v>489</v>
      </c>
      <c r="EX271" s="67" t="s">
        <v>2188</v>
      </c>
      <c r="EY271" s="67">
        <v>5663.94</v>
      </c>
      <c r="EZ271" s="67" t="s">
        <v>2189</v>
      </c>
      <c r="FA271" s="67">
        <v>20063.564999999999</v>
      </c>
      <c r="FB271" s="67" t="s">
        <v>2190</v>
      </c>
      <c r="FC271" s="67" t="s">
        <v>2191</v>
      </c>
      <c r="FD271" s="67" t="s">
        <v>2192</v>
      </c>
      <c r="FE271" s="68" t="s">
        <v>2193</v>
      </c>
      <c r="FF271" s="68" t="s">
        <v>2194</v>
      </c>
    </row>
    <row r="272" spans="151:162" x14ac:dyDescent="0.2">
      <c r="EU272" s="67">
        <v>565.05999999999995</v>
      </c>
      <c r="EV272" s="67" t="s">
        <v>2195</v>
      </c>
      <c r="EW272" s="67">
        <v>489</v>
      </c>
      <c r="EX272" s="67" t="s">
        <v>2196</v>
      </c>
      <c r="EY272" s="67">
        <v>5663.94</v>
      </c>
      <c r="EZ272" s="67" t="s">
        <v>2197</v>
      </c>
      <c r="FA272" s="67">
        <v>20063.564999999999</v>
      </c>
      <c r="FB272" s="67" t="s">
        <v>2198</v>
      </c>
      <c r="FC272" s="67" t="s">
        <v>2199</v>
      </c>
      <c r="FD272" s="67" t="s">
        <v>2200</v>
      </c>
      <c r="FE272" s="68" t="s">
        <v>2201</v>
      </c>
      <c r="FF272" s="68" t="s">
        <v>2202</v>
      </c>
    </row>
    <row r="273" spans="151:162" x14ac:dyDescent="0.2">
      <c r="EU273" s="67">
        <v>565.05999999999995</v>
      </c>
      <c r="EV273" s="67" t="s">
        <v>2203</v>
      </c>
      <c r="EW273" s="67">
        <v>488.87</v>
      </c>
      <c r="EX273" s="67" t="s">
        <v>2204</v>
      </c>
      <c r="EY273" s="67">
        <v>5663.94</v>
      </c>
      <c r="EZ273" s="67" t="s">
        <v>2205</v>
      </c>
      <c r="FA273" s="67">
        <v>20063.564999999999</v>
      </c>
      <c r="FB273" s="67" t="s">
        <v>2206</v>
      </c>
      <c r="FC273" s="67" t="s">
        <v>2207</v>
      </c>
      <c r="FD273" s="67" t="s">
        <v>2208</v>
      </c>
      <c r="FE273" s="68" t="s">
        <v>2209</v>
      </c>
      <c r="FF273" s="68" t="s">
        <v>2210</v>
      </c>
    </row>
    <row r="274" spans="151:162" x14ac:dyDescent="0.2">
      <c r="EU274" s="67">
        <v>565.05999999999995</v>
      </c>
      <c r="EV274" s="67" t="s">
        <v>2211</v>
      </c>
      <c r="EW274" s="67">
        <v>488.91</v>
      </c>
      <c r="EX274" s="67" t="s">
        <v>2212</v>
      </c>
      <c r="EY274" s="67">
        <v>5663.94</v>
      </c>
      <c r="EZ274" s="67" t="s">
        <v>2213</v>
      </c>
      <c r="FA274" s="67">
        <v>20063.564999999999</v>
      </c>
      <c r="FB274" s="67" t="s">
        <v>2214</v>
      </c>
      <c r="FC274" s="67" t="s">
        <v>2215</v>
      </c>
      <c r="FD274" s="67" t="s">
        <v>2216</v>
      </c>
      <c r="FE274" s="68" t="s">
        <v>2217</v>
      </c>
      <c r="FF274" s="68" t="s">
        <v>2218</v>
      </c>
    </row>
    <row r="275" spans="151:162" x14ac:dyDescent="0.2">
      <c r="EU275" s="67">
        <v>565.05999999999995</v>
      </c>
      <c r="EV275" s="67" t="s">
        <v>2219</v>
      </c>
      <c r="EW275" s="67">
        <v>488.97</v>
      </c>
      <c r="EX275" s="67" t="s">
        <v>2220</v>
      </c>
      <c r="EY275" s="67">
        <v>5663.94</v>
      </c>
      <c r="EZ275" s="67" t="s">
        <v>2221</v>
      </c>
      <c r="FA275" s="67">
        <v>20063.564999999999</v>
      </c>
      <c r="FB275" s="67" t="s">
        <v>2222</v>
      </c>
      <c r="FC275" s="67" t="s">
        <v>2223</v>
      </c>
      <c r="FD275" s="67" t="s">
        <v>2224</v>
      </c>
      <c r="FE275" s="68" t="s">
        <v>2225</v>
      </c>
      <c r="FF275" s="68" t="s">
        <v>2226</v>
      </c>
    </row>
    <row r="276" spans="151:162" x14ac:dyDescent="0.2">
      <c r="EU276" s="67">
        <v>565.05999999999995</v>
      </c>
      <c r="EV276" s="67" t="s">
        <v>2227</v>
      </c>
      <c r="EW276" s="67">
        <v>488.95</v>
      </c>
      <c r="EX276" s="67" t="s">
        <v>2228</v>
      </c>
      <c r="EY276" s="67">
        <v>5663.94</v>
      </c>
      <c r="EZ276" s="67" t="s">
        <v>2229</v>
      </c>
      <c r="FA276" s="67">
        <v>20063.564999999999</v>
      </c>
      <c r="FB276" s="67" t="s">
        <v>2230</v>
      </c>
      <c r="FC276" s="67" t="s">
        <v>2231</v>
      </c>
      <c r="FD276" s="67" t="s">
        <v>2232</v>
      </c>
      <c r="FE276" s="68" t="s">
        <v>2233</v>
      </c>
      <c r="FF276" s="68" t="s">
        <v>2234</v>
      </c>
    </row>
    <row r="277" spans="151:162" x14ac:dyDescent="0.2">
      <c r="EU277" s="67">
        <v>565.24</v>
      </c>
      <c r="EV277" s="67" t="s">
        <v>2235</v>
      </c>
      <c r="EW277" s="67">
        <v>489.16</v>
      </c>
      <c r="EX277" s="67" t="s">
        <v>2236</v>
      </c>
      <c r="EY277" s="67">
        <v>5663.94</v>
      </c>
      <c r="EZ277" s="67" t="s">
        <v>2237</v>
      </c>
      <c r="FA277" s="67">
        <v>20063.564999999999</v>
      </c>
      <c r="FB277" s="67" t="s">
        <v>2238</v>
      </c>
      <c r="FC277" s="67" t="s">
        <v>2239</v>
      </c>
      <c r="FD277" s="67" t="s">
        <v>2240</v>
      </c>
      <c r="FE277" s="68" t="s">
        <v>2241</v>
      </c>
      <c r="FF277" s="68" t="s">
        <v>2242</v>
      </c>
    </row>
    <row r="278" spans="151:162" x14ac:dyDescent="0.2">
      <c r="EU278" s="67">
        <v>565.19000000000005</v>
      </c>
      <c r="EV278" s="67" t="s">
        <v>2243</v>
      </c>
      <c r="EW278" s="67">
        <v>489.11</v>
      </c>
      <c r="EX278" s="67" t="s">
        <v>2244</v>
      </c>
      <c r="EY278" s="67">
        <v>5663.94</v>
      </c>
      <c r="EZ278" s="67" t="s">
        <v>2245</v>
      </c>
      <c r="FA278" s="67">
        <v>20063.564999999999</v>
      </c>
      <c r="FB278" s="67" t="s">
        <v>2246</v>
      </c>
      <c r="FC278" s="67" t="s">
        <v>2247</v>
      </c>
      <c r="FD278" s="67" t="s">
        <v>2248</v>
      </c>
      <c r="FE278" s="68" t="s">
        <v>2249</v>
      </c>
      <c r="FF278" s="68" t="s">
        <v>2250</v>
      </c>
    </row>
    <row r="279" spans="151:162" x14ac:dyDescent="0.2">
      <c r="EU279" s="67">
        <v>565.34</v>
      </c>
      <c r="EV279" s="67" t="s">
        <v>2251</v>
      </c>
      <c r="EW279" s="67">
        <v>489.32</v>
      </c>
      <c r="EX279" s="67" t="s">
        <v>2252</v>
      </c>
      <c r="EY279" s="67">
        <v>5663.94</v>
      </c>
      <c r="EZ279" s="67" t="s">
        <v>2253</v>
      </c>
      <c r="FA279" s="67">
        <v>20063.564999999999</v>
      </c>
      <c r="FB279" s="67" t="s">
        <v>2254</v>
      </c>
      <c r="FC279" s="67" t="s">
        <v>2255</v>
      </c>
      <c r="FD279" s="67" t="s">
        <v>2256</v>
      </c>
      <c r="FE279" s="68" t="s">
        <v>2257</v>
      </c>
      <c r="FF279" s="68" t="s">
        <v>2258</v>
      </c>
    </row>
    <row r="280" spans="151:162" x14ac:dyDescent="0.2">
      <c r="EU280" s="67">
        <v>565.39</v>
      </c>
      <c r="EV280" s="67" t="s">
        <v>2259</v>
      </c>
      <c r="EW280" s="67">
        <v>489.37</v>
      </c>
      <c r="EX280" s="67" t="s">
        <v>2260</v>
      </c>
      <c r="EY280" s="67">
        <v>5663.94</v>
      </c>
      <c r="EZ280" s="67" t="s">
        <v>2261</v>
      </c>
      <c r="FA280" s="67">
        <v>20063.564999999999</v>
      </c>
      <c r="FB280" s="67" t="s">
        <v>2262</v>
      </c>
      <c r="FC280" s="67" t="s">
        <v>2263</v>
      </c>
      <c r="FD280" s="67" t="s">
        <v>2264</v>
      </c>
      <c r="FE280" s="68" t="s">
        <v>2265</v>
      </c>
      <c r="FF280" s="68" t="s">
        <v>2266</v>
      </c>
    </row>
    <row r="281" spans="151:162" x14ac:dyDescent="0.2">
      <c r="EU281" s="67">
        <v>565.32000000000005</v>
      </c>
      <c r="EV281" s="67" t="s">
        <v>2267</v>
      </c>
      <c r="EW281" s="67">
        <v>489.28</v>
      </c>
      <c r="EX281" s="67" t="s">
        <v>2268</v>
      </c>
      <c r="EY281" s="67">
        <v>5663.94</v>
      </c>
      <c r="EZ281" s="67" t="s">
        <v>2269</v>
      </c>
      <c r="FA281" s="67">
        <v>20063.564999999999</v>
      </c>
      <c r="FB281" s="67" t="s">
        <v>2270</v>
      </c>
      <c r="FC281" s="67" t="s">
        <v>2271</v>
      </c>
      <c r="FD281" s="67" t="s">
        <v>2272</v>
      </c>
      <c r="FE281" s="68" t="s">
        <v>2273</v>
      </c>
      <c r="FF281" s="68" t="s">
        <v>2274</v>
      </c>
    </row>
    <row r="282" spans="151:162" x14ac:dyDescent="0.2">
      <c r="EU282" s="67">
        <v>565.47</v>
      </c>
      <c r="EV282" s="67" t="s">
        <v>2275</v>
      </c>
      <c r="EW282" s="67">
        <v>489.39</v>
      </c>
      <c r="EX282" s="67" t="s">
        <v>2276</v>
      </c>
      <c r="EY282" s="67">
        <v>5663.94</v>
      </c>
      <c r="EZ282" s="67" t="s">
        <v>2277</v>
      </c>
      <c r="FA282" s="67">
        <v>20063.564999999999</v>
      </c>
      <c r="FB282" s="67" t="s">
        <v>2278</v>
      </c>
      <c r="FC282" s="67" t="s">
        <v>2279</v>
      </c>
      <c r="FD282" s="67" t="s">
        <v>2280</v>
      </c>
      <c r="FE282" s="68" t="s">
        <v>2281</v>
      </c>
      <c r="FF282" s="68" t="s">
        <v>2282</v>
      </c>
    </row>
    <row r="283" spans="151:162" x14ac:dyDescent="0.2">
      <c r="EU283" s="67">
        <v>565.74</v>
      </c>
      <c r="EV283" s="67" t="s">
        <v>2283</v>
      </c>
      <c r="EW283" s="67">
        <v>489.67</v>
      </c>
      <c r="EX283" s="67" t="s">
        <v>2284</v>
      </c>
      <c r="EY283" s="67">
        <v>5663.94</v>
      </c>
      <c r="EZ283" s="67" t="s">
        <v>2285</v>
      </c>
      <c r="FA283" s="67">
        <v>20063.564999999999</v>
      </c>
      <c r="FB283" s="67" t="s">
        <v>2286</v>
      </c>
      <c r="FC283" s="67" t="s">
        <v>2287</v>
      </c>
      <c r="FD283" s="67" t="s">
        <v>2288</v>
      </c>
      <c r="FE283" s="68" t="s">
        <v>2289</v>
      </c>
      <c r="FF283" s="68" t="s">
        <v>2290</v>
      </c>
    </row>
    <row r="284" spans="151:162" x14ac:dyDescent="0.2">
      <c r="EU284" s="67">
        <v>565.71</v>
      </c>
      <c r="EV284" s="67" t="s">
        <v>2291</v>
      </c>
      <c r="EW284" s="67">
        <v>489.71</v>
      </c>
      <c r="EX284" s="67" t="s">
        <v>2292</v>
      </c>
      <c r="EY284" s="67">
        <v>5663.94</v>
      </c>
      <c r="EZ284" s="67" t="s">
        <v>2293</v>
      </c>
      <c r="FA284" s="67">
        <v>20063.564999999999</v>
      </c>
      <c r="FB284" s="67" t="s">
        <v>2294</v>
      </c>
      <c r="FC284" s="67" t="s">
        <v>2295</v>
      </c>
      <c r="FD284" s="67" t="s">
        <v>2296</v>
      </c>
      <c r="FE284" s="68" t="s">
        <v>2297</v>
      </c>
      <c r="FF284" s="68" t="s">
        <v>2298</v>
      </c>
    </row>
    <row r="285" spans="151:162" x14ac:dyDescent="0.2">
      <c r="EU285" s="67">
        <v>565.85</v>
      </c>
      <c r="EV285" s="67" t="s">
        <v>2299</v>
      </c>
      <c r="EW285" s="67">
        <v>489.8</v>
      </c>
      <c r="EX285" s="67" t="s">
        <v>2300</v>
      </c>
      <c r="EY285" s="67">
        <v>5663.94</v>
      </c>
      <c r="EZ285" s="67" t="s">
        <v>2301</v>
      </c>
      <c r="FA285" s="67">
        <v>20063.564999999999</v>
      </c>
      <c r="FB285" s="67" t="s">
        <v>2302</v>
      </c>
      <c r="FC285" s="67" t="s">
        <v>2303</v>
      </c>
      <c r="FD285" s="67" t="s">
        <v>2304</v>
      </c>
      <c r="FE285" s="68" t="s">
        <v>2305</v>
      </c>
      <c r="FF285" s="68" t="s">
        <v>2306</v>
      </c>
    </row>
    <row r="286" spans="151:162" x14ac:dyDescent="0.2">
      <c r="EU286" s="67">
        <v>565.79</v>
      </c>
      <c r="EV286" s="67" t="s">
        <v>2307</v>
      </c>
      <c r="EW286" s="67">
        <v>489.76</v>
      </c>
      <c r="EX286" s="67" t="s">
        <v>2308</v>
      </c>
      <c r="EY286" s="67">
        <v>5663.94</v>
      </c>
      <c r="EZ286" s="67" t="s">
        <v>2309</v>
      </c>
      <c r="FA286" s="67">
        <v>20063.564999999999</v>
      </c>
      <c r="FB286" s="67" t="s">
        <v>2310</v>
      </c>
      <c r="FC286" s="67" t="s">
        <v>2311</v>
      </c>
      <c r="FD286" s="67" t="s">
        <v>2312</v>
      </c>
      <c r="FE286" s="68" t="s">
        <v>2313</v>
      </c>
      <c r="FF286" s="68" t="s">
        <v>2314</v>
      </c>
    </row>
    <row r="287" spans="151:162" x14ac:dyDescent="0.2">
      <c r="EU287" s="67">
        <v>565.79999999999995</v>
      </c>
      <c r="EV287" s="67" t="s">
        <v>2315</v>
      </c>
      <c r="EW287" s="67">
        <v>489.7</v>
      </c>
      <c r="EX287" s="67" t="s">
        <v>2316</v>
      </c>
      <c r="EY287" s="67">
        <v>5663.94</v>
      </c>
      <c r="EZ287" s="67" t="s">
        <v>2317</v>
      </c>
      <c r="FA287" s="67">
        <v>20063.564999999999</v>
      </c>
      <c r="FB287" s="67" t="s">
        <v>2318</v>
      </c>
      <c r="FC287" s="67" t="s">
        <v>2319</v>
      </c>
      <c r="FD287" s="67" t="s">
        <v>2320</v>
      </c>
      <c r="FE287" s="68" t="s">
        <v>2321</v>
      </c>
      <c r="FF287" s="68" t="s">
        <v>2322</v>
      </c>
    </row>
    <row r="288" spans="151:162" x14ac:dyDescent="0.2">
      <c r="EU288" s="67">
        <v>565.9</v>
      </c>
      <c r="EV288" s="67" t="s">
        <v>2323</v>
      </c>
      <c r="EW288" s="67">
        <v>489.86</v>
      </c>
      <c r="EX288" s="67" t="s">
        <v>2324</v>
      </c>
      <c r="EY288" s="67">
        <v>5663.94</v>
      </c>
      <c r="EZ288" s="67" t="s">
        <v>2325</v>
      </c>
      <c r="FA288" s="67">
        <v>20063.564999999999</v>
      </c>
      <c r="FB288" s="67" t="s">
        <v>2326</v>
      </c>
      <c r="FC288" s="67" t="s">
        <v>2327</v>
      </c>
      <c r="FD288" s="67" t="s">
        <v>2328</v>
      </c>
      <c r="FE288" s="68" t="s">
        <v>2329</v>
      </c>
      <c r="FF288" s="68" t="s">
        <v>2330</v>
      </c>
    </row>
    <row r="289" spans="151:162" x14ac:dyDescent="0.2">
      <c r="EU289" s="67">
        <v>565.79999999999995</v>
      </c>
      <c r="EV289" s="67" t="s">
        <v>2331</v>
      </c>
      <c r="EW289" s="67">
        <v>489.72</v>
      </c>
      <c r="EX289" s="67" t="s">
        <v>2332</v>
      </c>
      <c r="EY289" s="67">
        <v>5663.94</v>
      </c>
      <c r="EZ289" s="67" t="s">
        <v>2333</v>
      </c>
      <c r="FA289" s="67">
        <v>20063.564999999999</v>
      </c>
      <c r="FB289" s="67" t="s">
        <v>2334</v>
      </c>
      <c r="FC289" s="67" t="s">
        <v>2335</v>
      </c>
      <c r="FD289" s="67" t="s">
        <v>2336</v>
      </c>
      <c r="FE289" s="68" t="s">
        <v>2337</v>
      </c>
      <c r="FF289" s="68" t="s">
        <v>2338</v>
      </c>
    </row>
    <row r="290" spans="151:162" x14ac:dyDescent="0.2">
      <c r="EU290" s="67">
        <v>565.73</v>
      </c>
      <c r="EV290" s="67" t="s">
        <v>2339</v>
      </c>
      <c r="EW290" s="67">
        <v>489.65</v>
      </c>
      <c r="EX290" s="67" t="s">
        <v>2340</v>
      </c>
      <c r="EY290" s="67">
        <v>5663.94</v>
      </c>
      <c r="EZ290" s="67" t="s">
        <v>2341</v>
      </c>
      <c r="FA290" s="67">
        <v>20063.564999999999</v>
      </c>
      <c r="FB290" s="67" t="s">
        <v>2342</v>
      </c>
      <c r="FC290" s="67" t="s">
        <v>2343</v>
      </c>
      <c r="FD290" s="67" t="s">
        <v>2344</v>
      </c>
      <c r="FE290" s="68" t="s">
        <v>2345</v>
      </c>
      <c r="FF290" s="68" t="s">
        <v>2346</v>
      </c>
    </row>
    <row r="291" spans="151:162" x14ac:dyDescent="0.2">
      <c r="EU291" s="67">
        <v>565.80999999999995</v>
      </c>
      <c r="EV291" s="67" t="s">
        <v>2347</v>
      </c>
      <c r="EW291" s="67">
        <v>489.74</v>
      </c>
      <c r="EX291" s="67" t="s">
        <v>2348</v>
      </c>
      <c r="EY291" s="67">
        <v>5663.94</v>
      </c>
      <c r="EZ291" s="67" t="s">
        <v>2349</v>
      </c>
      <c r="FA291" s="67">
        <v>20063.564999999999</v>
      </c>
      <c r="FB291" s="67" t="s">
        <v>2350</v>
      </c>
      <c r="FC291" s="67" t="s">
        <v>2351</v>
      </c>
      <c r="FD291" s="67" t="s">
        <v>2352</v>
      </c>
      <c r="FE291" s="68" t="s">
        <v>2353</v>
      </c>
      <c r="FF291" s="68" t="s">
        <v>2354</v>
      </c>
    </row>
    <row r="292" spans="151:162" x14ac:dyDescent="0.2">
      <c r="EU292" s="67">
        <v>565.91</v>
      </c>
      <c r="EV292" s="67" t="s">
        <v>2355</v>
      </c>
      <c r="EW292" s="67">
        <v>489.87</v>
      </c>
      <c r="EX292" s="67" t="s">
        <v>2356</v>
      </c>
      <c r="EY292" s="67">
        <v>5663.94</v>
      </c>
      <c r="EZ292" s="67" t="s">
        <v>2357</v>
      </c>
      <c r="FA292" s="67">
        <v>20063.564999999999</v>
      </c>
      <c r="FB292" s="67" t="s">
        <v>2358</v>
      </c>
      <c r="FC292" s="67" t="s">
        <v>2359</v>
      </c>
      <c r="FD292" s="67" t="s">
        <v>2360</v>
      </c>
      <c r="FE292" s="68" t="s">
        <v>2361</v>
      </c>
      <c r="FF292" s="68" t="s">
        <v>2362</v>
      </c>
    </row>
    <row r="293" spans="151:162" x14ac:dyDescent="0.2">
      <c r="EU293" s="67">
        <v>565.91</v>
      </c>
      <c r="EV293" s="67" t="s">
        <v>2363</v>
      </c>
      <c r="EW293" s="67">
        <v>489.84</v>
      </c>
      <c r="EX293" s="67" t="s">
        <v>2364</v>
      </c>
      <c r="EY293" s="67">
        <v>5663.94</v>
      </c>
      <c r="EZ293" s="67" t="s">
        <v>2365</v>
      </c>
      <c r="FA293" s="67">
        <v>20063.564999999999</v>
      </c>
      <c r="FB293" s="67" t="s">
        <v>2366</v>
      </c>
      <c r="FC293" s="67" t="s">
        <v>2367</v>
      </c>
      <c r="FD293" s="67" t="s">
        <v>2368</v>
      </c>
      <c r="FE293" s="68" t="s">
        <v>2369</v>
      </c>
      <c r="FF293" s="68" t="s">
        <v>2370</v>
      </c>
    </row>
    <row r="294" spans="151:162" x14ac:dyDescent="0.2">
      <c r="EU294" s="67">
        <v>566.04</v>
      </c>
      <c r="EV294" s="67" t="s">
        <v>2371</v>
      </c>
      <c r="EW294" s="67">
        <v>490.02</v>
      </c>
      <c r="EX294" s="67" t="s">
        <v>2372</v>
      </c>
      <c r="EY294" s="67">
        <v>5663.94</v>
      </c>
      <c r="EZ294" s="67" t="s">
        <v>2373</v>
      </c>
      <c r="FA294" s="67">
        <v>20063.564999999999</v>
      </c>
      <c r="FB294" s="67" t="s">
        <v>2374</v>
      </c>
      <c r="FC294" s="67" t="s">
        <v>2375</v>
      </c>
      <c r="FD294" s="67" t="s">
        <v>2376</v>
      </c>
      <c r="FE294" s="68" t="s">
        <v>2377</v>
      </c>
      <c r="FF294" s="68" t="s">
        <v>2378</v>
      </c>
    </row>
    <row r="295" spans="151:162" x14ac:dyDescent="0.2">
      <c r="EU295" s="67">
        <v>566.13</v>
      </c>
      <c r="EV295" s="67" t="s">
        <v>2379</v>
      </c>
      <c r="EW295" s="67">
        <v>490.12</v>
      </c>
      <c r="EX295" s="67" t="s">
        <v>2380</v>
      </c>
      <c r="EY295" s="67">
        <v>5663.94</v>
      </c>
      <c r="EZ295" s="67" t="s">
        <v>2381</v>
      </c>
      <c r="FA295" s="67">
        <v>20063.564999999999</v>
      </c>
      <c r="FB295" s="67" t="s">
        <v>2382</v>
      </c>
      <c r="FC295" s="67" t="s">
        <v>2383</v>
      </c>
      <c r="FD295" s="67" t="s">
        <v>2384</v>
      </c>
      <c r="FE295" s="68" t="s">
        <v>2385</v>
      </c>
      <c r="FF295" s="68" t="s">
        <v>2386</v>
      </c>
    </row>
    <row r="296" spans="151:162" x14ac:dyDescent="0.2">
      <c r="EU296" s="67">
        <v>566.09</v>
      </c>
      <c r="EV296" s="67" t="s">
        <v>2387</v>
      </c>
      <c r="EW296" s="67">
        <v>490.06</v>
      </c>
      <c r="EX296" s="67" t="s">
        <v>2388</v>
      </c>
      <c r="EY296" s="67">
        <v>5663.94</v>
      </c>
      <c r="EZ296" s="67" t="s">
        <v>2389</v>
      </c>
      <c r="FA296" s="67">
        <v>20063.564999999999</v>
      </c>
      <c r="FB296" s="67" t="s">
        <v>2390</v>
      </c>
      <c r="FC296" s="67" t="s">
        <v>2391</v>
      </c>
      <c r="FD296" s="67" t="s">
        <v>2392</v>
      </c>
      <c r="FE296" s="68" t="s">
        <v>2393</v>
      </c>
      <c r="FF296" s="68" t="s">
        <v>2394</v>
      </c>
    </row>
    <row r="297" spans="151:162" x14ac:dyDescent="0.2">
      <c r="EU297" s="67">
        <v>566.05999999999995</v>
      </c>
      <c r="EV297" s="67" t="s">
        <v>2395</v>
      </c>
      <c r="EW297" s="67">
        <v>490.03</v>
      </c>
      <c r="EX297" s="67" t="s">
        <v>2396</v>
      </c>
      <c r="EY297" s="67">
        <v>5663.94</v>
      </c>
      <c r="EZ297" s="67" t="s">
        <v>2397</v>
      </c>
      <c r="FA297" s="67">
        <v>20063.564999999999</v>
      </c>
      <c r="FB297" s="67" t="s">
        <v>2398</v>
      </c>
      <c r="FC297" s="67" t="s">
        <v>2399</v>
      </c>
      <c r="FD297" s="67" t="s">
        <v>2400</v>
      </c>
      <c r="FE297" s="68" t="s">
        <v>2401</v>
      </c>
      <c r="FF297" s="68" t="s">
        <v>2402</v>
      </c>
    </row>
    <row r="298" spans="151:162" x14ac:dyDescent="0.2">
      <c r="EU298" s="67">
        <v>566.11</v>
      </c>
      <c r="EV298" s="67" t="s">
        <v>2403</v>
      </c>
      <c r="EW298" s="67">
        <v>490.04</v>
      </c>
      <c r="EX298" s="67" t="s">
        <v>2404</v>
      </c>
      <c r="EY298" s="67">
        <v>5663.94</v>
      </c>
      <c r="EZ298" s="67" t="s">
        <v>2405</v>
      </c>
      <c r="FA298" s="67">
        <v>20063.564999999999</v>
      </c>
      <c r="FB298" s="67" t="s">
        <v>2406</v>
      </c>
      <c r="FC298" s="67" t="s">
        <v>2407</v>
      </c>
      <c r="FD298" s="67" t="s">
        <v>2408</v>
      </c>
      <c r="FE298" s="68" t="s">
        <v>2409</v>
      </c>
      <c r="FF298" s="68" t="s">
        <v>2410</v>
      </c>
    </row>
    <row r="299" spans="151:162" x14ac:dyDescent="0.2">
      <c r="EU299" s="67">
        <v>566.08000000000004</v>
      </c>
      <c r="EV299" s="67" t="s">
        <v>2411</v>
      </c>
      <c r="EW299" s="67">
        <v>490</v>
      </c>
      <c r="EX299" s="67" t="s">
        <v>2412</v>
      </c>
      <c r="EY299" s="67">
        <v>5663.94</v>
      </c>
      <c r="EZ299" s="67" t="s">
        <v>2413</v>
      </c>
      <c r="FA299" s="67">
        <v>20063.564999999999</v>
      </c>
      <c r="FB299" s="67" t="s">
        <v>2414</v>
      </c>
      <c r="FC299" s="67" t="s">
        <v>2415</v>
      </c>
      <c r="FD299" s="67" t="s">
        <v>2416</v>
      </c>
      <c r="FE299" s="68" t="s">
        <v>2417</v>
      </c>
      <c r="FF299" s="68" t="s">
        <v>2418</v>
      </c>
    </row>
    <row r="300" spans="151:162" x14ac:dyDescent="0.2">
      <c r="EU300" s="67">
        <v>566.21</v>
      </c>
      <c r="EV300" s="67" t="s">
        <v>2419</v>
      </c>
      <c r="EW300" s="67">
        <v>490.21</v>
      </c>
      <c r="EX300" s="67" t="s">
        <v>2420</v>
      </c>
      <c r="EY300" s="67">
        <v>5663.94</v>
      </c>
      <c r="EZ300" s="67" t="s">
        <v>2421</v>
      </c>
      <c r="FA300" s="67">
        <v>20063.564999999999</v>
      </c>
      <c r="FB300" s="67" t="s">
        <v>2422</v>
      </c>
      <c r="FC300" s="67" t="s">
        <v>2423</v>
      </c>
      <c r="FD300" s="67" t="s">
        <v>2424</v>
      </c>
      <c r="FE300" s="68" t="s">
        <v>2425</v>
      </c>
      <c r="FF300" s="68" t="s">
        <v>2426</v>
      </c>
    </row>
    <row r="301" spans="151:162" x14ac:dyDescent="0.2">
      <c r="EU301" s="67">
        <v>566.03</v>
      </c>
      <c r="EV301" s="67" t="s">
        <v>2427</v>
      </c>
      <c r="EW301" s="67">
        <v>489.94</v>
      </c>
      <c r="EX301" s="67" t="s">
        <v>2428</v>
      </c>
      <c r="EY301" s="67">
        <v>5663.94</v>
      </c>
      <c r="EZ301" s="67" t="s">
        <v>2429</v>
      </c>
      <c r="FA301" s="67">
        <v>20063.564999999999</v>
      </c>
      <c r="FB301" s="67" t="s">
        <v>2430</v>
      </c>
      <c r="FC301" s="67" t="s">
        <v>2431</v>
      </c>
      <c r="FD301" s="67" t="s">
        <v>2432</v>
      </c>
      <c r="FE301" s="68" t="s">
        <v>2433</v>
      </c>
      <c r="FF301" s="68" t="s">
        <v>2434</v>
      </c>
    </row>
    <row r="302" spans="151:162" x14ac:dyDescent="0.2">
      <c r="EU302" s="67">
        <v>565.91</v>
      </c>
      <c r="EV302" s="67" t="s">
        <v>2435</v>
      </c>
      <c r="EW302" s="67">
        <v>489.82</v>
      </c>
      <c r="EX302" s="67" t="s">
        <v>2436</v>
      </c>
      <c r="EY302" s="67">
        <v>5663.94</v>
      </c>
      <c r="EZ302" s="67" t="s">
        <v>2437</v>
      </c>
      <c r="FA302" s="67">
        <v>20063.564999999999</v>
      </c>
      <c r="FB302" s="67" t="s">
        <v>2438</v>
      </c>
      <c r="FC302" s="67" t="s">
        <v>2439</v>
      </c>
      <c r="FD302" s="67" t="s">
        <v>2440</v>
      </c>
      <c r="FE302" s="68" t="s">
        <v>2441</v>
      </c>
      <c r="FF302" s="68" t="s">
        <v>2442</v>
      </c>
    </row>
    <row r="303" spans="151:162" x14ac:dyDescent="0.2">
      <c r="EU303" s="67">
        <v>565.79</v>
      </c>
      <c r="EV303" s="67" t="s">
        <v>2443</v>
      </c>
      <c r="EW303" s="67">
        <v>489.69</v>
      </c>
      <c r="EX303" s="67" t="s">
        <v>2444</v>
      </c>
      <c r="EY303" s="67">
        <v>5663.94</v>
      </c>
      <c r="EZ303" s="67" t="s">
        <v>2445</v>
      </c>
      <c r="FA303" s="67">
        <v>20063.564999999999</v>
      </c>
      <c r="FB303" s="67" t="s">
        <v>2446</v>
      </c>
      <c r="FC303" s="67" t="s">
        <v>2447</v>
      </c>
      <c r="FD303" s="67" t="s">
        <v>2448</v>
      </c>
      <c r="FE303" s="68" t="s">
        <v>2449</v>
      </c>
      <c r="FF303" s="68" t="s">
        <v>2450</v>
      </c>
    </row>
    <row r="304" spans="151:162" x14ac:dyDescent="0.2">
      <c r="EU304" s="67">
        <v>565.79999999999995</v>
      </c>
      <c r="EV304" s="67" t="s">
        <v>2451</v>
      </c>
      <c r="EW304" s="67">
        <v>489.74</v>
      </c>
      <c r="EX304" s="67" t="s">
        <v>2452</v>
      </c>
      <c r="EY304" s="67">
        <v>5663.94</v>
      </c>
      <c r="EZ304" s="67" t="s">
        <v>2453</v>
      </c>
      <c r="FA304" s="67">
        <v>20063.564999999999</v>
      </c>
      <c r="FB304" s="67" t="s">
        <v>2454</v>
      </c>
      <c r="FC304" s="67" t="s">
        <v>2455</v>
      </c>
      <c r="FD304" s="67" t="s">
        <v>2456</v>
      </c>
      <c r="FE304" s="68" t="s">
        <v>2457</v>
      </c>
      <c r="FF304" s="68" t="s">
        <v>2458</v>
      </c>
    </row>
    <row r="305" spans="151:162" x14ac:dyDescent="0.2">
      <c r="EU305" s="67">
        <v>565.79</v>
      </c>
      <c r="EV305" s="67" t="s">
        <v>2459</v>
      </c>
      <c r="EW305" s="67">
        <v>489.68</v>
      </c>
      <c r="EX305" s="67" t="s">
        <v>2460</v>
      </c>
      <c r="EY305" s="67">
        <v>5663.94</v>
      </c>
      <c r="EZ305" s="67" t="s">
        <v>2461</v>
      </c>
      <c r="FA305" s="67">
        <v>20063.564999999999</v>
      </c>
      <c r="FB305" s="67" t="s">
        <v>2462</v>
      </c>
      <c r="FC305" s="67" t="s">
        <v>2463</v>
      </c>
      <c r="FD305" s="67" t="s">
        <v>2464</v>
      </c>
      <c r="FE305" s="68" t="s">
        <v>2465</v>
      </c>
      <c r="FF305" s="68" t="s">
        <v>2466</v>
      </c>
    </row>
    <row r="306" spans="151:162" x14ac:dyDescent="0.2">
      <c r="EU306" s="67">
        <v>565.70000000000005</v>
      </c>
      <c r="EV306" s="67" t="s">
        <v>2467</v>
      </c>
      <c r="EW306" s="67">
        <v>489.59</v>
      </c>
      <c r="EX306" s="67" t="s">
        <v>2468</v>
      </c>
      <c r="EY306" s="67">
        <v>5663.94</v>
      </c>
      <c r="EZ306" s="67" t="s">
        <v>2469</v>
      </c>
      <c r="FA306" s="67">
        <v>20063.564999999999</v>
      </c>
      <c r="FB306" s="67" t="s">
        <v>2470</v>
      </c>
      <c r="FC306" s="67" t="s">
        <v>2471</v>
      </c>
      <c r="FD306" s="67" t="s">
        <v>2472</v>
      </c>
      <c r="FE306" s="68" t="s">
        <v>2473</v>
      </c>
      <c r="FF306" s="68" t="s">
        <v>2474</v>
      </c>
    </row>
    <row r="307" spans="151:162" x14ac:dyDescent="0.2">
      <c r="EU307" s="67">
        <v>565.66</v>
      </c>
      <c r="EV307" s="67" t="s">
        <v>2475</v>
      </c>
      <c r="EW307" s="67">
        <v>489.51</v>
      </c>
      <c r="EX307" s="67" t="s">
        <v>2476</v>
      </c>
      <c r="EY307" s="67">
        <v>5663.94</v>
      </c>
      <c r="EZ307" s="67" t="s">
        <v>2477</v>
      </c>
      <c r="FA307" s="67">
        <v>20063.564999999999</v>
      </c>
      <c r="FB307" s="67" t="s">
        <v>2478</v>
      </c>
      <c r="FC307" s="67" t="s">
        <v>2479</v>
      </c>
      <c r="FD307" s="67" t="s">
        <v>2480</v>
      </c>
      <c r="FE307" s="68" t="s">
        <v>2481</v>
      </c>
      <c r="FF307" s="68" t="s">
        <v>2482</v>
      </c>
    </row>
    <row r="308" spans="151:162" x14ac:dyDescent="0.2">
      <c r="EU308" s="67">
        <v>565.5</v>
      </c>
      <c r="EV308" s="67" t="s">
        <v>2483</v>
      </c>
      <c r="EW308" s="67">
        <v>489.39</v>
      </c>
      <c r="EX308" s="67" t="s">
        <v>2484</v>
      </c>
      <c r="EY308" s="67">
        <v>5663.94</v>
      </c>
      <c r="EZ308" s="67" t="s">
        <v>2485</v>
      </c>
      <c r="FA308" s="67">
        <v>20063.564999999999</v>
      </c>
      <c r="FB308" s="67" t="s">
        <v>2486</v>
      </c>
      <c r="FC308" s="67" t="s">
        <v>2487</v>
      </c>
      <c r="FD308" s="67" t="s">
        <v>2488</v>
      </c>
      <c r="FE308" s="68" t="s">
        <v>2489</v>
      </c>
      <c r="FF308" s="68" t="s">
        <v>2490</v>
      </c>
    </row>
    <row r="309" spans="151:162" x14ac:dyDescent="0.2">
      <c r="EU309" s="67">
        <v>565.41999999999996</v>
      </c>
      <c r="EV309" s="67" t="s">
        <v>2491</v>
      </c>
      <c r="EW309" s="67">
        <v>489.33</v>
      </c>
      <c r="EX309" s="67" t="s">
        <v>2492</v>
      </c>
      <c r="EY309" s="67">
        <v>5663.94</v>
      </c>
      <c r="EZ309" s="67" t="s">
        <v>2493</v>
      </c>
      <c r="FA309" s="67">
        <v>20063.564999999999</v>
      </c>
      <c r="FB309" s="67" t="s">
        <v>2494</v>
      </c>
      <c r="FC309" s="67" t="s">
        <v>2495</v>
      </c>
      <c r="FD309" s="67" t="s">
        <v>2496</v>
      </c>
      <c r="FE309" s="68" t="s">
        <v>2497</v>
      </c>
      <c r="FF309" s="68" t="s">
        <v>2498</v>
      </c>
    </row>
    <row r="310" spans="151:162" x14ac:dyDescent="0.2">
      <c r="EU310" s="67">
        <v>565.41</v>
      </c>
      <c r="EV310" s="67" t="s">
        <v>2499</v>
      </c>
      <c r="EW310" s="67">
        <v>489.37</v>
      </c>
      <c r="EX310" s="67" t="s">
        <v>2500</v>
      </c>
      <c r="EY310" s="67">
        <v>5663.94</v>
      </c>
      <c r="EZ310" s="67" t="s">
        <v>2501</v>
      </c>
      <c r="FA310" s="67">
        <v>20063.564999999999</v>
      </c>
      <c r="FB310" s="67" t="s">
        <v>2502</v>
      </c>
      <c r="FC310" s="67" t="s">
        <v>2503</v>
      </c>
      <c r="FD310" s="67" t="s">
        <v>2504</v>
      </c>
      <c r="FE310" s="68" t="s">
        <v>2505</v>
      </c>
      <c r="FF310" s="68" t="s">
        <v>2506</v>
      </c>
    </row>
    <row r="311" spans="151:162" x14ac:dyDescent="0.2">
      <c r="EU311" s="67">
        <v>565.41</v>
      </c>
      <c r="EV311" s="67" t="s">
        <v>2507</v>
      </c>
      <c r="EW311" s="67">
        <v>489.39</v>
      </c>
      <c r="EX311" s="67" t="s">
        <v>2508</v>
      </c>
      <c r="EY311" s="67">
        <v>5663.94</v>
      </c>
      <c r="EZ311" s="67" t="s">
        <v>2509</v>
      </c>
      <c r="FA311" s="67">
        <v>20063.564999999999</v>
      </c>
      <c r="FB311" s="67" t="s">
        <v>2510</v>
      </c>
      <c r="FC311" s="67" t="s">
        <v>2511</v>
      </c>
      <c r="FD311" s="67" t="s">
        <v>2512</v>
      </c>
      <c r="FE311" s="68" t="s">
        <v>2513</v>
      </c>
      <c r="FF311" s="68" t="s">
        <v>2514</v>
      </c>
    </row>
    <row r="312" spans="151:162" x14ac:dyDescent="0.2">
      <c r="EU312" s="67">
        <v>565.25</v>
      </c>
      <c r="EV312" s="67" t="s">
        <v>2515</v>
      </c>
      <c r="EW312" s="67">
        <v>489.31</v>
      </c>
      <c r="EX312" s="67" t="s">
        <v>2516</v>
      </c>
      <c r="EY312" s="67">
        <v>5663.94</v>
      </c>
      <c r="EZ312" s="67" t="s">
        <v>2517</v>
      </c>
      <c r="FA312" s="67">
        <v>20063.564999999999</v>
      </c>
      <c r="FB312" s="67" t="s">
        <v>2518</v>
      </c>
      <c r="FC312" s="67" t="s">
        <v>2519</v>
      </c>
      <c r="FD312" s="67" t="s">
        <v>2520</v>
      </c>
      <c r="FE312" s="68" t="s">
        <v>2521</v>
      </c>
      <c r="FF312" s="68" t="s">
        <v>2522</v>
      </c>
    </row>
    <row r="313" spans="151:162" x14ac:dyDescent="0.2">
      <c r="EU313" s="67">
        <v>565.5</v>
      </c>
      <c r="EV313" s="67" t="s">
        <v>2523</v>
      </c>
      <c r="EW313" s="67">
        <v>489.53</v>
      </c>
      <c r="EX313" s="67" t="s">
        <v>2524</v>
      </c>
      <c r="EY313" s="67">
        <v>5663.94</v>
      </c>
      <c r="EZ313" s="67" t="s">
        <v>2525</v>
      </c>
      <c r="FA313" s="67">
        <v>20063.564999999999</v>
      </c>
      <c r="FB313" s="67" t="s">
        <v>2526</v>
      </c>
      <c r="FC313" s="67" t="s">
        <v>2527</v>
      </c>
      <c r="FD313" s="67" t="s">
        <v>2528</v>
      </c>
      <c r="FE313" s="68" t="s">
        <v>2529</v>
      </c>
      <c r="FF313" s="68" t="s">
        <v>2530</v>
      </c>
    </row>
    <row r="314" spans="151:162" x14ac:dyDescent="0.2">
      <c r="EU314" s="67">
        <v>565.20000000000005</v>
      </c>
      <c r="EV314" s="67" t="s">
        <v>2531</v>
      </c>
      <c r="EW314" s="67">
        <v>489.16</v>
      </c>
      <c r="EX314" s="67" t="s">
        <v>2532</v>
      </c>
      <c r="EY314" s="67">
        <v>5663.94</v>
      </c>
      <c r="EZ314" s="67" t="s">
        <v>2533</v>
      </c>
      <c r="FA314" s="67">
        <v>20063.564999999999</v>
      </c>
      <c r="FB314" s="67" t="s">
        <v>2534</v>
      </c>
      <c r="FC314" s="67" t="s">
        <v>2535</v>
      </c>
      <c r="FD314" s="67" t="s">
        <v>2536</v>
      </c>
      <c r="FE314" s="68" t="s">
        <v>2537</v>
      </c>
      <c r="FF314" s="68" t="s">
        <v>2538</v>
      </c>
    </row>
    <row r="315" spans="151:162" x14ac:dyDescent="0.2">
      <c r="EU315" s="67">
        <v>565.44000000000005</v>
      </c>
      <c r="EV315" s="67" t="s">
        <v>2539</v>
      </c>
      <c r="EW315" s="67">
        <v>489.44</v>
      </c>
      <c r="EX315" s="67" t="s">
        <v>2540</v>
      </c>
      <c r="EY315" s="67">
        <v>5663.94</v>
      </c>
      <c r="EZ315" s="67" t="s">
        <v>2541</v>
      </c>
      <c r="FA315" s="67">
        <v>20063.564999999999</v>
      </c>
      <c r="FB315" s="67" t="s">
        <v>2542</v>
      </c>
      <c r="FC315" s="67" t="s">
        <v>2543</v>
      </c>
      <c r="FD315" s="67" t="s">
        <v>2544</v>
      </c>
      <c r="FE315" s="68" t="s">
        <v>2545</v>
      </c>
      <c r="FF315" s="68" t="s">
        <v>2546</v>
      </c>
    </row>
    <row r="316" spans="151:162" x14ac:dyDescent="0.2">
      <c r="EU316" s="67">
        <v>565.27</v>
      </c>
      <c r="EV316" s="67" t="s">
        <v>2547</v>
      </c>
      <c r="EW316" s="67">
        <v>489.31</v>
      </c>
      <c r="EX316" s="67" t="s">
        <v>2548</v>
      </c>
      <c r="EY316" s="67">
        <v>5663.94</v>
      </c>
      <c r="EZ316" s="67" t="s">
        <v>2549</v>
      </c>
      <c r="FA316" s="67">
        <v>20063.564999999999</v>
      </c>
      <c r="FB316" s="67" t="s">
        <v>2550</v>
      </c>
      <c r="FC316" s="67" t="s">
        <v>2551</v>
      </c>
      <c r="FD316" s="67" t="s">
        <v>2552</v>
      </c>
      <c r="FE316" s="68" t="s">
        <v>2553</v>
      </c>
      <c r="FF316" s="68" t="s">
        <v>2554</v>
      </c>
    </row>
    <row r="317" spans="151:162" x14ac:dyDescent="0.2">
      <c r="EU317" s="67">
        <v>565.29</v>
      </c>
      <c r="EV317" s="67" t="s">
        <v>2555</v>
      </c>
      <c r="EW317" s="67">
        <v>489.26</v>
      </c>
      <c r="EX317" s="67" t="s">
        <v>2556</v>
      </c>
      <c r="EY317" s="67">
        <v>5663.94</v>
      </c>
      <c r="EZ317" s="67" t="s">
        <v>2557</v>
      </c>
      <c r="FA317" s="67">
        <v>20063.564999999999</v>
      </c>
      <c r="FB317" s="67" t="s">
        <v>2558</v>
      </c>
      <c r="FC317" s="67" t="s">
        <v>2559</v>
      </c>
      <c r="FD317" s="67" t="s">
        <v>2560</v>
      </c>
      <c r="FE317" s="68" t="s">
        <v>2561</v>
      </c>
      <c r="FF317" s="68" t="s">
        <v>2562</v>
      </c>
    </row>
    <row r="318" spans="151:162" x14ac:dyDescent="0.2">
      <c r="EU318" s="67">
        <v>565.27</v>
      </c>
      <c r="EV318" s="67" t="s">
        <v>2563</v>
      </c>
      <c r="EW318" s="67">
        <v>489.25</v>
      </c>
      <c r="EX318" s="67" t="s">
        <v>2564</v>
      </c>
      <c r="EY318" s="67">
        <v>5663.94</v>
      </c>
      <c r="EZ318" s="67" t="s">
        <v>2565</v>
      </c>
      <c r="FA318" s="67">
        <v>20063.564999999999</v>
      </c>
      <c r="FB318" s="67" t="s">
        <v>2566</v>
      </c>
      <c r="FC318" s="67" t="s">
        <v>2567</v>
      </c>
      <c r="FD318" s="67" t="s">
        <v>2568</v>
      </c>
      <c r="FE318" s="68" t="s">
        <v>2569</v>
      </c>
      <c r="FF318" s="68" t="s">
        <v>2570</v>
      </c>
    </row>
    <row r="319" spans="151:162" x14ac:dyDescent="0.2">
      <c r="EU319" s="67">
        <v>565.34</v>
      </c>
      <c r="EV319" s="67" t="s">
        <v>2571</v>
      </c>
      <c r="EW319" s="67">
        <v>489.31</v>
      </c>
      <c r="EX319" s="67" t="s">
        <v>2572</v>
      </c>
      <c r="EY319" s="67">
        <v>5663.94</v>
      </c>
      <c r="EZ319" s="67" t="s">
        <v>2573</v>
      </c>
      <c r="FA319" s="67">
        <v>20063.564999999999</v>
      </c>
      <c r="FB319" s="67" t="s">
        <v>2574</v>
      </c>
      <c r="FC319" s="67" t="s">
        <v>2575</v>
      </c>
      <c r="FD319" s="67" t="s">
        <v>2576</v>
      </c>
      <c r="FE319" s="68" t="s">
        <v>2577</v>
      </c>
      <c r="FF319" s="68" t="s">
        <v>2578</v>
      </c>
    </row>
    <row r="320" spans="151:162" x14ac:dyDescent="0.2">
      <c r="EU320" s="67">
        <v>565.17999999999995</v>
      </c>
      <c r="EV320" s="67" t="s">
        <v>2579</v>
      </c>
      <c r="EW320" s="67">
        <v>489.2</v>
      </c>
      <c r="EX320" s="67" t="s">
        <v>2580</v>
      </c>
      <c r="EY320" s="67">
        <v>5663.94</v>
      </c>
      <c r="EZ320" s="67" t="s">
        <v>2581</v>
      </c>
      <c r="FA320" s="67">
        <v>20063.564999999999</v>
      </c>
      <c r="FB320" s="67" t="s">
        <v>2582</v>
      </c>
      <c r="FC320" s="67" t="s">
        <v>2583</v>
      </c>
      <c r="FD320" s="67" t="s">
        <v>2584</v>
      </c>
      <c r="FE320" s="68" t="s">
        <v>2585</v>
      </c>
      <c r="FF320" s="68" t="s">
        <v>2586</v>
      </c>
    </row>
    <row r="321" spans="151:162" x14ac:dyDescent="0.2">
      <c r="EU321" s="67">
        <v>565.05999999999995</v>
      </c>
      <c r="EV321" s="67" t="s">
        <v>2587</v>
      </c>
      <c r="EW321" s="67">
        <v>489.09</v>
      </c>
      <c r="EX321" s="67" t="s">
        <v>2588</v>
      </c>
      <c r="EY321" s="67">
        <v>5663.94</v>
      </c>
      <c r="EZ321" s="67" t="s">
        <v>2589</v>
      </c>
      <c r="FA321" s="67">
        <v>20063.564999999999</v>
      </c>
      <c r="FB321" s="67" t="s">
        <v>2590</v>
      </c>
      <c r="FC321" s="67" t="s">
        <v>2591</v>
      </c>
      <c r="FD321" s="67" t="s">
        <v>2592</v>
      </c>
      <c r="FE321" s="68" t="s">
        <v>2593</v>
      </c>
      <c r="FF321" s="68" t="s">
        <v>2594</v>
      </c>
    </row>
    <row r="322" spans="151:162" x14ac:dyDescent="0.2">
      <c r="EU322" s="67">
        <v>565.09</v>
      </c>
      <c r="EV322" s="67" t="s">
        <v>2595</v>
      </c>
      <c r="EW322" s="67">
        <v>489.13</v>
      </c>
      <c r="EX322" s="67" t="s">
        <v>2596</v>
      </c>
      <c r="EY322" s="67">
        <v>5663.94</v>
      </c>
      <c r="EZ322" s="67" t="s">
        <v>2597</v>
      </c>
      <c r="FA322" s="67">
        <v>20063.564999999999</v>
      </c>
      <c r="FB322" s="67" t="s">
        <v>2598</v>
      </c>
      <c r="FC322" s="67" t="s">
        <v>2599</v>
      </c>
      <c r="FD322" s="67" t="s">
        <v>2600</v>
      </c>
      <c r="FE322" s="68" t="s">
        <v>2601</v>
      </c>
      <c r="FF322" s="68" t="s">
        <v>2602</v>
      </c>
    </row>
    <row r="323" spans="151:162" x14ac:dyDescent="0.2">
      <c r="EU323" s="67">
        <v>565.07000000000005</v>
      </c>
      <c r="EV323" s="67" t="s">
        <v>2603</v>
      </c>
      <c r="EW323" s="67">
        <v>489.11</v>
      </c>
      <c r="EX323" s="67" t="s">
        <v>2604</v>
      </c>
      <c r="EY323" s="67">
        <v>5663.94</v>
      </c>
      <c r="EZ323" s="67" t="s">
        <v>2605</v>
      </c>
      <c r="FA323" s="67">
        <v>20063.564999999999</v>
      </c>
      <c r="FB323" s="67" t="s">
        <v>2606</v>
      </c>
      <c r="FC323" s="67" t="s">
        <v>2607</v>
      </c>
      <c r="FD323" s="67" t="s">
        <v>2608</v>
      </c>
      <c r="FE323" s="68" t="s">
        <v>2609</v>
      </c>
      <c r="FF323" s="68" t="s">
        <v>2610</v>
      </c>
    </row>
    <row r="324" spans="151:162" x14ac:dyDescent="0.2">
      <c r="EU324" s="67">
        <v>565.07000000000005</v>
      </c>
      <c r="EV324" s="67" t="s">
        <v>2611</v>
      </c>
      <c r="EW324" s="67">
        <v>489.1</v>
      </c>
      <c r="EX324" s="67" t="s">
        <v>2612</v>
      </c>
      <c r="EY324" s="67">
        <v>5663.94</v>
      </c>
      <c r="EZ324" s="67" t="s">
        <v>2613</v>
      </c>
      <c r="FA324" s="67">
        <v>20063.564999999999</v>
      </c>
      <c r="FB324" s="67" t="s">
        <v>2614</v>
      </c>
      <c r="FC324" s="67" t="s">
        <v>2615</v>
      </c>
      <c r="FD324" s="67" t="s">
        <v>2616</v>
      </c>
      <c r="FE324" s="68" t="s">
        <v>2617</v>
      </c>
      <c r="FF324" s="68" t="s">
        <v>2618</v>
      </c>
    </row>
    <row r="325" spans="151:162" x14ac:dyDescent="0.2">
      <c r="EU325" s="67">
        <v>565.05999999999995</v>
      </c>
      <c r="EV325" s="67" t="s">
        <v>2619</v>
      </c>
      <c r="EW325" s="67">
        <v>489.1</v>
      </c>
      <c r="EX325" s="67" t="s">
        <v>2620</v>
      </c>
      <c r="EY325" s="67">
        <v>5663.94</v>
      </c>
      <c r="EZ325" s="67" t="s">
        <v>2621</v>
      </c>
      <c r="FA325" s="67">
        <v>20063.564999999999</v>
      </c>
      <c r="FB325" s="67" t="s">
        <v>2622</v>
      </c>
      <c r="FC325" s="67" t="s">
        <v>2623</v>
      </c>
      <c r="FD325" s="67" t="s">
        <v>2624</v>
      </c>
      <c r="FE325" s="68" t="s">
        <v>2625</v>
      </c>
      <c r="FF325" s="68" t="s">
        <v>2626</v>
      </c>
    </row>
    <row r="326" spans="151:162" x14ac:dyDescent="0.2">
      <c r="EU326" s="67">
        <v>564.94000000000005</v>
      </c>
      <c r="EV326" s="67" t="s">
        <v>2627</v>
      </c>
      <c r="EW326" s="67">
        <v>488.9</v>
      </c>
      <c r="EX326" s="67" t="s">
        <v>2628</v>
      </c>
      <c r="EY326" s="67">
        <v>5663.94</v>
      </c>
      <c r="EZ326" s="67" t="s">
        <v>2629</v>
      </c>
      <c r="FA326" s="67">
        <v>20063.564999999999</v>
      </c>
      <c r="FB326" s="67" t="s">
        <v>2630</v>
      </c>
      <c r="FC326" s="67" t="s">
        <v>2631</v>
      </c>
      <c r="FD326" s="67" t="s">
        <v>2632</v>
      </c>
      <c r="FE326" s="68" t="s">
        <v>2633</v>
      </c>
      <c r="FF326" s="68" t="s">
        <v>2634</v>
      </c>
    </row>
    <row r="327" spans="151:162" x14ac:dyDescent="0.2">
      <c r="EU327" s="67">
        <v>565.04999999999995</v>
      </c>
      <c r="EV327" s="67" t="s">
        <v>2635</v>
      </c>
      <c r="EW327" s="67">
        <v>489.03</v>
      </c>
      <c r="EX327" s="67" t="s">
        <v>2636</v>
      </c>
      <c r="EY327" s="67">
        <v>5663.94</v>
      </c>
      <c r="EZ327" s="67" t="s">
        <v>2637</v>
      </c>
      <c r="FA327" s="67">
        <v>20063.564999999999</v>
      </c>
      <c r="FB327" s="67" t="s">
        <v>2638</v>
      </c>
      <c r="FC327" s="67" t="s">
        <v>2639</v>
      </c>
      <c r="FD327" s="67" t="s">
        <v>2640</v>
      </c>
      <c r="FE327" s="68" t="s">
        <v>2641</v>
      </c>
      <c r="FF327" s="68" t="s">
        <v>2642</v>
      </c>
    </row>
    <row r="328" spans="151:162" x14ac:dyDescent="0.2">
      <c r="EU328" s="67">
        <v>565</v>
      </c>
      <c r="EV328" s="67" t="s">
        <v>2643</v>
      </c>
      <c r="EW328" s="67">
        <v>488.95</v>
      </c>
      <c r="EX328" s="67" t="s">
        <v>2644</v>
      </c>
      <c r="EY328" s="67">
        <v>5663.94</v>
      </c>
      <c r="EZ328" s="67" t="s">
        <v>2645</v>
      </c>
      <c r="FA328" s="67">
        <v>20063.564999999999</v>
      </c>
      <c r="FB328" s="67" t="s">
        <v>2646</v>
      </c>
      <c r="FC328" s="67" t="s">
        <v>2647</v>
      </c>
      <c r="FD328" s="67" t="s">
        <v>2648</v>
      </c>
      <c r="FE328" s="68" t="s">
        <v>2649</v>
      </c>
      <c r="FF328" s="68" t="s">
        <v>2650</v>
      </c>
    </row>
    <row r="329" spans="151:162" x14ac:dyDescent="0.2">
      <c r="EU329" s="67">
        <v>565.02</v>
      </c>
      <c r="EV329" s="67" t="s">
        <v>2651</v>
      </c>
      <c r="EW329" s="67">
        <v>488.96</v>
      </c>
      <c r="EX329" s="67" t="s">
        <v>2652</v>
      </c>
      <c r="EY329" s="67">
        <v>5663.94</v>
      </c>
      <c r="EZ329" s="67" t="s">
        <v>2653</v>
      </c>
      <c r="FA329" s="67">
        <v>20063.564999999999</v>
      </c>
      <c r="FB329" s="67" t="s">
        <v>2654</v>
      </c>
      <c r="FC329" s="67" t="s">
        <v>2655</v>
      </c>
      <c r="FD329" s="67" t="s">
        <v>2656</v>
      </c>
      <c r="FE329" s="68" t="s">
        <v>2657</v>
      </c>
      <c r="FF329" s="68" t="s">
        <v>2658</v>
      </c>
    </row>
    <row r="330" spans="151:162" x14ac:dyDescent="0.2">
      <c r="EU330" s="67">
        <v>565.05999999999995</v>
      </c>
      <c r="EV330" s="67" t="s">
        <v>2659</v>
      </c>
      <c r="EW330" s="67">
        <v>489.01</v>
      </c>
      <c r="EX330" s="67" t="s">
        <v>2660</v>
      </c>
      <c r="EY330" s="67">
        <v>5663.94</v>
      </c>
      <c r="EZ330" s="67" t="s">
        <v>2661</v>
      </c>
      <c r="FA330" s="67">
        <v>20063.564999999999</v>
      </c>
      <c r="FB330" s="67" t="s">
        <v>2662</v>
      </c>
      <c r="FC330" s="67" t="s">
        <v>2663</v>
      </c>
      <c r="FD330" s="67" t="s">
        <v>2664</v>
      </c>
      <c r="FE330" s="68" t="s">
        <v>2665</v>
      </c>
      <c r="FF330" s="68" t="s">
        <v>2666</v>
      </c>
    </row>
    <row r="331" spans="151:162" x14ac:dyDescent="0.2">
      <c r="EU331" s="67">
        <v>565.02</v>
      </c>
      <c r="EV331" s="67" t="s">
        <v>2667</v>
      </c>
      <c r="EW331" s="67">
        <v>488.98</v>
      </c>
      <c r="EX331" s="67" t="s">
        <v>2668</v>
      </c>
      <c r="EY331" s="67">
        <v>5663.94</v>
      </c>
      <c r="EZ331" s="67" t="s">
        <v>2669</v>
      </c>
      <c r="FA331" s="67">
        <v>20063.564999999999</v>
      </c>
      <c r="FB331" s="67" t="s">
        <v>2670</v>
      </c>
      <c r="FC331" s="67" t="s">
        <v>2671</v>
      </c>
      <c r="FD331" s="67" t="s">
        <v>2672</v>
      </c>
      <c r="FE331" s="68" t="s">
        <v>2673</v>
      </c>
      <c r="FF331" s="68" t="s">
        <v>2674</v>
      </c>
    </row>
    <row r="332" spans="151:162" x14ac:dyDescent="0.2">
      <c r="EU332" s="67">
        <v>565.07000000000005</v>
      </c>
      <c r="EV332" s="67" t="s">
        <v>2675</v>
      </c>
      <c r="EW332" s="67">
        <v>489.13</v>
      </c>
      <c r="EX332" s="67" t="s">
        <v>2676</v>
      </c>
      <c r="EY332" s="67">
        <v>5663.94</v>
      </c>
      <c r="EZ332" s="67" t="s">
        <v>2677</v>
      </c>
      <c r="FA332" s="67">
        <v>20063.564999999999</v>
      </c>
      <c r="FB332" s="67" t="s">
        <v>2678</v>
      </c>
      <c r="FC332" s="67" t="s">
        <v>2679</v>
      </c>
      <c r="FD332" s="67" t="s">
        <v>2680</v>
      </c>
      <c r="FE332" s="68" t="s">
        <v>2681</v>
      </c>
      <c r="FF332" s="68" t="s">
        <v>2682</v>
      </c>
    </row>
    <row r="333" spans="151:162" x14ac:dyDescent="0.2">
      <c r="EU333" s="67">
        <v>565.05999999999995</v>
      </c>
      <c r="EV333" s="67" t="s">
        <v>2683</v>
      </c>
      <c r="EW333" s="67">
        <v>489.07</v>
      </c>
      <c r="EX333" s="67" t="s">
        <v>2684</v>
      </c>
      <c r="EY333" s="67">
        <v>5663.94</v>
      </c>
      <c r="EZ333" s="67" t="s">
        <v>2685</v>
      </c>
      <c r="FA333" s="67">
        <v>20063.564999999999</v>
      </c>
      <c r="FB333" s="67" t="s">
        <v>2686</v>
      </c>
      <c r="FC333" s="67" t="s">
        <v>2687</v>
      </c>
      <c r="FD333" s="67" t="s">
        <v>2688</v>
      </c>
      <c r="FE333" s="68" t="s">
        <v>2689</v>
      </c>
      <c r="FF333" s="68" t="s">
        <v>2690</v>
      </c>
    </row>
    <row r="334" spans="151:162" x14ac:dyDescent="0.2">
      <c r="EU334" s="67">
        <v>565.05999999999995</v>
      </c>
      <c r="EV334" s="67" t="s">
        <v>2691</v>
      </c>
      <c r="EW334" s="67">
        <v>489.11</v>
      </c>
      <c r="EX334" s="67" t="s">
        <v>2692</v>
      </c>
      <c r="EY334" s="67">
        <v>5663.94</v>
      </c>
      <c r="EZ334" s="67" t="s">
        <v>2693</v>
      </c>
      <c r="FA334" s="67">
        <v>20063.564999999999</v>
      </c>
      <c r="FB334" s="67" t="s">
        <v>2694</v>
      </c>
      <c r="FC334" s="67" t="s">
        <v>2695</v>
      </c>
      <c r="FD334" s="67" t="s">
        <v>2696</v>
      </c>
      <c r="FE334" s="68" t="s">
        <v>2697</v>
      </c>
      <c r="FF334" s="68" t="s">
        <v>2698</v>
      </c>
    </row>
    <row r="335" spans="151:162" x14ac:dyDescent="0.2">
      <c r="EU335" s="67">
        <v>565.05999999999995</v>
      </c>
      <c r="EV335" s="67" t="s">
        <v>2699</v>
      </c>
      <c r="EW335" s="67">
        <v>489.11</v>
      </c>
      <c r="EX335" s="67" t="s">
        <v>2700</v>
      </c>
      <c r="EY335" s="67">
        <v>5663.94</v>
      </c>
      <c r="EZ335" s="67" t="s">
        <v>2701</v>
      </c>
      <c r="FA335" s="67">
        <v>20063.564999999999</v>
      </c>
      <c r="FB335" s="67" t="s">
        <v>2702</v>
      </c>
      <c r="FC335" s="67" t="s">
        <v>2703</v>
      </c>
      <c r="FD335" s="67" t="s">
        <v>2704</v>
      </c>
      <c r="FE335" s="68" t="s">
        <v>2705</v>
      </c>
      <c r="FF335" s="68" t="s">
        <v>2706</v>
      </c>
    </row>
    <row r="336" spans="151:162" x14ac:dyDescent="0.2">
      <c r="EU336" s="67">
        <v>565.14</v>
      </c>
      <c r="EV336" s="67" t="s">
        <v>2707</v>
      </c>
      <c r="EW336" s="67">
        <v>489.21</v>
      </c>
      <c r="EX336" s="67" t="s">
        <v>2708</v>
      </c>
      <c r="EY336" s="67">
        <v>5663.94</v>
      </c>
      <c r="EZ336" s="67" t="s">
        <v>2709</v>
      </c>
      <c r="FA336" s="67">
        <v>20063.564999999999</v>
      </c>
      <c r="FB336" s="67" t="s">
        <v>2710</v>
      </c>
      <c r="FC336" s="67" t="s">
        <v>2711</v>
      </c>
      <c r="FD336" s="67" t="s">
        <v>2712</v>
      </c>
      <c r="FE336" s="68" t="s">
        <v>2713</v>
      </c>
      <c r="FF336" s="68" t="s">
        <v>2714</v>
      </c>
    </row>
    <row r="337" spans="151:162" x14ac:dyDescent="0.2">
      <c r="EU337" s="67">
        <v>565.46</v>
      </c>
      <c r="EV337" s="67" t="s">
        <v>2715</v>
      </c>
      <c r="EW337" s="67">
        <v>489.46</v>
      </c>
      <c r="EX337" s="67" t="s">
        <v>2716</v>
      </c>
      <c r="EY337" s="67">
        <v>5663.94</v>
      </c>
      <c r="EZ337" s="67" t="s">
        <v>2717</v>
      </c>
      <c r="FA337" s="67">
        <v>20063.564999999999</v>
      </c>
      <c r="FB337" s="67" t="s">
        <v>2718</v>
      </c>
      <c r="FC337" s="67" t="s">
        <v>2719</v>
      </c>
      <c r="FD337" s="67" t="s">
        <v>2720</v>
      </c>
      <c r="FE337" s="68" t="s">
        <v>2721</v>
      </c>
      <c r="FF337" s="68" t="s">
        <v>2722</v>
      </c>
    </row>
    <row r="338" spans="151:162" x14ac:dyDescent="0.2">
      <c r="EU338" s="67">
        <v>565.48</v>
      </c>
      <c r="EV338" s="67" t="s">
        <v>2723</v>
      </c>
      <c r="EW338" s="67">
        <v>489.5</v>
      </c>
      <c r="EX338" s="67" t="s">
        <v>2724</v>
      </c>
      <c r="EY338" s="67">
        <v>5663.94</v>
      </c>
      <c r="EZ338" s="67" t="s">
        <v>2725</v>
      </c>
      <c r="FA338" s="67">
        <v>20063.564999999999</v>
      </c>
      <c r="FB338" s="67" t="s">
        <v>2726</v>
      </c>
      <c r="FC338" s="67" t="s">
        <v>2727</v>
      </c>
      <c r="FD338" s="67" t="s">
        <v>2728</v>
      </c>
      <c r="FE338" s="68" t="s">
        <v>2729</v>
      </c>
      <c r="FF338" s="68" t="s">
        <v>2730</v>
      </c>
    </row>
    <row r="339" spans="151:162" x14ac:dyDescent="0.2">
      <c r="EU339" s="67">
        <v>565.46</v>
      </c>
      <c r="EV339" s="67" t="s">
        <v>2731</v>
      </c>
      <c r="EW339" s="67">
        <v>489.45</v>
      </c>
      <c r="EX339" s="67" t="s">
        <v>2732</v>
      </c>
      <c r="EY339" s="67">
        <v>5663.94</v>
      </c>
      <c r="EZ339" s="67" t="s">
        <v>2733</v>
      </c>
      <c r="FA339" s="67">
        <v>20063.564999999999</v>
      </c>
      <c r="FB339" s="67" t="s">
        <v>2734</v>
      </c>
      <c r="FC339" s="67" t="s">
        <v>2735</v>
      </c>
      <c r="FD339" s="67" t="s">
        <v>2736</v>
      </c>
      <c r="FE339" s="68" t="s">
        <v>2737</v>
      </c>
      <c r="FF339" s="68" t="s">
        <v>2738</v>
      </c>
    </row>
    <row r="340" spans="151:162" x14ac:dyDescent="0.2">
      <c r="EU340" s="67">
        <v>565.35</v>
      </c>
      <c r="EV340" s="67" t="s">
        <v>2739</v>
      </c>
      <c r="EW340" s="67">
        <v>489.33</v>
      </c>
      <c r="EX340" s="67" t="s">
        <v>2740</v>
      </c>
      <c r="EY340" s="67">
        <v>5663.94</v>
      </c>
      <c r="EZ340" s="67" t="s">
        <v>2741</v>
      </c>
      <c r="FA340" s="67">
        <v>20063.564999999999</v>
      </c>
      <c r="FB340" s="67" t="s">
        <v>2742</v>
      </c>
      <c r="FC340" s="67" t="s">
        <v>2743</v>
      </c>
      <c r="FD340" s="67" t="s">
        <v>2744</v>
      </c>
      <c r="FE340" s="68" t="s">
        <v>2745</v>
      </c>
      <c r="FF340" s="68" t="s">
        <v>2746</v>
      </c>
    </row>
    <row r="341" spans="151:162" x14ac:dyDescent="0.2">
      <c r="EU341" s="67">
        <v>565.35</v>
      </c>
      <c r="EV341" s="67" t="s">
        <v>2747</v>
      </c>
      <c r="EW341" s="67">
        <v>489.34</v>
      </c>
      <c r="EX341" s="67" t="s">
        <v>2748</v>
      </c>
      <c r="EY341" s="67">
        <v>5663.94</v>
      </c>
      <c r="EZ341" s="67" t="s">
        <v>2749</v>
      </c>
      <c r="FA341" s="67">
        <v>20063.564999999999</v>
      </c>
      <c r="FB341" s="67" t="s">
        <v>2750</v>
      </c>
      <c r="FC341" s="67" t="s">
        <v>2751</v>
      </c>
      <c r="FD341" s="67" t="s">
        <v>2752</v>
      </c>
      <c r="FE341" s="68" t="s">
        <v>2753</v>
      </c>
      <c r="FF341" s="68" t="s">
        <v>2754</v>
      </c>
    </row>
    <row r="342" spans="151:162" x14ac:dyDescent="0.2">
      <c r="EU342" s="67">
        <v>565.36</v>
      </c>
      <c r="EV342" s="67" t="s">
        <v>2755</v>
      </c>
      <c r="EW342" s="67">
        <v>489.32</v>
      </c>
      <c r="EX342" s="67" t="s">
        <v>2756</v>
      </c>
      <c r="EY342" s="67">
        <v>5663.94</v>
      </c>
      <c r="EZ342" s="67" t="s">
        <v>2757</v>
      </c>
      <c r="FA342" s="67">
        <v>20063.564999999999</v>
      </c>
      <c r="FB342" s="67" t="s">
        <v>2758</v>
      </c>
      <c r="FC342" s="67" t="s">
        <v>2759</v>
      </c>
      <c r="FD342" s="67" t="s">
        <v>2760</v>
      </c>
      <c r="FE342" s="68" t="s">
        <v>2761</v>
      </c>
      <c r="FF342" s="68" t="s">
        <v>2762</v>
      </c>
    </row>
    <row r="343" spans="151:162" x14ac:dyDescent="0.2">
      <c r="EU343" s="67">
        <v>565.47</v>
      </c>
      <c r="EV343" s="67" t="s">
        <v>2763</v>
      </c>
      <c r="EW343" s="67">
        <v>489.41</v>
      </c>
      <c r="EX343" s="67" t="s">
        <v>2764</v>
      </c>
      <c r="EY343" s="67">
        <v>5663.94</v>
      </c>
      <c r="EZ343" s="67" t="s">
        <v>2765</v>
      </c>
      <c r="FA343" s="67">
        <v>20063.564999999999</v>
      </c>
      <c r="FB343" s="67" t="s">
        <v>2766</v>
      </c>
      <c r="FC343" s="67" t="s">
        <v>2767</v>
      </c>
      <c r="FD343" s="67" t="s">
        <v>2768</v>
      </c>
      <c r="FE343" s="68" t="s">
        <v>2769</v>
      </c>
      <c r="FF343" s="68" t="s">
        <v>2770</v>
      </c>
    </row>
    <row r="344" spans="151:162" x14ac:dyDescent="0.2">
      <c r="EU344" s="67">
        <v>565.36</v>
      </c>
      <c r="EV344" s="67" t="s">
        <v>2771</v>
      </c>
      <c r="EW344" s="67">
        <v>489.29</v>
      </c>
      <c r="EX344" s="67" t="s">
        <v>2772</v>
      </c>
      <c r="EY344" s="67">
        <v>5663.94</v>
      </c>
      <c r="EZ344" s="67" t="s">
        <v>2773</v>
      </c>
      <c r="FA344" s="67">
        <v>20063.564999999999</v>
      </c>
      <c r="FB344" s="67" t="s">
        <v>2774</v>
      </c>
      <c r="FC344" s="67" t="s">
        <v>2775</v>
      </c>
      <c r="FD344" s="67" t="s">
        <v>2776</v>
      </c>
      <c r="FE344" s="68" t="s">
        <v>2777</v>
      </c>
      <c r="FF344" s="68" t="s">
        <v>2778</v>
      </c>
    </row>
    <row r="345" spans="151:162" x14ac:dyDescent="0.2">
      <c r="EU345" s="67">
        <v>565.41</v>
      </c>
      <c r="EV345" s="67" t="s">
        <v>2779</v>
      </c>
      <c r="EW345" s="67">
        <v>489.36</v>
      </c>
      <c r="EX345" s="67" t="s">
        <v>2780</v>
      </c>
      <c r="EY345" s="67">
        <v>5663.94</v>
      </c>
      <c r="EZ345" s="67" t="s">
        <v>2781</v>
      </c>
      <c r="FA345" s="67">
        <v>20063.564999999999</v>
      </c>
      <c r="FB345" s="67" t="s">
        <v>2782</v>
      </c>
      <c r="FC345" s="67" t="s">
        <v>2783</v>
      </c>
      <c r="FD345" s="67" t="s">
        <v>2784</v>
      </c>
      <c r="FE345" s="68" t="s">
        <v>2785</v>
      </c>
      <c r="FF345" s="68" t="s">
        <v>2786</v>
      </c>
    </row>
    <row r="346" spans="151:162" x14ac:dyDescent="0.2">
      <c r="EU346" s="67">
        <v>565.4</v>
      </c>
      <c r="EV346" s="67" t="s">
        <v>2787</v>
      </c>
      <c r="EW346" s="67">
        <v>489.34</v>
      </c>
      <c r="EX346" s="67" t="s">
        <v>2788</v>
      </c>
      <c r="EY346" s="67">
        <v>5663.94</v>
      </c>
      <c r="EZ346" s="67" t="s">
        <v>2789</v>
      </c>
      <c r="FA346" s="67">
        <v>20063.564999999999</v>
      </c>
      <c r="FB346" s="67" t="s">
        <v>2790</v>
      </c>
      <c r="FC346" s="67" t="s">
        <v>2791</v>
      </c>
      <c r="FD346" s="67" t="s">
        <v>2792</v>
      </c>
      <c r="FE346" s="68" t="s">
        <v>2793</v>
      </c>
      <c r="FF346" s="68" t="s">
        <v>2794</v>
      </c>
    </row>
    <row r="347" spans="151:162" x14ac:dyDescent="0.2">
      <c r="EU347" s="67">
        <v>565.1</v>
      </c>
      <c r="EV347" s="67" t="s">
        <v>2795</v>
      </c>
      <c r="EW347" s="67">
        <v>489.05</v>
      </c>
      <c r="EX347" s="67" t="s">
        <v>2796</v>
      </c>
      <c r="EY347" s="67">
        <v>5663.94</v>
      </c>
      <c r="EZ347" s="67" t="s">
        <v>2797</v>
      </c>
      <c r="FA347" s="67">
        <v>20063.564999999999</v>
      </c>
      <c r="FB347" s="67" t="s">
        <v>2798</v>
      </c>
      <c r="FC347" s="67" t="s">
        <v>2799</v>
      </c>
      <c r="FD347" s="67" t="s">
        <v>2800</v>
      </c>
      <c r="FE347" s="68" t="s">
        <v>2801</v>
      </c>
      <c r="FF347" s="68" t="s">
        <v>2802</v>
      </c>
    </row>
    <row r="348" spans="151:162" x14ac:dyDescent="0.2">
      <c r="EU348" s="67">
        <v>565.05999999999995</v>
      </c>
      <c r="EV348" s="67" t="s">
        <v>2803</v>
      </c>
      <c r="EW348" s="67">
        <v>488.96</v>
      </c>
      <c r="EX348" s="67" t="s">
        <v>2804</v>
      </c>
      <c r="EY348" s="67">
        <v>5663.94</v>
      </c>
      <c r="EZ348" s="67" t="s">
        <v>2805</v>
      </c>
      <c r="FA348" s="67">
        <v>20063.564999999999</v>
      </c>
      <c r="FB348" s="67" t="s">
        <v>2806</v>
      </c>
      <c r="FC348" s="67" t="s">
        <v>2807</v>
      </c>
      <c r="FD348" s="67" t="s">
        <v>2808</v>
      </c>
      <c r="FE348" s="68" t="s">
        <v>2809</v>
      </c>
      <c r="FF348" s="68" t="s">
        <v>2810</v>
      </c>
    </row>
    <row r="349" spans="151:162" x14ac:dyDescent="0.2">
      <c r="EU349" s="67">
        <v>565.17999999999995</v>
      </c>
      <c r="EV349" s="67" t="s">
        <v>2811</v>
      </c>
      <c r="EW349" s="67">
        <v>489.17</v>
      </c>
      <c r="EX349" s="67" t="s">
        <v>2812</v>
      </c>
      <c r="EY349" s="67">
        <v>5663.94</v>
      </c>
      <c r="EZ349" s="67" t="s">
        <v>2813</v>
      </c>
      <c r="FA349" s="67">
        <v>20063.564999999999</v>
      </c>
      <c r="FB349" s="67" t="s">
        <v>2814</v>
      </c>
      <c r="FC349" s="67" t="s">
        <v>2815</v>
      </c>
      <c r="FD349" s="67" t="s">
        <v>2816</v>
      </c>
      <c r="FE349" s="68" t="s">
        <v>2817</v>
      </c>
      <c r="FF349" s="68" t="s">
        <v>2818</v>
      </c>
    </row>
    <row r="350" spans="151:162" x14ac:dyDescent="0.2">
      <c r="EU350" s="67">
        <v>565.17999999999995</v>
      </c>
      <c r="EV350" s="67" t="s">
        <v>2819</v>
      </c>
      <c r="EW350" s="67">
        <v>489.12</v>
      </c>
      <c r="EX350" s="67" t="s">
        <v>2820</v>
      </c>
      <c r="EY350" s="67">
        <v>5663.94</v>
      </c>
      <c r="EZ350" s="67" t="s">
        <v>2821</v>
      </c>
      <c r="FA350" s="67">
        <v>20063.564999999999</v>
      </c>
      <c r="FB350" s="67" t="s">
        <v>2822</v>
      </c>
      <c r="FC350" s="67" t="s">
        <v>2823</v>
      </c>
      <c r="FD350" s="67" t="s">
        <v>2824</v>
      </c>
      <c r="FE350" s="68" t="s">
        <v>2825</v>
      </c>
      <c r="FF350" s="68" t="s">
        <v>2826</v>
      </c>
    </row>
    <row r="351" spans="151:162" x14ac:dyDescent="0.2">
      <c r="EU351" s="67">
        <v>565.11</v>
      </c>
      <c r="EV351" s="67" t="s">
        <v>2827</v>
      </c>
      <c r="EW351" s="67">
        <v>489.09</v>
      </c>
      <c r="EX351" s="67" t="s">
        <v>2828</v>
      </c>
      <c r="EY351" s="67">
        <v>5663.94</v>
      </c>
      <c r="EZ351" s="67" t="s">
        <v>2829</v>
      </c>
      <c r="FA351" s="67">
        <v>20063.564999999999</v>
      </c>
      <c r="FB351" s="67" t="s">
        <v>2830</v>
      </c>
      <c r="FC351" s="67" t="s">
        <v>2831</v>
      </c>
      <c r="FD351" s="67" t="s">
        <v>2832</v>
      </c>
      <c r="FE351" s="68" t="s">
        <v>2833</v>
      </c>
      <c r="FF351" s="68" t="s">
        <v>2834</v>
      </c>
    </row>
    <row r="352" spans="151:162" x14ac:dyDescent="0.2">
      <c r="EU352" s="67">
        <v>565.11</v>
      </c>
      <c r="EV352" s="67" t="s">
        <v>2835</v>
      </c>
      <c r="EW352" s="67">
        <v>489.08</v>
      </c>
      <c r="EX352" s="67" t="s">
        <v>2836</v>
      </c>
      <c r="EY352" s="67">
        <v>5663.94</v>
      </c>
      <c r="EZ352" s="67" t="s">
        <v>2837</v>
      </c>
      <c r="FA352" s="67">
        <v>20063.564999999999</v>
      </c>
      <c r="FB352" s="67" t="s">
        <v>2838</v>
      </c>
      <c r="FC352" s="67" t="s">
        <v>2839</v>
      </c>
      <c r="FD352" s="67" t="s">
        <v>2840</v>
      </c>
      <c r="FE352" s="68" t="s">
        <v>2841</v>
      </c>
      <c r="FF352" s="68" t="s">
        <v>2842</v>
      </c>
    </row>
    <row r="353" spans="151:162" x14ac:dyDescent="0.2">
      <c r="EU353" s="67">
        <v>565.07000000000005</v>
      </c>
      <c r="EV353" s="67" t="s">
        <v>2843</v>
      </c>
      <c r="EW353" s="67">
        <v>489.04</v>
      </c>
      <c r="EX353" s="67" t="s">
        <v>2844</v>
      </c>
      <c r="EY353" s="67">
        <v>5663.94</v>
      </c>
      <c r="EZ353" s="67" t="s">
        <v>2845</v>
      </c>
      <c r="FA353" s="67">
        <v>20063.564999999999</v>
      </c>
      <c r="FB353" s="67" t="s">
        <v>2846</v>
      </c>
      <c r="FC353" s="67" t="s">
        <v>2847</v>
      </c>
      <c r="FD353" s="67" t="s">
        <v>2848</v>
      </c>
      <c r="FE353" s="68" t="s">
        <v>2849</v>
      </c>
      <c r="FF353" s="68" t="s">
        <v>2850</v>
      </c>
    </row>
    <row r="354" spans="151:162" x14ac:dyDescent="0.2">
      <c r="EU354" s="67">
        <v>565.05999999999995</v>
      </c>
      <c r="EV354" s="67" t="s">
        <v>2851</v>
      </c>
      <c r="EW354" s="67">
        <v>488.99</v>
      </c>
      <c r="EX354" s="67" t="s">
        <v>2852</v>
      </c>
      <c r="EY354" s="67">
        <v>5663.94</v>
      </c>
      <c r="EZ354" s="67" t="s">
        <v>2853</v>
      </c>
      <c r="FA354" s="67">
        <v>20063.564999999999</v>
      </c>
      <c r="FB354" s="67" t="s">
        <v>2854</v>
      </c>
      <c r="FC354" s="67" t="s">
        <v>2855</v>
      </c>
      <c r="FD354" s="67" t="s">
        <v>2856</v>
      </c>
      <c r="FE354" s="68" t="s">
        <v>2857</v>
      </c>
      <c r="FF354" s="68" t="s">
        <v>2858</v>
      </c>
    </row>
    <row r="355" spans="151:162" x14ac:dyDescent="0.2">
      <c r="EU355" s="67">
        <v>565.08000000000004</v>
      </c>
      <c r="EV355" s="67" t="s">
        <v>2859</v>
      </c>
      <c r="EW355" s="67">
        <v>488.99</v>
      </c>
      <c r="EX355" s="67" t="s">
        <v>2860</v>
      </c>
      <c r="EY355" s="67">
        <v>5663.94</v>
      </c>
      <c r="EZ355" s="67" t="s">
        <v>2861</v>
      </c>
      <c r="FA355" s="67">
        <v>20063.564999999999</v>
      </c>
      <c r="FB355" s="67" t="s">
        <v>2862</v>
      </c>
      <c r="FC355" s="67" t="s">
        <v>2863</v>
      </c>
      <c r="FD355" s="67" t="s">
        <v>2864</v>
      </c>
      <c r="FE355" s="68" t="s">
        <v>2865</v>
      </c>
      <c r="FF355" s="68" t="s">
        <v>2866</v>
      </c>
    </row>
    <row r="356" spans="151:162" x14ac:dyDescent="0.2">
      <c r="EU356" s="67">
        <v>565.05999999999995</v>
      </c>
      <c r="EV356" s="67" t="s">
        <v>2867</v>
      </c>
      <c r="EW356" s="67">
        <v>488.93</v>
      </c>
      <c r="EX356" s="67" t="s">
        <v>2868</v>
      </c>
      <c r="EY356" s="67">
        <v>5663.94</v>
      </c>
      <c r="EZ356" s="67" t="s">
        <v>2869</v>
      </c>
      <c r="FA356" s="67">
        <v>20063.564999999999</v>
      </c>
      <c r="FB356" s="67" t="s">
        <v>2870</v>
      </c>
      <c r="FC356" s="67" t="s">
        <v>2871</v>
      </c>
      <c r="FD356" s="67" t="s">
        <v>2872</v>
      </c>
      <c r="FE356" s="68" t="s">
        <v>2873</v>
      </c>
      <c r="FF356" s="68" t="s">
        <v>2874</v>
      </c>
    </row>
    <row r="357" spans="151:162" x14ac:dyDescent="0.2">
      <c r="EU357" s="67">
        <v>565.05999999999995</v>
      </c>
      <c r="EV357" s="67" t="s">
        <v>2875</v>
      </c>
      <c r="EW357" s="67">
        <v>488.95</v>
      </c>
      <c r="EX357" s="67" t="s">
        <v>2876</v>
      </c>
      <c r="EY357" s="67">
        <v>5663.94</v>
      </c>
      <c r="EZ357" s="67" t="s">
        <v>2877</v>
      </c>
      <c r="FA357" s="67">
        <v>20063.564999999999</v>
      </c>
      <c r="FB357" s="67" t="s">
        <v>2878</v>
      </c>
      <c r="FC357" s="67" t="s">
        <v>2879</v>
      </c>
      <c r="FD357" s="67" t="s">
        <v>2880</v>
      </c>
      <c r="FE357" s="68" t="s">
        <v>2881</v>
      </c>
      <c r="FF357" s="68" t="s">
        <v>2882</v>
      </c>
    </row>
    <row r="358" spans="151:162" x14ac:dyDescent="0.2">
      <c r="EU358" s="67">
        <v>565.04999999999995</v>
      </c>
      <c r="EV358" s="67" t="s">
        <v>2883</v>
      </c>
      <c r="EW358" s="67">
        <v>488.91</v>
      </c>
      <c r="EX358" s="67" t="s">
        <v>2884</v>
      </c>
      <c r="EY358" s="67">
        <v>5663.94</v>
      </c>
      <c r="EZ358" s="67" t="s">
        <v>2885</v>
      </c>
      <c r="FA358" s="67">
        <v>20063.564999999999</v>
      </c>
      <c r="FB358" s="67" t="s">
        <v>2886</v>
      </c>
      <c r="FC358" s="67" t="s">
        <v>2887</v>
      </c>
      <c r="FD358" s="67" t="s">
        <v>2888</v>
      </c>
      <c r="FE358" s="68" t="s">
        <v>2889</v>
      </c>
      <c r="FF358" s="68" t="s">
        <v>2890</v>
      </c>
    </row>
    <row r="359" spans="151:162" x14ac:dyDescent="0.2">
      <c r="EU359" s="67">
        <v>564.97</v>
      </c>
      <c r="EV359" s="67" t="s">
        <v>2891</v>
      </c>
      <c r="EW359" s="67">
        <v>488.78</v>
      </c>
      <c r="EX359" s="67" t="s">
        <v>2892</v>
      </c>
      <c r="EY359" s="67">
        <v>5663.94</v>
      </c>
      <c r="EZ359" s="67" t="s">
        <v>2893</v>
      </c>
      <c r="FA359" s="67">
        <v>20063.564999999999</v>
      </c>
      <c r="FB359" s="67" t="s">
        <v>2894</v>
      </c>
      <c r="FC359" s="67" t="s">
        <v>2895</v>
      </c>
      <c r="FD359" s="67" t="s">
        <v>2896</v>
      </c>
      <c r="FE359" s="68" t="s">
        <v>2897</v>
      </c>
      <c r="FF359" s="68" t="s">
        <v>2898</v>
      </c>
    </row>
    <row r="360" spans="151:162" x14ac:dyDescent="0.2">
      <c r="EU360" s="67">
        <v>565.05999999999995</v>
      </c>
      <c r="EV360" s="67" t="s">
        <v>2899</v>
      </c>
      <c r="EW360" s="67">
        <v>488.9</v>
      </c>
      <c r="EX360" s="67" t="s">
        <v>2900</v>
      </c>
      <c r="EY360" s="67">
        <v>5663.94</v>
      </c>
      <c r="EZ360" s="67" t="s">
        <v>2901</v>
      </c>
      <c r="FA360" s="67">
        <v>20063.564999999999</v>
      </c>
      <c r="FB360" s="67" t="s">
        <v>2902</v>
      </c>
      <c r="FC360" s="67" t="s">
        <v>2903</v>
      </c>
      <c r="FD360" s="67" t="s">
        <v>2904</v>
      </c>
      <c r="FE360" s="68" t="s">
        <v>2905</v>
      </c>
      <c r="FF360" s="68" t="s">
        <v>2906</v>
      </c>
    </row>
    <row r="361" spans="151:162" x14ac:dyDescent="0.2">
      <c r="EU361" s="67">
        <v>564.99</v>
      </c>
      <c r="EV361" s="67" t="s">
        <v>2907</v>
      </c>
      <c r="EW361" s="67">
        <v>488.8</v>
      </c>
      <c r="EX361" s="67" t="s">
        <v>2908</v>
      </c>
      <c r="EY361" s="67">
        <v>5663.94</v>
      </c>
      <c r="EZ361" s="67" t="s">
        <v>2909</v>
      </c>
      <c r="FA361" s="67">
        <v>20063.564999999999</v>
      </c>
      <c r="FB361" s="67" t="s">
        <v>2910</v>
      </c>
      <c r="FC361" s="67" t="s">
        <v>2911</v>
      </c>
      <c r="FD361" s="67" t="s">
        <v>2912</v>
      </c>
      <c r="FE361" s="68" t="s">
        <v>2913</v>
      </c>
      <c r="FF361" s="68" t="s">
        <v>2914</v>
      </c>
    </row>
    <row r="362" spans="151:162" x14ac:dyDescent="0.2">
      <c r="EU362" s="67">
        <v>565.05999999999995</v>
      </c>
      <c r="EV362" s="67" t="s">
        <v>2915</v>
      </c>
      <c r="EW362" s="67">
        <v>488.93</v>
      </c>
      <c r="EX362" s="67" t="s">
        <v>2916</v>
      </c>
      <c r="EY362" s="67">
        <v>5663.94</v>
      </c>
      <c r="EZ362" s="67" t="s">
        <v>2917</v>
      </c>
      <c r="FA362" s="67">
        <v>20063.564999999999</v>
      </c>
      <c r="FB362" s="67" t="s">
        <v>2918</v>
      </c>
      <c r="FC362" s="67" t="s">
        <v>2919</v>
      </c>
      <c r="FD362" s="67" t="s">
        <v>2920</v>
      </c>
      <c r="FE362" s="68" t="s">
        <v>2921</v>
      </c>
      <c r="FF362" s="68" t="s">
        <v>2922</v>
      </c>
    </row>
    <row r="363" spans="151:162" x14ac:dyDescent="0.2">
      <c r="EU363" s="67">
        <v>565.05999999999995</v>
      </c>
      <c r="EV363" s="67" t="s">
        <v>2923</v>
      </c>
      <c r="EW363" s="67">
        <v>489</v>
      </c>
      <c r="EX363" s="67" t="s">
        <v>2924</v>
      </c>
      <c r="EY363" s="67">
        <v>5663.94</v>
      </c>
      <c r="EZ363" s="67" t="s">
        <v>2925</v>
      </c>
      <c r="FA363" s="67">
        <v>20063.564999999999</v>
      </c>
      <c r="FB363" s="67" t="s">
        <v>2926</v>
      </c>
      <c r="FC363" s="67" t="s">
        <v>2927</v>
      </c>
      <c r="FD363" s="67" t="s">
        <v>2928</v>
      </c>
      <c r="FE363" s="68" t="s">
        <v>2929</v>
      </c>
      <c r="FF363" s="68" t="s">
        <v>2930</v>
      </c>
    </row>
    <row r="364" spans="151:162" x14ac:dyDescent="0.2">
      <c r="EU364" s="67">
        <v>565.05999999999995</v>
      </c>
      <c r="EV364" s="67" t="s">
        <v>2931</v>
      </c>
      <c r="EW364" s="67">
        <v>488.91</v>
      </c>
      <c r="EX364" s="67" t="s">
        <v>2932</v>
      </c>
      <c r="EY364" s="67">
        <v>5663.94</v>
      </c>
      <c r="EZ364" s="67" t="s">
        <v>2933</v>
      </c>
      <c r="FA364" s="67">
        <v>20063.564999999999</v>
      </c>
      <c r="FB364" s="67" t="s">
        <v>2934</v>
      </c>
      <c r="FC364" s="67" t="s">
        <v>2935</v>
      </c>
      <c r="FD364" s="67" t="s">
        <v>2936</v>
      </c>
      <c r="FE364" s="68" t="s">
        <v>2937</v>
      </c>
      <c r="FF364" s="68" t="s">
        <v>2938</v>
      </c>
    </row>
    <row r="365" spans="151:162" x14ac:dyDescent="0.2">
      <c r="EU365" s="67">
        <v>565.05999999999995</v>
      </c>
      <c r="EV365" s="67" t="s">
        <v>2939</v>
      </c>
      <c r="EW365" s="67">
        <v>488.87</v>
      </c>
      <c r="EX365" s="67" t="s">
        <v>2940</v>
      </c>
      <c r="EY365" s="67">
        <v>5663.94</v>
      </c>
      <c r="EZ365" s="67" t="s">
        <v>2941</v>
      </c>
      <c r="FA365" s="67">
        <v>20063.564999999999</v>
      </c>
      <c r="FB365" s="67" t="s">
        <v>2942</v>
      </c>
      <c r="FC365" s="67" t="s">
        <v>2943</v>
      </c>
      <c r="FD365" s="67" t="s">
        <v>2944</v>
      </c>
      <c r="FE365" s="68" t="s">
        <v>2945</v>
      </c>
      <c r="FF365" s="68" t="s">
        <v>2946</v>
      </c>
    </row>
    <row r="366" spans="151:162" x14ac:dyDescent="0.2">
      <c r="EU366" s="67">
        <v>565.05999999999995</v>
      </c>
      <c r="EV366" s="67" t="s">
        <v>2947</v>
      </c>
      <c r="EW366" s="67">
        <v>488.9</v>
      </c>
      <c r="EX366" s="67" t="s">
        <v>2948</v>
      </c>
      <c r="EY366" s="67">
        <v>5663.94</v>
      </c>
      <c r="EZ366" s="67" t="s">
        <v>2949</v>
      </c>
      <c r="FA366" s="67">
        <v>20063.564999999999</v>
      </c>
      <c r="FB366" s="67" t="s">
        <v>2950</v>
      </c>
      <c r="FC366" s="67" t="s">
        <v>2951</v>
      </c>
      <c r="FD366" s="67" t="s">
        <v>2952</v>
      </c>
      <c r="FE366" s="68" t="s">
        <v>2953</v>
      </c>
      <c r="FF366" s="68" t="s">
        <v>2954</v>
      </c>
    </row>
    <row r="367" spans="151:162" x14ac:dyDescent="0.2">
      <c r="EU367" s="67">
        <v>565.14</v>
      </c>
      <c r="EV367" s="67" t="s">
        <v>2955</v>
      </c>
      <c r="EW367" s="67">
        <v>489.01</v>
      </c>
      <c r="EX367" s="67" t="s">
        <v>2956</v>
      </c>
      <c r="EY367" s="67">
        <v>5663.94</v>
      </c>
      <c r="EZ367" s="67" t="s">
        <v>2957</v>
      </c>
      <c r="FA367" s="67">
        <v>20063.564999999999</v>
      </c>
      <c r="FB367" s="67" t="s">
        <v>2958</v>
      </c>
      <c r="FC367" s="67" t="s">
        <v>2959</v>
      </c>
      <c r="FD367" s="67" t="s">
        <v>2960</v>
      </c>
      <c r="FE367" s="68" t="s">
        <v>2961</v>
      </c>
      <c r="FF367" s="68" t="s">
        <v>2962</v>
      </c>
    </row>
    <row r="368" spans="151:162" x14ac:dyDescent="0.2">
      <c r="EU368" s="67">
        <v>565.14</v>
      </c>
      <c r="EV368" s="67" t="s">
        <v>2963</v>
      </c>
      <c r="EW368" s="67">
        <v>489.03</v>
      </c>
      <c r="EX368" s="67" t="s">
        <v>2964</v>
      </c>
      <c r="EY368" s="67">
        <v>5663.94</v>
      </c>
      <c r="EZ368" s="67" t="s">
        <v>2965</v>
      </c>
      <c r="FA368" s="67">
        <v>20063.564999999999</v>
      </c>
      <c r="FB368" s="67" t="s">
        <v>2966</v>
      </c>
      <c r="FC368" s="67" t="s">
        <v>2967</v>
      </c>
      <c r="FD368" s="67" t="s">
        <v>2968</v>
      </c>
      <c r="FE368" s="68" t="s">
        <v>2969</v>
      </c>
      <c r="FF368" s="68" t="s">
        <v>2970</v>
      </c>
    </row>
    <row r="369" spans="151:162" x14ac:dyDescent="0.2">
      <c r="EU369" s="67">
        <v>565.05999999999995</v>
      </c>
      <c r="EV369" s="67" t="s">
        <v>2971</v>
      </c>
      <c r="EW369" s="67">
        <v>488.91</v>
      </c>
      <c r="EX369" s="67" t="s">
        <v>2972</v>
      </c>
      <c r="EY369" s="67">
        <v>5663.94</v>
      </c>
      <c r="EZ369" s="67" t="s">
        <v>2973</v>
      </c>
      <c r="FA369" s="67">
        <v>20063.564999999999</v>
      </c>
      <c r="FB369" s="67" t="s">
        <v>2974</v>
      </c>
      <c r="FC369" s="67" t="s">
        <v>2975</v>
      </c>
      <c r="FD369" s="67" t="s">
        <v>2976</v>
      </c>
      <c r="FE369" s="68" t="s">
        <v>2977</v>
      </c>
      <c r="FF369" s="68" t="s">
        <v>2978</v>
      </c>
    </row>
    <row r="370" spans="151:162" x14ac:dyDescent="0.2">
      <c r="EU370" s="67">
        <v>565.22</v>
      </c>
      <c r="EV370" s="67" t="s">
        <v>2979</v>
      </c>
      <c r="EW370" s="67">
        <v>489.08</v>
      </c>
      <c r="EX370" s="67" t="s">
        <v>2980</v>
      </c>
      <c r="EY370" s="67">
        <v>5663.94</v>
      </c>
      <c r="EZ370" s="67" t="s">
        <v>2981</v>
      </c>
      <c r="FA370" s="67">
        <v>20063.564999999999</v>
      </c>
      <c r="FB370" s="67" t="s">
        <v>2982</v>
      </c>
      <c r="FC370" s="67" t="s">
        <v>2983</v>
      </c>
      <c r="FD370" s="67" t="s">
        <v>2984</v>
      </c>
      <c r="FE370" s="68" t="s">
        <v>2985</v>
      </c>
      <c r="FF370" s="68" t="s">
        <v>2986</v>
      </c>
    </row>
    <row r="371" spans="151:162" x14ac:dyDescent="0.2">
      <c r="EU371" s="67">
        <v>565.20000000000005</v>
      </c>
      <c r="EV371" s="67" t="s">
        <v>2987</v>
      </c>
      <c r="EW371" s="67">
        <v>489.13</v>
      </c>
      <c r="EX371" s="67" t="s">
        <v>2988</v>
      </c>
      <c r="EY371" s="67">
        <v>5663.94</v>
      </c>
      <c r="EZ371" s="67" t="s">
        <v>2989</v>
      </c>
      <c r="FA371" s="67">
        <v>20063.564999999999</v>
      </c>
      <c r="FB371" s="67" t="s">
        <v>2990</v>
      </c>
      <c r="FC371" s="67" t="s">
        <v>2991</v>
      </c>
      <c r="FD371" s="67" t="s">
        <v>2992</v>
      </c>
      <c r="FE371" s="68" t="s">
        <v>2993</v>
      </c>
      <c r="FF371" s="68" t="s">
        <v>2994</v>
      </c>
    </row>
    <row r="372" spans="151:162" x14ac:dyDescent="0.2">
      <c r="EU372" s="67">
        <v>565.21</v>
      </c>
      <c r="EV372" s="67" t="s">
        <v>2995</v>
      </c>
      <c r="EW372" s="67">
        <v>489.18</v>
      </c>
      <c r="EX372" s="67" t="s">
        <v>2996</v>
      </c>
      <c r="EY372" s="67">
        <v>5663.94</v>
      </c>
      <c r="EZ372" s="67" t="s">
        <v>2997</v>
      </c>
      <c r="FA372" s="67">
        <v>20063.564999999999</v>
      </c>
      <c r="FB372" s="67" t="s">
        <v>2998</v>
      </c>
      <c r="FC372" s="67" t="s">
        <v>2999</v>
      </c>
      <c r="FD372" s="67" t="s">
        <v>3000</v>
      </c>
      <c r="FE372" s="68" t="s">
        <v>3001</v>
      </c>
      <c r="FF372" s="68" t="s">
        <v>3002</v>
      </c>
    </row>
    <row r="373" spans="151:162" x14ac:dyDescent="0.2">
      <c r="EU373" s="67">
        <v>565.23</v>
      </c>
      <c r="EV373" s="67" t="s">
        <v>3003</v>
      </c>
      <c r="EW373" s="67">
        <v>489.18</v>
      </c>
      <c r="EX373" s="67" t="s">
        <v>3004</v>
      </c>
      <c r="EY373" s="67">
        <v>5663.94</v>
      </c>
      <c r="EZ373" s="67" t="s">
        <v>3005</v>
      </c>
      <c r="FA373" s="67">
        <v>20063.564999999999</v>
      </c>
      <c r="FB373" s="67" t="s">
        <v>3006</v>
      </c>
      <c r="FC373" s="67" t="s">
        <v>3007</v>
      </c>
      <c r="FD373" s="67" t="s">
        <v>3008</v>
      </c>
      <c r="FE373" s="68" t="s">
        <v>3009</v>
      </c>
      <c r="FF373" s="68" t="s">
        <v>3010</v>
      </c>
    </row>
    <row r="374" spans="151:162" x14ac:dyDescent="0.2">
      <c r="EU374" s="67">
        <v>565.30999999999995</v>
      </c>
      <c r="EV374" s="67" t="s">
        <v>3011</v>
      </c>
      <c r="EW374" s="67">
        <v>489.23</v>
      </c>
      <c r="EX374" s="67" t="s">
        <v>3012</v>
      </c>
      <c r="EY374" s="67">
        <v>5663.94</v>
      </c>
      <c r="EZ374" s="67" t="s">
        <v>3013</v>
      </c>
      <c r="FA374" s="67">
        <v>20063.564999999999</v>
      </c>
      <c r="FB374" s="67" t="s">
        <v>3014</v>
      </c>
      <c r="FC374" s="67" t="s">
        <v>3015</v>
      </c>
      <c r="FD374" s="67" t="s">
        <v>3016</v>
      </c>
      <c r="FE374" s="68" t="s">
        <v>3017</v>
      </c>
      <c r="FF374" s="68" t="s">
        <v>3018</v>
      </c>
    </row>
    <row r="375" spans="151:162" x14ac:dyDescent="0.2">
      <c r="EU375" s="67">
        <v>565.34</v>
      </c>
      <c r="EV375" s="67" t="s">
        <v>3019</v>
      </c>
      <c r="EW375" s="67">
        <v>489.26</v>
      </c>
      <c r="EX375" s="67" t="s">
        <v>3020</v>
      </c>
      <c r="EY375" s="67">
        <v>5663.94</v>
      </c>
      <c r="EZ375" s="67" t="s">
        <v>3021</v>
      </c>
      <c r="FA375" s="67">
        <v>20063.564999999999</v>
      </c>
      <c r="FB375" s="67" t="s">
        <v>3022</v>
      </c>
      <c r="FC375" s="67" t="s">
        <v>3023</v>
      </c>
      <c r="FD375" s="67" t="s">
        <v>3024</v>
      </c>
      <c r="FE375" s="68" t="s">
        <v>3025</v>
      </c>
      <c r="FF375" s="68" t="s">
        <v>3026</v>
      </c>
    </row>
    <row r="376" spans="151:162" x14ac:dyDescent="0.2">
      <c r="EU376" s="67">
        <v>565.41</v>
      </c>
      <c r="EV376" s="67" t="s">
        <v>3027</v>
      </c>
      <c r="EW376" s="67">
        <v>489.38</v>
      </c>
      <c r="EX376" s="67" t="s">
        <v>3028</v>
      </c>
      <c r="EY376" s="67">
        <v>5663.94</v>
      </c>
      <c r="EZ376" s="67" t="s">
        <v>3029</v>
      </c>
      <c r="FA376" s="67">
        <v>20063.564999999999</v>
      </c>
      <c r="FB376" s="67" t="s">
        <v>3030</v>
      </c>
      <c r="FC376" s="67" t="s">
        <v>3031</v>
      </c>
      <c r="FD376" s="67" t="s">
        <v>3032</v>
      </c>
      <c r="FE376" s="68" t="s">
        <v>3033</v>
      </c>
      <c r="FF376" s="68" t="s">
        <v>3034</v>
      </c>
    </row>
    <row r="377" spans="151:162" x14ac:dyDescent="0.2">
      <c r="EU377" s="67">
        <v>565.39</v>
      </c>
      <c r="EV377" s="67" t="s">
        <v>3035</v>
      </c>
      <c r="EW377" s="67">
        <v>489.3</v>
      </c>
      <c r="EX377" s="67" t="s">
        <v>3036</v>
      </c>
      <c r="EY377" s="67">
        <v>5663.94</v>
      </c>
      <c r="EZ377" s="67" t="s">
        <v>3037</v>
      </c>
      <c r="FA377" s="67">
        <v>20063.564999999999</v>
      </c>
      <c r="FB377" s="67" t="s">
        <v>3038</v>
      </c>
      <c r="FC377" s="67" t="s">
        <v>3039</v>
      </c>
      <c r="FD377" s="67" t="s">
        <v>3040</v>
      </c>
      <c r="FE377" s="68" t="s">
        <v>3041</v>
      </c>
      <c r="FF377" s="68" t="s">
        <v>3042</v>
      </c>
    </row>
    <row r="378" spans="151:162" x14ac:dyDescent="0.2">
      <c r="EU378" s="67">
        <v>565.35</v>
      </c>
      <c r="EV378" s="67" t="s">
        <v>3043</v>
      </c>
      <c r="EW378" s="67">
        <v>489.2</v>
      </c>
      <c r="EX378" s="67" t="s">
        <v>3044</v>
      </c>
      <c r="EY378" s="67">
        <v>5663.94</v>
      </c>
      <c r="EZ378" s="67" t="s">
        <v>3045</v>
      </c>
      <c r="FA378" s="67">
        <v>20063.564999999999</v>
      </c>
      <c r="FB378" s="67" t="s">
        <v>3046</v>
      </c>
      <c r="FC378" s="67" t="s">
        <v>3047</v>
      </c>
      <c r="FD378" s="67" t="s">
        <v>3048</v>
      </c>
      <c r="FE378" s="68" t="s">
        <v>3049</v>
      </c>
      <c r="FF378" s="68" t="s">
        <v>3050</v>
      </c>
    </row>
    <row r="379" spans="151:162" x14ac:dyDescent="0.2">
      <c r="EU379" s="67">
        <v>565.4</v>
      </c>
      <c r="EV379" s="67" t="s">
        <v>3051</v>
      </c>
      <c r="EW379" s="67">
        <v>489.27</v>
      </c>
      <c r="EX379" s="67" t="s">
        <v>3052</v>
      </c>
      <c r="EY379" s="67">
        <v>5663.94</v>
      </c>
      <c r="EZ379" s="67" t="s">
        <v>3053</v>
      </c>
      <c r="FA379" s="67">
        <v>20063.564999999999</v>
      </c>
      <c r="FB379" s="67" t="s">
        <v>3054</v>
      </c>
      <c r="FC379" s="67" t="s">
        <v>3055</v>
      </c>
      <c r="FD379" s="67" t="s">
        <v>3056</v>
      </c>
      <c r="FE379" s="68" t="s">
        <v>3057</v>
      </c>
      <c r="FF379" s="68" t="s">
        <v>3058</v>
      </c>
    </row>
    <row r="380" spans="151:162" x14ac:dyDescent="0.2">
      <c r="EU380" s="67">
        <v>565.48</v>
      </c>
      <c r="EV380" s="67" t="s">
        <v>3059</v>
      </c>
      <c r="EW380" s="67">
        <v>489.34</v>
      </c>
      <c r="EX380" s="67" t="s">
        <v>3060</v>
      </c>
      <c r="EY380" s="67">
        <v>5663.94</v>
      </c>
      <c r="EZ380" s="67" t="s">
        <v>3061</v>
      </c>
      <c r="FA380" s="67">
        <v>20063.564999999999</v>
      </c>
      <c r="FB380" s="67" t="s">
        <v>3062</v>
      </c>
      <c r="FC380" s="67" t="s">
        <v>3063</v>
      </c>
      <c r="FD380" s="67" t="s">
        <v>3064</v>
      </c>
      <c r="FE380" s="68" t="s">
        <v>3065</v>
      </c>
      <c r="FF380" s="68" t="s">
        <v>3066</v>
      </c>
    </row>
    <row r="381" spans="151:162" x14ac:dyDescent="0.2">
      <c r="EU381" s="67">
        <v>565.44000000000005</v>
      </c>
      <c r="EV381" s="67" t="s">
        <v>3067</v>
      </c>
      <c r="EW381" s="67">
        <v>489.27</v>
      </c>
      <c r="EX381" s="67" t="s">
        <v>3068</v>
      </c>
      <c r="EY381" s="67">
        <v>5663.94</v>
      </c>
      <c r="EZ381" s="67" t="s">
        <v>3069</v>
      </c>
      <c r="FA381" s="67">
        <v>20063.564999999999</v>
      </c>
      <c r="FB381" s="67" t="s">
        <v>3070</v>
      </c>
      <c r="FC381" s="67" t="s">
        <v>3071</v>
      </c>
      <c r="FD381" s="67" t="s">
        <v>3072</v>
      </c>
      <c r="FE381" s="68" t="s">
        <v>3073</v>
      </c>
      <c r="FF381" s="68" t="s">
        <v>3074</v>
      </c>
    </row>
    <row r="382" spans="151:162" x14ac:dyDescent="0.2">
      <c r="EU382" s="67">
        <v>565.35</v>
      </c>
      <c r="EV382" s="67" t="s">
        <v>3075</v>
      </c>
      <c r="EW382" s="67">
        <v>489.18</v>
      </c>
      <c r="EX382" s="67" t="s">
        <v>3076</v>
      </c>
      <c r="EY382" s="67">
        <v>5663.94</v>
      </c>
      <c r="EZ382" s="67" t="s">
        <v>3077</v>
      </c>
      <c r="FA382" s="67">
        <v>20063.564999999999</v>
      </c>
      <c r="FB382" s="67" t="s">
        <v>3078</v>
      </c>
      <c r="FC382" s="67" t="s">
        <v>3079</v>
      </c>
      <c r="FD382" s="67" t="s">
        <v>3080</v>
      </c>
      <c r="FE382" s="68" t="s">
        <v>3081</v>
      </c>
      <c r="FF382" s="68" t="s">
        <v>3082</v>
      </c>
    </row>
    <row r="383" spans="151:162" x14ac:dyDescent="0.2">
      <c r="EU383" s="67">
        <v>565.38</v>
      </c>
      <c r="EV383" s="67" t="s">
        <v>3083</v>
      </c>
      <c r="EW383" s="67">
        <v>489.21</v>
      </c>
      <c r="EX383" s="67" t="s">
        <v>3084</v>
      </c>
      <c r="EY383" s="67">
        <v>5663.94</v>
      </c>
      <c r="EZ383" s="67" t="s">
        <v>3085</v>
      </c>
      <c r="FA383" s="67">
        <v>20063.564999999999</v>
      </c>
      <c r="FB383" s="67" t="s">
        <v>3086</v>
      </c>
      <c r="FC383" s="67" t="s">
        <v>3087</v>
      </c>
      <c r="FD383" s="67" t="s">
        <v>3088</v>
      </c>
      <c r="FE383" s="68" t="s">
        <v>3089</v>
      </c>
      <c r="FF383" s="68" t="s">
        <v>3090</v>
      </c>
    </row>
    <row r="384" spans="151:162" x14ac:dyDescent="0.2">
      <c r="EU384" s="67">
        <v>565.4</v>
      </c>
      <c r="EV384" s="67" t="s">
        <v>3091</v>
      </c>
      <c r="EW384" s="67">
        <v>489.25</v>
      </c>
      <c r="EX384" s="67" t="s">
        <v>3092</v>
      </c>
      <c r="EY384" s="67">
        <v>5663.94</v>
      </c>
      <c r="EZ384" s="67" t="s">
        <v>3093</v>
      </c>
      <c r="FA384" s="67">
        <v>20063.564999999999</v>
      </c>
      <c r="FB384" s="67" t="s">
        <v>3094</v>
      </c>
      <c r="FC384" s="67" t="s">
        <v>3095</v>
      </c>
      <c r="FD384" s="67" t="s">
        <v>3096</v>
      </c>
      <c r="FE384" s="68" t="s">
        <v>3097</v>
      </c>
      <c r="FF384" s="68" t="s">
        <v>3098</v>
      </c>
    </row>
    <row r="385" spans="151:162" x14ac:dyDescent="0.2">
      <c r="EU385" s="67">
        <v>565.41</v>
      </c>
      <c r="EV385" s="67" t="s">
        <v>3099</v>
      </c>
      <c r="EW385" s="67">
        <v>489.27</v>
      </c>
      <c r="EX385" s="67" t="s">
        <v>3100</v>
      </c>
      <c r="EY385" s="67">
        <v>5663.94</v>
      </c>
      <c r="EZ385" s="67" t="s">
        <v>3101</v>
      </c>
      <c r="FA385" s="67">
        <v>20063.564999999999</v>
      </c>
      <c r="FB385" s="67" t="s">
        <v>3102</v>
      </c>
      <c r="FC385" s="67" t="s">
        <v>3103</v>
      </c>
      <c r="FD385" s="67" t="s">
        <v>3104</v>
      </c>
      <c r="FE385" s="68" t="s">
        <v>3105</v>
      </c>
      <c r="FF385" s="68" t="s">
        <v>3106</v>
      </c>
    </row>
    <row r="386" spans="151:162" x14ac:dyDescent="0.2">
      <c r="EU386" s="67">
        <v>565.39</v>
      </c>
      <c r="EV386" s="67" t="s">
        <v>3107</v>
      </c>
      <c r="EW386" s="67">
        <v>489.23</v>
      </c>
      <c r="EX386" s="67" t="s">
        <v>3108</v>
      </c>
      <c r="EY386" s="67">
        <v>5663.94</v>
      </c>
      <c r="EZ386" s="67" t="s">
        <v>3109</v>
      </c>
      <c r="FA386" s="67">
        <v>20063.564999999999</v>
      </c>
      <c r="FB386" s="67" t="s">
        <v>3110</v>
      </c>
      <c r="FC386" s="67" t="s">
        <v>3111</v>
      </c>
      <c r="FD386" s="67" t="s">
        <v>3112</v>
      </c>
      <c r="FE386" s="68" t="s">
        <v>3113</v>
      </c>
      <c r="FF386" s="68" t="s">
        <v>3114</v>
      </c>
    </row>
    <row r="387" spans="151:162" x14ac:dyDescent="0.2">
      <c r="EU387" s="67">
        <v>565.34</v>
      </c>
      <c r="EV387" s="67" t="s">
        <v>3115</v>
      </c>
      <c r="EW387" s="67">
        <v>489.15</v>
      </c>
      <c r="EX387" s="67" t="s">
        <v>3116</v>
      </c>
      <c r="EY387" s="67">
        <v>5663.94</v>
      </c>
      <c r="EZ387" s="67" t="s">
        <v>3117</v>
      </c>
      <c r="FA387" s="67">
        <v>20063.564999999999</v>
      </c>
      <c r="FB387" s="67" t="s">
        <v>3118</v>
      </c>
      <c r="FC387" s="67" t="s">
        <v>3119</v>
      </c>
      <c r="FD387" s="67" t="s">
        <v>3120</v>
      </c>
      <c r="FE387" s="68" t="s">
        <v>3121</v>
      </c>
      <c r="FF387" s="68" t="s">
        <v>3122</v>
      </c>
    </row>
    <row r="388" spans="151:162" x14ac:dyDescent="0.2">
      <c r="EU388" s="67">
        <v>565.22</v>
      </c>
      <c r="EV388" s="67" t="s">
        <v>3123</v>
      </c>
      <c r="EW388" s="67">
        <v>489.04</v>
      </c>
      <c r="EX388" s="67" t="s">
        <v>3124</v>
      </c>
      <c r="EY388" s="67">
        <v>5663.94</v>
      </c>
      <c r="EZ388" s="67" t="s">
        <v>3125</v>
      </c>
      <c r="FA388" s="67">
        <v>20063.564999999999</v>
      </c>
      <c r="FB388" s="67" t="s">
        <v>3126</v>
      </c>
      <c r="FC388" s="67" t="s">
        <v>3127</v>
      </c>
      <c r="FD388" s="67" t="s">
        <v>3128</v>
      </c>
      <c r="FE388" s="68" t="s">
        <v>3129</v>
      </c>
      <c r="FF388" s="68" t="s">
        <v>3130</v>
      </c>
    </row>
    <row r="389" spans="151:162" x14ac:dyDescent="0.2">
      <c r="EU389" s="67">
        <v>565.41999999999996</v>
      </c>
      <c r="EV389" s="67" t="s">
        <v>3131</v>
      </c>
      <c r="EW389" s="67">
        <v>489.28</v>
      </c>
      <c r="EX389" s="67" t="s">
        <v>3132</v>
      </c>
      <c r="EY389" s="67">
        <v>5663.94</v>
      </c>
      <c r="EZ389" s="67" t="s">
        <v>3133</v>
      </c>
      <c r="FA389" s="67">
        <v>20063.564999999999</v>
      </c>
      <c r="FB389" s="67" t="s">
        <v>3134</v>
      </c>
      <c r="FC389" s="67" t="s">
        <v>3135</v>
      </c>
      <c r="FD389" s="67" t="s">
        <v>3136</v>
      </c>
      <c r="FE389" s="68" t="s">
        <v>3137</v>
      </c>
      <c r="FF389" s="68" t="s">
        <v>3138</v>
      </c>
    </row>
    <row r="390" spans="151:162" x14ac:dyDescent="0.2">
      <c r="EU390" s="67">
        <v>565.5</v>
      </c>
      <c r="EV390" s="67" t="s">
        <v>3139</v>
      </c>
      <c r="EW390" s="67">
        <v>489.34</v>
      </c>
      <c r="EX390" s="67" t="s">
        <v>3140</v>
      </c>
      <c r="EY390" s="67">
        <v>5663.94</v>
      </c>
      <c r="EZ390" s="67" t="s">
        <v>3141</v>
      </c>
      <c r="FA390" s="67">
        <v>20063.564999999999</v>
      </c>
      <c r="FB390" s="67" t="s">
        <v>3142</v>
      </c>
      <c r="FC390" s="67" t="s">
        <v>3143</v>
      </c>
      <c r="FD390" s="67" t="s">
        <v>3144</v>
      </c>
      <c r="FE390" s="68" t="s">
        <v>3145</v>
      </c>
      <c r="FF390" s="68" t="s">
        <v>3146</v>
      </c>
    </row>
    <row r="391" spans="151:162" x14ac:dyDescent="0.2">
      <c r="EU391" s="67">
        <v>565.45000000000005</v>
      </c>
      <c r="EV391" s="67" t="s">
        <v>3147</v>
      </c>
      <c r="EW391" s="67">
        <v>489.29</v>
      </c>
      <c r="EX391" s="67" t="s">
        <v>3148</v>
      </c>
      <c r="EY391" s="67">
        <v>5663.94</v>
      </c>
      <c r="EZ391" s="67" t="s">
        <v>3149</v>
      </c>
      <c r="FA391" s="67">
        <v>20063.564999999999</v>
      </c>
      <c r="FB391" s="67" t="s">
        <v>3150</v>
      </c>
      <c r="FC391" s="67" t="s">
        <v>3151</v>
      </c>
      <c r="FD391" s="67" t="s">
        <v>3152</v>
      </c>
      <c r="FE391" s="68" t="s">
        <v>3153</v>
      </c>
      <c r="FF391" s="68" t="s">
        <v>3154</v>
      </c>
    </row>
    <row r="392" spans="151:162" x14ac:dyDescent="0.2">
      <c r="EU392" s="67">
        <v>565.41999999999996</v>
      </c>
      <c r="EV392" s="67" t="s">
        <v>3155</v>
      </c>
      <c r="EW392" s="67">
        <v>489.26</v>
      </c>
      <c r="EX392" s="67" t="s">
        <v>3156</v>
      </c>
      <c r="EY392" s="67">
        <v>5663.94</v>
      </c>
      <c r="EZ392" s="67" t="s">
        <v>3157</v>
      </c>
      <c r="FA392" s="67">
        <v>20063.564999999999</v>
      </c>
      <c r="FB392" s="67" t="s">
        <v>3158</v>
      </c>
      <c r="FC392" s="67" t="s">
        <v>3159</v>
      </c>
      <c r="FD392" s="67" t="s">
        <v>3160</v>
      </c>
      <c r="FE392" s="68" t="s">
        <v>3161</v>
      </c>
      <c r="FF392" s="68" t="s">
        <v>3162</v>
      </c>
    </row>
    <row r="393" spans="151:162" x14ac:dyDescent="0.2">
      <c r="EU393" s="67">
        <v>565.5</v>
      </c>
      <c r="EV393" s="67" t="s">
        <v>3163</v>
      </c>
      <c r="EW393" s="67">
        <v>489.35</v>
      </c>
      <c r="EX393" s="67" t="s">
        <v>3164</v>
      </c>
      <c r="EY393" s="67">
        <v>5663.94</v>
      </c>
      <c r="EZ393" s="67" t="s">
        <v>3165</v>
      </c>
      <c r="FA393" s="67">
        <v>20063.564999999999</v>
      </c>
      <c r="FB393" s="67" t="s">
        <v>3166</v>
      </c>
      <c r="FC393" s="67" t="s">
        <v>3167</v>
      </c>
      <c r="FD393" s="67" t="s">
        <v>3168</v>
      </c>
      <c r="FE393" s="68" t="s">
        <v>3169</v>
      </c>
      <c r="FF393" s="68" t="s">
        <v>3170</v>
      </c>
    </row>
    <row r="394" spans="151:162" x14ac:dyDescent="0.2">
      <c r="EU394" s="67">
        <v>565.5</v>
      </c>
      <c r="EV394" s="67" t="s">
        <v>3171</v>
      </c>
      <c r="EW394" s="67">
        <v>489.37</v>
      </c>
      <c r="EX394" s="67" t="s">
        <v>3172</v>
      </c>
      <c r="EY394" s="67">
        <v>5663.94</v>
      </c>
      <c r="EZ394" s="67" t="s">
        <v>3173</v>
      </c>
      <c r="FA394" s="67">
        <v>20063.564999999999</v>
      </c>
      <c r="FB394" s="67" t="s">
        <v>3174</v>
      </c>
      <c r="FC394" s="67" t="s">
        <v>3175</v>
      </c>
      <c r="FD394" s="67" t="s">
        <v>3176</v>
      </c>
      <c r="FE394" s="68" t="s">
        <v>3177</v>
      </c>
      <c r="FF394" s="68" t="s">
        <v>3178</v>
      </c>
    </row>
    <row r="395" spans="151:162" x14ac:dyDescent="0.2">
      <c r="EU395" s="67">
        <v>565.48</v>
      </c>
      <c r="EV395" s="67" t="s">
        <v>3179</v>
      </c>
      <c r="EW395" s="67">
        <v>489.33</v>
      </c>
      <c r="EX395" s="67" t="s">
        <v>3180</v>
      </c>
      <c r="EY395" s="67">
        <v>5663.94</v>
      </c>
      <c r="EZ395" s="67" t="s">
        <v>3181</v>
      </c>
      <c r="FA395" s="67">
        <v>20063.564999999999</v>
      </c>
      <c r="FB395" s="67" t="s">
        <v>3182</v>
      </c>
      <c r="FC395" s="67" t="s">
        <v>3183</v>
      </c>
      <c r="FD395" s="67" t="s">
        <v>3184</v>
      </c>
      <c r="FE395" s="68" t="s">
        <v>3185</v>
      </c>
      <c r="FF395" s="68" t="s">
        <v>3186</v>
      </c>
    </row>
    <row r="396" spans="151:162" x14ac:dyDescent="0.2">
      <c r="EU396" s="67">
        <v>565.54</v>
      </c>
      <c r="EV396" s="67" t="s">
        <v>3187</v>
      </c>
      <c r="EW396" s="67">
        <v>489.38</v>
      </c>
      <c r="EX396" s="67" t="s">
        <v>3188</v>
      </c>
      <c r="EY396" s="67">
        <v>5663.94</v>
      </c>
      <c r="EZ396" s="67" t="s">
        <v>3189</v>
      </c>
      <c r="FA396" s="67">
        <v>20063.564999999999</v>
      </c>
      <c r="FB396" s="67" t="s">
        <v>3190</v>
      </c>
      <c r="FC396" s="67" t="s">
        <v>3191</v>
      </c>
      <c r="FD396" s="67" t="s">
        <v>3192</v>
      </c>
      <c r="FE396" s="68" t="s">
        <v>3193</v>
      </c>
      <c r="FF396" s="68" t="s">
        <v>3194</v>
      </c>
    </row>
    <row r="397" spans="151:162" x14ac:dyDescent="0.2">
      <c r="EU397" s="67">
        <v>565.29999999999995</v>
      </c>
      <c r="EV397" s="67" t="s">
        <v>3195</v>
      </c>
      <c r="EW397" s="67">
        <v>489.14</v>
      </c>
      <c r="EX397" s="67" t="s">
        <v>3196</v>
      </c>
      <c r="EY397" s="67">
        <v>5663.94</v>
      </c>
      <c r="EZ397" s="67" t="s">
        <v>3197</v>
      </c>
      <c r="FA397" s="67">
        <v>20063.564999999999</v>
      </c>
      <c r="FB397" s="67" t="s">
        <v>3198</v>
      </c>
      <c r="FC397" s="67" t="s">
        <v>3199</v>
      </c>
      <c r="FD397" s="67" t="s">
        <v>3200</v>
      </c>
      <c r="FE397" s="68" t="s">
        <v>3201</v>
      </c>
      <c r="FF397" s="68" t="s">
        <v>3202</v>
      </c>
    </row>
    <row r="398" spans="151:162" x14ac:dyDescent="0.2">
      <c r="EU398" s="67">
        <v>565.34</v>
      </c>
      <c r="EV398" s="67" t="s">
        <v>3203</v>
      </c>
      <c r="EW398" s="67">
        <v>489.1</v>
      </c>
      <c r="EX398" s="67" t="s">
        <v>3204</v>
      </c>
      <c r="EY398" s="67">
        <v>5663.94</v>
      </c>
      <c r="EZ398" s="67" t="s">
        <v>3205</v>
      </c>
      <c r="FA398" s="67">
        <v>20063.564999999999</v>
      </c>
      <c r="FB398" s="67" t="s">
        <v>3206</v>
      </c>
      <c r="FC398" s="67" t="s">
        <v>3207</v>
      </c>
      <c r="FD398" s="67" t="s">
        <v>3208</v>
      </c>
      <c r="FE398" s="68" t="s">
        <v>3209</v>
      </c>
      <c r="FF398" s="68" t="s">
        <v>3210</v>
      </c>
    </row>
    <row r="399" spans="151:162" x14ac:dyDescent="0.2">
      <c r="EU399" s="67">
        <v>565.33000000000004</v>
      </c>
      <c r="EV399" s="67" t="s">
        <v>3211</v>
      </c>
      <c r="EW399" s="67">
        <v>489.12</v>
      </c>
      <c r="EX399" s="67" t="s">
        <v>3212</v>
      </c>
      <c r="EY399" s="67">
        <v>5663.94</v>
      </c>
      <c r="EZ399" s="67" t="s">
        <v>3213</v>
      </c>
      <c r="FA399" s="67">
        <v>20063.564999999999</v>
      </c>
      <c r="FB399" s="67" t="s">
        <v>3214</v>
      </c>
      <c r="FC399" s="67" t="s">
        <v>3215</v>
      </c>
      <c r="FD399" s="67" t="s">
        <v>3216</v>
      </c>
      <c r="FE399" s="68" t="s">
        <v>3217</v>
      </c>
      <c r="FF399" s="68" t="s">
        <v>3218</v>
      </c>
    </row>
    <row r="400" spans="151:162" x14ac:dyDescent="0.2">
      <c r="EU400" s="67">
        <v>565.28</v>
      </c>
      <c r="EV400" s="67" t="s">
        <v>3219</v>
      </c>
      <c r="EW400" s="67">
        <v>489.06</v>
      </c>
      <c r="EX400" s="67" t="s">
        <v>3220</v>
      </c>
      <c r="EY400" s="67">
        <v>5663.94</v>
      </c>
      <c r="EZ400" s="67" t="s">
        <v>3221</v>
      </c>
      <c r="FA400" s="67">
        <v>20063.564999999999</v>
      </c>
      <c r="FB400" s="67" t="s">
        <v>3222</v>
      </c>
      <c r="FC400" s="67" t="s">
        <v>3223</v>
      </c>
      <c r="FD400" s="67" t="s">
        <v>3224</v>
      </c>
      <c r="FE400" s="68" t="s">
        <v>3225</v>
      </c>
      <c r="FF400" s="68" t="s">
        <v>3226</v>
      </c>
    </row>
    <row r="401" spans="151:162" x14ac:dyDescent="0.2">
      <c r="EU401" s="67">
        <v>565.20000000000005</v>
      </c>
      <c r="EV401" s="67" t="s">
        <v>3227</v>
      </c>
      <c r="EW401" s="67">
        <v>489.02</v>
      </c>
      <c r="EX401" s="67" t="s">
        <v>3228</v>
      </c>
      <c r="EY401" s="67">
        <v>5663.94</v>
      </c>
      <c r="EZ401" s="67" t="s">
        <v>3229</v>
      </c>
      <c r="FA401" s="67">
        <v>20063.564999999999</v>
      </c>
      <c r="FB401" s="67" t="s">
        <v>3230</v>
      </c>
      <c r="FC401" s="67" t="s">
        <v>3231</v>
      </c>
      <c r="FD401" s="67" t="s">
        <v>3232</v>
      </c>
      <c r="FE401" s="68" t="s">
        <v>3233</v>
      </c>
      <c r="FF401" s="68" t="s">
        <v>3234</v>
      </c>
    </row>
    <row r="402" spans="151:162" x14ac:dyDescent="0.2">
      <c r="EU402" s="67">
        <v>565.28</v>
      </c>
      <c r="EV402" s="67" t="s">
        <v>3235</v>
      </c>
      <c r="EW402" s="67">
        <v>489.16</v>
      </c>
      <c r="EX402" s="67" t="s">
        <v>3236</v>
      </c>
      <c r="EY402" s="67">
        <v>5663.94</v>
      </c>
      <c r="EZ402" s="67" t="s">
        <v>3237</v>
      </c>
      <c r="FA402" s="67">
        <v>20063.564999999999</v>
      </c>
      <c r="FB402" s="67" t="s">
        <v>3238</v>
      </c>
      <c r="FC402" s="67" t="s">
        <v>3239</v>
      </c>
      <c r="FD402" s="67" t="s">
        <v>3240</v>
      </c>
      <c r="FE402" s="68" t="s">
        <v>3241</v>
      </c>
      <c r="FF402" s="68" t="s">
        <v>3242</v>
      </c>
    </row>
    <row r="403" spans="151:162" x14ac:dyDescent="0.2">
      <c r="EU403" s="67">
        <v>565.34</v>
      </c>
      <c r="EV403" s="67" t="s">
        <v>3243</v>
      </c>
      <c r="EW403" s="67">
        <v>489.23</v>
      </c>
      <c r="EX403" s="67" t="s">
        <v>3244</v>
      </c>
      <c r="EY403" s="67">
        <v>5663.94</v>
      </c>
      <c r="EZ403" s="67" t="s">
        <v>3245</v>
      </c>
      <c r="FA403" s="67">
        <v>20063.564999999999</v>
      </c>
      <c r="FB403" s="67" t="s">
        <v>3246</v>
      </c>
      <c r="FC403" s="67" t="s">
        <v>3247</v>
      </c>
      <c r="FD403" s="67" t="s">
        <v>3248</v>
      </c>
      <c r="FE403" s="68" t="s">
        <v>3249</v>
      </c>
      <c r="FF403" s="68" t="s">
        <v>3250</v>
      </c>
    </row>
    <row r="404" spans="151:162" x14ac:dyDescent="0.2">
      <c r="EU404" s="67">
        <v>565.27</v>
      </c>
      <c r="EV404" s="67" t="s">
        <v>3251</v>
      </c>
      <c r="EW404" s="67">
        <v>489.13</v>
      </c>
      <c r="EX404" s="67" t="s">
        <v>3252</v>
      </c>
      <c r="EY404" s="67">
        <v>5663.94</v>
      </c>
      <c r="EZ404" s="67" t="s">
        <v>3253</v>
      </c>
      <c r="FA404" s="67">
        <v>20063.564999999999</v>
      </c>
      <c r="FB404" s="67" t="s">
        <v>3254</v>
      </c>
      <c r="FC404" s="67" t="s">
        <v>3255</v>
      </c>
      <c r="FD404" s="67" t="s">
        <v>3256</v>
      </c>
      <c r="FE404" s="68" t="s">
        <v>3257</v>
      </c>
      <c r="FF404" s="68" t="s">
        <v>3258</v>
      </c>
    </row>
    <row r="405" spans="151:162" x14ac:dyDescent="0.2">
      <c r="EU405" s="67">
        <v>565.27</v>
      </c>
      <c r="EV405" s="67" t="s">
        <v>3259</v>
      </c>
      <c r="EW405" s="67">
        <v>489.16</v>
      </c>
      <c r="EX405" s="67" t="s">
        <v>3260</v>
      </c>
      <c r="EY405" s="67">
        <v>5663.94</v>
      </c>
      <c r="EZ405" s="67" t="s">
        <v>3261</v>
      </c>
      <c r="FA405" s="67">
        <v>20063.564999999999</v>
      </c>
      <c r="FB405" s="67" t="s">
        <v>3262</v>
      </c>
      <c r="FC405" s="67" t="s">
        <v>3263</v>
      </c>
      <c r="FD405" s="67" t="s">
        <v>3264</v>
      </c>
      <c r="FE405" s="68" t="s">
        <v>3265</v>
      </c>
      <c r="FF405" s="68" t="s">
        <v>3266</v>
      </c>
    </row>
    <row r="406" spans="151:162" x14ac:dyDescent="0.2">
      <c r="EU406" s="67">
        <v>565.35</v>
      </c>
      <c r="EV406" s="67" t="s">
        <v>3267</v>
      </c>
      <c r="EW406" s="67">
        <v>489.19</v>
      </c>
      <c r="EX406" s="67" t="s">
        <v>3268</v>
      </c>
      <c r="EY406" s="67">
        <v>5663.94</v>
      </c>
      <c r="EZ406" s="67" t="s">
        <v>3269</v>
      </c>
      <c r="FA406" s="67">
        <v>20063.564999999999</v>
      </c>
      <c r="FB406" s="67" t="s">
        <v>3270</v>
      </c>
      <c r="FC406" s="67" t="s">
        <v>3271</v>
      </c>
      <c r="FD406" s="67" t="s">
        <v>3272</v>
      </c>
      <c r="FE406" s="68" t="s">
        <v>3273</v>
      </c>
      <c r="FF406" s="68" t="s">
        <v>3274</v>
      </c>
    </row>
    <row r="407" spans="151:162" x14ac:dyDescent="0.2">
      <c r="EU407" s="67">
        <v>565.44000000000005</v>
      </c>
      <c r="EV407" s="67" t="s">
        <v>3275</v>
      </c>
      <c r="EW407" s="67">
        <v>489.27</v>
      </c>
      <c r="EX407" s="67" t="s">
        <v>3276</v>
      </c>
      <c r="EY407" s="67">
        <v>5663.94</v>
      </c>
      <c r="EZ407" s="67" t="s">
        <v>3277</v>
      </c>
      <c r="FA407" s="67">
        <v>20063.564999999999</v>
      </c>
      <c r="FB407" s="67" t="s">
        <v>3278</v>
      </c>
      <c r="FC407" s="67" t="s">
        <v>3279</v>
      </c>
      <c r="FD407" s="67" t="s">
        <v>3280</v>
      </c>
      <c r="FE407" s="68" t="s">
        <v>3281</v>
      </c>
      <c r="FF407" s="68" t="s">
        <v>3282</v>
      </c>
    </row>
    <row r="408" spans="151:162" x14ac:dyDescent="0.2">
      <c r="EU408" s="67">
        <v>565.46</v>
      </c>
      <c r="EV408" s="67" t="s">
        <v>3283</v>
      </c>
      <c r="EW408" s="67">
        <v>489.3</v>
      </c>
      <c r="EX408" s="67" t="s">
        <v>3284</v>
      </c>
      <c r="EY408" s="67">
        <v>5663.94</v>
      </c>
      <c r="EZ408" s="67" t="s">
        <v>3285</v>
      </c>
      <c r="FA408" s="67">
        <v>20063.564999999999</v>
      </c>
      <c r="FB408" s="67" t="s">
        <v>3286</v>
      </c>
      <c r="FC408" s="67" t="s">
        <v>3287</v>
      </c>
      <c r="FD408" s="67" t="s">
        <v>3288</v>
      </c>
      <c r="FE408" s="68" t="s">
        <v>3289</v>
      </c>
      <c r="FF408" s="68" t="s">
        <v>3290</v>
      </c>
    </row>
    <row r="409" spans="151:162" x14ac:dyDescent="0.2">
      <c r="EU409" s="67">
        <v>565.49</v>
      </c>
      <c r="EV409" s="67" t="s">
        <v>3291</v>
      </c>
      <c r="EW409" s="67">
        <v>489.28</v>
      </c>
      <c r="EX409" s="67" t="s">
        <v>3292</v>
      </c>
      <c r="EY409" s="67">
        <v>5663.94</v>
      </c>
      <c r="EZ409" s="67" t="s">
        <v>3293</v>
      </c>
      <c r="FA409" s="67">
        <v>20063.564999999999</v>
      </c>
      <c r="FB409" s="67" t="s">
        <v>3294</v>
      </c>
      <c r="FC409" s="67" t="s">
        <v>3295</v>
      </c>
      <c r="FD409" s="67" t="s">
        <v>3296</v>
      </c>
      <c r="FE409" s="68" t="s">
        <v>3297</v>
      </c>
      <c r="FF409" s="68" t="s">
        <v>3298</v>
      </c>
    </row>
    <row r="410" spans="151:162" x14ac:dyDescent="0.2">
      <c r="EU410" s="67">
        <v>565.58000000000004</v>
      </c>
      <c r="EV410" s="67" t="s">
        <v>3299</v>
      </c>
      <c r="EW410" s="67">
        <v>489.38</v>
      </c>
      <c r="EX410" s="67" t="s">
        <v>3300</v>
      </c>
      <c r="EY410" s="67">
        <v>5663.94</v>
      </c>
      <c r="EZ410" s="67" t="s">
        <v>3301</v>
      </c>
      <c r="FA410" s="67">
        <v>20063.564999999999</v>
      </c>
      <c r="FB410" s="67" t="s">
        <v>3302</v>
      </c>
      <c r="FC410" s="67" t="s">
        <v>3303</v>
      </c>
      <c r="FD410" s="67" t="s">
        <v>3304</v>
      </c>
      <c r="FE410" s="68" t="s">
        <v>3305</v>
      </c>
      <c r="FF410" s="68" t="s">
        <v>3306</v>
      </c>
    </row>
    <row r="411" spans="151:162" x14ac:dyDescent="0.2">
      <c r="EU411" s="67">
        <v>565.58000000000004</v>
      </c>
      <c r="EV411" s="67" t="s">
        <v>3307</v>
      </c>
      <c r="EW411" s="67">
        <v>489.37</v>
      </c>
      <c r="EX411" s="67" t="s">
        <v>3308</v>
      </c>
      <c r="EY411" s="67">
        <v>5663.94</v>
      </c>
      <c r="EZ411" s="67" t="s">
        <v>3309</v>
      </c>
      <c r="FA411" s="67">
        <v>20063.564999999999</v>
      </c>
      <c r="FB411" s="67" t="s">
        <v>3310</v>
      </c>
      <c r="FC411" s="67" t="s">
        <v>3311</v>
      </c>
      <c r="FD411" s="67" t="s">
        <v>3312</v>
      </c>
      <c r="FE411" s="68" t="s">
        <v>3313</v>
      </c>
      <c r="FF411" s="68" t="s">
        <v>3314</v>
      </c>
    </row>
    <row r="412" spans="151:162" x14ac:dyDescent="0.2">
      <c r="EU412" s="67">
        <v>565.63</v>
      </c>
      <c r="EV412" s="67" t="s">
        <v>3315</v>
      </c>
      <c r="EW412" s="67">
        <v>489.42</v>
      </c>
      <c r="EX412" s="67" t="s">
        <v>3316</v>
      </c>
      <c r="EY412" s="67">
        <v>5663.94</v>
      </c>
      <c r="EZ412" s="67" t="s">
        <v>3317</v>
      </c>
      <c r="FA412" s="67">
        <v>20063.564999999999</v>
      </c>
      <c r="FB412" s="67" t="s">
        <v>3318</v>
      </c>
      <c r="FC412" s="67" t="s">
        <v>3319</v>
      </c>
      <c r="FD412" s="67" t="s">
        <v>3320</v>
      </c>
      <c r="FE412" s="68" t="s">
        <v>3321</v>
      </c>
      <c r="FF412" s="68" t="s">
        <v>3322</v>
      </c>
    </row>
    <row r="413" spans="151:162" x14ac:dyDescent="0.2">
      <c r="EU413" s="67">
        <v>565.63</v>
      </c>
      <c r="EV413" s="67" t="s">
        <v>3323</v>
      </c>
      <c r="EW413" s="67">
        <v>489.42</v>
      </c>
      <c r="EX413" s="67" t="s">
        <v>3324</v>
      </c>
      <c r="EY413" s="67">
        <v>5663.94</v>
      </c>
      <c r="EZ413" s="67" t="s">
        <v>3325</v>
      </c>
      <c r="FA413" s="67">
        <v>20063.564999999999</v>
      </c>
      <c r="FB413" s="67" t="s">
        <v>3326</v>
      </c>
      <c r="FC413" s="67" t="s">
        <v>3327</v>
      </c>
      <c r="FD413" s="67" t="s">
        <v>3328</v>
      </c>
      <c r="FE413" s="68" t="s">
        <v>3329</v>
      </c>
      <c r="FF413" s="68" t="s">
        <v>3330</v>
      </c>
    </row>
    <row r="414" spans="151:162" x14ac:dyDescent="0.2">
      <c r="EU414" s="67">
        <v>565.61</v>
      </c>
      <c r="EV414" s="67" t="s">
        <v>3331</v>
      </c>
      <c r="EW414" s="67">
        <v>489.37</v>
      </c>
      <c r="EX414" s="67" t="s">
        <v>3332</v>
      </c>
      <c r="EY414" s="67">
        <v>5663.94</v>
      </c>
      <c r="EZ414" s="67" t="s">
        <v>3333</v>
      </c>
      <c r="FA414" s="67">
        <v>20063.564999999999</v>
      </c>
      <c r="FB414" s="67" t="s">
        <v>3334</v>
      </c>
      <c r="FC414" s="67" t="s">
        <v>3335</v>
      </c>
      <c r="FD414" s="67" t="s">
        <v>3336</v>
      </c>
      <c r="FE414" s="68" t="s">
        <v>3337</v>
      </c>
      <c r="FF414" s="68" t="s">
        <v>3338</v>
      </c>
    </row>
    <row r="415" spans="151:162" x14ac:dyDescent="0.2">
      <c r="EU415" s="67">
        <v>565.63</v>
      </c>
      <c r="EV415" s="67" t="s">
        <v>3339</v>
      </c>
      <c r="EW415" s="67">
        <v>489.42</v>
      </c>
      <c r="EX415" s="67" t="s">
        <v>3340</v>
      </c>
      <c r="EY415" s="67">
        <v>5663.94</v>
      </c>
      <c r="EZ415" s="67" t="s">
        <v>3341</v>
      </c>
      <c r="FA415" s="67">
        <v>20063.564999999999</v>
      </c>
      <c r="FB415" s="67" t="s">
        <v>3342</v>
      </c>
      <c r="FC415" s="67" t="s">
        <v>3343</v>
      </c>
      <c r="FD415" s="67" t="s">
        <v>3344</v>
      </c>
      <c r="FE415" s="68" t="s">
        <v>3345</v>
      </c>
      <c r="FF415" s="68" t="s">
        <v>3346</v>
      </c>
    </row>
    <row r="416" spans="151:162" x14ac:dyDescent="0.2">
      <c r="EU416" s="67">
        <v>565.63</v>
      </c>
      <c r="EV416" s="67" t="s">
        <v>3347</v>
      </c>
      <c r="EW416" s="67">
        <v>489.4</v>
      </c>
      <c r="EX416" s="67" t="s">
        <v>3348</v>
      </c>
      <c r="EY416" s="67">
        <v>5663.94</v>
      </c>
      <c r="EZ416" s="67" t="s">
        <v>3349</v>
      </c>
      <c r="FA416" s="67">
        <v>20063.564999999999</v>
      </c>
      <c r="FB416" s="67" t="s">
        <v>3350</v>
      </c>
      <c r="FC416" s="67" t="s">
        <v>3351</v>
      </c>
      <c r="FD416" s="67" t="s">
        <v>3352</v>
      </c>
      <c r="FE416" s="68" t="s">
        <v>3353</v>
      </c>
      <c r="FF416" s="68" t="s">
        <v>3354</v>
      </c>
    </row>
    <row r="417" spans="151:162" x14ac:dyDescent="0.2">
      <c r="EU417" s="67">
        <v>565.55999999999995</v>
      </c>
      <c r="EV417" s="67" t="s">
        <v>3355</v>
      </c>
      <c r="EW417" s="67">
        <v>489.31</v>
      </c>
      <c r="EX417" s="67" t="s">
        <v>3356</v>
      </c>
      <c r="EY417" s="67">
        <v>5663.94</v>
      </c>
      <c r="EZ417" s="67" t="s">
        <v>3357</v>
      </c>
      <c r="FA417" s="67">
        <v>20063.564999999999</v>
      </c>
      <c r="FB417" s="67" t="s">
        <v>3358</v>
      </c>
      <c r="FC417" s="67" t="s">
        <v>3359</v>
      </c>
      <c r="FD417" s="67" t="s">
        <v>3360</v>
      </c>
      <c r="FE417" s="68" t="s">
        <v>3361</v>
      </c>
      <c r="FF417" s="68" t="s">
        <v>3362</v>
      </c>
    </row>
    <row r="418" spans="151:162" x14ac:dyDescent="0.2">
      <c r="EU418" s="67">
        <v>565.63</v>
      </c>
      <c r="EV418" s="67" t="s">
        <v>3363</v>
      </c>
      <c r="EW418" s="67">
        <v>489.38</v>
      </c>
      <c r="EX418" s="67" t="s">
        <v>3364</v>
      </c>
      <c r="EY418" s="67">
        <v>5663.94</v>
      </c>
      <c r="EZ418" s="67" t="s">
        <v>3365</v>
      </c>
      <c r="FA418" s="67">
        <v>20063.564999999999</v>
      </c>
      <c r="FB418" s="67" t="s">
        <v>3366</v>
      </c>
      <c r="FC418" s="67" t="s">
        <v>3367</v>
      </c>
      <c r="FD418" s="67" t="s">
        <v>3368</v>
      </c>
      <c r="FE418" s="68" t="s">
        <v>3369</v>
      </c>
      <c r="FF418" s="68" t="s">
        <v>3370</v>
      </c>
    </row>
    <row r="419" spans="151:162" x14ac:dyDescent="0.2">
      <c r="EU419" s="67">
        <v>565.73</v>
      </c>
      <c r="EV419" s="67" t="s">
        <v>3371</v>
      </c>
      <c r="EW419" s="67">
        <v>489.47</v>
      </c>
      <c r="EX419" s="67" t="s">
        <v>3372</v>
      </c>
      <c r="EY419" s="67">
        <v>5663.94</v>
      </c>
      <c r="EZ419" s="67" t="s">
        <v>3373</v>
      </c>
      <c r="FA419" s="67">
        <v>20063.564999999999</v>
      </c>
      <c r="FB419" s="67" t="s">
        <v>3374</v>
      </c>
      <c r="FC419" s="67" t="s">
        <v>3375</v>
      </c>
      <c r="FD419" s="67" t="s">
        <v>3376</v>
      </c>
      <c r="FE419" s="68" t="s">
        <v>3377</v>
      </c>
      <c r="FF419" s="68" t="s">
        <v>3378</v>
      </c>
    </row>
    <row r="420" spans="151:162" x14ac:dyDescent="0.2">
      <c r="EU420" s="67">
        <v>565.65</v>
      </c>
      <c r="EV420" s="67" t="s">
        <v>3379</v>
      </c>
      <c r="EW420" s="67">
        <v>489.41</v>
      </c>
      <c r="EX420" s="67" t="s">
        <v>3380</v>
      </c>
      <c r="EY420" s="67">
        <v>5663.94</v>
      </c>
      <c r="EZ420" s="67" t="s">
        <v>3381</v>
      </c>
      <c r="FA420" s="67">
        <v>20063.564999999999</v>
      </c>
      <c r="FB420" s="67" t="s">
        <v>3382</v>
      </c>
      <c r="FC420" s="67" t="s">
        <v>3383</v>
      </c>
      <c r="FD420" s="67" t="s">
        <v>3384</v>
      </c>
      <c r="FE420" s="68" t="s">
        <v>3385</v>
      </c>
      <c r="FF420" s="68" t="s">
        <v>3386</v>
      </c>
    </row>
    <row r="421" spans="151:162" x14ac:dyDescent="0.2">
      <c r="EU421" s="67">
        <v>565.6</v>
      </c>
      <c r="EV421" s="67" t="s">
        <v>3387</v>
      </c>
      <c r="EW421" s="67">
        <v>489.36</v>
      </c>
      <c r="EX421" s="67" t="s">
        <v>3388</v>
      </c>
      <c r="EY421" s="67">
        <v>5663.94</v>
      </c>
      <c r="EZ421" s="67" t="s">
        <v>3389</v>
      </c>
      <c r="FA421" s="67">
        <v>20063.564999999999</v>
      </c>
      <c r="FB421" s="67" t="s">
        <v>3390</v>
      </c>
      <c r="FC421" s="67" t="s">
        <v>3391</v>
      </c>
      <c r="FD421" s="67" t="s">
        <v>3392</v>
      </c>
      <c r="FE421" s="68" t="s">
        <v>3393</v>
      </c>
      <c r="FF421" s="68" t="s">
        <v>3394</v>
      </c>
    </row>
    <row r="422" spans="151:162" x14ac:dyDescent="0.2">
      <c r="EU422" s="67">
        <v>565.66</v>
      </c>
      <c r="EV422" s="67" t="s">
        <v>3395</v>
      </c>
      <c r="EW422" s="67">
        <v>489.41</v>
      </c>
      <c r="EX422" s="67" t="s">
        <v>3396</v>
      </c>
      <c r="EY422" s="67">
        <v>5663.94</v>
      </c>
      <c r="EZ422" s="67" t="s">
        <v>3397</v>
      </c>
      <c r="FA422" s="67">
        <v>20063.564999999999</v>
      </c>
      <c r="FB422" s="67" t="s">
        <v>3398</v>
      </c>
      <c r="FC422" s="67" t="s">
        <v>3399</v>
      </c>
      <c r="FD422" s="67" t="s">
        <v>3400</v>
      </c>
      <c r="FE422" s="68" t="s">
        <v>3401</v>
      </c>
      <c r="FF422" s="68" t="s">
        <v>3402</v>
      </c>
    </row>
    <row r="423" spans="151:162" x14ac:dyDescent="0.2">
      <c r="EU423" s="67">
        <v>565.61</v>
      </c>
      <c r="EV423" s="67" t="s">
        <v>3403</v>
      </c>
      <c r="EW423" s="67">
        <v>489.35</v>
      </c>
      <c r="EX423" s="67" t="s">
        <v>3404</v>
      </c>
      <c r="EY423" s="67">
        <v>5663.94</v>
      </c>
      <c r="EZ423" s="67" t="s">
        <v>3405</v>
      </c>
      <c r="FA423" s="67">
        <v>20063.564999999999</v>
      </c>
      <c r="FB423" s="67" t="s">
        <v>3406</v>
      </c>
      <c r="FC423" s="67" t="s">
        <v>3407</v>
      </c>
      <c r="FD423" s="67" t="s">
        <v>3408</v>
      </c>
      <c r="FE423" s="68" t="s">
        <v>3409</v>
      </c>
      <c r="FF423" s="68" t="s">
        <v>3410</v>
      </c>
    </row>
    <row r="424" spans="151:162" x14ac:dyDescent="0.2">
      <c r="EU424" s="67">
        <v>565.62</v>
      </c>
      <c r="EV424" s="67" t="s">
        <v>3411</v>
      </c>
      <c r="EW424" s="67">
        <v>489.36</v>
      </c>
      <c r="EX424" s="67" t="s">
        <v>3412</v>
      </c>
      <c r="EY424" s="67">
        <v>5663.94</v>
      </c>
      <c r="EZ424" s="67" t="s">
        <v>3413</v>
      </c>
      <c r="FA424" s="67">
        <v>20063.564999999999</v>
      </c>
      <c r="FB424" s="67" t="s">
        <v>3414</v>
      </c>
      <c r="FC424" s="67" t="s">
        <v>3415</v>
      </c>
      <c r="FD424" s="67" t="s">
        <v>3416</v>
      </c>
      <c r="FE424" s="68" t="s">
        <v>3417</v>
      </c>
      <c r="FF424" s="68" t="s">
        <v>3418</v>
      </c>
    </row>
    <row r="425" spans="151:162" x14ac:dyDescent="0.2">
      <c r="EU425" s="67">
        <v>565.66999999999996</v>
      </c>
      <c r="EV425" s="67" t="s">
        <v>3419</v>
      </c>
      <c r="EW425" s="67">
        <v>489.41</v>
      </c>
      <c r="EX425" s="67" t="s">
        <v>3420</v>
      </c>
      <c r="EY425" s="67">
        <v>5663.94</v>
      </c>
      <c r="EZ425" s="67" t="s">
        <v>3421</v>
      </c>
      <c r="FA425" s="67">
        <v>20063.564999999999</v>
      </c>
      <c r="FB425" s="67" t="s">
        <v>3422</v>
      </c>
      <c r="FC425" s="67" t="s">
        <v>3423</v>
      </c>
      <c r="FD425" s="67" t="s">
        <v>3424</v>
      </c>
      <c r="FE425" s="68" t="s">
        <v>3425</v>
      </c>
      <c r="FF425" s="68" t="s">
        <v>3426</v>
      </c>
    </row>
    <row r="426" spans="151:162" x14ac:dyDescent="0.2">
      <c r="EU426" s="67">
        <v>565.66999999999996</v>
      </c>
      <c r="EV426" s="67" t="s">
        <v>3427</v>
      </c>
      <c r="EW426" s="67">
        <v>489.41</v>
      </c>
      <c r="EX426" s="67" t="s">
        <v>3428</v>
      </c>
      <c r="EY426" s="67">
        <v>5663.94</v>
      </c>
      <c r="EZ426" s="67" t="s">
        <v>3429</v>
      </c>
      <c r="FA426" s="67">
        <v>20063.564999999999</v>
      </c>
      <c r="FB426" s="67" t="s">
        <v>3430</v>
      </c>
      <c r="FC426" s="67" t="s">
        <v>3431</v>
      </c>
      <c r="FD426" s="67" t="s">
        <v>3432</v>
      </c>
      <c r="FE426" s="68" t="s">
        <v>3433</v>
      </c>
      <c r="FF426" s="68" t="s">
        <v>3434</v>
      </c>
    </row>
    <row r="427" spans="151:162" x14ac:dyDescent="0.2">
      <c r="EU427" s="67">
        <v>565.70000000000005</v>
      </c>
      <c r="EV427" s="67" t="s">
        <v>3435</v>
      </c>
      <c r="EW427" s="67">
        <v>489.45</v>
      </c>
      <c r="EX427" s="67" t="s">
        <v>3436</v>
      </c>
      <c r="EY427" s="67">
        <v>5663.94</v>
      </c>
      <c r="EZ427" s="67" t="s">
        <v>3437</v>
      </c>
      <c r="FA427" s="67">
        <v>20063.564999999999</v>
      </c>
      <c r="FB427" s="67" t="s">
        <v>3438</v>
      </c>
      <c r="FC427" s="67" t="s">
        <v>3439</v>
      </c>
      <c r="FD427" s="67" t="s">
        <v>3440</v>
      </c>
      <c r="FE427" s="68" t="s">
        <v>3441</v>
      </c>
      <c r="FF427" s="68" t="s">
        <v>3442</v>
      </c>
    </row>
    <row r="428" spans="151:162" x14ac:dyDescent="0.2">
      <c r="EU428" s="67">
        <v>565.74</v>
      </c>
      <c r="EV428" s="67" t="s">
        <v>3443</v>
      </c>
      <c r="EW428" s="67">
        <v>489.5</v>
      </c>
      <c r="EX428" s="67" t="s">
        <v>3444</v>
      </c>
      <c r="EY428" s="67">
        <v>5663.94</v>
      </c>
      <c r="EZ428" s="67" t="s">
        <v>3445</v>
      </c>
      <c r="FA428" s="67">
        <v>20063.564999999999</v>
      </c>
      <c r="FB428" s="67" t="s">
        <v>3446</v>
      </c>
      <c r="FC428" s="67" t="s">
        <v>3447</v>
      </c>
      <c r="FD428" s="67" t="s">
        <v>3448</v>
      </c>
      <c r="FE428" s="68" t="s">
        <v>3449</v>
      </c>
      <c r="FF428" s="68" t="s">
        <v>3450</v>
      </c>
    </row>
    <row r="429" spans="151:162" x14ac:dyDescent="0.2">
      <c r="EU429" s="67">
        <v>565.73</v>
      </c>
      <c r="EV429" s="67" t="s">
        <v>3451</v>
      </c>
      <c r="EW429" s="67">
        <v>489.49</v>
      </c>
      <c r="EX429" s="67" t="s">
        <v>3452</v>
      </c>
      <c r="EY429" s="67">
        <v>5663.94</v>
      </c>
      <c r="EZ429" s="67" t="s">
        <v>3453</v>
      </c>
      <c r="FA429" s="67">
        <v>20063.564999999999</v>
      </c>
      <c r="FB429" s="67" t="s">
        <v>3454</v>
      </c>
      <c r="FC429" s="67" t="s">
        <v>3455</v>
      </c>
      <c r="FD429" s="67" t="s">
        <v>3456</v>
      </c>
      <c r="FE429" s="68" t="s">
        <v>3457</v>
      </c>
      <c r="FF429" s="68" t="s">
        <v>3458</v>
      </c>
    </row>
    <row r="430" spans="151:162" x14ac:dyDescent="0.2">
      <c r="EU430" s="67">
        <v>565.79999999999995</v>
      </c>
      <c r="EV430" s="67" t="s">
        <v>3459</v>
      </c>
      <c r="EW430" s="67">
        <v>489.54</v>
      </c>
      <c r="EX430" s="67" t="s">
        <v>3460</v>
      </c>
      <c r="EY430" s="67">
        <v>5663.94</v>
      </c>
      <c r="EZ430" s="67" t="s">
        <v>3461</v>
      </c>
      <c r="FA430" s="67">
        <v>20063.564999999999</v>
      </c>
      <c r="FB430" s="67" t="s">
        <v>3462</v>
      </c>
      <c r="FC430" s="67" t="s">
        <v>3463</v>
      </c>
      <c r="FD430" s="67" t="s">
        <v>3464</v>
      </c>
      <c r="FE430" s="68" t="s">
        <v>3465</v>
      </c>
      <c r="FF430" s="68" t="s">
        <v>3466</v>
      </c>
    </row>
    <row r="431" spans="151:162" x14ac:dyDescent="0.2">
      <c r="EU431" s="67">
        <v>565.79999999999995</v>
      </c>
      <c r="EV431" s="67" t="s">
        <v>3467</v>
      </c>
      <c r="EW431" s="67">
        <v>489.58</v>
      </c>
      <c r="EX431" s="67" t="s">
        <v>3468</v>
      </c>
      <c r="EY431" s="67">
        <v>5663.94</v>
      </c>
      <c r="EZ431" s="67" t="s">
        <v>3469</v>
      </c>
      <c r="FA431" s="67">
        <v>20063.564999999999</v>
      </c>
      <c r="FB431" s="67" t="s">
        <v>3470</v>
      </c>
      <c r="FC431" s="67" t="s">
        <v>3471</v>
      </c>
      <c r="FD431" s="67" t="s">
        <v>3472</v>
      </c>
      <c r="FE431" s="68" t="s">
        <v>3473</v>
      </c>
      <c r="FF431" s="68" t="s">
        <v>3474</v>
      </c>
    </row>
    <row r="432" spans="151:162" x14ac:dyDescent="0.2">
      <c r="EU432" s="67">
        <v>565.97</v>
      </c>
      <c r="EV432" s="67" t="s">
        <v>3475</v>
      </c>
      <c r="EW432" s="67">
        <v>489.77</v>
      </c>
      <c r="EX432" s="67" t="s">
        <v>3476</v>
      </c>
      <c r="EY432" s="67">
        <v>5663.94</v>
      </c>
      <c r="EZ432" s="67" t="s">
        <v>3477</v>
      </c>
      <c r="FA432" s="67">
        <v>20063.564999999999</v>
      </c>
      <c r="FB432" s="67" t="s">
        <v>3478</v>
      </c>
      <c r="FC432" s="67" t="s">
        <v>3479</v>
      </c>
      <c r="FD432" s="67" t="s">
        <v>3480</v>
      </c>
      <c r="FE432" s="68" t="s">
        <v>3481</v>
      </c>
      <c r="FF432" s="68" t="s">
        <v>3482</v>
      </c>
    </row>
    <row r="433" spans="151:162" x14ac:dyDescent="0.2">
      <c r="EU433" s="67">
        <v>566.07000000000005</v>
      </c>
      <c r="EV433" s="67" t="s">
        <v>3483</v>
      </c>
      <c r="EW433" s="67">
        <v>489.81</v>
      </c>
      <c r="EX433" s="67" t="s">
        <v>3484</v>
      </c>
      <c r="EY433" s="67">
        <v>5663.94</v>
      </c>
      <c r="EZ433" s="67" t="s">
        <v>3485</v>
      </c>
      <c r="FA433" s="67">
        <v>20063.564999999999</v>
      </c>
      <c r="FB433" s="67" t="s">
        <v>3486</v>
      </c>
      <c r="FC433" s="67" t="s">
        <v>3487</v>
      </c>
      <c r="FD433" s="67" t="s">
        <v>3488</v>
      </c>
      <c r="FE433" s="68" t="s">
        <v>3489</v>
      </c>
      <c r="FF433" s="68" t="s">
        <v>3490</v>
      </c>
    </row>
    <row r="434" spans="151:162" x14ac:dyDescent="0.2">
      <c r="EU434" s="67">
        <v>566.07000000000005</v>
      </c>
      <c r="EV434" s="67" t="s">
        <v>3491</v>
      </c>
      <c r="EW434" s="67">
        <v>489.83</v>
      </c>
      <c r="EX434" s="67" t="s">
        <v>3492</v>
      </c>
      <c r="EY434" s="67">
        <v>5663.94</v>
      </c>
      <c r="EZ434" s="67" t="s">
        <v>3493</v>
      </c>
      <c r="FA434" s="67">
        <v>20063.564999999999</v>
      </c>
      <c r="FB434" s="67" t="s">
        <v>3494</v>
      </c>
      <c r="FC434" s="67" t="s">
        <v>3495</v>
      </c>
      <c r="FD434" s="67" t="s">
        <v>3496</v>
      </c>
      <c r="FE434" s="68" t="s">
        <v>3497</v>
      </c>
      <c r="FF434" s="68" t="s">
        <v>3498</v>
      </c>
    </row>
    <row r="435" spans="151:162" x14ac:dyDescent="0.2">
      <c r="EU435" s="67">
        <v>566.07000000000005</v>
      </c>
      <c r="EV435" s="67" t="s">
        <v>3499</v>
      </c>
      <c r="EW435" s="67">
        <v>489.81</v>
      </c>
      <c r="EX435" s="67" t="s">
        <v>3500</v>
      </c>
      <c r="EY435" s="67">
        <v>5663.94</v>
      </c>
      <c r="EZ435" s="67" t="s">
        <v>3501</v>
      </c>
      <c r="FA435" s="67">
        <v>20063.564999999999</v>
      </c>
      <c r="FB435" s="67" t="s">
        <v>3502</v>
      </c>
      <c r="FC435" s="67" t="s">
        <v>3503</v>
      </c>
      <c r="FD435" s="67" t="s">
        <v>3504</v>
      </c>
      <c r="FE435" s="68" t="s">
        <v>3505</v>
      </c>
      <c r="FF435" s="68" t="s">
        <v>3506</v>
      </c>
    </row>
    <row r="436" spans="151:162" x14ac:dyDescent="0.2">
      <c r="EU436" s="67">
        <v>566.1</v>
      </c>
      <c r="EV436" s="67" t="s">
        <v>3507</v>
      </c>
      <c r="EW436" s="67">
        <v>489.85</v>
      </c>
      <c r="EX436" s="67" t="s">
        <v>3508</v>
      </c>
      <c r="EY436" s="67">
        <v>5663.94</v>
      </c>
      <c r="EZ436" s="67" t="s">
        <v>3509</v>
      </c>
      <c r="FA436" s="67">
        <v>20063.564999999999</v>
      </c>
      <c r="FB436" s="67" t="s">
        <v>3510</v>
      </c>
      <c r="FC436" s="67" t="s">
        <v>3511</v>
      </c>
      <c r="FD436" s="67" t="s">
        <v>3512</v>
      </c>
      <c r="FE436" s="68" t="s">
        <v>3513</v>
      </c>
      <c r="FF436" s="68" t="s">
        <v>3514</v>
      </c>
    </row>
    <row r="437" spans="151:162" x14ac:dyDescent="0.2">
      <c r="EU437" s="67">
        <v>566.1</v>
      </c>
      <c r="EV437" s="67" t="s">
        <v>3515</v>
      </c>
      <c r="EW437" s="67">
        <v>489.82</v>
      </c>
      <c r="EX437" s="67" t="s">
        <v>3516</v>
      </c>
      <c r="EY437" s="67">
        <v>5663.94</v>
      </c>
      <c r="EZ437" s="67" t="s">
        <v>3517</v>
      </c>
      <c r="FA437" s="67">
        <v>20063.564999999999</v>
      </c>
      <c r="FB437" s="67" t="s">
        <v>3518</v>
      </c>
      <c r="FC437" s="67" t="s">
        <v>3519</v>
      </c>
      <c r="FD437" s="67" t="s">
        <v>3520</v>
      </c>
      <c r="FE437" s="68" t="s">
        <v>3521</v>
      </c>
      <c r="FF437" s="68" t="s">
        <v>3522</v>
      </c>
    </row>
    <row r="438" spans="151:162" x14ac:dyDescent="0.2">
      <c r="EU438" s="67">
        <v>566.13</v>
      </c>
      <c r="EV438" s="67" t="s">
        <v>3523</v>
      </c>
      <c r="EW438" s="67">
        <v>489.88</v>
      </c>
      <c r="EX438" s="67" t="s">
        <v>3524</v>
      </c>
      <c r="EY438" s="67">
        <v>5663.94</v>
      </c>
      <c r="EZ438" s="67" t="s">
        <v>3525</v>
      </c>
      <c r="FA438" s="67">
        <v>20063.564999999999</v>
      </c>
      <c r="FB438" s="67" t="s">
        <v>3526</v>
      </c>
      <c r="FC438" s="67" t="s">
        <v>3527</v>
      </c>
      <c r="FD438" s="67" t="s">
        <v>3528</v>
      </c>
      <c r="FE438" s="68" t="s">
        <v>3529</v>
      </c>
      <c r="FF438" s="68" t="s">
        <v>3530</v>
      </c>
    </row>
    <row r="439" spans="151:162" x14ac:dyDescent="0.2">
      <c r="EU439" s="67">
        <v>566.17999999999995</v>
      </c>
      <c r="EV439" s="67" t="s">
        <v>3531</v>
      </c>
      <c r="EW439" s="67">
        <v>489.92</v>
      </c>
      <c r="EX439" s="67" t="s">
        <v>3532</v>
      </c>
      <c r="EY439" s="67">
        <v>5663.94</v>
      </c>
      <c r="EZ439" s="67" t="s">
        <v>3533</v>
      </c>
      <c r="FA439" s="67">
        <v>20063.564999999999</v>
      </c>
      <c r="FB439" s="67" t="s">
        <v>3534</v>
      </c>
      <c r="FC439" s="67" t="s">
        <v>3535</v>
      </c>
      <c r="FD439" s="67" t="s">
        <v>3536</v>
      </c>
      <c r="FE439" s="68" t="s">
        <v>3537</v>
      </c>
      <c r="FF439" s="68" t="s">
        <v>3538</v>
      </c>
    </row>
    <row r="440" spans="151:162" x14ac:dyDescent="0.2">
      <c r="EU440" s="67">
        <v>566.23</v>
      </c>
      <c r="EV440" s="67" t="s">
        <v>3539</v>
      </c>
      <c r="EW440" s="67">
        <v>490</v>
      </c>
      <c r="EX440" s="67" t="s">
        <v>3540</v>
      </c>
      <c r="EY440" s="67">
        <v>5663.94</v>
      </c>
      <c r="EZ440" s="67" t="s">
        <v>3541</v>
      </c>
      <c r="FA440" s="67">
        <v>20063.564999999999</v>
      </c>
      <c r="FB440" s="67" t="s">
        <v>3542</v>
      </c>
      <c r="FC440" s="67" t="s">
        <v>3543</v>
      </c>
      <c r="FD440" s="67" t="s">
        <v>3544</v>
      </c>
      <c r="FE440" s="68" t="s">
        <v>3545</v>
      </c>
      <c r="FF440" s="68" t="s">
        <v>3546</v>
      </c>
    </row>
    <row r="441" spans="151:162" x14ac:dyDescent="0.2">
      <c r="EU441" s="67">
        <v>566.28</v>
      </c>
      <c r="EV441" s="67" t="s">
        <v>3547</v>
      </c>
      <c r="EW441" s="67">
        <v>490.05</v>
      </c>
      <c r="EX441" s="67" t="s">
        <v>3548</v>
      </c>
      <c r="EY441" s="67">
        <v>5663.94</v>
      </c>
      <c r="EZ441" s="67" t="s">
        <v>3549</v>
      </c>
      <c r="FA441" s="67">
        <v>20063.564999999999</v>
      </c>
      <c r="FB441" s="67" t="s">
        <v>3550</v>
      </c>
      <c r="FC441" s="67" t="s">
        <v>3551</v>
      </c>
      <c r="FD441" s="67" t="s">
        <v>3552</v>
      </c>
      <c r="FE441" s="68" t="s">
        <v>3553</v>
      </c>
      <c r="FF441" s="68" t="s">
        <v>3554</v>
      </c>
    </row>
    <row r="442" spans="151:162" x14ac:dyDescent="0.2">
      <c r="EU442" s="67">
        <v>566.26</v>
      </c>
      <c r="EV442" s="67" t="s">
        <v>3555</v>
      </c>
      <c r="EW442" s="67">
        <v>490.03</v>
      </c>
      <c r="EX442" s="67" t="s">
        <v>3556</v>
      </c>
      <c r="EY442" s="67">
        <v>5663.94</v>
      </c>
      <c r="EZ442" s="67" t="s">
        <v>3557</v>
      </c>
      <c r="FA442" s="67">
        <v>20063.564999999999</v>
      </c>
      <c r="FB442" s="67" t="s">
        <v>3558</v>
      </c>
      <c r="FC442" s="67" t="s">
        <v>3559</v>
      </c>
      <c r="FD442" s="67" t="s">
        <v>3560</v>
      </c>
      <c r="FE442" s="68" t="s">
        <v>3561</v>
      </c>
      <c r="FF442" s="68" t="s">
        <v>3562</v>
      </c>
    </row>
    <row r="443" spans="151:162" x14ac:dyDescent="0.2">
      <c r="EU443" s="67">
        <v>566.23</v>
      </c>
      <c r="EV443" s="67" t="s">
        <v>3563</v>
      </c>
      <c r="EW443" s="67">
        <v>489.98</v>
      </c>
      <c r="EX443" s="67" t="s">
        <v>3564</v>
      </c>
      <c r="EY443" s="67">
        <v>5663.94</v>
      </c>
      <c r="EZ443" s="67" t="s">
        <v>3565</v>
      </c>
      <c r="FA443" s="67">
        <v>20063.564999999999</v>
      </c>
      <c r="FB443" s="67" t="s">
        <v>3566</v>
      </c>
      <c r="FC443" s="67" t="s">
        <v>3567</v>
      </c>
      <c r="FD443" s="67" t="s">
        <v>3568</v>
      </c>
      <c r="FE443" s="68" t="s">
        <v>3569</v>
      </c>
      <c r="FF443" s="68" t="s">
        <v>3570</v>
      </c>
    </row>
    <row r="444" spans="151:162" x14ac:dyDescent="0.2">
      <c r="EU444" s="67">
        <v>566.30999999999995</v>
      </c>
      <c r="EV444" s="67" t="s">
        <v>3571</v>
      </c>
      <c r="EW444" s="67">
        <v>490.04</v>
      </c>
      <c r="EX444" s="67" t="s">
        <v>3572</v>
      </c>
      <c r="EY444" s="67">
        <v>5663.94</v>
      </c>
      <c r="EZ444" s="67" t="s">
        <v>3573</v>
      </c>
      <c r="FA444" s="67">
        <v>20063.564999999999</v>
      </c>
      <c r="FB444" s="67" t="s">
        <v>3574</v>
      </c>
      <c r="FC444" s="67" t="s">
        <v>3575</v>
      </c>
      <c r="FD444" s="67" t="s">
        <v>3576</v>
      </c>
      <c r="FE444" s="68" t="s">
        <v>3577</v>
      </c>
      <c r="FF444" s="68" t="s">
        <v>3578</v>
      </c>
    </row>
    <row r="445" spans="151:162" x14ac:dyDescent="0.2">
      <c r="EU445" s="67">
        <v>566.32000000000005</v>
      </c>
      <c r="EV445" s="67" t="s">
        <v>3579</v>
      </c>
      <c r="EW445" s="67">
        <v>490.04</v>
      </c>
      <c r="EX445" s="67" t="s">
        <v>3580</v>
      </c>
      <c r="EY445" s="67">
        <v>5663.94</v>
      </c>
      <c r="EZ445" s="67" t="s">
        <v>3581</v>
      </c>
      <c r="FA445" s="67">
        <v>20063.564999999999</v>
      </c>
      <c r="FB445" s="67" t="s">
        <v>3582</v>
      </c>
      <c r="FC445" s="67" t="s">
        <v>3583</v>
      </c>
      <c r="FD445" s="67" t="s">
        <v>3584</v>
      </c>
      <c r="FE445" s="68" t="s">
        <v>3585</v>
      </c>
      <c r="FF445" s="68" t="s">
        <v>3586</v>
      </c>
    </row>
    <row r="446" spans="151:162" x14ac:dyDescent="0.2">
      <c r="EU446" s="67">
        <v>566.27</v>
      </c>
      <c r="EV446" s="67" t="s">
        <v>3587</v>
      </c>
      <c r="EW446" s="67">
        <v>489.97</v>
      </c>
      <c r="EX446" s="67" t="s">
        <v>3588</v>
      </c>
      <c r="EY446" s="67">
        <v>5663.94</v>
      </c>
      <c r="EZ446" s="67" t="s">
        <v>3589</v>
      </c>
      <c r="FA446" s="67">
        <v>20063.564999999999</v>
      </c>
      <c r="FB446" s="67" t="s">
        <v>3590</v>
      </c>
      <c r="FC446" s="67" t="s">
        <v>3591</v>
      </c>
      <c r="FD446" s="67" t="s">
        <v>3592</v>
      </c>
      <c r="FE446" s="68" t="s">
        <v>3593</v>
      </c>
      <c r="FF446" s="68" t="s">
        <v>3594</v>
      </c>
    </row>
    <row r="447" spans="151:162" x14ac:dyDescent="0.2">
      <c r="EU447" s="67">
        <v>566.39</v>
      </c>
      <c r="EV447" s="67" t="s">
        <v>3595</v>
      </c>
      <c r="EW447" s="67">
        <v>490.13</v>
      </c>
      <c r="EX447" s="67" t="s">
        <v>3596</v>
      </c>
      <c r="EY447" s="67">
        <v>5663.94</v>
      </c>
      <c r="EZ447" s="67" t="s">
        <v>3597</v>
      </c>
      <c r="FA447" s="67">
        <v>20063.564999999999</v>
      </c>
      <c r="FB447" s="67" t="s">
        <v>3598</v>
      </c>
      <c r="FC447" s="67" t="s">
        <v>3599</v>
      </c>
      <c r="FD447" s="67" t="s">
        <v>3600</v>
      </c>
      <c r="FE447" s="68" t="s">
        <v>3601</v>
      </c>
      <c r="FF447" s="68" t="s">
        <v>3602</v>
      </c>
    </row>
    <row r="448" spans="151:162" x14ac:dyDescent="0.2">
      <c r="EU448" s="67">
        <v>566.47</v>
      </c>
      <c r="EV448" s="67" t="s">
        <v>3603</v>
      </c>
      <c r="EW448" s="67">
        <v>490.2</v>
      </c>
      <c r="EX448" s="67" t="s">
        <v>3604</v>
      </c>
      <c r="EY448" s="67">
        <v>5663.94</v>
      </c>
      <c r="EZ448" s="67" t="s">
        <v>3605</v>
      </c>
      <c r="FA448" s="67">
        <v>20063.564999999999</v>
      </c>
      <c r="FB448" s="67" t="s">
        <v>3606</v>
      </c>
      <c r="FC448" s="67" t="s">
        <v>3607</v>
      </c>
      <c r="FD448" s="67" t="s">
        <v>3608</v>
      </c>
      <c r="FE448" s="68" t="s">
        <v>3609</v>
      </c>
      <c r="FF448" s="68" t="s">
        <v>3610</v>
      </c>
    </row>
    <row r="449" spans="151:162" x14ac:dyDescent="0.2">
      <c r="EU449" s="67">
        <v>566.49</v>
      </c>
      <c r="EV449" s="67" t="s">
        <v>3611</v>
      </c>
      <c r="EW449" s="67">
        <v>490.2</v>
      </c>
      <c r="EX449" s="67" t="s">
        <v>3612</v>
      </c>
      <c r="EY449" s="67">
        <v>5663.94</v>
      </c>
      <c r="EZ449" s="67" t="s">
        <v>3613</v>
      </c>
      <c r="FA449" s="67">
        <v>20063.564999999999</v>
      </c>
      <c r="FB449" s="67" t="s">
        <v>3614</v>
      </c>
      <c r="FC449" s="67" t="s">
        <v>3615</v>
      </c>
      <c r="FD449" s="67" t="s">
        <v>3616</v>
      </c>
      <c r="FE449" s="68" t="s">
        <v>3617</v>
      </c>
      <c r="FF449" s="68" t="s">
        <v>3618</v>
      </c>
    </row>
    <row r="450" spans="151:162" x14ac:dyDescent="0.2">
      <c r="EU450" s="67">
        <v>566.42999999999995</v>
      </c>
      <c r="EV450" s="67" t="s">
        <v>3619</v>
      </c>
      <c r="EW450" s="67">
        <v>490.11</v>
      </c>
      <c r="EX450" s="67" t="s">
        <v>3620</v>
      </c>
      <c r="EY450" s="67">
        <v>5663.94</v>
      </c>
      <c r="EZ450" s="67" t="s">
        <v>3621</v>
      </c>
      <c r="FA450" s="67">
        <v>20063.564999999999</v>
      </c>
      <c r="FB450" s="67" t="s">
        <v>3622</v>
      </c>
      <c r="FC450" s="67" t="s">
        <v>3623</v>
      </c>
      <c r="FD450" s="67" t="s">
        <v>3624</v>
      </c>
      <c r="FE450" s="68" t="s">
        <v>3625</v>
      </c>
      <c r="FF450" s="68" t="s">
        <v>3626</v>
      </c>
    </row>
    <row r="451" spans="151:162" x14ac:dyDescent="0.2">
      <c r="EU451" s="67">
        <v>566.36</v>
      </c>
      <c r="EV451" s="67" t="s">
        <v>3627</v>
      </c>
      <c r="EW451" s="67">
        <v>490.03</v>
      </c>
      <c r="EX451" s="67" t="s">
        <v>3628</v>
      </c>
      <c r="EY451" s="67">
        <v>5663.94</v>
      </c>
      <c r="EZ451" s="67" t="s">
        <v>3629</v>
      </c>
      <c r="FA451" s="67">
        <v>20063.564999999999</v>
      </c>
      <c r="FB451" s="67" t="s">
        <v>3630</v>
      </c>
      <c r="FC451" s="67" t="s">
        <v>3631</v>
      </c>
      <c r="FD451" s="67" t="s">
        <v>3632</v>
      </c>
      <c r="FE451" s="68" t="s">
        <v>3633</v>
      </c>
      <c r="FF451" s="68" t="s">
        <v>3634</v>
      </c>
    </row>
    <row r="452" spans="151:162" x14ac:dyDescent="0.2">
      <c r="EU452" s="67">
        <v>566.26</v>
      </c>
      <c r="EV452" s="67" t="s">
        <v>3635</v>
      </c>
      <c r="EW452" s="67">
        <v>489.9</v>
      </c>
      <c r="EX452" s="67" t="s">
        <v>3636</v>
      </c>
      <c r="EY452" s="67">
        <v>5663.94</v>
      </c>
      <c r="EZ452" s="67" t="s">
        <v>3637</v>
      </c>
      <c r="FA452" s="67">
        <v>20063.564999999999</v>
      </c>
      <c r="FB452" s="67" t="s">
        <v>3638</v>
      </c>
      <c r="FC452" s="67" t="s">
        <v>3639</v>
      </c>
      <c r="FD452" s="67" t="s">
        <v>3640</v>
      </c>
      <c r="FE452" s="68" t="s">
        <v>3641</v>
      </c>
      <c r="FF452" s="68" t="s">
        <v>3642</v>
      </c>
    </row>
    <row r="453" spans="151:162" x14ac:dyDescent="0.2">
      <c r="EU453" s="67">
        <v>566.29</v>
      </c>
      <c r="EV453" s="67" t="s">
        <v>3643</v>
      </c>
      <c r="EW453" s="67">
        <v>489.95</v>
      </c>
      <c r="EX453" s="67" t="s">
        <v>3644</v>
      </c>
      <c r="EY453" s="67">
        <v>5663.94</v>
      </c>
      <c r="EZ453" s="67" t="s">
        <v>3645</v>
      </c>
      <c r="FA453" s="67">
        <v>20063.564999999999</v>
      </c>
      <c r="FB453" s="67" t="s">
        <v>3646</v>
      </c>
      <c r="FC453" s="67" t="s">
        <v>3647</v>
      </c>
      <c r="FD453" s="67" t="s">
        <v>3648</v>
      </c>
      <c r="FE453" s="68" t="s">
        <v>3649</v>
      </c>
      <c r="FF453" s="68" t="s">
        <v>3650</v>
      </c>
    </row>
    <row r="454" spans="151:162" x14ac:dyDescent="0.2">
      <c r="EU454" s="67">
        <v>566.27</v>
      </c>
      <c r="EV454" s="67" t="s">
        <v>3651</v>
      </c>
      <c r="EW454" s="67">
        <v>489.93</v>
      </c>
      <c r="EX454" s="67" t="s">
        <v>3652</v>
      </c>
      <c r="EY454" s="67">
        <v>5663.94</v>
      </c>
      <c r="EZ454" s="67" t="s">
        <v>3653</v>
      </c>
      <c r="FA454" s="67">
        <v>20063.564999999999</v>
      </c>
      <c r="FB454" s="67" t="s">
        <v>3654</v>
      </c>
      <c r="FC454" s="67" t="s">
        <v>3655</v>
      </c>
      <c r="FD454" s="67" t="s">
        <v>3656</v>
      </c>
      <c r="FE454" s="68" t="s">
        <v>3657</v>
      </c>
      <c r="FF454" s="68" t="s">
        <v>3658</v>
      </c>
    </row>
    <row r="455" spans="151:162" x14ac:dyDescent="0.2">
      <c r="EU455" s="67">
        <v>566.29</v>
      </c>
      <c r="EV455" s="67" t="s">
        <v>3659</v>
      </c>
      <c r="EW455" s="67">
        <v>489.95</v>
      </c>
      <c r="EX455" s="67" t="s">
        <v>3660</v>
      </c>
      <c r="EY455" s="67">
        <v>5663.94</v>
      </c>
      <c r="EZ455" s="67" t="s">
        <v>3661</v>
      </c>
      <c r="FA455" s="67">
        <v>20063.564999999999</v>
      </c>
      <c r="FB455" s="67" t="s">
        <v>3662</v>
      </c>
      <c r="FC455" s="67" t="s">
        <v>3663</v>
      </c>
      <c r="FD455" s="67" t="s">
        <v>3664</v>
      </c>
      <c r="FE455" s="68" t="s">
        <v>3665</v>
      </c>
      <c r="FF455" s="68" t="s">
        <v>3666</v>
      </c>
    </row>
    <row r="456" spans="151:162" x14ac:dyDescent="0.2">
      <c r="EU456" s="67">
        <v>566.32000000000005</v>
      </c>
      <c r="EV456" s="67" t="s">
        <v>3667</v>
      </c>
      <c r="EW456" s="67">
        <v>489.97</v>
      </c>
      <c r="EX456" s="67" t="s">
        <v>3668</v>
      </c>
      <c r="EY456" s="67">
        <v>5663.94</v>
      </c>
      <c r="EZ456" s="67" t="s">
        <v>3669</v>
      </c>
      <c r="FA456" s="67">
        <v>20063.564999999999</v>
      </c>
      <c r="FB456" s="67" t="s">
        <v>3670</v>
      </c>
      <c r="FC456" s="67" t="s">
        <v>3671</v>
      </c>
      <c r="FD456" s="67" t="s">
        <v>3672</v>
      </c>
      <c r="FE456" s="68" t="s">
        <v>3673</v>
      </c>
      <c r="FF456" s="68" t="s">
        <v>3674</v>
      </c>
    </row>
    <row r="457" spans="151:162" x14ac:dyDescent="0.2">
      <c r="EU457" s="67">
        <v>566.36</v>
      </c>
      <c r="EV457" s="67" t="s">
        <v>3675</v>
      </c>
      <c r="EW457" s="67">
        <v>490.01</v>
      </c>
      <c r="EX457" s="67" t="s">
        <v>3676</v>
      </c>
      <c r="EY457" s="67">
        <v>5663.94</v>
      </c>
      <c r="EZ457" s="67" t="s">
        <v>3677</v>
      </c>
      <c r="FA457" s="67">
        <v>20063.564999999999</v>
      </c>
      <c r="FB457" s="67" t="s">
        <v>3678</v>
      </c>
      <c r="FC457" s="67" t="s">
        <v>3679</v>
      </c>
      <c r="FD457" s="67" t="s">
        <v>3680</v>
      </c>
      <c r="FE457" s="68" t="s">
        <v>3681</v>
      </c>
      <c r="FF457" s="68" t="s">
        <v>3682</v>
      </c>
    </row>
    <row r="458" spans="151:162" x14ac:dyDescent="0.2">
      <c r="EU458" s="67">
        <v>566.37</v>
      </c>
      <c r="EV458" s="67" t="s">
        <v>3683</v>
      </c>
      <c r="EW458" s="67">
        <v>490.01</v>
      </c>
      <c r="EX458" s="67" t="s">
        <v>3684</v>
      </c>
      <c r="EY458" s="67">
        <v>5663.94</v>
      </c>
      <c r="EZ458" s="67" t="s">
        <v>3685</v>
      </c>
      <c r="FA458" s="67">
        <v>20063.564999999999</v>
      </c>
      <c r="FB458" s="67" t="s">
        <v>3686</v>
      </c>
      <c r="FC458" s="67" t="s">
        <v>3687</v>
      </c>
      <c r="FD458" s="67" t="s">
        <v>3688</v>
      </c>
      <c r="FE458" s="68" t="s">
        <v>3689</v>
      </c>
      <c r="FF458" s="68" t="s">
        <v>3690</v>
      </c>
    </row>
    <row r="459" spans="151:162" x14ac:dyDescent="0.2">
      <c r="EU459" s="67">
        <v>566.41999999999996</v>
      </c>
      <c r="EV459" s="67" t="s">
        <v>3691</v>
      </c>
      <c r="EW459" s="67">
        <v>490.1</v>
      </c>
      <c r="EX459" s="67" t="s">
        <v>3692</v>
      </c>
      <c r="EY459" s="67">
        <v>5663.94</v>
      </c>
      <c r="EZ459" s="67" t="s">
        <v>3693</v>
      </c>
      <c r="FA459" s="67">
        <v>20063.564999999999</v>
      </c>
      <c r="FB459" s="67" t="s">
        <v>3694</v>
      </c>
      <c r="FC459" s="67" t="s">
        <v>3695</v>
      </c>
      <c r="FD459" s="67" t="s">
        <v>3696</v>
      </c>
      <c r="FE459" s="68" t="s">
        <v>3697</v>
      </c>
      <c r="FF459" s="68" t="s">
        <v>3698</v>
      </c>
    </row>
    <row r="460" spans="151:162" x14ac:dyDescent="0.2">
      <c r="EU460" s="67">
        <v>566.47</v>
      </c>
      <c r="EV460" s="67" t="s">
        <v>3699</v>
      </c>
      <c r="EW460" s="67">
        <v>490.16</v>
      </c>
      <c r="EX460" s="67" t="s">
        <v>3700</v>
      </c>
      <c r="EY460" s="67">
        <v>5663.94</v>
      </c>
      <c r="EZ460" s="67" t="s">
        <v>3701</v>
      </c>
      <c r="FA460" s="67">
        <v>20063.564999999999</v>
      </c>
      <c r="FB460" s="67" t="s">
        <v>3702</v>
      </c>
      <c r="FC460" s="67" t="s">
        <v>3703</v>
      </c>
      <c r="FD460" s="67" t="s">
        <v>3704</v>
      </c>
      <c r="FE460" s="68" t="s">
        <v>3705</v>
      </c>
      <c r="FF460" s="68" t="s">
        <v>3706</v>
      </c>
    </row>
    <row r="461" spans="151:162" x14ac:dyDescent="0.2">
      <c r="EU461" s="67">
        <v>566.62</v>
      </c>
      <c r="EV461" s="67" t="s">
        <v>3707</v>
      </c>
      <c r="EW461" s="67">
        <v>490.32</v>
      </c>
      <c r="EX461" s="67" t="s">
        <v>3708</v>
      </c>
      <c r="EY461" s="67">
        <v>5663.94</v>
      </c>
      <c r="EZ461" s="67" t="s">
        <v>3709</v>
      </c>
      <c r="FA461" s="67">
        <v>20063.564999999999</v>
      </c>
      <c r="FB461" s="67" t="s">
        <v>3710</v>
      </c>
      <c r="FC461" s="67" t="s">
        <v>3711</v>
      </c>
      <c r="FD461" s="67" t="s">
        <v>3712</v>
      </c>
      <c r="FE461" s="68" t="s">
        <v>3713</v>
      </c>
      <c r="FF461" s="68" t="s">
        <v>3714</v>
      </c>
    </row>
    <row r="462" spans="151:162" x14ac:dyDescent="0.2">
      <c r="EU462" s="67">
        <v>566.67999999999995</v>
      </c>
      <c r="EV462" s="67" t="s">
        <v>3715</v>
      </c>
      <c r="EW462" s="67">
        <v>490.39</v>
      </c>
      <c r="EX462" s="67" t="s">
        <v>3716</v>
      </c>
      <c r="EY462" s="67">
        <v>5663.94</v>
      </c>
      <c r="EZ462" s="67" t="s">
        <v>3717</v>
      </c>
      <c r="FA462" s="67">
        <v>20063.564999999999</v>
      </c>
      <c r="FB462" s="67" t="s">
        <v>3718</v>
      </c>
      <c r="FC462" s="67" t="s">
        <v>3719</v>
      </c>
      <c r="FD462" s="67" t="s">
        <v>3720</v>
      </c>
      <c r="FE462" s="68" t="s">
        <v>3721</v>
      </c>
      <c r="FF462" s="68" t="s">
        <v>3722</v>
      </c>
    </row>
    <row r="463" spans="151:162" x14ac:dyDescent="0.2">
      <c r="EU463" s="67">
        <v>566.58000000000004</v>
      </c>
      <c r="EV463" s="67" t="s">
        <v>3723</v>
      </c>
      <c r="EW463" s="67">
        <v>490.3</v>
      </c>
      <c r="EX463" s="67" t="s">
        <v>3724</v>
      </c>
      <c r="EY463" s="67">
        <v>5663.94</v>
      </c>
      <c r="EZ463" s="67" t="s">
        <v>3725</v>
      </c>
      <c r="FA463" s="67">
        <v>20063.564999999999</v>
      </c>
      <c r="FB463" s="67" t="s">
        <v>3726</v>
      </c>
      <c r="FC463" s="67" t="s">
        <v>3727</v>
      </c>
      <c r="FD463" s="67" t="s">
        <v>3728</v>
      </c>
      <c r="FE463" s="68" t="s">
        <v>3729</v>
      </c>
      <c r="FF463" s="68" t="s">
        <v>3730</v>
      </c>
    </row>
    <row r="464" spans="151:162" x14ac:dyDescent="0.2">
      <c r="EU464" s="67">
        <v>566.73</v>
      </c>
      <c r="EV464" s="67" t="s">
        <v>3731</v>
      </c>
      <c r="EW464" s="67">
        <v>490.43</v>
      </c>
      <c r="EX464" s="67" t="s">
        <v>3732</v>
      </c>
      <c r="EY464" s="67">
        <v>5663.94</v>
      </c>
      <c r="EZ464" s="67" t="s">
        <v>3733</v>
      </c>
      <c r="FA464" s="67">
        <v>20063.564999999999</v>
      </c>
      <c r="FB464" s="67" t="s">
        <v>3734</v>
      </c>
      <c r="FC464" s="67" t="s">
        <v>3735</v>
      </c>
      <c r="FD464" s="67" t="s">
        <v>3736</v>
      </c>
      <c r="FE464" s="68" t="s">
        <v>3737</v>
      </c>
      <c r="FF464" s="68" t="s">
        <v>3738</v>
      </c>
    </row>
    <row r="465" spans="151:162" x14ac:dyDescent="0.2">
      <c r="EU465" s="67">
        <v>566.66999999999996</v>
      </c>
      <c r="EV465" s="67" t="s">
        <v>3739</v>
      </c>
      <c r="EW465" s="67">
        <v>490.41</v>
      </c>
      <c r="EX465" s="67" t="s">
        <v>3740</v>
      </c>
      <c r="EY465" s="67">
        <v>5663.94</v>
      </c>
      <c r="EZ465" s="67" t="s">
        <v>3741</v>
      </c>
      <c r="FA465" s="67">
        <v>20063.564999999999</v>
      </c>
      <c r="FB465" s="67" t="s">
        <v>3742</v>
      </c>
      <c r="FC465" s="67" t="s">
        <v>3743</v>
      </c>
      <c r="FD465" s="67" t="s">
        <v>3744</v>
      </c>
      <c r="FE465" s="68" t="s">
        <v>3745</v>
      </c>
      <c r="FF465" s="68" t="s">
        <v>3746</v>
      </c>
    </row>
    <row r="466" spans="151:162" x14ac:dyDescent="0.2">
      <c r="EU466" s="67">
        <v>566.66</v>
      </c>
      <c r="EV466" s="67" t="s">
        <v>3747</v>
      </c>
      <c r="EW466" s="67">
        <v>490.4</v>
      </c>
      <c r="EX466" s="67" t="s">
        <v>3748</v>
      </c>
      <c r="EY466" s="67">
        <v>5663.94</v>
      </c>
      <c r="EZ466" s="67" t="s">
        <v>3749</v>
      </c>
      <c r="FA466" s="67">
        <v>20063.564999999999</v>
      </c>
      <c r="FB466" s="67" t="s">
        <v>3750</v>
      </c>
      <c r="FC466" s="67" t="s">
        <v>3751</v>
      </c>
      <c r="FD466" s="67" t="s">
        <v>3752</v>
      </c>
      <c r="FE466" s="68" t="s">
        <v>3753</v>
      </c>
      <c r="FF466" s="68" t="s">
        <v>3754</v>
      </c>
    </row>
    <row r="467" spans="151:162" x14ac:dyDescent="0.2">
      <c r="EU467" s="67">
        <v>566.58000000000004</v>
      </c>
      <c r="EV467" s="67" t="s">
        <v>3755</v>
      </c>
      <c r="EW467" s="67">
        <v>490.34</v>
      </c>
      <c r="EX467" s="67" t="s">
        <v>3756</v>
      </c>
      <c r="EY467" s="67">
        <v>5663.94</v>
      </c>
      <c r="EZ467" s="67" t="s">
        <v>3757</v>
      </c>
      <c r="FA467" s="67">
        <v>20063.564999999999</v>
      </c>
      <c r="FB467" s="67" t="s">
        <v>3758</v>
      </c>
      <c r="FC467" s="67" t="s">
        <v>3759</v>
      </c>
      <c r="FD467" s="67" t="s">
        <v>3760</v>
      </c>
      <c r="FE467" s="68" t="s">
        <v>3761</v>
      </c>
      <c r="FF467" s="68" t="s">
        <v>3762</v>
      </c>
    </row>
    <row r="468" spans="151:162" x14ac:dyDescent="0.2">
      <c r="EU468" s="67">
        <v>566.64</v>
      </c>
      <c r="EV468" s="67" t="s">
        <v>3763</v>
      </c>
      <c r="EW468" s="67">
        <v>490.37</v>
      </c>
      <c r="EX468" s="67" t="s">
        <v>3764</v>
      </c>
      <c r="EY468" s="67">
        <v>5663.94</v>
      </c>
      <c r="EZ468" s="67" t="s">
        <v>3765</v>
      </c>
      <c r="FA468" s="67">
        <v>20063.564999999999</v>
      </c>
      <c r="FB468" s="67" t="s">
        <v>3766</v>
      </c>
      <c r="FC468" s="67" t="s">
        <v>3767</v>
      </c>
      <c r="FD468" s="67" t="s">
        <v>3768</v>
      </c>
      <c r="FE468" s="68" t="s">
        <v>3769</v>
      </c>
      <c r="FF468" s="68" t="s">
        <v>3770</v>
      </c>
    </row>
    <row r="469" spans="151:162" x14ac:dyDescent="0.2">
      <c r="EU469" s="67">
        <v>566.66999999999996</v>
      </c>
      <c r="EV469" s="67" t="s">
        <v>3771</v>
      </c>
      <c r="EW469" s="67">
        <v>490.37</v>
      </c>
      <c r="EX469" s="67" t="s">
        <v>3772</v>
      </c>
      <c r="EY469" s="67">
        <v>5663.94</v>
      </c>
      <c r="EZ469" s="67" t="s">
        <v>3773</v>
      </c>
      <c r="FA469" s="67">
        <v>20063.564999999999</v>
      </c>
      <c r="FB469" s="67" t="s">
        <v>3774</v>
      </c>
      <c r="FC469" s="67" t="s">
        <v>3775</v>
      </c>
      <c r="FD469" s="67" t="s">
        <v>3776</v>
      </c>
      <c r="FE469" s="68" t="s">
        <v>3777</v>
      </c>
      <c r="FF469" s="68" t="s">
        <v>3778</v>
      </c>
    </row>
    <row r="470" spans="151:162" x14ac:dyDescent="0.2">
      <c r="EU470" s="67">
        <v>566.67999999999995</v>
      </c>
      <c r="EV470" s="67" t="s">
        <v>3779</v>
      </c>
      <c r="EW470" s="67">
        <v>490.4</v>
      </c>
      <c r="EX470" s="67" t="s">
        <v>3780</v>
      </c>
      <c r="EY470" s="67">
        <v>5663.94</v>
      </c>
      <c r="EZ470" s="67" t="s">
        <v>3781</v>
      </c>
      <c r="FA470" s="67">
        <v>20063.564999999999</v>
      </c>
      <c r="FB470" s="67" t="s">
        <v>3782</v>
      </c>
      <c r="FC470" s="67" t="s">
        <v>3783</v>
      </c>
      <c r="FD470" s="67" t="s">
        <v>3784</v>
      </c>
      <c r="FE470" s="68" t="s">
        <v>3785</v>
      </c>
      <c r="FF470" s="68" t="s">
        <v>3786</v>
      </c>
    </row>
    <row r="471" spans="151:162" x14ac:dyDescent="0.2">
      <c r="EU471" s="67">
        <v>566.70000000000005</v>
      </c>
      <c r="EV471" s="67" t="s">
        <v>3787</v>
      </c>
      <c r="EW471" s="67">
        <v>490.39</v>
      </c>
      <c r="EX471" s="67" t="s">
        <v>3788</v>
      </c>
      <c r="EY471" s="67">
        <v>5663.94</v>
      </c>
      <c r="EZ471" s="67" t="s">
        <v>3789</v>
      </c>
      <c r="FA471" s="67">
        <v>20063.564999999999</v>
      </c>
      <c r="FB471" s="67" t="s">
        <v>3790</v>
      </c>
      <c r="FC471" s="67" t="s">
        <v>3791</v>
      </c>
      <c r="FD471" s="67" t="s">
        <v>3792</v>
      </c>
      <c r="FE471" s="68" t="s">
        <v>3793</v>
      </c>
      <c r="FF471" s="68" t="s">
        <v>3794</v>
      </c>
    </row>
    <row r="472" spans="151:162" x14ac:dyDescent="0.2">
      <c r="EU472" s="67">
        <v>566.77</v>
      </c>
      <c r="EV472" s="67" t="s">
        <v>3795</v>
      </c>
      <c r="EW472" s="67">
        <v>490.43</v>
      </c>
      <c r="EX472" s="67" t="s">
        <v>3796</v>
      </c>
      <c r="EY472" s="67">
        <v>5663.94</v>
      </c>
      <c r="EZ472" s="67" t="s">
        <v>3797</v>
      </c>
      <c r="FA472" s="67">
        <v>20063.564999999999</v>
      </c>
      <c r="FB472" s="67" t="s">
        <v>3798</v>
      </c>
      <c r="FC472" s="67" t="s">
        <v>3799</v>
      </c>
      <c r="FD472" s="67" t="s">
        <v>3800</v>
      </c>
      <c r="FE472" s="68" t="s">
        <v>3801</v>
      </c>
      <c r="FF472" s="68" t="s">
        <v>3802</v>
      </c>
    </row>
    <row r="473" spans="151:162" x14ac:dyDescent="0.2">
      <c r="EU473" s="67">
        <v>566.62</v>
      </c>
      <c r="EV473" s="67" t="s">
        <v>3803</v>
      </c>
      <c r="EW473" s="67">
        <v>490.29</v>
      </c>
      <c r="EX473" s="67" t="s">
        <v>3804</v>
      </c>
      <c r="EY473" s="67">
        <v>5663.94</v>
      </c>
      <c r="EZ473" s="67" t="s">
        <v>3805</v>
      </c>
      <c r="FA473" s="67">
        <v>20063.564999999999</v>
      </c>
      <c r="FB473" s="67" t="s">
        <v>3806</v>
      </c>
      <c r="FC473" s="67" t="s">
        <v>3807</v>
      </c>
      <c r="FD473" s="67" t="s">
        <v>3808</v>
      </c>
      <c r="FE473" s="68" t="s">
        <v>3809</v>
      </c>
      <c r="FF473" s="68" t="s">
        <v>3810</v>
      </c>
    </row>
    <row r="474" spans="151:162" x14ac:dyDescent="0.2">
      <c r="EU474" s="67">
        <v>566.57000000000005</v>
      </c>
      <c r="EV474" s="67" t="s">
        <v>3811</v>
      </c>
      <c r="EW474" s="67">
        <v>490.25</v>
      </c>
      <c r="EX474" s="67" t="s">
        <v>3812</v>
      </c>
      <c r="EY474" s="67">
        <v>5663.94</v>
      </c>
      <c r="EZ474" s="67" t="s">
        <v>3813</v>
      </c>
      <c r="FA474" s="67">
        <v>20063.564999999999</v>
      </c>
      <c r="FB474" s="67" t="s">
        <v>3814</v>
      </c>
      <c r="FC474" s="67" t="s">
        <v>3815</v>
      </c>
      <c r="FD474" s="67" t="s">
        <v>3816</v>
      </c>
      <c r="FE474" s="68" t="s">
        <v>3817</v>
      </c>
      <c r="FF474" s="68" t="s">
        <v>3818</v>
      </c>
    </row>
    <row r="475" spans="151:162" x14ac:dyDescent="0.2">
      <c r="EU475" s="67">
        <v>566.51</v>
      </c>
      <c r="EV475" s="67" t="s">
        <v>3819</v>
      </c>
      <c r="EW475" s="67">
        <v>490.19</v>
      </c>
      <c r="EX475" s="67" t="s">
        <v>3820</v>
      </c>
      <c r="EY475" s="67">
        <v>5663.94</v>
      </c>
      <c r="EZ475" s="67" t="s">
        <v>3821</v>
      </c>
      <c r="FA475" s="67">
        <v>20063.564999999999</v>
      </c>
      <c r="FB475" s="67" t="s">
        <v>3822</v>
      </c>
      <c r="FC475" s="67" t="s">
        <v>3823</v>
      </c>
      <c r="FD475" s="67" t="s">
        <v>3824</v>
      </c>
      <c r="FE475" s="68" t="s">
        <v>3825</v>
      </c>
      <c r="FF475" s="68" t="s">
        <v>3826</v>
      </c>
    </row>
    <row r="476" spans="151:162" x14ac:dyDescent="0.2">
      <c r="EU476" s="67">
        <v>566.57000000000005</v>
      </c>
      <c r="EV476" s="67" t="s">
        <v>3827</v>
      </c>
      <c r="EW476" s="67">
        <v>490.24</v>
      </c>
      <c r="EX476" s="67" t="s">
        <v>3828</v>
      </c>
      <c r="EY476" s="67">
        <v>5663.94</v>
      </c>
      <c r="EZ476" s="67" t="s">
        <v>3829</v>
      </c>
      <c r="FA476" s="67">
        <v>20063.564999999999</v>
      </c>
      <c r="FB476" s="67" t="s">
        <v>3830</v>
      </c>
      <c r="FC476" s="67" t="s">
        <v>3831</v>
      </c>
      <c r="FD476" s="67" t="s">
        <v>3832</v>
      </c>
      <c r="FE476" s="68" t="s">
        <v>3833</v>
      </c>
      <c r="FF476" s="68" t="s">
        <v>3834</v>
      </c>
    </row>
    <row r="477" spans="151:162" x14ac:dyDescent="0.2">
      <c r="EU477" s="67">
        <v>566.62</v>
      </c>
      <c r="EV477" s="67" t="s">
        <v>3835</v>
      </c>
      <c r="EW477" s="67">
        <v>490.3</v>
      </c>
      <c r="EX477" s="67" t="s">
        <v>3836</v>
      </c>
      <c r="EY477" s="67">
        <v>5663.94</v>
      </c>
      <c r="EZ477" s="67" t="s">
        <v>3837</v>
      </c>
      <c r="FA477" s="67">
        <v>20063.564999999999</v>
      </c>
      <c r="FB477" s="67" t="s">
        <v>3838</v>
      </c>
      <c r="FC477" s="67" t="s">
        <v>3839</v>
      </c>
      <c r="FD477" s="67" t="s">
        <v>3840</v>
      </c>
      <c r="FE477" s="68" t="s">
        <v>3841</v>
      </c>
      <c r="FF477" s="68" t="s">
        <v>3842</v>
      </c>
    </row>
    <row r="478" spans="151:162" x14ac:dyDescent="0.2">
      <c r="EU478" s="67">
        <v>566.51</v>
      </c>
      <c r="EV478" s="67" t="s">
        <v>3843</v>
      </c>
      <c r="EW478" s="67">
        <v>490.24</v>
      </c>
      <c r="EX478" s="67" t="s">
        <v>3844</v>
      </c>
      <c r="EY478" s="67">
        <v>5663.94</v>
      </c>
      <c r="EZ478" s="67" t="s">
        <v>3845</v>
      </c>
      <c r="FA478" s="67">
        <v>20063.564999999999</v>
      </c>
      <c r="FB478" s="67" t="s">
        <v>3846</v>
      </c>
      <c r="FC478" s="67" t="s">
        <v>3847</v>
      </c>
      <c r="FD478" s="67" t="s">
        <v>3848</v>
      </c>
      <c r="FE478" s="68" t="s">
        <v>3849</v>
      </c>
      <c r="FF478" s="68" t="s">
        <v>3850</v>
      </c>
    </row>
    <row r="479" spans="151:162" x14ac:dyDescent="0.2">
      <c r="EU479" s="67">
        <v>566.52</v>
      </c>
      <c r="EV479" s="67" t="s">
        <v>3851</v>
      </c>
      <c r="EW479" s="67">
        <v>490.27</v>
      </c>
      <c r="EX479" s="67" t="s">
        <v>3852</v>
      </c>
      <c r="EY479" s="67">
        <v>5663.94</v>
      </c>
      <c r="EZ479" s="67" t="s">
        <v>3853</v>
      </c>
      <c r="FA479" s="67">
        <v>20063.564999999999</v>
      </c>
      <c r="FB479" s="67" t="s">
        <v>3854</v>
      </c>
      <c r="FC479" s="67" t="s">
        <v>3855</v>
      </c>
      <c r="FD479" s="67" t="s">
        <v>3856</v>
      </c>
      <c r="FE479" s="68" t="s">
        <v>3857</v>
      </c>
      <c r="FF479" s="68" t="s">
        <v>3858</v>
      </c>
    </row>
    <row r="480" spans="151:162" x14ac:dyDescent="0.2">
      <c r="EU480" s="67">
        <v>566.51</v>
      </c>
      <c r="EV480" s="67" t="s">
        <v>3859</v>
      </c>
      <c r="EW480" s="67">
        <v>490.29</v>
      </c>
      <c r="EX480" s="67" t="s">
        <v>3860</v>
      </c>
      <c r="EY480" s="67">
        <v>5663.94</v>
      </c>
      <c r="EZ480" s="67" t="s">
        <v>3861</v>
      </c>
      <c r="FA480" s="67">
        <v>20063.564999999999</v>
      </c>
      <c r="FB480" s="67" t="s">
        <v>3862</v>
      </c>
      <c r="FC480" s="67" t="s">
        <v>3863</v>
      </c>
      <c r="FD480" s="67" t="s">
        <v>3864</v>
      </c>
      <c r="FE480" s="68" t="s">
        <v>3865</v>
      </c>
      <c r="FF480" s="68" t="s">
        <v>3866</v>
      </c>
    </row>
    <row r="481" spans="151:162" x14ac:dyDescent="0.2">
      <c r="EU481" s="67">
        <v>566.46</v>
      </c>
      <c r="EV481" s="67" t="s">
        <v>3868</v>
      </c>
      <c r="EW481" s="67">
        <v>490.23</v>
      </c>
      <c r="EX481" s="67" t="s">
        <v>3869</v>
      </c>
      <c r="EY481" s="67">
        <v>5663.94</v>
      </c>
      <c r="EZ481" s="67" t="s">
        <v>3870</v>
      </c>
      <c r="FA481" s="67">
        <v>20063.564999999999</v>
      </c>
      <c r="FB481" s="67" t="s">
        <v>3871</v>
      </c>
      <c r="FC481" s="67" t="s">
        <v>3872</v>
      </c>
      <c r="FD481" s="67" t="s">
        <v>3873</v>
      </c>
      <c r="FE481" s="68" t="s">
        <v>3874</v>
      </c>
      <c r="FF481" s="68" t="s">
        <v>3875</v>
      </c>
    </row>
    <row r="482" spans="151:162" x14ac:dyDescent="0.2">
      <c r="EU482" s="67">
        <v>566.45000000000005</v>
      </c>
      <c r="EV482" s="67" t="s">
        <v>3876</v>
      </c>
      <c r="EW482" s="67">
        <v>490.26</v>
      </c>
      <c r="EX482" s="67" t="s">
        <v>3877</v>
      </c>
      <c r="EY482" s="67">
        <v>5663.94</v>
      </c>
      <c r="EZ482" s="67" t="s">
        <v>3878</v>
      </c>
      <c r="FA482" s="67">
        <v>20063.564999999999</v>
      </c>
      <c r="FB482" s="67" t="s">
        <v>3879</v>
      </c>
      <c r="FC482" s="67" t="s">
        <v>3880</v>
      </c>
      <c r="FD482" s="67" t="s">
        <v>3881</v>
      </c>
      <c r="FE482" s="68" t="s">
        <v>3882</v>
      </c>
      <c r="FF482" s="68" t="s">
        <v>3883</v>
      </c>
    </row>
    <row r="483" spans="151:162" x14ac:dyDescent="0.2">
      <c r="EU483" s="67">
        <v>566.54</v>
      </c>
      <c r="EV483" s="67" t="s">
        <v>3884</v>
      </c>
      <c r="EW483" s="67">
        <v>490.36</v>
      </c>
      <c r="EX483" s="67" t="s">
        <v>3885</v>
      </c>
      <c r="EY483" s="67">
        <v>5663.94</v>
      </c>
      <c r="EZ483" s="67" t="s">
        <v>3886</v>
      </c>
      <c r="FA483" s="67">
        <v>20063.564999999999</v>
      </c>
      <c r="FB483" s="67" t="s">
        <v>3887</v>
      </c>
      <c r="FC483" s="67" t="s">
        <v>3888</v>
      </c>
      <c r="FD483" s="67" t="s">
        <v>3889</v>
      </c>
      <c r="FE483" s="68" t="s">
        <v>3890</v>
      </c>
      <c r="FF483" s="68" t="s">
        <v>3891</v>
      </c>
    </row>
    <row r="484" spans="151:162" x14ac:dyDescent="0.2">
      <c r="EU484" s="67">
        <v>566.49</v>
      </c>
      <c r="EV484" s="67" t="s">
        <v>3892</v>
      </c>
      <c r="EW484" s="67">
        <v>490.2</v>
      </c>
      <c r="EX484" s="67" t="s">
        <v>3893</v>
      </c>
      <c r="EY484" s="67">
        <v>5663.94</v>
      </c>
      <c r="EZ484" s="67" t="s">
        <v>3894</v>
      </c>
      <c r="FA484" s="67">
        <v>20063.564999999999</v>
      </c>
      <c r="FB484" s="67" t="s">
        <v>3895</v>
      </c>
      <c r="FC484" s="67" t="s">
        <v>3896</v>
      </c>
      <c r="FD484" s="67" t="s">
        <v>3897</v>
      </c>
      <c r="FE484" s="68" t="s">
        <v>3898</v>
      </c>
      <c r="FF484" s="68" t="s">
        <v>3899</v>
      </c>
    </row>
    <row r="485" spans="151:162" x14ac:dyDescent="0.2">
      <c r="EU485" s="67">
        <v>566.54</v>
      </c>
      <c r="EV485" s="67" t="s">
        <v>3900</v>
      </c>
      <c r="EW485" s="67">
        <v>490.32</v>
      </c>
      <c r="EX485" s="67" t="s">
        <v>3901</v>
      </c>
      <c r="EY485" s="67">
        <v>5663.94</v>
      </c>
      <c r="EZ485" s="67" t="s">
        <v>3902</v>
      </c>
      <c r="FA485" s="67">
        <v>20063.564999999999</v>
      </c>
      <c r="FB485" s="67" t="s">
        <v>3903</v>
      </c>
      <c r="FC485" s="67" t="s">
        <v>3904</v>
      </c>
      <c r="FD485" s="67" t="s">
        <v>3905</v>
      </c>
      <c r="FE485" s="68" t="s">
        <v>3906</v>
      </c>
      <c r="FF485" s="68" t="s">
        <v>3907</v>
      </c>
    </row>
    <row r="486" spans="151:162" x14ac:dyDescent="0.2">
      <c r="EU486" s="67">
        <v>566.59</v>
      </c>
      <c r="EV486" s="67" t="s">
        <v>3908</v>
      </c>
      <c r="EW486" s="67">
        <v>490.38</v>
      </c>
      <c r="EX486" s="67" t="s">
        <v>3909</v>
      </c>
      <c r="EY486" s="67">
        <v>5663.94</v>
      </c>
      <c r="EZ486" s="67" t="s">
        <v>3910</v>
      </c>
      <c r="FA486" s="67">
        <v>20063.564999999999</v>
      </c>
      <c r="FB486" s="67" t="s">
        <v>3911</v>
      </c>
      <c r="FC486" s="67" t="s">
        <v>3912</v>
      </c>
      <c r="FD486" s="67" t="s">
        <v>3913</v>
      </c>
      <c r="FE486" s="68" t="s">
        <v>3914</v>
      </c>
      <c r="FF486" s="68" t="s">
        <v>3915</v>
      </c>
    </row>
    <row r="487" spans="151:162" x14ac:dyDescent="0.2">
      <c r="EU487" s="67">
        <v>566.45000000000005</v>
      </c>
      <c r="EV487" s="67" t="s">
        <v>3916</v>
      </c>
      <c r="EW487" s="67">
        <v>490.25</v>
      </c>
      <c r="EX487" s="67" t="s">
        <v>3917</v>
      </c>
      <c r="EY487" s="67">
        <v>5663.94</v>
      </c>
      <c r="EZ487" s="67" t="s">
        <v>3918</v>
      </c>
      <c r="FA487" s="67">
        <v>20063.564999999999</v>
      </c>
      <c r="FB487" s="67" t="s">
        <v>3919</v>
      </c>
      <c r="FC487" s="67" t="s">
        <v>3920</v>
      </c>
      <c r="FD487" s="67" t="s">
        <v>3921</v>
      </c>
      <c r="FE487" s="68" t="s">
        <v>3922</v>
      </c>
      <c r="FF487" s="68" t="s">
        <v>3923</v>
      </c>
    </row>
    <row r="488" spans="151:162" x14ac:dyDescent="0.2">
      <c r="EU488" s="67">
        <v>566.4</v>
      </c>
      <c r="EV488" s="67" t="s">
        <v>3924</v>
      </c>
      <c r="EW488" s="67">
        <v>490.21</v>
      </c>
      <c r="EX488" s="67" t="s">
        <v>3925</v>
      </c>
      <c r="EY488" s="67">
        <v>5663.94</v>
      </c>
      <c r="EZ488" s="67" t="s">
        <v>3926</v>
      </c>
      <c r="FA488" s="67">
        <v>20063.564999999999</v>
      </c>
      <c r="FB488" s="67" t="s">
        <v>3927</v>
      </c>
      <c r="FC488" s="67" t="s">
        <v>3928</v>
      </c>
      <c r="FD488" s="67" t="s">
        <v>3929</v>
      </c>
      <c r="FE488" s="68" t="s">
        <v>3930</v>
      </c>
      <c r="FF488" s="68" t="s">
        <v>3931</v>
      </c>
    </row>
    <row r="489" spans="151:162" x14ac:dyDescent="0.2">
      <c r="EU489" s="67">
        <v>566.49</v>
      </c>
      <c r="EV489" s="67" t="s">
        <v>3932</v>
      </c>
      <c r="EW489" s="67">
        <v>490.27</v>
      </c>
      <c r="EX489" s="67" t="s">
        <v>3933</v>
      </c>
      <c r="EY489" s="67">
        <v>5663.94</v>
      </c>
      <c r="EZ489" s="67" t="s">
        <v>3934</v>
      </c>
      <c r="FA489" s="67">
        <v>20063.564999999999</v>
      </c>
      <c r="FB489" s="67" t="s">
        <v>3935</v>
      </c>
      <c r="FC489" s="67" t="s">
        <v>3936</v>
      </c>
      <c r="FD489" s="67" t="s">
        <v>3937</v>
      </c>
      <c r="FE489" s="68" t="s">
        <v>3938</v>
      </c>
      <c r="FF489" s="68" t="s">
        <v>3939</v>
      </c>
    </row>
    <row r="490" spans="151:162" x14ac:dyDescent="0.2">
      <c r="EU490" s="67">
        <v>566.46</v>
      </c>
      <c r="EV490" s="67" t="s">
        <v>3940</v>
      </c>
      <c r="EW490" s="67">
        <v>490.26</v>
      </c>
      <c r="EX490" s="67" t="s">
        <v>3941</v>
      </c>
      <c r="EY490" s="67">
        <v>5663.94</v>
      </c>
      <c r="EZ490" s="67" t="s">
        <v>3942</v>
      </c>
      <c r="FA490" s="67">
        <v>20063.564999999999</v>
      </c>
      <c r="FB490" s="67" t="s">
        <v>3943</v>
      </c>
      <c r="FC490" s="67" t="s">
        <v>3944</v>
      </c>
      <c r="FD490" s="67" t="s">
        <v>3945</v>
      </c>
      <c r="FE490" s="68" t="s">
        <v>3946</v>
      </c>
      <c r="FF490" s="68" t="s">
        <v>3947</v>
      </c>
    </row>
    <row r="491" spans="151:162" x14ac:dyDescent="0.2">
      <c r="EU491" s="67">
        <v>566.49</v>
      </c>
      <c r="EV491" s="67" t="s">
        <v>3948</v>
      </c>
      <c r="EW491" s="67">
        <v>490.25</v>
      </c>
      <c r="EX491" s="67" t="s">
        <v>3949</v>
      </c>
      <c r="EY491" s="67">
        <v>5663.94</v>
      </c>
      <c r="EZ491" s="67" t="s">
        <v>3950</v>
      </c>
      <c r="FA491" s="67">
        <v>20063.564999999999</v>
      </c>
      <c r="FB491" s="67" t="s">
        <v>3951</v>
      </c>
      <c r="FC491" s="67" t="s">
        <v>3952</v>
      </c>
      <c r="FD491" s="67" t="s">
        <v>3953</v>
      </c>
      <c r="FE491" s="68" t="s">
        <v>3954</v>
      </c>
      <c r="FF491" s="68" t="s">
        <v>3955</v>
      </c>
    </row>
    <row r="492" spans="151:162" x14ac:dyDescent="0.2">
      <c r="EU492" s="67">
        <v>566.46</v>
      </c>
      <c r="EV492" s="67" t="s">
        <v>3956</v>
      </c>
      <c r="EW492" s="67">
        <v>490.16</v>
      </c>
      <c r="EX492" s="67" t="s">
        <v>3957</v>
      </c>
      <c r="EY492" s="67">
        <v>5663.94</v>
      </c>
      <c r="EZ492" s="67" t="s">
        <v>3958</v>
      </c>
      <c r="FA492" s="67">
        <v>20063.564999999999</v>
      </c>
      <c r="FB492" s="67" t="s">
        <v>3959</v>
      </c>
      <c r="FC492" s="67" t="s">
        <v>3960</v>
      </c>
      <c r="FD492" s="67" t="s">
        <v>3961</v>
      </c>
      <c r="FE492" s="68" t="s">
        <v>3962</v>
      </c>
      <c r="FF492" s="68" t="s">
        <v>3963</v>
      </c>
    </row>
    <row r="493" spans="151:162" x14ac:dyDescent="0.2">
      <c r="EU493" s="67">
        <v>566.48</v>
      </c>
      <c r="EV493" s="67" t="s">
        <v>3964</v>
      </c>
      <c r="EW493" s="67">
        <v>490.15</v>
      </c>
      <c r="EX493" s="67" t="s">
        <v>3965</v>
      </c>
      <c r="EY493" s="67">
        <v>5663.94</v>
      </c>
      <c r="EZ493" s="67" t="s">
        <v>3966</v>
      </c>
      <c r="FA493" s="67">
        <v>20063.564999999999</v>
      </c>
      <c r="FB493" s="67" t="s">
        <v>3967</v>
      </c>
      <c r="FC493" s="67" t="s">
        <v>3968</v>
      </c>
      <c r="FD493" s="67" t="s">
        <v>3969</v>
      </c>
      <c r="FE493" s="68" t="s">
        <v>3970</v>
      </c>
      <c r="FF493" s="68" t="s">
        <v>3971</v>
      </c>
    </row>
    <row r="494" spans="151:162" x14ac:dyDescent="0.2">
      <c r="EU494" s="67">
        <v>566.42999999999995</v>
      </c>
      <c r="EV494" s="67" t="s">
        <v>3972</v>
      </c>
      <c r="EW494" s="67">
        <v>490.07</v>
      </c>
      <c r="EX494" s="67" t="s">
        <v>3973</v>
      </c>
      <c r="EY494" s="67">
        <v>5663.94</v>
      </c>
      <c r="EZ494" s="67" t="s">
        <v>3974</v>
      </c>
      <c r="FA494" s="67">
        <v>20063.564999999999</v>
      </c>
      <c r="FB494" s="67" t="s">
        <v>3975</v>
      </c>
      <c r="FC494" s="67" t="s">
        <v>3976</v>
      </c>
      <c r="FD494" s="67" t="s">
        <v>3977</v>
      </c>
      <c r="FE494" s="68" t="s">
        <v>3978</v>
      </c>
      <c r="FF494" s="68" t="s">
        <v>3979</v>
      </c>
    </row>
    <row r="495" spans="151:162" x14ac:dyDescent="0.2">
      <c r="EU495" s="67">
        <v>566.42999999999995</v>
      </c>
      <c r="EV495" s="67" t="s">
        <v>3980</v>
      </c>
      <c r="EW495" s="67">
        <v>490.06</v>
      </c>
      <c r="EX495" s="67" t="s">
        <v>3981</v>
      </c>
      <c r="EY495" s="67">
        <v>5663.94</v>
      </c>
      <c r="EZ495" s="67" t="s">
        <v>3982</v>
      </c>
      <c r="FA495" s="67">
        <v>20063.564999999999</v>
      </c>
      <c r="FB495" s="67" t="s">
        <v>3983</v>
      </c>
      <c r="FC495" s="67" t="s">
        <v>3984</v>
      </c>
      <c r="FD495" s="67" t="s">
        <v>3985</v>
      </c>
      <c r="FE495" s="68" t="s">
        <v>3986</v>
      </c>
      <c r="FF495" s="68" t="s">
        <v>3987</v>
      </c>
    </row>
    <row r="496" spans="151:162" x14ac:dyDescent="0.2">
      <c r="EU496" s="67">
        <v>566.71</v>
      </c>
      <c r="EV496" s="67" t="s">
        <v>3988</v>
      </c>
      <c r="EW496" s="67">
        <v>490.4</v>
      </c>
      <c r="EX496" s="67" t="s">
        <v>3989</v>
      </c>
      <c r="EY496" s="67">
        <v>5663.94</v>
      </c>
      <c r="EZ496" s="67" t="s">
        <v>3990</v>
      </c>
      <c r="FA496" s="67">
        <v>20063.564999999999</v>
      </c>
      <c r="FB496" s="67" t="s">
        <v>3991</v>
      </c>
      <c r="FC496" s="67" t="s">
        <v>3992</v>
      </c>
      <c r="FD496" s="67" t="s">
        <v>3993</v>
      </c>
      <c r="FE496" s="68" t="s">
        <v>3994</v>
      </c>
      <c r="FF496" s="68" t="s">
        <v>3995</v>
      </c>
    </row>
    <row r="497" spans="151:162" x14ac:dyDescent="0.2">
      <c r="EU497" s="67">
        <v>566.70000000000005</v>
      </c>
      <c r="EV497" s="67" t="s">
        <v>3996</v>
      </c>
      <c r="EW497" s="67">
        <v>490.34</v>
      </c>
      <c r="EX497" s="67" t="s">
        <v>3997</v>
      </c>
      <c r="EY497" s="67">
        <v>5663.94</v>
      </c>
      <c r="EZ497" s="67" t="s">
        <v>3998</v>
      </c>
      <c r="FA497" s="67">
        <v>20063.564999999999</v>
      </c>
      <c r="FB497" s="67" t="s">
        <v>3999</v>
      </c>
      <c r="FC497" s="67" t="s">
        <v>4000</v>
      </c>
      <c r="FD497" s="67" t="s">
        <v>4001</v>
      </c>
      <c r="FE497" s="68" t="s">
        <v>4002</v>
      </c>
      <c r="FF497" s="68" t="s">
        <v>4003</v>
      </c>
    </row>
    <row r="498" spans="151:162" x14ac:dyDescent="0.2">
      <c r="EU498" s="67">
        <v>566.74</v>
      </c>
      <c r="EV498" s="67" t="s">
        <v>4004</v>
      </c>
      <c r="EW498" s="67">
        <v>490.4</v>
      </c>
      <c r="EX498" s="67" t="s">
        <v>4005</v>
      </c>
      <c r="EY498" s="67">
        <v>5663.94</v>
      </c>
      <c r="EZ498" s="67" t="s">
        <v>4006</v>
      </c>
      <c r="FA498" s="67">
        <v>20063.564999999999</v>
      </c>
      <c r="FB498" s="67" t="s">
        <v>4007</v>
      </c>
      <c r="FC498" s="67" t="s">
        <v>4008</v>
      </c>
      <c r="FD498" s="67" t="s">
        <v>4009</v>
      </c>
      <c r="FE498" s="68" t="s">
        <v>4010</v>
      </c>
      <c r="FF498" s="68" t="s">
        <v>4011</v>
      </c>
    </row>
    <row r="499" spans="151:162" x14ac:dyDescent="0.2">
      <c r="EU499" s="67">
        <v>566.70000000000005</v>
      </c>
      <c r="EV499" s="67" t="s">
        <v>4012</v>
      </c>
      <c r="EW499" s="67">
        <v>490.33</v>
      </c>
      <c r="EX499" s="67" t="s">
        <v>4013</v>
      </c>
      <c r="EY499" s="67">
        <v>5663.94</v>
      </c>
      <c r="EZ499" s="67" t="s">
        <v>4014</v>
      </c>
      <c r="FA499" s="67">
        <v>20063.564999999999</v>
      </c>
      <c r="FB499" s="67" t="s">
        <v>4015</v>
      </c>
      <c r="FC499" s="67" t="s">
        <v>4016</v>
      </c>
      <c r="FD499" s="67" t="s">
        <v>4017</v>
      </c>
      <c r="FE499" s="68" t="s">
        <v>4018</v>
      </c>
      <c r="FF499" s="68" t="s">
        <v>4019</v>
      </c>
    </row>
    <row r="500" spans="151:162" x14ac:dyDescent="0.2">
      <c r="EU500" s="67">
        <v>566.88</v>
      </c>
      <c r="EV500" s="67" t="s">
        <v>4020</v>
      </c>
      <c r="EW500" s="67">
        <v>490.56</v>
      </c>
      <c r="EX500" s="67" t="s">
        <v>4021</v>
      </c>
      <c r="EY500" s="67">
        <v>5663.94</v>
      </c>
      <c r="EZ500" s="67" t="s">
        <v>4022</v>
      </c>
      <c r="FA500" s="67">
        <v>20063.564999999999</v>
      </c>
      <c r="FB500" s="67" t="s">
        <v>4023</v>
      </c>
      <c r="FC500" s="67" t="s">
        <v>4024</v>
      </c>
      <c r="FD500" s="67" t="s">
        <v>4025</v>
      </c>
      <c r="FE500" s="68" t="s">
        <v>4026</v>
      </c>
      <c r="FF500" s="68" t="s">
        <v>4027</v>
      </c>
    </row>
    <row r="501" spans="151:162" x14ac:dyDescent="0.2">
      <c r="EU501" s="67">
        <v>566.84</v>
      </c>
      <c r="EV501" s="67" t="s">
        <v>4028</v>
      </c>
      <c r="EW501" s="67">
        <v>490.5</v>
      </c>
      <c r="EX501" s="67" t="s">
        <v>4029</v>
      </c>
      <c r="EY501" s="67">
        <v>5663.94</v>
      </c>
      <c r="EZ501" s="67" t="s">
        <v>4030</v>
      </c>
      <c r="FA501" s="67">
        <v>20063.564999999999</v>
      </c>
      <c r="FB501" s="67" t="s">
        <v>4031</v>
      </c>
      <c r="FC501" s="67" t="s">
        <v>4032</v>
      </c>
      <c r="FD501" s="67" t="s">
        <v>4033</v>
      </c>
      <c r="FE501" s="68" t="s">
        <v>4034</v>
      </c>
      <c r="FF501" s="68" t="s">
        <v>4035</v>
      </c>
    </row>
    <row r="502" spans="151:162" x14ac:dyDescent="0.2">
      <c r="EU502" s="67">
        <v>566.87</v>
      </c>
      <c r="EV502" s="67" t="s">
        <v>4036</v>
      </c>
      <c r="EW502" s="67">
        <v>490.5</v>
      </c>
      <c r="EX502" s="67" t="s">
        <v>4037</v>
      </c>
      <c r="EY502" s="67">
        <v>5663.94</v>
      </c>
      <c r="EZ502" s="67" t="s">
        <v>4038</v>
      </c>
      <c r="FA502" s="67">
        <v>20063.564999999999</v>
      </c>
      <c r="FB502" s="67" t="s">
        <v>4039</v>
      </c>
      <c r="FC502" s="67" t="s">
        <v>4040</v>
      </c>
      <c r="FD502" s="67" t="s">
        <v>4041</v>
      </c>
      <c r="FE502" s="68" t="s">
        <v>4042</v>
      </c>
      <c r="FF502" s="68" t="s">
        <v>4043</v>
      </c>
    </row>
    <row r="503" spans="151:162" x14ac:dyDescent="0.2">
      <c r="EU503" s="67">
        <v>566.95000000000005</v>
      </c>
      <c r="EV503" s="67" t="s">
        <v>4044</v>
      </c>
      <c r="EW503" s="67">
        <v>490.58</v>
      </c>
      <c r="EX503" s="67" t="s">
        <v>4045</v>
      </c>
      <c r="EY503" s="67">
        <v>5663.94</v>
      </c>
      <c r="EZ503" s="67" t="s">
        <v>4046</v>
      </c>
      <c r="FA503" s="67">
        <v>20063.564999999999</v>
      </c>
      <c r="FB503" s="67" t="s">
        <v>4047</v>
      </c>
      <c r="FC503" s="67" t="s">
        <v>4048</v>
      </c>
      <c r="FD503" s="67" t="s">
        <v>4049</v>
      </c>
      <c r="FE503" s="68" t="s">
        <v>4050</v>
      </c>
      <c r="FF503" s="68" t="s">
        <v>4051</v>
      </c>
    </row>
    <row r="504" spans="151:162" x14ac:dyDescent="0.2">
      <c r="EU504" s="67">
        <v>566.95000000000005</v>
      </c>
      <c r="EV504" s="67" t="s">
        <v>4052</v>
      </c>
      <c r="EW504" s="67">
        <v>490.58</v>
      </c>
      <c r="EX504" s="67" t="s">
        <v>4053</v>
      </c>
      <c r="EY504" s="67">
        <v>5663.94</v>
      </c>
      <c r="EZ504" s="67" t="s">
        <v>4054</v>
      </c>
      <c r="FA504" s="67">
        <v>20063.564999999999</v>
      </c>
      <c r="FB504" s="67" t="s">
        <v>4055</v>
      </c>
      <c r="FC504" s="67" t="s">
        <v>4056</v>
      </c>
      <c r="FD504" s="67" t="s">
        <v>4057</v>
      </c>
      <c r="FE504" s="68" t="s">
        <v>4058</v>
      </c>
      <c r="FF504" s="68" t="s">
        <v>4059</v>
      </c>
    </row>
    <row r="505" spans="151:162" x14ac:dyDescent="0.2">
      <c r="EU505" s="67">
        <v>566.95000000000005</v>
      </c>
      <c r="EV505" s="67" t="s">
        <v>4060</v>
      </c>
      <c r="EW505" s="67">
        <v>490.61</v>
      </c>
      <c r="EX505" s="67" t="s">
        <v>4061</v>
      </c>
      <c r="EY505" s="67">
        <v>5663.94</v>
      </c>
      <c r="EZ505" s="67" t="s">
        <v>4062</v>
      </c>
      <c r="FA505" s="67">
        <v>20063.564999999999</v>
      </c>
      <c r="FB505" s="67" t="s">
        <v>4063</v>
      </c>
      <c r="FC505" s="67" t="s">
        <v>4064</v>
      </c>
      <c r="FD505" s="67" t="s">
        <v>4065</v>
      </c>
      <c r="FE505" s="68" t="s">
        <v>4066</v>
      </c>
      <c r="FF505" s="68" t="s">
        <v>4067</v>
      </c>
    </row>
    <row r="506" spans="151:162" x14ac:dyDescent="0.2">
      <c r="EU506" s="67">
        <v>566.94000000000005</v>
      </c>
      <c r="EV506" s="67" t="s">
        <v>4068</v>
      </c>
      <c r="EW506" s="67">
        <v>490.57</v>
      </c>
      <c r="EX506" s="67" t="s">
        <v>4069</v>
      </c>
      <c r="EY506" s="67">
        <v>5663.94</v>
      </c>
      <c r="EZ506" s="67" t="s">
        <v>4070</v>
      </c>
      <c r="FA506" s="67">
        <v>20063.564999999999</v>
      </c>
      <c r="FB506" s="67" t="s">
        <v>4071</v>
      </c>
      <c r="FC506" s="67" t="s">
        <v>4072</v>
      </c>
      <c r="FD506" s="67" t="s">
        <v>4073</v>
      </c>
      <c r="FE506" s="68" t="s">
        <v>4074</v>
      </c>
      <c r="FF506" s="68" t="s">
        <v>4075</v>
      </c>
    </row>
    <row r="507" spans="151:162" x14ac:dyDescent="0.2">
      <c r="EU507" s="67">
        <v>566.91</v>
      </c>
      <c r="EV507" s="67" t="s">
        <v>4076</v>
      </c>
      <c r="EW507" s="67">
        <v>490.56</v>
      </c>
      <c r="EX507" s="67" t="s">
        <v>4077</v>
      </c>
      <c r="EY507" s="67">
        <v>5663.94</v>
      </c>
      <c r="EZ507" s="67" t="s">
        <v>4078</v>
      </c>
      <c r="FA507" s="67">
        <v>20063.564999999999</v>
      </c>
      <c r="FB507" s="67" t="s">
        <v>4079</v>
      </c>
      <c r="FC507" s="67" t="s">
        <v>4080</v>
      </c>
      <c r="FD507" s="67" t="s">
        <v>4081</v>
      </c>
      <c r="FE507" s="68" t="s">
        <v>4082</v>
      </c>
      <c r="FF507" s="68" t="s">
        <v>4083</v>
      </c>
    </row>
    <row r="508" spans="151:162" x14ac:dyDescent="0.2">
      <c r="EU508" s="67">
        <v>566.87</v>
      </c>
      <c r="EV508" s="67" t="s">
        <v>4084</v>
      </c>
      <c r="EW508" s="67">
        <v>490.54</v>
      </c>
      <c r="EX508" s="67" t="s">
        <v>4085</v>
      </c>
      <c r="EY508" s="67">
        <v>5663.94</v>
      </c>
      <c r="EZ508" s="67" t="s">
        <v>4086</v>
      </c>
      <c r="FA508" s="67">
        <v>20063.564999999999</v>
      </c>
      <c r="FB508" s="67" t="s">
        <v>4087</v>
      </c>
      <c r="FC508" s="67" t="s">
        <v>4088</v>
      </c>
      <c r="FD508" s="67" t="s">
        <v>4089</v>
      </c>
      <c r="FE508" s="68" t="s">
        <v>4090</v>
      </c>
      <c r="FF508" s="68" t="s">
        <v>4091</v>
      </c>
    </row>
    <row r="509" spans="151:162" x14ac:dyDescent="0.2">
      <c r="EU509" s="67">
        <v>566.84</v>
      </c>
      <c r="EV509" s="67" t="s">
        <v>4092</v>
      </c>
      <c r="EW509" s="67">
        <v>490.53</v>
      </c>
      <c r="EX509" s="67" t="s">
        <v>4093</v>
      </c>
      <c r="EY509" s="67">
        <v>5663.94</v>
      </c>
      <c r="EZ509" s="67" t="s">
        <v>4094</v>
      </c>
      <c r="FA509" s="67">
        <v>20063.564999999999</v>
      </c>
      <c r="FB509" s="67" t="s">
        <v>4095</v>
      </c>
      <c r="FC509" s="67" t="s">
        <v>4096</v>
      </c>
      <c r="FD509" s="67" t="s">
        <v>4097</v>
      </c>
      <c r="FE509" s="68" t="s">
        <v>4098</v>
      </c>
      <c r="FF509" s="68" t="s">
        <v>4099</v>
      </c>
    </row>
    <row r="510" spans="151:162" x14ac:dyDescent="0.2">
      <c r="EU510" s="67">
        <v>565.72</v>
      </c>
      <c r="EV510" s="67" t="s">
        <v>4100</v>
      </c>
      <c r="EW510" s="67">
        <v>489.63</v>
      </c>
      <c r="EX510" s="67" t="s">
        <v>4101</v>
      </c>
      <c r="EY510" s="67">
        <v>5663.94</v>
      </c>
      <c r="EZ510" s="67" t="s">
        <v>4102</v>
      </c>
      <c r="FA510" s="67">
        <v>20063.564999999999</v>
      </c>
      <c r="FB510" s="67" t="s">
        <v>4103</v>
      </c>
      <c r="FC510" s="67" t="s">
        <v>4104</v>
      </c>
      <c r="FD510" s="67" t="s">
        <v>4105</v>
      </c>
      <c r="FE510" s="68" t="s">
        <v>4106</v>
      </c>
      <c r="FF510" s="68" t="s">
        <v>4107</v>
      </c>
    </row>
    <row r="511" spans="151:162" x14ac:dyDescent="0.2">
      <c r="EU511" s="67">
        <v>565.41</v>
      </c>
      <c r="EV511" s="67" t="s">
        <v>4108</v>
      </c>
      <c r="EW511" s="67">
        <v>489.16</v>
      </c>
      <c r="EX511" s="67" t="s">
        <v>4109</v>
      </c>
      <c r="EY511" s="67">
        <v>5663.94</v>
      </c>
      <c r="EZ511" s="67" t="s">
        <v>4110</v>
      </c>
      <c r="FA511" s="67">
        <v>20063.564999999999</v>
      </c>
      <c r="FB511" s="67" t="s">
        <v>4111</v>
      </c>
      <c r="FC511" s="67" t="s">
        <v>4112</v>
      </c>
      <c r="FD511" s="67" t="s">
        <v>4113</v>
      </c>
      <c r="FE511" s="68" t="s">
        <v>4114</v>
      </c>
      <c r="FF511" s="68" t="s">
        <v>4115</v>
      </c>
    </row>
    <row r="512" spans="151:162" x14ac:dyDescent="0.2">
      <c r="EU512" s="67">
        <v>565.64</v>
      </c>
      <c r="EV512" s="67" t="s">
        <v>4116</v>
      </c>
      <c r="EW512" s="67">
        <v>489.33</v>
      </c>
      <c r="EX512" s="67" t="s">
        <v>4117</v>
      </c>
      <c r="EY512" s="67">
        <v>5663.94</v>
      </c>
      <c r="EZ512" s="67" t="s">
        <v>4118</v>
      </c>
      <c r="FA512" s="67">
        <v>20063.564999999999</v>
      </c>
      <c r="FB512" s="67" t="s">
        <v>4119</v>
      </c>
      <c r="FC512" s="67" t="s">
        <v>4120</v>
      </c>
      <c r="FD512" s="67" t="s">
        <v>4121</v>
      </c>
      <c r="FE512" s="68" t="s">
        <v>4122</v>
      </c>
      <c r="FF512" s="68" t="s">
        <v>4123</v>
      </c>
    </row>
    <row r="513" spans="151:162" x14ac:dyDescent="0.2">
      <c r="EU513" s="67">
        <v>565.54</v>
      </c>
      <c r="EV513" s="67" t="s">
        <v>4124</v>
      </c>
      <c r="EW513" s="67">
        <v>489.18</v>
      </c>
      <c r="EX513" s="67" t="s">
        <v>4125</v>
      </c>
      <c r="EY513" s="67">
        <v>5663.94</v>
      </c>
      <c r="EZ513" s="67" t="s">
        <v>4126</v>
      </c>
      <c r="FA513" s="67">
        <v>20063.564999999999</v>
      </c>
      <c r="FB513" s="67" t="s">
        <v>4127</v>
      </c>
      <c r="FC513" s="67" t="s">
        <v>4128</v>
      </c>
      <c r="FD513" s="67" t="s">
        <v>4129</v>
      </c>
      <c r="FE513" s="68" t="s">
        <v>4130</v>
      </c>
      <c r="FF513" s="68" t="s">
        <v>4131</v>
      </c>
    </row>
    <row r="514" spans="151:162" x14ac:dyDescent="0.2">
      <c r="EU514" s="67">
        <v>566.14</v>
      </c>
      <c r="EV514" s="67" t="s">
        <v>4132</v>
      </c>
      <c r="EW514" s="67">
        <v>489.75</v>
      </c>
      <c r="EX514" s="67" t="s">
        <v>4133</v>
      </c>
      <c r="EY514" s="67">
        <v>5663.94</v>
      </c>
      <c r="EZ514" s="67" t="s">
        <v>4134</v>
      </c>
      <c r="FA514" s="67">
        <v>20063.564999999999</v>
      </c>
      <c r="FB514" s="67" t="s">
        <v>4135</v>
      </c>
      <c r="FC514" s="67" t="s">
        <v>4136</v>
      </c>
      <c r="FD514" s="67" t="s">
        <v>4137</v>
      </c>
      <c r="FE514" s="68" t="s">
        <v>4138</v>
      </c>
      <c r="FF514" s="68" t="s">
        <v>4139</v>
      </c>
    </row>
    <row r="515" spans="151:162" x14ac:dyDescent="0.2">
      <c r="EU515" s="67">
        <v>565.45000000000005</v>
      </c>
      <c r="EV515" s="67" t="s">
        <v>4140</v>
      </c>
      <c r="EW515" s="67">
        <v>489.04</v>
      </c>
      <c r="EX515" s="67" t="s">
        <v>4141</v>
      </c>
      <c r="EY515" s="67">
        <v>5663.94</v>
      </c>
      <c r="EZ515" s="67" t="s">
        <v>4142</v>
      </c>
      <c r="FA515" s="67">
        <v>20063.564999999999</v>
      </c>
      <c r="FB515" s="67" t="s">
        <v>4143</v>
      </c>
      <c r="FC515" s="67" t="s">
        <v>4144</v>
      </c>
      <c r="FD515" s="67" t="s">
        <v>4145</v>
      </c>
      <c r="FE515" s="68" t="s">
        <v>4146</v>
      </c>
      <c r="FF515" s="68" t="s">
        <v>4147</v>
      </c>
    </row>
    <row r="516" spans="151:162" x14ac:dyDescent="0.2">
      <c r="EU516" s="67">
        <v>565.61</v>
      </c>
      <c r="EV516" s="67" t="s">
        <v>4148</v>
      </c>
      <c r="EW516" s="67">
        <v>489.16</v>
      </c>
      <c r="EX516" s="67" t="s">
        <v>4149</v>
      </c>
      <c r="EY516" s="67">
        <v>5663.94</v>
      </c>
      <c r="EZ516" s="67" t="s">
        <v>4150</v>
      </c>
      <c r="FA516" s="67">
        <v>20063.564999999999</v>
      </c>
      <c r="FB516" s="67" t="s">
        <v>4151</v>
      </c>
      <c r="FC516" s="67" t="s">
        <v>4152</v>
      </c>
      <c r="FD516" s="67" t="s">
        <v>4153</v>
      </c>
      <c r="FE516" s="68" t="s">
        <v>4154</v>
      </c>
      <c r="FF516" s="68" t="s">
        <v>4155</v>
      </c>
    </row>
    <row r="517" spans="151:162" x14ac:dyDescent="0.2">
      <c r="EU517" s="67">
        <v>565.38</v>
      </c>
      <c r="EV517" s="67" t="s">
        <v>4156</v>
      </c>
      <c r="EW517" s="67">
        <v>488.92</v>
      </c>
      <c r="EX517" s="67" t="s">
        <v>4157</v>
      </c>
      <c r="EY517" s="67">
        <v>5663.94</v>
      </c>
      <c r="EZ517" s="67" t="s">
        <v>4158</v>
      </c>
      <c r="FA517" s="67">
        <v>20063.564999999999</v>
      </c>
      <c r="FB517" s="67" t="s">
        <v>4159</v>
      </c>
      <c r="FC517" s="67" t="s">
        <v>4160</v>
      </c>
      <c r="FD517" s="67" t="s">
        <v>4161</v>
      </c>
      <c r="FE517" s="68" t="s">
        <v>4162</v>
      </c>
      <c r="FF517" s="68" t="s">
        <v>4163</v>
      </c>
    </row>
    <row r="518" spans="151:162" x14ac:dyDescent="0.2">
      <c r="EU518" s="67">
        <v>565.14</v>
      </c>
      <c r="EV518" s="67" t="s">
        <v>4164</v>
      </c>
      <c r="EW518" s="67">
        <v>488.68</v>
      </c>
      <c r="EX518" s="67" t="s">
        <v>4165</v>
      </c>
      <c r="EY518" s="67">
        <v>5663.94</v>
      </c>
      <c r="EZ518" s="67" t="s">
        <v>4166</v>
      </c>
      <c r="FA518" s="67">
        <v>20063.564999999999</v>
      </c>
      <c r="FB518" s="67" t="s">
        <v>4167</v>
      </c>
      <c r="FC518" s="67" t="s">
        <v>4168</v>
      </c>
      <c r="FD518" s="67" t="s">
        <v>4169</v>
      </c>
      <c r="FE518" s="68" t="s">
        <v>4170</v>
      </c>
      <c r="FF518" s="68" t="s">
        <v>4171</v>
      </c>
    </row>
    <row r="519" spans="151:162" x14ac:dyDescent="0.2">
      <c r="EU519" s="67">
        <v>565.01</v>
      </c>
      <c r="EV519" s="67" t="s">
        <v>4172</v>
      </c>
      <c r="EW519" s="67">
        <v>488.41</v>
      </c>
      <c r="EX519" s="67" t="s">
        <v>4173</v>
      </c>
      <c r="EY519" s="67">
        <v>5663.94</v>
      </c>
      <c r="EZ519" s="67" t="s">
        <v>4174</v>
      </c>
      <c r="FA519" s="67">
        <v>20063.564999999999</v>
      </c>
      <c r="FB519" s="67" t="s">
        <v>4175</v>
      </c>
      <c r="FC519" s="67" t="s">
        <v>4176</v>
      </c>
      <c r="FD519" s="67" t="s">
        <v>4177</v>
      </c>
      <c r="FE519" s="68" t="s">
        <v>4178</v>
      </c>
      <c r="FF519" s="68" t="s">
        <v>4179</v>
      </c>
    </row>
    <row r="520" spans="151:162" x14ac:dyDescent="0.2">
      <c r="EU520" s="67">
        <v>565.28</v>
      </c>
      <c r="EV520" s="67" t="s">
        <v>4180</v>
      </c>
      <c r="EW520" s="67">
        <v>488.8</v>
      </c>
      <c r="EX520" s="67" t="s">
        <v>4181</v>
      </c>
      <c r="EY520" s="67">
        <v>5663.94</v>
      </c>
      <c r="EZ520" s="67" t="s">
        <v>4182</v>
      </c>
      <c r="FA520" s="67">
        <v>20063.564999999999</v>
      </c>
      <c r="FB520" s="67" t="s">
        <v>4183</v>
      </c>
      <c r="FC520" s="67" t="s">
        <v>4184</v>
      </c>
      <c r="FD520" s="67" t="s">
        <v>4185</v>
      </c>
      <c r="FE520" s="68" t="s">
        <v>4186</v>
      </c>
      <c r="FF520" s="68" t="s">
        <v>4187</v>
      </c>
    </row>
    <row r="521" spans="151:162" x14ac:dyDescent="0.2">
      <c r="EU521" s="67">
        <v>565.26</v>
      </c>
      <c r="EV521" s="67" t="s">
        <v>4188</v>
      </c>
      <c r="EW521" s="67">
        <v>488.74</v>
      </c>
      <c r="EX521" s="67" t="s">
        <v>4189</v>
      </c>
      <c r="EY521" s="67">
        <v>5663.94</v>
      </c>
      <c r="EZ521" s="67" t="s">
        <v>4190</v>
      </c>
      <c r="FA521" s="67">
        <v>20063.564999999999</v>
      </c>
      <c r="FB521" s="67" t="s">
        <v>4191</v>
      </c>
      <c r="FC521" s="67" t="s">
        <v>4192</v>
      </c>
      <c r="FD521" s="67" t="s">
        <v>4193</v>
      </c>
      <c r="FE521" s="68" t="s">
        <v>4194</v>
      </c>
      <c r="FF521" s="68" t="s">
        <v>4195</v>
      </c>
    </row>
    <row r="522" spans="151:162" x14ac:dyDescent="0.2">
      <c r="EU522" s="67">
        <v>565.55999999999995</v>
      </c>
      <c r="EV522" s="67" t="s">
        <v>4196</v>
      </c>
      <c r="EW522" s="67">
        <v>489.08</v>
      </c>
      <c r="EX522" s="67" t="s">
        <v>4197</v>
      </c>
      <c r="EY522" s="67">
        <v>5663.94</v>
      </c>
      <c r="EZ522" s="67" t="s">
        <v>4198</v>
      </c>
      <c r="FA522" s="67">
        <v>20063.564999999999</v>
      </c>
      <c r="FB522" s="67" t="s">
        <v>4199</v>
      </c>
      <c r="FC522" s="67" t="s">
        <v>4200</v>
      </c>
      <c r="FD522" s="67" t="s">
        <v>4201</v>
      </c>
      <c r="FE522" s="68" t="s">
        <v>4202</v>
      </c>
      <c r="FF522" s="68" t="s">
        <v>4203</v>
      </c>
    </row>
    <row r="523" spans="151:162" x14ac:dyDescent="0.2">
      <c r="EU523" s="67">
        <v>565.73</v>
      </c>
      <c r="EV523" s="67" t="s">
        <v>4204</v>
      </c>
      <c r="EW523" s="67">
        <v>489.22</v>
      </c>
      <c r="EX523" s="67" t="s">
        <v>4205</v>
      </c>
      <c r="EY523" s="67">
        <v>5663.94</v>
      </c>
      <c r="EZ523" s="67" t="s">
        <v>4206</v>
      </c>
      <c r="FA523" s="67">
        <v>20063.564999999999</v>
      </c>
      <c r="FB523" s="67" t="s">
        <v>4207</v>
      </c>
      <c r="FC523" s="67" t="s">
        <v>4208</v>
      </c>
      <c r="FD523" s="67" t="s">
        <v>4209</v>
      </c>
      <c r="FE523" s="68" t="s">
        <v>4210</v>
      </c>
      <c r="FF523" s="68" t="s">
        <v>4211</v>
      </c>
    </row>
    <row r="524" spans="151:162" x14ac:dyDescent="0.2">
      <c r="EU524" s="67">
        <v>565.91</v>
      </c>
      <c r="EV524" s="67" t="s">
        <v>4212</v>
      </c>
      <c r="EW524" s="67">
        <v>489.35</v>
      </c>
      <c r="EX524" s="67" t="s">
        <v>4213</v>
      </c>
      <c r="EY524" s="67">
        <v>5663.94</v>
      </c>
      <c r="EZ524" s="67" t="s">
        <v>4214</v>
      </c>
      <c r="FA524" s="67">
        <v>20063.564999999999</v>
      </c>
      <c r="FB524" s="67" t="s">
        <v>4215</v>
      </c>
      <c r="FC524" s="67" t="s">
        <v>4216</v>
      </c>
      <c r="FD524" s="67" t="s">
        <v>4217</v>
      </c>
      <c r="FE524" s="68" t="s">
        <v>4218</v>
      </c>
      <c r="FF524" s="68" t="s">
        <v>4219</v>
      </c>
    </row>
    <row r="525" spans="151:162" x14ac:dyDescent="0.2">
      <c r="EU525" s="67">
        <v>566.07000000000005</v>
      </c>
      <c r="EV525" s="67" t="s">
        <v>4220</v>
      </c>
      <c r="EW525" s="67">
        <v>489.51</v>
      </c>
      <c r="EX525" s="67" t="s">
        <v>4221</v>
      </c>
      <c r="EY525" s="67">
        <v>5663.94</v>
      </c>
      <c r="EZ525" s="67" t="s">
        <v>4222</v>
      </c>
      <c r="FA525" s="67">
        <v>20063.564999999999</v>
      </c>
      <c r="FB525" s="67" t="s">
        <v>4223</v>
      </c>
      <c r="FC525" s="67" t="s">
        <v>4224</v>
      </c>
      <c r="FD525" s="67" t="s">
        <v>4225</v>
      </c>
      <c r="FE525" s="68" t="s">
        <v>4226</v>
      </c>
      <c r="FF525" s="68" t="s">
        <v>4227</v>
      </c>
    </row>
    <row r="526" spans="151:162" x14ac:dyDescent="0.2">
      <c r="EU526" s="67">
        <v>566.59</v>
      </c>
      <c r="EV526" s="67" t="s">
        <v>4228</v>
      </c>
      <c r="EW526" s="67">
        <v>489.96</v>
      </c>
      <c r="EX526" s="67" t="s">
        <v>4229</v>
      </c>
      <c r="EY526" s="67">
        <v>5663.94</v>
      </c>
      <c r="EZ526" s="67" t="s">
        <v>4230</v>
      </c>
      <c r="FA526" s="67">
        <v>20063.564999999999</v>
      </c>
      <c r="FB526" s="67" t="s">
        <v>4231</v>
      </c>
      <c r="FC526" s="67" t="s">
        <v>4232</v>
      </c>
      <c r="FD526" s="67" t="s">
        <v>4233</v>
      </c>
      <c r="FE526" s="68" t="s">
        <v>4234</v>
      </c>
      <c r="FF526" s="68" t="s">
        <v>4235</v>
      </c>
    </row>
    <row r="527" spans="151:162" x14ac:dyDescent="0.2">
      <c r="EU527" s="67">
        <v>566.54999999999995</v>
      </c>
      <c r="EV527" s="67" t="s">
        <v>4236</v>
      </c>
      <c r="EW527" s="67">
        <v>489.99</v>
      </c>
      <c r="EX527" s="67" t="s">
        <v>4237</v>
      </c>
      <c r="EY527" s="67">
        <v>5663.94</v>
      </c>
      <c r="EZ527" s="67" t="s">
        <v>4238</v>
      </c>
      <c r="FA527" s="67">
        <v>20063.564999999999</v>
      </c>
      <c r="FB527" s="67" t="s">
        <v>4239</v>
      </c>
      <c r="FC527" s="67" t="s">
        <v>4240</v>
      </c>
      <c r="FD527" s="67" t="s">
        <v>4241</v>
      </c>
      <c r="FE527" s="68" t="s">
        <v>4242</v>
      </c>
      <c r="FF527" s="68" t="s">
        <v>4243</v>
      </c>
    </row>
    <row r="528" spans="151:162" x14ac:dyDescent="0.2">
      <c r="EU528" s="67">
        <v>566.64</v>
      </c>
      <c r="EV528" s="67" t="s">
        <v>4244</v>
      </c>
      <c r="EW528" s="67">
        <v>490.06</v>
      </c>
      <c r="EX528" s="67" t="s">
        <v>4245</v>
      </c>
      <c r="EY528" s="67">
        <v>5663.94</v>
      </c>
      <c r="EZ528" s="67" t="s">
        <v>4246</v>
      </c>
      <c r="FA528" s="67">
        <v>20063.564999999999</v>
      </c>
      <c r="FB528" s="67" t="s">
        <v>4247</v>
      </c>
      <c r="FC528" s="67" t="s">
        <v>4248</v>
      </c>
      <c r="FD528" s="67" t="s">
        <v>4249</v>
      </c>
      <c r="FE528" s="68" t="s">
        <v>4250</v>
      </c>
      <c r="FF528" s="68" t="s">
        <v>4251</v>
      </c>
    </row>
    <row r="529" spans="151:162" x14ac:dyDescent="0.2">
      <c r="EU529" s="67">
        <v>566.61</v>
      </c>
      <c r="EV529" s="67" t="s">
        <v>4252</v>
      </c>
      <c r="EW529" s="67">
        <v>490.05</v>
      </c>
      <c r="EX529" s="67" t="s">
        <v>4253</v>
      </c>
      <c r="EY529" s="67">
        <v>5663.94</v>
      </c>
      <c r="EZ529" s="67" t="s">
        <v>4254</v>
      </c>
      <c r="FA529" s="67">
        <v>20063.564999999999</v>
      </c>
      <c r="FB529" s="67" t="s">
        <v>4255</v>
      </c>
      <c r="FC529" s="67" t="s">
        <v>4256</v>
      </c>
      <c r="FD529" s="67" t="s">
        <v>4257</v>
      </c>
      <c r="FE529" s="68" t="s">
        <v>4258</v>
      </c>
      <c r="FF529" s="68" t="s">
        <v>4259</v>
      </c>
    </row>
    <row r="530" spans="151:162" x14ac:dyDescent="0.2">
      <c r="EU530" s="67">
        <v>566.37</v>
      </c>
      <c r="EV530" s="67" t="s">
        <v>4260</v>
      </c>
      <c r="EW530" s="67">
        <v>489.87</v>
      </c>
      <c r="EX530" s="67" t="s">
        <v>4261</v>
      </c>
      <c r="EY530" s="67">
        <v>5663.94</v>
      </c>
      <c r="EZ530" s="67" t="s">
        <v>4262</v>
      </c>
      <c r="FA530" s="67">
        <v>20063.564999999999</v>
      </c>
      <c r="FB530" s="67" t="s">
        <v>4263</v>
      </c>
      <c r="FC530" s="67" t="s">
        <v>4264</v>
      </c>
      <c r="FD530" s="67" t="s">
        <v>4265</v>
      </c>
      <c r="FE530" s="68" t="s">
        <v>4266</v>
      </c>
      <c r="FF530" s="68" t="s">
        <v>4267</v>
      </c>
    </row>
    <row r="531" spans="151:162" x14ac:dyDescent="0.2">
      <c r="EU531" s="67">
        <v>566.38</v>
      </c>
      <c r="EV531" s="67" t="s">
        <v>4268</v>
      </c>
      <c r="EW531" s="67">
        <v>489.94</v>
      </c>
      <c r="EX531" s="67" t="s">
        <v>4269</v>
      </c>
      <c r="EY531" s="67">
        <v>5663.94</v>
      </c>
      <c r="EZ531" s="67" t="s">
        <v>4270</v>
      </c>
      <c r="FA531" s="67">
        <v>20063.564999999999</v>
      </c>
      <c r="FB531" s="67" t="s">
        <v>4271</v>
      </c>
      <c r="FC531" s="67" t="s">
        <v>4272</v>
      </c>
      <c r="FD531" s="67" t="s">
        <v>4273</v>
      </c>
      <c r="FE531" s="68" t="s">
        <v>4274</v>
      </c>
      <c r="FF531" s="68" t="s">
        <v>4275</v>
      </c>
    </row>
    <row r="532" spans="151:162" x14ac:dyDescent="0.2">
      <c r="EU532" s="67">
        <v>566.17999999999995</v>
      </c>
      <c r="EV532" s="67" t="s">
        <v>4276</v>
      </c>
      <c r="EW532" s="67">
        <v>489.73</v>
      </c>
      <c r="EX532" s="67" t="s">
        <v>4277</v>
      </c>
      <c r="EY532" s="67">
        <v>5663.94</v>
      </c>
      <c r="EZ532" s="67" t="s">
        <v>4278</v>
      </c>
      <c r="FA532" s="67">
        <v>20063.564999999999</v>
      </c>
      <c r="FB532" s="67" t="s">
        <v>4279</v>
      </c>
      <c r="FC532" s="67" t="s">
        <v>4280</v>
      </c>
      <c r="FD532" s="67" t="s">
        <v>4281</v>
      </c>
      <c r="FE532" s="68" t="s">
        <v>4282</v>
      </c>
      <c r="FF532" s="68" t="s">
        <v>4283</v>
      </c>
    </row>
    <row r="533" spans="151:162" x14ac:dyDescent="0.2">
      <c r="EU533" s="67">
        <v>566.05999999999995</v>
      </c>
      <c r="EV533" s="67" t="s">
        <v>4284</v>
      </c>
      <c r="EW533" s="67">
        <v>489.65</v>
      </c>
      <c r="EX533" s="67" t="s">
        <v>4285</v>
      </c>
      <c r="EY533" s="67">
        <v>5663.94</v>
      </c>
      <c r="EZ533" s="67" t="s">
        <v>4286</v>
      </c>
      <c r="FA533" s="67">
        <v>20063.564999999999</v>
      </c>
      <c r="FB533" s="67" t="s">
        <v>4287</v>
      </c>
      <c r="FC533" s="67" t="s">
        <v>4288</v>
      </c>
      <c r="FD533" s="67" t="s">
        <v>4289</v>
      </c>
      <c r="FE533" s="68" t="s">
        <v>4290</v>
      </c>
      <c r="FF533" s="68" t="s">
        <v>4291</v>
      </c>
    </row>
    <row r="534" spans="151:162" x14ac:dyDescent="0.2">
      <c r="EU534" s="67">
        <v>566.21</v>
      </c>
      <c r="EV534" s="67" t="s">
        <v>4292</v>
      </c>
      <c r="EW534" s="67">
        <v>489.8</v>
      </c>
      <c r="EX534" s="67" t="s">
        <v>4293</v>
      </c>
      <c r="EY534" s="67">
        <v>5663.94</v>
      </c>
      <c r="EZ534" s="67" t="s">
        <v>4294</v>
      </c>
      <c r="FA534" s="67">
        <v>20063.564999999999</v>
      </c>
      <c r="FB534" s="67" t="s">
        <v>4295</v>
      </c>
      <c r="FC534" s="67" t="s">
        <v>4296</v>
      </c>
      <c r="FD534" s="67" t="s">
        <v>4297</v>
      </c>
      <c r="FE534" s="68" t="s">
        <v>4298</v>
      </c>
      <c r="FF534" s="68" t="s">
        <v>4299</v>
      </c>
    </row>
    <row r="535" spans="151:162" x14ac:dyDescent="0.2">
      <c r="EU535" s="67">
        <v>566.16</v>
      </c>
      <c r="EV535" s="67" t="s">
        <v>4300</v>
      </c>
      <c r="EW535" s="67">
        <v>489.72</v>
      </c>
      <c r="EX535" s="67" t="s">
        <v>4301</v>
      </c>
      <c r="EY535" s="67">
        <v>5663.94</v>
      </c>
      <c r="EZ535" s="67" t="s">
        <v>4302</v>
      </c>
      <c r="FA535" s="67">
        <v>20063.564999999999</v>
      </c>
      <c r="FB535" s="67" t="s">
        <v>4303</v>
      </c>
      <c r="FC535" s="67" t="s">
        <v>4304</v>
      </c>
      <c r="FD535" s="67" t="s">
        <v>4305</v>
      </c>
      <c r="FE535" s="68" t="s">
        <v>4306</v>
      </c>
      <c r="FF535" s="68" t="s">
        <v>4307</v>
      </c>
    </row>
    <row r="536" spans="151:162" x14ac:dyDescent="0.2">
      <c r="EU536" s="67">
        <v>566.25</v>
      </c>
      <c r="EV536" s="67" t="s">
        <v>4308</v>
      </c>
      <c r="EW536" s="67">
        <v>489.78</v>
      </c>
      <c r="EX536" s="67" t="s">
        <v>4309</v>
      </c>
      <c r="EY536" s="67">
        <v>5663.94</v>
      </c>
      <c r="EZ536" s="67" t="s">
        <v>4310</v>
      </c>
      <c r="FA536" s="67">
        <v>20063.564999999999</v>
      </c>
      <c r="FB536" s="67" t="s">
        <v>4311</v>
      </c>
      <c r="FC536" s="67" t="s">
        <v>4312</v>
      </c>
      <c r="FD536" s="67" t="s">
        <v>4313</v>
      </c>
      <c r="FE536" s="68" t="s">
        <v>4314</v>
      </c>
      <c r="FF536" s="68" t="s">
        <v>4315</v>
      </c>
    </row>
    <row r="537" spans="151:162" x14ac:dyDescent="0.2">
      <c r="EU537" s="67">
        <v>566.19000000000005</v>
      </c>
      <c r="EV537" s="67" t="s">
        <v>4316</v>
      </c>
      <c r="EW537" s="67">
        <v>489.71</v>
      </c>
      <c r="EX537" s="67" t="s">
        <v>4317</v>
      </c>
      <c r="EY537" s="67">
        <v>5663.94</v>
      </c>
      <c r="EZ537" s="67" t="s">
        <v>4318</v>
      </c>
      <c r="FA537" s="67">
        <v>20063.564999999999</v>
      </c>
      <c r="FB537" s="67" t="s">
        <v>4319</v>
      </c>
      <c r="FC537" s="67" t="s">
        <v>4320</v>
      </c>
      <c r="FD537" s="67" t="s">
        <v>4321</v>
      </c>
      <c r="FE537" s="68" t="s">
        <v>4322</v>
      </c>
      <c r="FF537" s="68" t="s">
        <v>4323</v>
      </c>
    </row>
    <row r="538" spans="151:162" x14ac:dyDescent="0.2">
      <c r="EU538" s="67">
        <v>566.19000000000005</v>
      </c>
      <c r="EV538" s="67" t="s">
        <v>4324</v>
      </c>
      <c r="EW538" s="67">
        <v>489.75</v>
      </c>
      <c r="EX538" s="67" t="s">
        <v>4325</v>
      </c>
      <c r="EY538" s="67">
        <v>5663.94</v>
      </c>
      <c r="EZ538" s="67" t="s">
        <v>4326</v>
      </c>
      <c r="FA538" s="67">
        <v>20063.564999999999</v>
      </c>
      <c r="FB538" s="67" t="s">
        <v>4327</v>
      </c>
      <c r="FC538" s="67" t="s">
        <v>4328</v>
      </c>
      <c r="FD538" s="67" t="s">
        <v>4329</v>
      </c>
      <c r="FE538" s="68" t="s">
        <v>4330</v>
      </c>
      <c r="FF538" s="68" t="s">
        <v>4331</v>
      </c>
    </row>
    <row r="539" spans="151:162" x14ac:dyDescent="0.2">
      <c r="EU539" s="67">
        <v>566.17999999999995</v>
      </c>
      <c r="EV539" s="67" t="s">
        <v>4332</v>
      </c>
      <c r="EW539" s="67">
        <v>489.71</v>
      </c>
      <c r="EX539" s="67" t="s">
        <v>4333</v>
      </c>
      <c r="EY539" s="67">
        <v>5663.94</v>
      </c>
      <c r="EZ539" s="67" t="s">
        <v>4334</v>
      </c>
      <c r="FA539" s="67">
        <v>20063.564999999999</v>
      </c>
      <c r="FB539" s="67" t="s">
        <v>4335</v>
      </c>
      <c r="FC539" s="67" t="s">
        <v>4336</v>
      </c>
      <c r="FD539" s="67" t="s">
        <v>4337</v>
      </c>
      <c r="FE539" s="68" t="s">
        <v>4338</v>
      </c>
      <c r="FF539" s="68" t="s">
        <v>4339</v>
      </c>
    </row>
    <row r="540" spans="151:162" x14ac:dyDescent="0.2">
      <c r="EU540" s="67">
        <v>566.20000000000005</v>
      </c>
      <c r="EV540" s="67" t="s">
        <v>4340</v>
      </c>
      <c r="EW540" s="67">
        <v>489.68</v>
      </c>
      <c r="EX540" s="67" t="s">
        <v>4341</v>
      </c>
      <c r="EY540" s="67">
        <v>5663.94</v>
      </c>
      <c r="EZ540" s="67" t="s">
        <v>4342</v>
      </c>
      <c r="FA540" s="67">
        <v>20063.564999999999</v>
      </c>
      <c r="FB540" s="67" t="s">
        <v>4343</v>
      </c>
      <c r="FC540" s="67" t="s">
        <v>4344</v>
      </c>
      <c r="FD540" s="67" t="s">
        <v>4345</v>
      </c>
      <c r="FE540" s="68" t="s">
        <v>4346</v>
      </c>
      <c r="FF540" s="68" t="s">
        <v>4347</v>
      </c>
    </row>
    <row r="541" spans="151:162" x14ac:dyDescent="0.2">
      <c r="EU541" s="67">
        <v>566.30999999999995</v>
      </c>
      <c r="EV541" s="67" t="s">
        <v>4348</v>
      </c>
      <c r="EW541" s="67">
        <v>489.78</v>
      </c>
      <c r="EX541" s="67" t="s">
        <v>4349</v>
      </c>
      <c r="EY541" s="67">
        <v>5663.94</v>
      </c>
      <c r="EZ541" s="67" t="s">
        <v>4350</v>
      </c>
      <c r="FA541" s="67">
        <v>20063.564999999999</v>
      </c>
      <c r="FB541" s="67" t="s">
        <v>4351</v>
      </c>
      <c r="FC541" s="67" t="s">
        <v>4352</v>
      </c>
      <c r="FD541" s="67" t="s">
        <v>4353</v>
      </c>
      <c r="FE541" s="68" t="s">
        <v>4354</v>
      </c>
      <c r="FF541" s="68" t="s">
        <v>4355</v>
      </c>
    </row>
    <row r="542" spans="151:162" x14ac:dyDescent="0.2">
      <c r="EU542" s="67">
        <v>566.26</v>
      </c>
      <c r="EV542" s="67" t="s">
        <v>4356</v>
      </c>
      <c r="EW542" s="67">
        <v>489.75</v>
      </c>
      <c r="EX542" s="67" t="s">
        <v>4357</v>
      </c>
      <c r="EY542" s="67">
        <v>5663.94</v>
      </c>
      <c r="EZ542" s="67" t="s">
        <v>4358</v>
      </c>
      <c r="FA542" s="67">
        <v>20063.564999999999</v>
      </c>
      <c r="FB542" s="67" t="s">
        <v>4359</v>
      </c>
      <c r="FC542" s="67" t="s">
        <v>4360</v>
      </c>
      <c r="FD542" s="67" t="s">
        <v>4361</v>
      </c>
      <c r="FE542" s="68" t="s">
        <v>4362</v>
      </c>
      <c r="FF542" s="68" t="s">
        <v>4363</v>
      </c>
    </row>
    <row r="543" spans="151:162" x14ac:dyDescent="0.2">
      <c r="EU543" s="67">
        <v>566.21</v>
      </c>
      <c r="EV543" s="67" t="s">
        <v>4364</v>
      </c>
      <c r="EW543" s="67">
        <v>489.66</v>
      </c>
      <c r="EX543" s="67" t="s">
        <v>4365</v>
      </c>
      <c r="EY543" s="67">
        <v>5663.94</v>
      </c>
      <c r="EZ543" s="67" t="s">
        <v>4366</v>
      </c>
      <c r="FA543" s="67">
        <v>20063.564999999999</v>
      </c>
      <c r="FB543" s="67" t="s">
        <v>4367</v>
      </c>
      <c r="FC543" s="67" t="s">
        <v>4368</v>
      </c>
      <c r="FD543" s="67" t="s">
        <v>4369</v>
      </c>
      <c r="FE543" s="68" t="s">
        <v>4370</v>
      </c>
      <c r="FF543" s="68" t="s">
        <v>4371</v>
      </c>
    </row>
    <row r="544" spans="151:162" x14ac:dyDescent="0.2">
      <c r="EU544" s="67">
        <v>566.34</v>
      </c>
      <c r="EV544" s="67" t="s">
        <v>4372</v>
      </c>
      <c r="EW544" s="67">
        <v>489.82</v>
      </c>
      <c r="EX544" s="67" t="s">
        <v>4373</v>
      </c>
      <c r="EY544" s="67">
        <v>5663.94</v>
      </c>
      <c r="EZ544" s="67" t="s">
        <v>4374</v>
      </c>
      <c r="FA544" s="67">
        <v>20063.564999999999</v>
      </c>
      <c r="FB544" s="67" t="s">
        <v>4375</v>
      </c>
      <c r="FC544" s="67" t="s">
        <v>4376</v>
      </c>
      <c r="FD544" s="67" t="s">
        <v>4377</v>
      </c>
      <c r="FE544" s="68" t="s">
        <v>4378</v>
      </c>
      <c r="FF544" s="68" t="s">
        <v>4379</v>
      </c>
    </row>
    <row r="545" spans="151:162" x14ac:dyDescent="0.2">
      <c r="EU545" s="67">
        <v>566.58000000000004</v>
      </c>
      <c r="EV545" s="67" t="s">
        <v>4380</v>
      </c>
      <c r="EW545" s="67">
        <v>490.11</v>
      </c>
      <c r="EX545" s="67" t="s">
        <v>4381</v>
      </c>
      <c r="EY545" s="67">
        <v>5663.94</v>
      </c>
      <c r="EZ545" s="67" t="s">
        <v>4382</v>
      </c>
      <c r="FA545" s="67">
        <v>20063.564999999999</v>
      </c>
      <c r="FB545" s="67" t="s">
        <v>4383</v>
      </c>
      <c r="FC545" s="67" t="s">
        <v>4384</v>
      </c>
      <c r="FD545" s="67" t="s">
        <v>4385</v>
      </c>
      <c r="FE545" s="68" t="s">
        <v>4386</v>
      </c>
      <c r="FF545" s="68" t="s">
        <v>4387</v>
      </c>
    </row>
    <row r="546" spans="151:162" x14ac:dyDescent="0.2">
      <c r="EU546" s="67">
        <v>566.62</v>
      </c>
      <c r="EV546" s="67" t="s">
        <v>4388</v>
      </c>
      <c r="EW546" s="67">
        <v>490.16</v>
      </c>
      <c r="EX546" s="67" t="s">
        <v>4389</v>
      </c>
      <c r="EY546" s="67">
        <v>5663.94</v>
      </c>
      <c r="EZ546" s="67" t="s">
        <v>4390</v>
      </c>
      <c r="FA546" s="67">
        <v>20063.564999999999</v>
      </c>
      <c r="FB546" s="67" t="s">
        <v>4391</v>
      </c>
      <c r="FC546" s="67" t="s">
        <v>4392</v>
      </c>
      <c r="FD546" s="67" t="s">
        <v>4393</v>
      </c>
      <c r="FE546" s="68" t="s">
        <v>4394</v>
      </c>
      <c r="FF546" s="68" t="s">
        <v>4395</v>
      </c>
    </row>
    <row r="547" spans="151:162" x14ac:dyDescent="0.2">
      <c r="EU547" s="67">
        <v>566.72</v>
      </c>
      <c r="EV547" s="67" t="s">
        <v>4396</v>
      </c>
      <c r="EW547" s="67">
        <v>490.25</v>
      </c>
      <c r="EX547" s="67" t="s">
        <v>4397</v>
      </c>
      <c r="EY547" s="67">
        <v>5663.94</v>
      </c>
      <c r="EZ547" s="67" t="s">
        <v>4398</v>
      </c>
      <c r="FA547" s="67">
        <v>20063.564999999999</v>
      </c>
      <c r="FB547" s="67" t="s">
        <v>4399</v>
      </c>
      <c r="FC547" s="67" t="s">
        <v>4400</v>
      </c>
      <c r="FD547" s="67" t="s">
        <v>4401</v>
      </c>
      <c r="FE547" s="68" t="s">
        <v>4402</v>
      </c>
      <c r="FF547" s="68" t="s">
        <v>4403</v>
      </c>
    </row>
    <row r="548" spans="151:162" x14ac:dyDescent="0.2">
      <c r="EU548" s="67">
        <v>566.54999999999995</v>
      </c>
      <c r="EV548" s="67" t="s">
        <v>4404</v>
      </c>
      <c r="EW548" s="67">
        <v>490.01</v>
      </c>
      <c r="EX548" s="67" t="s">
        <v>4405</v>
      </c>
      <c r="EY548" s="67">
        <v>5663.94</v>
      </c>
      <c r="EZ548" s="67" t="s">
        <v>4406</v>
      </c>
      <c r="FA548" s="67">
        <v>20063.564999999999</v>
      </c>
      <c r="FB548" s="67" t="s">
        <v>4407</v>
      </c>
      <c r="FC548" s="67" t="s">
        <v>4408</v>
      </c>
      <c r="FD548" s="67" t="s">
        <v>4409</v>
      </c>
      <c r="FE548" s="68" t="s">
        <v>4410</v>
      </c>
      <c r="FF548" s="68" t="s">
        <v>4411</v>
      </c>
    </row>
    <row r="549" spans="151:162" x14ac:dyDescent="0.2">
      <c r="EU549" s="67">
        <v>566.53</v>
      </c>
      <c r="EV549" s="67" t="s">
        <v>4412</v>
      </c>
      <c r="EW549" s="67">
        <v>490</v>
      </c>
      <c r="EX549" s="67" t="s">
        <v>4413</v>
      </c>
      <c r="EY549" s="67">
        <v>5663.94</v>
      </c>
      <c r="EZ549" s="67" t="s">
        <v>4414</v>
      </c>
      <c r="FA549" s="67">
        <v>20063.564999999999</v>
      </c>
      <c r="FB549" s="67" t="s">
        <v>4415</v>
      </c>
      <c r="FC549" s="67" t="s">
        <v>4416</v>
      </c>
      <c r="FD549" s="67" t="s">
        <v>4417</v>
      </c>
      <c r="FE549" s="68" t="s">
        <v>4418</v>
      </c>
      <c r="FF549" s="68" t="s">
        <v>4419</v>
      </c>
    </row>
    <row r="550" spans="151:162" x14ac:dyDescent="0.2">
      <c r="EU550" s="67">
        <v>566.35</v>
      </c>
      <c r="EV550" s="67" t="s">
        <v>4420</v>
      </c>
      <c r="EW550" s="67">
        <v>489.83</v>
      </c>
      <c r="EX550" s="67" t="s">
        <v>4421</v>
      </c>
      <c r="EY550" s="67">
        <v>5663.94</v>
      </c>
      <c r="EZ550" s="67" t="s">
        <v>4422</v>
      </c>
      <c r="FA550" s="67">
        <v>20063.564999999999</v>
      </c>
      <c r="FB550" s="67" t="s">
        <v>4423</v>
      </c>
      <c r="FC550" s="67" t="s">
        <v>4424</v>
      </c>
      <c r="FD550" s="67" t="s">
        <v>4425</v>
      </c>
      <c r="FE550" s="68" t="s">
        <v>4426</v>
      </c>
      <c r="FF550" s="68" t="s">
        <v>4427</v>
      </c>
    </row>
    <row r="551" spans="151:162" x14ac:dyDescent="0.2">
      <c r="EU551" s="67">
        <v>566.32000000000005</v>
      </c>
      <c r="EV551" s="67" t="s">
        <v>4428</v>
      </c>
      <c r="EW551" s="67">
        <v>489.82</v>
      </c>
      <c r="EX551" s="67" t="s">
        <v>4429</v>
      </c>
      <c r="EY551" s="67">
        <v>5663.94</v>
      </c>
      <c r="EZ551" s="67" t="s">
        <v>4430</v>
      </c>
      <c r="FA551" s="67">
        <v>20063.564999999999</v>
      </c>
      <c r="FB551" s="67" t="s">
        <v>4431</v>
      </c>
      <c r="FC551" s="67" t="s">
        <v>4432</v>
      </c>
      <c r="FD551" s="67" t="s">
        <v>4433</v>
      </c>
      <c r="FE551" s="68" t="s">
        <v>4434</v>
      </c>
      <c r="FF551" s="68" t="s">
        <v>4435</v>
      </c>
    </row>
    <row r="552" spans="151:162" x14ac:dyDescent="0.2">
      <c r="EU552" s="67">
        <v>566.22</v>
      </c>
      <c r="EV552" s="67" t="s">
        <v>4436</v>
      </c>
      <c r="EW552" s="67">
        <v>489.73</v>
      </c>
      <c r="EX552" s="67" t="s">
        <v>4437</v>
      </c>
      <c r="EY552" s="67">
        <v>5663.94</v>
      </c>
      <c r="EZ552" s="67" t="s">
        <v>4438</v>
      </c>
      <c r="FA552" s="67">
        <v>20063.564999999999</v>
      </c>
      <c r="FB552" s="67" t="s">
        <v>4439</v>
      </c>
      <c r="FC552" s="67" t="s">
        <v>4440</v>
      </c>
      <c r="FD552" s="67" t="s">
        <v>4441</v>
      </c>
      <c r="FE552" s="68" t="s">
        <v>4442</v>
      </c>
      <c r="FF552" s="68" t="s">
        <v>4443</v>
      </c>
    </row>
    <row r="553" spans="151:162" x14ac:dyDescent="0.2">
      <c r="EU553" s="67">
        <v>566.14</v>
      </c>
      <c r="EV553" s="67" t="s">
        <v>4444</v>
      </c>
      <c r="EW553" s="67">
        <v>489.66</v>
      </c>
      <c r="EX553" s="67" t="s">
        <v>4445</v>
      </c>
      <c r="EY553" s="67">
        <v>5663.94</v>
      </c>
      <c r="EZ553" s="67" t="s">
        <v>4446</v>
      </c>
      <c r="FA553" s="67">
        <v>20063.564999999999</v>
      </c>
      <c r="FB553" s="67" t="s">
        <v>4447</v>
      </c>
      <c r="FC553" s="67" t="s">
        <v>4448</v>
      </c>
      <c r="FD553" s="67" t="s">
        <v>4449</v>
      </c>
      <c r="FE553" s="68" t="s">
        <v>4450</v>
      </c>
      <c r="FF553" s="68" t="s">
        <v>4451</v>
      </c>
    </row>
    <row r="554" spans="151:162" x14ac:dyDescent="0.2">
      <c r="EU554" s="67">
        <v>566.09</v>
      </c>
      <c r="EV554" s="67" t="s">
        <v>4452</v>
      </c>
      <c r="EW554" s="67">
        <v>489.66</v>
      </c>
      <c r="EX554" s="67" t="s">
        <v>4453</v>
      </c>
      <c r="EY554" s="67">
        <v>5663.94</v>
      </c>
      <c r="EZ554" s="67" t="s">
        <v>4454</v>
      </c>
      <c r="FA554" s="67">
        <v>20063.564999999999</v>
      </c>
      <c r="FB554" s="67" t="s">
        <v>4455</v>
      </c>
      <c r="FC554" s="67" t="s">
        <v>4456</v>
      </c>
      <c r="FD554" s="67" t="s">
        <v>4457</v>
      </c>
      <c r="FE554" s="68" t="s">
        <v>4458</v>
      </c>
      <c r="FF554" s="68" t="s">
        <v>4459</v>
      </c>
    </row>
    <row r="555" spans="151:162" x14ac:dyDescent="0.2">
      <c r="EU555" s="67">
        <v>566.14</v>
      </c>
      <c r="EV555" s="67" t="s">
        <v>4460</v>
      </c>
      <c r="EW555" s="67">
        <v>489.71</v>
      </c>
      <c r="EX555" s="67" t="s">
        <v>4461</v>
      </c>
      <c r="EY555" s="67">
        <v>5663.94</v>
      </c>
      <c r="EZ555" s="67" t="s">
        <v>4462</v>
      </c>
      <c r="FA555" s="67">
        <v>20063.564999999999</v>
      </c>
      <c r="FB555" s="67" t="s">
        <v>4463</v>
      </c>
      <c r="FC555" s="67" t="s">
        <v>4464</v>
      </c>
      <c r="FD555" s="67" t="s">
        <v>4465</v>
      </c>
      <c r="FE555" s="68" t="s">
        <v>4466</v>
      </c>
      <c r="FF555" s="68" t="s">
        <v>4467</v>
      </c>
    </row>
    <row r="556" spans="151:162" x14ac:dyDescent="0.2">
      <c r="EU556" s="67">
        <v>566.17999999999995</v>
      </c>
      <c r="EV556" s="67" t="s">
        <v>4468</v>
      </c>
      <c r="EW556" s="67">
        <v>489.79</v>
      </c>
      <c r="EX556" s="67" t="s">
        <v>4469</v>
      </c>
      <c r="EY556" s="67">
        <v>5663.94</v>
      </c>
      <c r="EZ556" s="67" t="s">
        <v>4470</v>
      </c>
      <c r="FA556" s="67">
        <v>20063.564999999999</v>
      </c>
      <c r="FB556" s="67" t="s">
        <v>4471</v>
      </c>
      <c r="FC556" s="67" t="s">
        <v>4472</v>
      </c>
      <c r="FD556" s="67" t="s">
        <v>4473</v>
      </c>
      <c r="FE556" s="68" t="s">
        <v>4474</v>
      </c>
      <c r="FF556" s="68" t="s">
        <v>4475</v>
      </c>
    </row>
    <row r="557" spans="151:162" x14ac:dyDescent="0.2">
      <c r="EU557" s="67">
        <v>566.20000000000005</v>
      </c>
      <c r="EV557" s="67" t="s">
        <v>4476</v>
      </c>
      <c r="EW557" s="67">
        <v>489.8</v>
      </c>
      <c r="EX557" s="67" t="s">
        <v>4477</v>
      </c>
      <c r="EY557" s="67">
        <v>5663.94</v>
      </c>
      <c r="EZ557" s="67" t="s">
        <v>4478</v>
      </c>
      <c r="FA557" s="67">
        <v>20063.564999999999</v>
      </c>
      <c r="FB557" s="67" t="s">
        <v>4479</v>
      </c>
      <c r="FC557" s="67" t="s">
        <v>4480</v>
      </c>
      <c r="FD557" s="67" t="s">
        <v>4481</v>
      </c>
      <c r="FE557" s="68" t="s">
        <v>4482</v>
      </c>
      <c r="FF557" s="68" t="s">
        <v>4483</v>
      </c>
    </row>
    <row r="558" spans="151:162" x14ac:dyDescent="0.2">
      <c r="EU558" s="67">
        <v>566.28</v>
      </c>
      <c r="EV558" s="67" t="s">
        <v>4484</v>
      </c>
      <c r="EW558" s="67">
        <v>489.85</v>
      </c>
      <c r="EX558" s="67" t="s">
        <v>4485</v>
      </c>
      <c r="EY558" s="67">
        <v>5663.94</v>
      </c>
      <c r="EZ558" s="67" t="s">
        <v>4486</v>
      </c>
      <c r="FA558" s="67">
        <v>20063.564999999999</v>
      </c>
      <c r="FB558" s="67" t="s">
        <v>4487</v>
      </c>
      <c r="FC558" s="67" t="s">
        <v>4488</v>
      </c>
      <c r="FD558" s="67" t="s">
        <v>4489</v>
      </c>
      <c r="FE558" s="68" t="s">
        <v>4490</v>
      </c>
      <c r="FF558" s="68" t="s">
        <v>4491</v>
      </c>
    </row>
    <row r="559" spans="151:162" x14ac:dyDescent="0.2">
      <c r="EU559" s="67">
        <v>566.22</v>
      </c>
      <c r="EV559" s="67" t="s">
        <v>4492</v>
      </c>
      <c r="EW559" s="67">
        <v>489.82</v>
      </c>
      <c r="EX559" s="67" t="s">
        <v>4493</v>
      </c>
      <c r="EY559" s="67">
        <v>5663.94</v>
      </c>
      <c r="EZ559" s="67" t="s">
        <v>4494</v>
      </c>
      <c r="FA559" s="67">
        <v>20063.564999999999</v>
      </c>
      <c r="FB559" s="67" t="s">
        <v>4495</v>
      </c>
      <c r="FC559" s="67" t="s">
        <v>4496</v>
      </c>
      <c r="FD559" s="67" t="s">
        <v>4497</v>
      </c>
      <c r="FE559" s="68" t="s">
        <v>4498</v>
      </c>
      <c r="FF559" s="68" t="s">
        <v>4499</v>
      </c>
    </row>
    <row r="560" spans="151:162" x14ac:dyDescent="0.2">
      <c r="EU560" s="67">
        <v>566.13</v>
      </c>
      <c r="EV560" s="67" t="s">
        <v>4500</v>
      </c>
      <c r="EW560" s="67">
        <v>489.74</v>
      </c>
      <c r="EX560" s="67" t="s">
        <v>4501</v>
      </c>
      <c r="EY560" s="67">
        <v>5663.94</v>
      </c>
      <c r="EZ560" s="67" t="s">
        <v>4502</v>
      </c>
      <c r="FA560" s="67">
        <v>20063.564999999999</v>
      </c>
      <c r="FB560" s="67" t="s">
        <v>4503</v>
      </c>
      <c r="FC560" s="67" t="s">
        <v>4504</v>
      </c>
      <c r="FD560" s="67" t="s">
        <v>4505</v>
      </c>
      <c r="FE560" s="68" t="s">
        <v>4506</v>
      </c>
      <c r="FF560" s="68" t="s">
        <v>4507</v>
      </c>
    </row>
    <row r="561" spans="151:162" x14ac:dyDescent="0.2">
      <c r="EU561" s="67">
        <v>566.21</v>
      </c>
      <c r="EV561" s="67" t="s">
        <v>4508</v>
      </c>
      <c r="EW561" s="67">
        <v>489.79</v>
      </c>
      <c r="EX561" s="67" t="s">
        <v>4509</v>
      </c>
      <c r="EY561" s="67">
        <v>5663.94</v>
      </c>
      <c r="EZ561" s="67" t="s">
        <v>4510</v>
      </c>
      <c r="FA561" s="67">
        <v>20063.564999999999</v>
      </c>
      <c r="FB561" s="67" t="s">
        <v>4511</v>
      </c>
      <c r="FC561" s="67" t="s">
        <v>4512</v>
      </c>
      <c r="FD561" s="67" t="s">
        <v>4513</v>
      </c>
      <c r="FE561" s="68" t="s">
        <v>4514</v>
      </c>
      <c r="FF561" s="68" t="s">
        <v>4515</v>
      </c>
    </row>
    <row r="562" spans="151:162" x14ac:dyDescent="0.2">
      <c r="EU562" s="67">
        <v>566.23</v>
      </c>
      <c r="EV562" s="67" t="s">
        <v>4516</v>
      </c>
      <c r="EW562" s="67">
        <v>489.82</v>
      </c>
      <c r="EX562" s="67" t="s">
        <v>4517</v>
      </c>
      <c r="EY562" s="67">
        <v>5663.94</v>
      </c>
      <c r="EZ562" s="67" t="s">
        <v>4518</v>
      </c>
      <c r="FA562" s="67">
        <v>20063.564999999999</v>
      </c>
      <c r="FB562" s="67" t="s">
        <v>4519</v>
      </c>
      <c r="FC562" s="67" t="s">
        <v>4520</v>
      </c>
      <c r="FD562" s="67" t="s">
        <v>4521</v>
      </c>
      <c r="FE562" s="68" t="s">
        <v>4522</v>
      </c>
      <c r="FF562" s="68" t="s">
        <v>4523</v>
      </c>
    </row>
    <row r="563" spans="151:162" x14ac:dyDescent="0.2">
      <c r="EU563" s="67">
        <v>566.25</v>
      </c>
      <c r="EV563" s="67" t="s">
        <v>4524</v>
      </c>
      <c r="EW563" s="67">
        <v>489.86</v>
      </c>
      <c r="EX563" s="67" t="s">
        <v>4525</v>
      </c>
      <c r="EY563" s="67">
        <v>5663.94</v>
      </c>
      <c r="EZ563" s="67" t="s">
        <v>4526</v>
      </c>
      <c r="FA563" s="67">
        <v>20063.564999999999</v>
      </c>
      <c r="FB563" s="67" t="s">
        <v>4527</v>
      </c>
      <c r="FC563" s="67" t="s">
        <v>4528</v>
      </c>
      <c r="FD563" s="67" t="s">
        <v>4529</v>
      </c>
      <c r="FE563" s="68" t="s">
        <v>4530</v>
      </c>
      <c r="FF563" s="68" t="s">
        <v>4531</v>
      </c>
    </row>
    <row r="564" spans="151:162" x14ac:dyDescent="0.2">
      <c r="EU564" s="67">
        <v>566.20000000000005</v>
      </c>
      <c r="EV564" s="67" t="s">
        <v>4532</v>
      </c>
      <c r="EW564" s="67">
        <v>489.81</v>
      </c>
      <c r="EX564" s="67" t="s">
        <v>4533</v>
      </c>
      <c r="EY564" s="67">
        <v>5663.94</v>
      </c>
      <c r="EZ564" s="67" t="s">
        <v>4534</v>
      </c>
      <c r="FA564" s="67">
        <v>20063.564999999999</v>
      </c>
      <c r="FB564" s="67" t="s">
        <v>4535</v>
      </c>
      <c r="FC564" s="67" t="s">
        <v>4536</v>
      </c>
      <c r="FD564" s="67" t="s">
        <v>4537</v>
      </c>
      <c r="FE564" s="68" t="s">
        <v>4538</v>
      </c>
      <c r="FF564" s="68" t="s">
        <v>4539</v>
      </c>
    </row>
    <row r="565" spans="151:162" x14ac:dyDescent="0.2">
      <c r="EU565" s="67">
        <v>566.04</v>
      </c>
      <c r="EV565" s="67" t="s">
        <v>4540</v>
      </c>
      <c r="EW565" s="67">
        <v>489.64</v>
      </c>
      <c r="EX565" s="67" t="s">
        <v>4541</v>
      </c>
      <c r="EY565" s="67">
        <v>5663.94</v>
      </c>
      <c r="EZ565" s="67" t="s">
        <v>4542</v>
      </c>
      <c r="FA565" s="67">
        <v>20063.564999999999</v>
      </c>
      <c r="FB565" s="67" t="s">
        <v>4543</v>
      </c>
      <c r="FC565" s="67" t="s">
        <v>4544</v>
      </c>
      <c r="FD565" s="67" t="s">
        <v>4545</v>
      </c>
      <c r="FE565" s="68" t="s">
        <v>4546</v>
      </c>
      <c r="FF565" s="68" t="s">
        <v>4547</v>
      </c>
    </row>
    <row r="566" spans="151:162" x14ac:dyDescent="0.2">
      <c r="EU566" s="67">
        <v>566.04</v>
      </c>
      <c r="EV566" s="67" t="s">
        <v>4548</v>
      </c>
      <c r="EW566" s="67">
        <v>489.57</v>
      </c>
      <c r="EX566" s="67" t="s">
        <v>4549</v>
      </c>
      <c r="EY566" s="67">
        <v>5663.94</v>
      </c>
      <c r="EZ566" s="67" t="s">
        <v>4550</v>
      </c>
      <c r="FA566" s="67">
        <v>20063.564999999999</v>
      </c>
      <c r="FB566" s="67" t="s">
        <v>4551</v>
      </c>
      <c r="FC566" s="67" t="s">
        <v>4552</v>
      </c>
      <c r="FD566" s="67" t="s">
        <v>4553</v>
      </c>
      <c r="FE566" s="68" t="s">
        <v>4554</v>
      </c>
      <c r="FF566" s="68" t="s">
        <v>4555</v>
      </c>
    </row>
    <row r="567" spans="151:162" x14ac:dyDescent="0.2">
      <c r="EU567" s="67">
        <v>566.01</v>
      </c>
      <c r="EV567" s="67" t="s">
        <v>4556</v>
      </c>
      <c r="EW567" s="67">
        <v>489.56</v>
      </c>
      <c r="EX567" s="67" t="s">
        <v>4557</v>
      </c>
      <c r="EY567" s="67">
        <v>5663.94</v>
      </c>
      <c r="EZ567" s="67" t="s">
        <v>4558</v>
      </c>
      <c r="FA567" s="67">
        <v>20063.564999999999</v>
      </c>
      <c r="FB567" s="67" t="s">
        <v>4559</v>
      </c>
      <c r="FC567" s="67" t="s">
        <v>4560</v>
      </c>
      <c r="FD567" s="67" t="s">
        <v>4561</v>
      </c>
      <c r="FE567" s="68" t="s">
        <v>4562</v>
      </c>
      <c r="FF567" s="68" t="s">
        <v>4563</v>
      </c>
    </row>
    <row r="568" spans="151:162" x14ac:dyDescent="0.2">
      <c r="EU568" s="67">
        <v>565.99</v>
      </c>
      <c r="EV568" s="67" t="s">
        <v>4564</v>
      </c>
      <c r="EW568" s="67">
        <v>489.52</v>
      </c>
      <c r="EX568" s="67" t="s">
        <v>4565</v>
      </c>
      <c r="EY568" s="67">
        <v>5663.94</v>
      </c>
      <c r="EZ568" s="67" t="s">
        <v>4566</v>
      </c>
      <c r="FA568" s="67">
        <v>20063.564999999999</v>
      </c>
      <c r="FB568" s="67" t="s">
        <v>4567</v>
      </c>
      <c r="FC568" s="67" t="s">
        <v>4568</v>
      </c>
      <c r="FD568" s="67" t="s">
        <v>4569</v>
      </c>
      <c r="FE568" s="68" t="s">
        <v>4570</v>
      </c>
      <c r="FF568" s="68" t="s">
        <v>4571</v>
      </c>
    </row>
    <row r="569" spans="151:162" x14ac:dyDescent="0.2">
      <c r="EU569" s="67">
        <v>566.05999999999995</v>
      </c>
      <c r="EV569" s="67" t="s">
        <v>4572</v>
      </c>
      <c r="EW569" s="67">
        <v>489.59</v>
      </c>
      <c r="EX569" s="67" t="s">
        <v>4573</v>
      </c>
      <c r="EY569" s="67">
        <v>5663.94</v>
      </c>
      <c r="EZ569" s="67" t="s">
        <v>4574</v>
      </c>
      <c r="FA569" s="67">
        <v>20063.564999999999</v>
      </c>
      <c r="FB569" s="67" t="s">
        <v>4575</v>
      </c>
      <c r="FC569" s="67" t="s">
        <v>4576</v>
      </c>
      <c r="FD569" s="67" t="s">
        <v>4577</v>
      </c>
      <c r="FE569" s="68" t="s">
        <v>4578</v>
      </c>
      <c r="FF569" s="68" t="s">
        <v>4579</v>
      </c>
    </row>
    <row r="570" spans="151:162" x14ac:dyDescent="0.2">
      <c r="EU570" s="67">
        <v>566.21</v>
      </c>
      <c r="EV570" s="67" t="s">
        <v>4580</v>
      </c>
      <c r="EW570" s="67">
        <v>489.84</v>
      </c>
      <c r="EX570" s="67" t="s">
        <v>4581</v>
      </c>
      <c r="EY570" s="67">
        <v>5663.94</v>
      </c>
      <c r="EZ570" s="67" t="s">
        <v>4582</v>
      </c>
      <c r="FA570" s="67">
        <v>20063.564999999999</v>
      </c>
      <c r="FB570" s="67" t="s">
        <v>4583</v>
      </c>
      <c r="FC570" s="67" t="s">
        <v>4584</v>
      </c>
      <c r="FD570" s="67" t="s">
        <v>4585</v>
      </c>
      <c r="FE570" s="68" t="s">
        <v>4586</v>
      </c>
      <c r="FF570" s="68" t="s">
        <v>4587</v>
      </c>
    </row>
    <row r="571" spans="151:162" x14ac:dyDescent="0.2">
      <c r="EU571" s="67">
        <v>566.39</v>
      </c>
      <c r="EV571" s="67" t="s">
        <v>4588</v>
      </c>
      <c r="EW571" s="67">
        <v>490</v>
      </c>
      <c r="EX571" s="67" t="s">
        <v>4589</v>
      </c>
      <c r="EY571" s="67">
        <v>5663.94</v>
      </c>
      <c r="EZ571" s="67" t="s">
        <v>4590</v>
      </c>
      <c r="FA571" s="67">
        <v>20063.564999999999</v>
      </c>
      <c r="FB571" s="67" t="s">
        <v>4591</v>
      </c>
      <c r="FC571" s="67" t="s">
        <v>4592</v>
      </c>
      <c r="FD571" s="67" t="s">
        <v>4593</v>
      </c>
      <c r="FE571" s="68" t="s">
        <v>4594</v>
      </c>
      <c r="FF571" s="68" t="s">
        <v>4595</v>
      </c>
    </row>
    <row r="572" spans="151:162" x14ac:dyDescent="0.2">
      <c r="EU572" s="67">
        <v>566.45000000000005</v>
      </c>
      <c r="EV572" s="67" t="s">
        <v>4596</v>
      </c>
      <c r="EW572" s="67">
        <v>490.07</v>
      </c>
      <c r="EX572" s="67" t="s">
        <v>4597</v>
      </c>
      <c r="EY572" s="67">
        <v>5663.94</v>
      </c>
      <c r="EZ572" s="67" t="s">
        <v>4598</v>
      </c>
      <c r="FA572" s="67">
        <v>20063.564999999999</v>
      </c>
      <c r="FB572" s="67" t="s">
        <v>4599</v>
      </c>
      <c r="FC572" s="67" t="s">
        <v>4600</v>
      </c>
      <c r="FD572" s="67" t="s">
        <v>4601</v>
      </c>
      <c r="FE572" s="68" t="s">
        <v>4602</v>
      </c>
      <c r="FF572" s="68" t="s">
        <v>4603</v>
      </c>
    </row>
    <row r="573" spans="151:162" x14ac:dyDescent="0.2">
      <c r="EU573" s="67">
        <v>566.49</v>
      </c>
      <c r="EV573" s="67" t="s">
        <v>4604</v>
      </c>
      <c r="EW573" s="67">
        <v>490.13</v>
      </c>
      <c r="EX573" s="67" t="s">
        <v>4605</v>
      </c>
      <c r="EY573" s="67">
        <v>5663.94</v>
      </c>
      <c r="EZ573" s="67" t="s">
        <v>4606</v>
      </c>
      <c r="FA573" s="67">
        <v>20063.564999999999</v>
      </c>
      <c r="FB573" s="67" t="s">
        <v>4607</v>
      </c>
      <c r="FC573" s="67" t="s">
        <v>4608</v>
      </c>
      <c r="FD573" s="67" t="s">
        <v>4609</v>
      </c>
      <c r="FE573" s="68" t="s">
        <v>4610</v>
      </c>
      <c r="FF573" s="68" t="s">
        <v>4611</v>
      </c>
    </row>
    <row r="574" spans="151:162" x14ac:dyDescent="0.2">
      <c r="EU574" s="67">
        <v>566.44000000000005</v>
      </c>
      <c r="EV574" s="67" t="s">
        <v>4612</v>
      </c>
      <c r="EW574" s="67">
        <v>490.07</v>
      </c>
      <c r="EX574" s="67" t="s">
        <v>4613</v>
      </c>
      <c r="EY574" s="67">
        <v>5663.94</v>
      </c>
      <c r="EZ574" s="67" t="s">
        <v>4614</v>
      </c>
      <c r="FA574" s="67">
        <v>20063.564999999999</v>
      </c>
      <c r="FB574" s="67" t="s">
        <v>4615</v>
      </c>
      <c r="FC574" s="67" t="s">
        <v>4616</v>
      </c>
      <c r="FD574" s="67" t="s">
        <v>4617</v>
      </c>
      <c r="FE574" s="68" t="s">
        <v>4618</v>
      </c>
      <c r="FF574" s="68" t="s">
        <v>4619</v>
      </c>
    </row>
    <row r="575" spans="151:162" x14ac:dyDescent="0.2">
      <c r="EU575" s="67">
        <v>566.62</v>
      </c>
      <c r="EV575" s="67" t="s">
        <v>4620</v>
      </c>
      <c r="EW575" s="67">
        <v>490.25</v>
      </c>
      <c r="EX575" s="67" t="s">
        <v>4621</v>
      </c>
      <c r="EY575" s="67">
        <v>5663.94</v>
      </c>
      <c r="EZ575" s="67" t="s">
        <v>4622</v>
      </c>
      <c r="FA575" s="67">
        <v>20063.564999999999</v>
      </c>
      <c r="FB575" s="67" t="s">
        <v>4623</v>
      </c>
      <c r="FC575" s="67" t="s">
        <v>4624</v>
      </c>
      <c r="FD575" s="67" t="s">
        <v>4625</v>
      </c>
      <c r="FE575" s="68" t="s">
        <v>4626</v>
      </c>
      <c r="FF575" s="68" t="s">
        <v>4627</v>
      </c>
    </row>
    <row r="576" spans="151:162" x14ac:dyDescent="0.2">
      <c r="EU576" s="67">
        <v>566.62</v>
      </c>
      <c r="EV576" s="67" t="s">
        <v>4628</v>
      </c>
      <c r="EW576" s="67">
        <v>490.2</v>
      </c>
      <c r="EX576" s="67" t="s">
        <v>4629</v>
      </c>
      <c r="EY576" s="67">
        <v>5663.94</v>
      </c>
      <c r="EZ576" s="67" t="s">
        <v>4630</v>
      </c>
      <c r="FA576" s="67">
        <v>20063.564999999999</v>
      </c>
      <c r="FB576" s="67" t="s">
        <v>4631</v>
      </c>
      <c r="FC576" s="67" t="s">
        <v>4632</v>
      </c>
      <c r="FD576" s="67" t="s">
        <v>4633</v>
      </c>
      <c r="FE576" s="68" t="s">
        <v>4634</v>
      </c>
      <c r="FF576" s="68" t="s">
        <v>4635</v>
      </c>
    </row>
    <row r="577" spans="151:162" x14ac:dyDescent="0.2">
      <c r="EU577" s="67">
        <v>566.66</v>
      </c>
      <c r="EV577" s="67" t="s">
        <v>4636</v>
      </c>
      <c r="EW577" s="67">
        <v>490.22</v>
      </c>
      <c r="EX577" s="67" t="s">
        <v>4637</v>
      </c>
      <c r="EY577" s="67">
        <v>5663.94</v>
      </c>
      <c r="EZ577" s="67" t="s">
        <v>4638</v>
      </c>
      <c r="FA577" s="67">
        <v>20063.564999999999</v>
      </c>
      <c r="FB577" s="67" t="s">
        <v>4639</v>
      </c>
      <c r="FC577" s="67" t="s">
        <v>4640</v>
      </c>
      <c r="FD577" s="67" t="s">
        <v>4641</v>
      </c>
      <c r="FE577" s="68" t="s">
        <v>4642</v>
      </c>
      <c r="FF577" s="68" t="s">
        <v>4643</v>
      </c>
    </row>
    <row r="578" spans="151:162" x14ac:dyDescent="0.2">
      <c r="EU578" s="67">
        <v>566.70000000000005</v>
      </c>
      <c r="EV578" s="67" t="s">
        <v>4644</v>
      </c>
      <c r="EW578" s="67">
        <v>490.19</v>
      </c>
      <c r="EX578" s="67" t="s">
        <v>4645</v>
      </c>
      <c r="EY578" s="67">
        <v>5663.94</v>
      </c>
      <c r="EZ578" s="67" t="s">
        <v>4646</v>
      </c>
      <c r="FA578" s="67">
        <v>20063.564999999999</v>
      </c>
      <c r="FB578" s="67" t="s">
        <v>4647</v>
      </c>
      <c r="FC578" s="67" t="s">
        <v>4648</v>
      </c>
      <c r="FD578" s="67" t="s">
        <v>4649</v>
      </c>
      <c r="FE578" s="68" t="s">
        <v>4650</v>
      </c>
      <c r="FF578" s="68" t="s">
        <v>4651</v>
      </c>
    </row>
    <row r="579" spans="151:162" x14ac:dyDescent="0.2">
      <c r="EU579" s="67">
        <v>566.92999999999995</v>
      </c>
      <c r="EV579" s="67" t="s">
        <v>4652</v>
      </c>
      <c r="EW579" s="67">
        <v>490.41</v>
      </c>
      <c r="EX579" s="67" t="s">
        <v>4653</v>
      </c>
      <c r="EY579" s="67">
        <v>5663.94</v>
      </c>
      <c r="EZ579" s="67" t="s">
        <v>4654</v>
      </c>
      <c r="FA579" s="67">
        <v>20063.564999999999</v>
      </c>
      <c r="FB579" s="67" t="s">
        <v>4655</v>
      </c>
      <c r="FC579" s="67" t="s">
        <v>4656</v>
      </c>
      <c r="FD579" s="67" t="s">
        <v>4657</v>
      </c>
      <c r="FE579" s="68" t="s">
        <v>4658</v>
      </c>
      <c r="FF579" s="68" t="s">
        <v>4659</v>
      </c>
    </row>
    <row r="580" spans="151:162" x14ac:dyDescent="0.2">
      <c r="EU580" s="67">
        <v>566.83000000000004</v>
      </c>
      <c r="EV580" s="67" t="s">
        <v>4660</v>
      </c>
      <c r="EW580" s="67">
        <v>490.32</v>
      </c>
      <c r="EX580" s="67" t="s">
        <v>4661</v>
      </c>
      <c r="EY580" s="67">
        <v>5663.94</v>
      </c>
      <c r="EZ580" s="67" t="s">
        <v>4662</v>
      </c>
      <c r="FA580" s="67">
        <v>20063.564999999999</v>
      </c>
      <c r="FB580" s="67" t="s">
        <v>4663</v>
      </c>
      <c r="FC580" s="67" t="s">
        <v>4664</v>
      </c>
      <c r="FD580" s="67" t="s">
        <v>4665</v>
      </c>
      <c r="FE580" s="68" t="s">
        <v>4666</v>
      </c>
      <c r="FF580" s="68" t="s">
        <v>4667</v>
      </c>
    </row>
    <row r="581" spans="151:162" x14ac:dyDescent="0.2">
      <c r="EU581" s="67">
        <v>566.84</v>
      </c>
      <c r="EV581" s="67" t="s">
        <v>4668</v>
      </c>
      <c r="EW581" s="67">
        <v>490.31</v>
      </c>
      <c r="EX581" s="67" t="s">
        <v>4669</v>
      </c>
      <c r="EY581" s="67">
        <v>5663.94</v>
      </c>
      <c r="EZ581" s="67" t="s">
        <v>4670</v>
      </c>
      <c r="FA581" s="67">
        <v>20063.564999999999</v>
      </c>
      <c r="FB581" s="67" t="s">
        <v>4671</v>
      </c>
      <c r="FC581" s="67" t="s">
        <v>4672</v>
      </c>
      <c r="FD581" s="67" t="s">
        <v>4673</v>
      </c>
      <c r="FE581" s="68" t="s">
        <v>4674</v>
      </c>
      <c r="FF581" s="68" t="s">
        <v>4675</v>
      </c>
    </row>
    <row r="582" spans="151:162" x14ac:dyDescent="0.2">
      <c r="EU582" s="67">
        <v>566.88</v>
      </c>
      <c r="EV582" s="67" t="s">
        <v>4676</v>
      </c>
      <c r="EW582" s="67">
        <v>490.25</v>
      </c>
      <c r="EX582" s="67" t="s">
        <v>4677</v>
      </c>
      <c r="EY582" s="67">
        <v>5663.94</v>
      </c>
      <c r="EZ582" s="67" t="s">
        <v>4678</v>
      </c>
      <c r="FA582" s="67">
        <v>20063.564999999999</v>
      </c>
      <c r="FB582" s="67" t="s">
        <v>4679</v>
      </c>
      <c r="FC582" s="67" t="s">
        <v>4680</v>
      </c>
      <c r="FD582" s="67" t="s">
        <v>4681</v>
      </c>
      <c r="FE582" s="68" t="s">
        <v>4682</v>
      </c>
      <c r="FF582" s="68" t="s">
        <v>4683</v>
      </c>
    </row>
    <row r="583" spans="151:162" x14ac:dyDescent="0.2">
      <c r="EU583" s="67">
        <v>566.98</v>
      </c>
      <c r="EV583" s="67" t="s">
        <v>4684</v>
      </c>
      <c r="EW583" s="67">
        <v>490.37</v>
      </c>
      <c r="EX583" s="67" t="s">
        <v>4685</v>
      </c>
      <c r="EY583" s="67">
        <v>5663.94</v>
      </c>
      <c r="EZ583" s="67" t="s">
        <v>4686</v>
      </c>
      <c r="FA583" s="67">
        <v>20063.564999999999</v>
      </c>
      <c r="FB583" s="67" t="s">
        <v>4687</v>
      </c>
      <c r="FC583" s="67" t="s">
        <v>4688</v>
      </c>
      <c r="FD583" s="67" t="s">
        <v>4689</v>
      </c>
      <c r="FE583" s="68" t="s">
        <v>4690</v>
      </c>
      <c r="FF583" s="68" t="s">
        <v>4691</v>
      </c>
    </row>
    <row r="584" spans="151:162" x14ac:dyDescent="0.2">
      <c r="EU584" s="67">
        <v>566.9</v>
      </c>
      <c r="EV584" s="67" t="s">
        <v>4692</v>
      </c>
      <c r="EW584" s="67">
        <v>490.32</v>
      </c>
      <c r="EX584" s="67" t="s">
        <v>4693</v>
      </c>
      <c r="EY584" s="67">
        <v>5663.94</v>
      </c>
      <c r="EZ584" s="67" t="s">
        <v>4694</v>
      </c>
      <c r="FA584" s="67">
        <v>20063.564999999999</v>
      </c>
      <c r="FB584" s="67" t="s">
        <v>4695</v>
      </c>
      <c r="FC584" s="67" t="s">
        <v>4696</v>
      </c>
      <c r="FD584" s="67" t="s">
        <v>4697</v>
      </c>
      <c r="FE584" s="68" t="s">
        <v>4698</v>
      </c>
      <c r="FF584" s="68" t="s">
        <v>4699</v>
      </c>
    </row>
    <row r="585" spans="151:162" x14ac:dyDescent="0.2">
      <c r="EU585" s="67">
        <v>566.83000000000004</v>
      </c>
      <c r="EV585" s="67" t="s">
        <v>4700</v>
      </c>
      <c r="EW585" s="67">
        <v>490.26</v>
      </c>
      <c r="EX585" s="67" t="s">
        <v>4701</v>
      </c>
      <c r="EY585" s="67">
        <v>5663.94</v>
      </c>
      <c r="EZ585" s="67" t="s">
        <v>4702</v>
      </c>
      <c r="FA585" s="67">
        <v>20063.564999999999</v>
      </c>
      <c r="FB585" s="67" t="s">
        <v>4703</v>
      </c>
      <c r="FC585" s="67" t="s">
        <v>4704</v>
      </c>
      <c r="FD585" s="67" t="s">
        <v>4705</v>
      </c>
      <c r="FE585" s="68" t="s">
        <v>4706</v>
      </c>
      <c r="FF585" s="68" t="s">
        <v>4707</v>
      </c>
    </row>
    <row r="586" spans="151:162" x14ac:dyDescent="0.2">
      <c r="EU586" s="67">
        <v>566.95000000000005</v>
      </c>
      <c r="EV586" s="67" t="s">
        <v>4708</v>
      </c>
      <c r="EW586" s="67">
        <v>490.4</v>
      </c>
      <c r="EX586" s="67" t="s">
        <v>4709</v>
      </c>
      <c r="EY586" s="67">
        <v>5663.94</v>
      </c>
      <c r="EZ586" s="67" t="s">
        <v>4710</v>
      </c>
      <c r="FA586" s="67">
        <v>20063.564999999999</v>
      </c>
      <c r="FB586" s="67" t="s">
        <v>4711</v>
      </c>
      <c r="FC586" s="67" t="s">
        <v>4712</v>
      </c>
      <c r="FD586" s="67" t="s">
        <v>4713</v>
      </c>
      <c r="FE586" s="68" t="s">
        <v>4714</v>
      </c>
      <c r="FF586" s="68" t="s">
        <v>4715</v>
      </c>
    </row>
    <row r="587" spans="151:162" x14ac:dyDescent="0.2">
      <c r="EU587" s="67">
        <v>566.94000000000005</v>
      </c>
      <c r="EV587" s="67" t="s">
        <v>4716</v>
      </c>
      <c r="EW587" s="67">
        <v>490.4</v>
      </c>
      <c r="EX587" s="67" t="s">
        <v>4717</v>
      </c>
      <c r="EY587" s="67">
        <v>5663.94</v>
      </c>
      <c r="EZ587" s="67" t="s">
        <v>4718</v>
      </c>
      <c r="FA587" s="67">
        <v>20063.564999999999</v>
      </c>
      <c r="FB587" s="67" t="s">
        <v>4719</v>
      </c>
      <c r="FC587" s="67" t="s">
        <v>4720</v>
      </c>
      <c r="FD587" s="67" t="s">
        <v>4721</v>
      </c>
      <c r="FE587" s="68" t="s">
        <v>4722</v>
      </c>
      <c r="FF587" s="68" t="s">
        <v>4723</v>
      </c>
    </row>
    <row r="588" spans="151:162" x14ac:dyDescent="0.2">
      <c r="EU588" s="67">
        <v>566.94000000000005</v>
      </c>
      <c r="EV588" s="67" t="s">
        <v>4724</v>
      </c>
      <c r="EW588" s="67">
        <v>490.4</v>
      </c>
      <c r="EX588" s="67" t="s">
        <v>4725</v>
      </c>
      <c r="EY588" s="67">
        <v>5663.94</v>
      </c>
      <c r="EZ588" s="67" t="s">
        <v>4726</v>
      </c>
      <c r="FA588" s="67">
        <v>20063.564999999999</v>
      </c>
      <c r="FB588" s="67" t="s">
        <v>4727</v>
      </c>
      <c r="FC588" s="67" t="s">
        <v>4728</v>
      </c>
      <c r="FD588" s="67" t="s">
        <v>4729</v>
      </c>
      <c r="FE588" s="68" t="s">
        <v>4730</v>
      </c>
      <c r="FF588" s="68" t="s">
        <v>4731</v>
      </c>
    </row>
    <row r="589" spans="151:162" x14ac:dyDescent="0.2">
      <c r="EU589" s="67">
        <v>566.71</v>
      </c>
      <c r="EV589" s="67" t="s">
        <v>4732</v>
      </c>
      <c r="EW589" s="67">
        <v>490.23</v>
      </c>
      <c r="EX589" s="67" t="s">
        <v>4733</v>
      </c>
      <c r="EY589" s="67">
        <v>5663.94</v>
      </c>
      <c r="EZ589" s="67" t="s">
        <v>4734</v>
      </c>
      <c r="FA589" s="67">
        <v>20063.564999999999</v>
      </c>
      <c r="FB589" s="67" t="s">
        <v>4735</v>
      </c>
      <c r="FC589" s="67" t="s">
        <v>4736</v>
      </c>
      <c r="FD589" s="67" t="s">
        <v>4737</v>
      </c>
      <c r="FE589" s="68" t="s">
        <v>4738</v>
      </c>
      <c r="FF589" s="68" t="s">
        <v>4739</v>
      </c>
    </row>
    <row r="590" spans="151:162" x14ac:dyDescent="0.2">
      <c r="EU590" s="67">
        <v>566.79999999999995</v>
      </c>
      <c r="EV590" s="67" t="s">
        <v>4740</v>
      </c>
      <c r="EW590" s="67">
        <v>490.27</v>
      </c>
      <c r="EX590" s="67" t="s">
        <v>4741</v>
      </c>
      <c r="EY590" s="67">
        <v>5663.94</v>
      </c>
      <c r="EZ590" s="67" t="s">
        <v>4742</v>
      </c>
      <c r="FA590" s="67">
        <v>20063.564999999999</v>
      </c>
      <c r="FB590" s="67" t="s">
        <v>4743</v>
      </c>
      <c r="FC590" s="67" t="s">
        <v>4744</v>
      </c>
      <c r="FD590" s="67" t="s">
        <v>4745</v>
      </c>
      <c r="FE590" s="68" t="s">
        <v>4746</v>
      </c>
      <c r="FF590" s="68" t="s">
        <v>4747</v>
      </c>
    </row>
    <row r="591" spans="151:162" x14ac:dyDescent="0.2">
      <c r="EU591" s="67">
        <v>566.74</v>
      </c>
      <c r="EV591" s="67" t="s">
        <v>4748</v>
      </c>
      <c r="EW591" s="67">
        <v>490.22</v>
      </c>
      <c r="EX591" s="67" t="s">
        <v>4749</v>
      </c>
      <c r="EY591" s="67">
        <v>5663.94</v>
      </c>
      <c r="EZ591" s="67" t="s">
        <v>4750</v>
      </c>
      <c r="FA591" s="67">
        <v>20063.564999999999</v>
      </c>
      <c r="FB591" s="67" t="s">
        <v>4751</v>
      </c>
      <c r="FC591" s="67" t="s">
        <v>4752</v>
      </c>
      <c r="FD591" s="67" t="s">
        <v>4753</v>
      </c>
      <c r="FE591" s="68" t="s">
        <v>4754</v>
      </c>
      <c r="FF591" s="68" t="s">
        <v>4755</v>
      </c>
    </row>
    <row r="592" spans="151:162" x14ac:dyDescent="0.2">
      <c r="EU592" s="67">
        <v>566.76</v>
      </c>
      <c r="EV592" s="67" t="s">
        <v>4756</v>
      </c>
      <c r="EW592" s="67">
        <v>490.27</v>
      </c>
      <c r="EX592" s="67" t="s">
        <v>4757</v>
      </c>
      <c r="EY592" s="67">
        <v>5663.94</v>
      </c>
      <c r="EZ592" s="67" t="s">
        <v>4758</v>
      </c>
      <c r="FA592" s="67">
        <v>20063.564999999999</v>
      </c>
      <c r="FB592" s="67" t="s">
        <v>4759</v>
      </c>
      <c r="FC592" s="67" t="s">
        <v>4760</v>
      </c>
      <c r="FD592" s="67" t="s">
        <v>4761</v>
      </c>
      <c r="FE592" s="68" t="s">
        <v>4762</v>
      </c>
      <c r="FF592" s="68" t="s">
        <v>4763</v>
      </c>
    </row>
    <row r="593" spans="151:162" x14ac:dyDescent="0.2">
      <c r="EU593" s="67">
        <v>566.80999999999995</v>
      </c>
      <c r="EV593" s="67" t="s">
        <v>4764</v>
      </c>
      <c r="EW593" s="67">
        <v>490.34</v>
      </c>
      <c r="EX593" s="67" t="s">
        <v>4765</v>
      </c>
      <c r="EY593" s="67">
        <v>5663.94</v>
      </c>
      <c r="EZ593" s="67" t="s">
        <v>4766</v>
      </c>
      <c r="FA593" s="67">
        <v>20063.564999999999</v>
      </c>
      <c r="FB593" s="67" t="s">
        <v>4767</v>
      </c>
      <c r="FC593" s="67" t="s">
        <v>4768</v>
      </c>
      <c r="FD593" s="67" t="s">
        <v>4769</v>
      </c>
      <c r="FE593" s="68" t="s">
        <v>4770</v>
      </c>
      <c r="FF593" s="68" t="s">
        <v>4771</v>
      </c>
    </row>
    <row r="594" spans="151:162" x14ac:dyDescent="0.2">
      <c r="EU594" s="67">
        <v>566.76</v>
      </c>
      <c r="EV594" s="67" t="s">
        <v>4772</v>
      </c>
      <c r="EW594" s="67">
        <v>490.29</v>
      </c>
      <c r="EX594" s="67" t="s">
        <v>4773</v>
      </c>
      <c r="EY594" s="67">
        <v>5663.94</v>
      </c>
      <c r="EZ594" s="67" t="s">
        <v>4774</v>
      </c>
      <c r="FA594" s="67">
        <v>20063.564999999999</v>
      </c>
      <c r="FB594" s="67" t="s">
        <v>4775</v>
      </c>
      <c r="FC594" s="67" t="s">
        <v>4776</v>
      </c>
      <c r="FD594" s="67" t="s">
        <v>4777</v>
      </c>
      <c r="FE594" s="68" t="s">
        <v>4778</v>
      </c>
      <c r="FF594" s="68" t="s">
        <v>4779</v>
      </c>
    </row>
    <row r="595" spans="151:162" x14ac:dyDescent="0.2">
      <c r="EU595" s="67">
        <v>566.80999999999995</v>
      </c>
      <c r="EV595" s="67" t="s">
        <v>4780</v>
      </c>
      <c r="EW595" s="67">
        <v>490.35</v>
      </c>
      <c r="EX595" s="67" t="s">
        <v>4781</v>
      </c>
      <c r="EY595" s="67">
        <v>5663.94</v>
      </c>
      <c r="EZ595" s="67" t="s">
        <v>4782</v>
      </c>
      <c r="FA595" s="67">
        <v>20063.564999999999</v>
      </c>
      <c r="FB595" s="67" t="s">
        <v>4783</v>
      </c>
      <c r="FC595" s="67" t="s">
        <v>4784</v>
      </c>
      <c r="FD595" s="67" t="s">
        <v>4785</v>
      </c>
      <c r="FE595" s="68" t="s">
        <v>4786</v>
      </c>
      <c r="FF595" s="68" t="s">
        <v>4787</v>
      </c>
    </row>
    <row r="596" spans="151:162" x14ac:dyDescent="0.2">
      <c r="EU596" s="67">
        <v>566.83000000000004</v>
      </c>
      <c r="EV596" s="67" t="s">
        <v>4788</v>
      </c>
      <c r="EW596" s="67">
        <v>490.37</v>
      </c>
      <c r="EX596" s="67" t="s">
        <v>4789</v>
      </c>
      <c r="EY596" s="67">
        <v>5663.94</v>
      </c>
      <c r="EZ596" s="67" t="s">
        <v>4790</v>
      </c>
      <c r="FA596" s="67">
        <v>20063.564999999999</v>
      </c>
      <c r="FB596" s="67" t="s">
        <v>4791</v>
      </c>
      <c r="FC596" s="67" t="s">
        <v>4792</v>
      </c>
      <c r="FD596" s="67" t="s">
        <v>4793</v>
      </c>
      <c r="FE596" s="68" t="s">
        <v>4794</v>
      </c>
      <c r="FF596" s="68" t="s">
        <v>4795</v>
      </c>
    </row>
    <row r="597" spans="151:162" x14ac:dyDescent="0.2">
      <c r="EU597" s="67">
        <v>566.83000000000004</v>
      </c>
      <c r="EV597" s="67" t="s">
        <v>4796</v>
      </c>
      <c r="EW597" s="67">
        <v>490.38</v>
      </c>
      <c r="EX597" s="67" t="s">
        <v>4797</v>
      </c>
      <c r="EY597" s="67">
        <v>5663.94</v>
      </c>
      <c r="EZ597" s="67" t="s">
        <v>4798</v>
      </c>
      <c r="FA597" s="67">
        <v>20063.564999999999</v>
      </c>
      <c r="FB597" s="67" t="s">
        <v>4799</v>
      </c>
      <c r="FC597" s="67" t="s">
        <v>4800</v>
      </c>
      <c r="FD597" s="67" t="s">
        <v>4801</v>
      </c>
      <c r="FE597" s="68" t="s">
        <v>4802</v>
      </c>
      <c r="FF597" s="68" t="s">
        <v>4803</v>
      </c>
    </row>
    <row r="598" spans="151:162" x14ac:dyDescent="0.2">
      <c r="EU598" s="67">
        <v>566.92999999999995</v>
      </c>
      <c r="EV598" s="67" t="s">
        <v>4804</v>
      </c>
      <c r="EW598" s="67">
        <v>490.43</v>
      </c>
      <c r="EX598" s="67" t="s">
        <v>4805</v>
      </c>
      <c r="EY598" s="67">
        <v>5663.94</v>
      </c>
      <c r="EZ598" s="67" t="s">
        <v>4806</v>
      </c>
      <c r="FA598" s="67">
        <v>20063.564999999999</v>
      </c>
      <c r="FB598" s="67" t="s">
        <v>4807</v>
      </c>
      <c r="FC598" s="67" t="s">
        <v>4808</v>
      </c>
      <c r="FD598" s="67" t="s">
        <v>4809</v>
      </c>
      <c r="FE598" s="68" t="s">
        <v>4810</v>
      </c>
      <c r="FF598" s="68" t="s">
        <v>4811</v>
      </c>
    </row>
    <row r="599" spans="151:162" x14ac:dyDescent="0.2">
      <c r="EU599" s="67">
        <v>566.92999999999995</v>
      </c>
      <c r="EV599" s="67" t="s">
        <v>4812</v>
      </c>
      <c r="EW599" s="67">
        <v>490.4</v>
      </c>
      <c r="EX599" s="67" t="s">
        <v>4813</v>
      </c>
      <c r="EY599" s="67">
        <v>5663.94</v>
      </c>
      <c r="EZ599" s="67" t="s">
        <v>4814</v>
      </c>
      <c r="FA599" s="67">
        <v>20063.564999999999</v>
      </c>
      <c r="FB599" s="67" t="s">
        <v>4815</v>
      </c>
      <c r="FC599" s="67" t="s">
        <v>4816</v>
      </c>
      <c r="FD599" s="67" t="s">
        <v>4817</v>
      </c>
      <c r="FE599" s="68" t="s">
        <v>4818</v>
      </c>
      <c r="FF599" s="68" t="s">
        <v>4819</v>
      </c>
    </row>
    <row r="600" spans="151:162" x14ac:dyDescent="0.2">
      <c r="EU600" s="67">
        <v>567.17999999999995</v>
      </c>
      <c r="EV600" s="67" t="s">
        <v>4820</v>
      </c>
      <c r="EW600" s="67">
        <v>490.65</v>
      </c>
      <c r="EX600" s="67" t="s">
        <v>4821</v>
      </c>
      <c r="EY600" s="67">
        <v>5663.94</v>
      </c>
      <c r="EZ600" s="67" t="s">
        <v>4822</v>
      </c>
      <c r="FA600" s="67">
        <v>20063.564999999999</v>
      </c>
      <c r="FB600" s="67" t="s">
        <v>4823</v>
      </c>
      <c r="FC600" s="67" t="s">
        <v>4824</v>
      </c>
      <c r="FD600" s="67" t="s">
        <v>4825</v>
      </c>
      <c r="FE600" s="68" t="s">
        <v>4826</v>
      </c>
      <c r="FF600" s="68" t="s">
        <v>4827</v>
      </c>
    </row>
    <row r="601" spans="151:162" x14ac:dyDescent="0.2">
      <c r="EU601" s="67">
        <v>567.26</v>
      </c>
      <c r="EV601" s="67" t="s">
        <v>4828</v>
      </c>
      <c r="EW601" s="67">
        <v>490.73</v>
      </c>
      <c r="EX601" s="67" t="s">
        <v>4829</v>
      </c>
      <c r="EY601" s="67">
        <v>5663.94</v>
      </c>
      <c r="EZ601" s="67" t="s">
        <v>4830</v>
      </c>
      <c r="FA601" s="67">
        <v>20063.564999999999</v>
      </c>
      <c r="FB601" s="67" t="s">
        <v>4831</v>
      </c>
      <c r="FC601" s="67" t="s">
        <v>4832</v>
      </c>
      <c r="FD601" s="67" t="s">
        <v>4833</v>
      </c>
      <c r="FE601" s="68" t="s">
        <v>4834</v>
      </c>
      <c r="FF601" s="68" t="s">
        <v>4835</v>
      </c>
    </row>
    <row r="602" spans="151:162" x14ac:dyDescent="0.2">
      <c r="EU602" s="67">
        <v>567.42999999999995</v>
      </c>
      <c r="EV602" s="67" t="s">
        <v>4836</v>
      </c>
      <c r="EW602" s="67">
        <v>490.87</v>
      </c>
      <c r="EX602" s="67" t="s">
        <v>4837</v>
      </c>
      <c r="EY602" s="67">
        <v>5663.94</v>
      </c>
      <c r="EZ602" s="67" t="s">
        <v>4838</v>
      </c>
      <c r="FA602" s="67">
        <v>20063.564999999999</v>
      </c>
      <c r="FB602" s="67" t="s">
        <v>4839</v>
      </c>
      <c r="FC602" s="67" t="s">
        <v>4840</v>
      </c>
      <c r="FD602" s="67" t="s">
        <v>4841</v>
      </c>
      <c r="FE602" s="68" t="s">
        <v>4842</v>
      </c>
      <c r="FF602" s="68" t="s">
        <v>4843</v>
      </c>
    </row>
    <row r="603" spans="151:162" x14ac:dyDescent="0.2">
      <c r="EU603" s="67">
        <v>567.45000000000005</v>
      </c>
      <c r="EV603" s="67" t="s">
        <v>4844</v>
      </c>
      <c r="EW603" s="67">
        <v>490.87</v>
      </c>
      <c r="EX603" s="67" t="s">
        <v>4845</v>
      </c>
      <c r="EY603" s="67">
        <v>5663.94</v>
      </c>
      <c r="EZ603" s="67" t="s">
        <v>4846</v>
      </c>
      <c r="FA603" s="67">
        <v>20063.564999999999</v>
      </c>
      <c r="FB603" s="67" t="s">
        <v>4847</v>
      </c>
      <c r="FC603" s="67" t="s">
        <v>4848</v>
      </c>
      <c r="FD603" s="67" t="s">
        <v>4849</v>
      </c>
      <c r="FE603" s="68" t="s">
        <v>4850</v>
      </c>
      <c r="FF603" s="68" t="s">
        <v>4851</v>
      </c>
    </row>
    <row r="604" spans="151:162" x14ac:dyDescent="0.2">
      <c r="EU604" s="67">
        <v>567.42999999999995</v>
      </c>
      <c r="EV604" s="67" t="s">
        <v>4852</v>
      </c>
      <c r="EW604" s="67">
        <v>490.84</v>
      </c>
      <c r="EX604" s="67" t="s">
        <v>4853</v>
      </c>
      <c r="EY604" s="67">
        <v>5663.94</v>
      </c>
      <c r="EZ604" s="67" t="s">
        <v>4854</v>
      </c>
      <c r="FA604" s="67">
        <v>20063.564999999999</v>
      </c>
      <c r="FB604" s="67" t="s">
        <v>4855</v>
      </c>
      <c r="FC604" s="67" t="s">
        <v>4856</v>
      </c>
      <c r="FD604" s="67" t="s">
        <v>4857</v>
      </c>
      <c r="FE604" s="68" t="s">
        <v>4858</v>
      </c>
      <c r="FF604" s="68" t="s">
        <v>4859</v>
      </c>
    </row>
    <row r="605" spans="151:162" x14ac:dyDescent="0.2">
      <c r="EU605" s="67">
        <v>567.35</v>
      </c>
      <c r="EV605" s="67" t="s">
        <v>4860</v>
      </c>
      <c r="EW605" s="67">
        <v>490.78</v>
      </c>
      <c r="EX605" s="67" t="s">
        <v>4861</v>
      </c>
      <c r="EY605" s="67">
        <v>5663.94</v>
      </c>
      <c r="EZ605" s="67" t="s">
        <v>4862</v>
      </c>
      <c r="FA605" s="67">
        <v>20063.564999999999</v>
      </c>
      <c r="FB605" s="67" t="s">
        <v>4863</v>
      </c>
      <c r="FC605" s="67" t="s">
        <v>4864</v>
      </c>
      <c r="FD605" s="67" t="s">
        <v>4865</v>
      </c>
      <c r="FE605" s="68" t="s">
        <v>4866</v>
      </c>
      <c r="FF605" s="68" t="s">
        <v>4867</v>
      </c>
    </row>
    <row r="606" spans="151:162" x14ac:dyDescent="0.2">
      <c r="EU606" s="67">
        <v>567.34</v>
      </c>
      <c r="EV606" s="67" t="s">
        <v>4868</v>
      </c>
      <c r="EW606" s="67">
        <v>490.75</v>
      </c>
      <c r="EX606" s="67" t="s">
        <v>4869</v>
      </c>
      <c r="EY606" s="67">
        <v>5663.94</v>
      </c>
      <c r="EZ606" s="67" t="s">
        <v>4870</v>
      </c>
      <c r="FA606" s="67">
        <v>20063.564999999999</v>
      </c>
      <c r="FB606" s="67" t="s">
        <v>4871</v>
      </c>
      <c r="FC606" s="67" t="s">
        <v>4872</v>
      </c>
      <c r="FD606" s="67" t="s">
        <v>4873</v>
      </c>
      <c r="FE606" s="68" t="s">
        <v>4874</v>
      </c>
      <c r="FF606" s="68" t="s">
        <v>4875</v>
      </c>
    </row>
    <row r="607" spans="151:162" x14ac:dyDescent="0.2">
      <c r="EU607" s="67">
        <v>567.35</v>
      </c>
      <c r="EV607" s="67" t="s">
        <v>4876</v>
      </c>
      <c r="EW607" s="67">
        <v>490.8</v>
      </c>
      <c r="EX607" s="67" t="s">
        <v>4877</v>
      </c>
      <c r="EY607" s="67">
        <v>5663.94</v>
      </c>
      <c r="EZ607" s="67" t="s">
        <v>4878</v>
      </c>
      <c r="FA607" s="67">
        <v>20063.564999999999</v>
      </c>
      <c r="FB607" s="67" t="s">
        <v>4879</v>
      </c>
      <c r="FC607" s="67" t="s">
        <v>4880</v>
      </c>
      <c r="FD607" s="67" t="s">
        <v>4881</v>
      </c>
      <c r="FE607" s="68" t="s">
        <v>4882</v>
      </c>
      <c r="FF607" s="68" t="s">
        <v>4883</v>
      </c>
    </row>
    <row r="608" spans="151:162" x14ac:dyDescent="0.2">
      <c r="EU608" s="67">
        <v>567.29</v>
      </c>
      <c r="EV608" s="67" t="s">
        <v>4884</v>
      </c>
      <c r="EW608" s="67">
        <v>490.72</v>
      </c>
      <c r="EX608" s="67" t="s">
        <v>4885</v>
      </c>
      <c r="EY608" s="67">
        <v>5663.94</v>
      </c>
      <c r="EZ608" s="67" t="s">
        <v>4886</v>
      </c>
      <c r="FA608" s="67">
        <v>20063.564999999999</v>
      </c>
      <c r="FB608" s="67" t="s">
        <v>4887</v>
      </c>
      <c r="FC608" s="67" t="s">
        <v>4888</v>
      </c>
      <c r="FD608" s="67" t="s">
        <v>4889</v>
      </c>
      <c r="FE608" s="68" t="s">
        <v>4890</v>
      </c>
      <c r="FF608" s="68" t="s">
        <v>4891</v>
      </c>
    </row>
    <row r="609" spans="151:162" x14ac:dyDescent="0.2">
      <c r="EU609" s="67">
        <v>567.29</v>
      </c>
      <c r="EV609" s="67" t="s">
        <v>4892</v>
      </c>
      <c r="EW609" s="67">
        <v>490.72</v>
      </c>
      <c r="EX609" s="67" t="s">
        <v>4893</v>
      </c>
      <c r="EY609" s="67">
        <v>5663.94</v>
      </c>
      <c r="EZ609" s="67" t="s">
        <v>4894</v>
      </c>
      <c r="FA609" s="67">
        <v>20063.564999999999</v>
      </c>
      <c r="FB609" s="67" t="s">
        <v>4895</v>
      </c>
      <c r="FC609" s="67" t="s">
        <v>4896</v>
      </c>
      <c r="FD609" s="67" t="s">
        <v>4897</v>
      </c>
      <c r="FE609" s="68" t="s">
        <v>4898</v>
      </c>
      <c r="FF609" s="68" t="s">
        <v>4899</v>
      </c>
    </row>
    <row r="610" spans="151:162" x14ac:dyDescent="0.2">
      <c r="EU610" s="67">
        <v>567.29</v>
      </c>
      <c r="EV610" s="67" t="s">
        <v>4900</v>
      </c>
      <c r="EW610" s="67">
        <v>490.69</v>
      </c>
      <c r="EX610" s="67" t="s">
        <v>4901</v>
      </c>
      <c r="EY610" s="67">
        <v>5663.94</v>
      </c>
      <c r="EZ610" s="67" t="s">
        <v>4902</v>
      </c>
      <c r="FA610" s="67">
        <v>20063.564999999999</v>
      </c>
      <c r="FB610" s="67" t="s">
        <v>4903</v>
      </c>
      <c r="FC610" s="67" t="s">
        <v>4904</v>
      </c>
      <c r="FD610" s="67" t="s">
        <v>4905</v>
      </c>
      <c r="FE610" s="68" t="s">
        <v>4906</v>
      </c>
      <c r="FF610" s="68" t="s">
        <v>4907</v>
      </c>
    </row>
    <row r="611" spans="151:162" x14ac:dyDescent="0.2">
      <c r="EU611" s="67">
        <v>567.32000000000005</v>
      </c>
      <c r="EV611" s="67" t="s">
        <v>4908</v>
      </c>
      <c r="EW611" s="67">
        <v>490.76</v>
      </c>
      <c r="EX611" s="67" t="s">
        <v>4909</v>
      </c>
      <c r="EY611" s="67">
        <v>5663.94</v>
      </c>
      <c r="EZ611" s="67" t="s">
        <v>4910</v>
      </c>
      <c r="FA611" s="67">
        <v>20063.564999999999</v>
      </c>
      <c r="FB611" s="67" t="s">
        <v>4911</v>
      </c>
      <c r="FC611" s="67" t="s">
        <v>4912</v>
      </c>
      <c r="FD611" s="67" t="s">
        <v>4913</v>
      </c>
      <c r="FE611" s="68" t="s">
        <v>4914</v>
      </c>
      <c r="FF611" s="68" t="s">
        <v>4915</v>
      </c>
    </row>
    <row r="612" spans="151:162" x14ac:dyDescent="0.2">
      <c r="EU612" s="67">
        <v>567.26</v>
      </c>
      <c r="EV612" s="67" t="s">
        <v>4916</v>
      </c>
      <c r="EW612" s="67">
        <v>490.78</v>
      </c>
      <c r="EX612" s="67" t="s">
        <v>4917</v>
      </c>
      <c r="EY612" s="67">
        <v>5663.94</v>
      </c>
      <c r="EZ612" s="67" t="s">
        <v>4918</v>
      </c>
      <c r="FA612" s="67">
        <v>20063.564999999999</v>
      </c>
      <c r="FB612" s="67" t="s">
        <v>4919</v>
      </c>
      <c r="FC612" s="67" t="s">
        <v>4920</v>
      </c>
      <c r="FD612" s="67" t="s">
        <v>4921</v>
      </c>
      <c r="FE612" s="68" t="s">
        <v>4922</v>
      </c>
      <c r="FF612" s="68" t="s">
        <v>4923</v>
      </c>
    </row>
    <row r="613" spans="151:162" x14ac:dyDescent="0.2">
      <c r="EU613" s="67">
        <v>567.20000000000005</v>
      </c>
      <c r="EV613" s="67" t="s">
        <v>4924</v>
      </c>
      <c r="EW613" s="67">
        <v>490.79</v>
      </c>
      <c r="EX613" s="67" t="s">
        <v>4925</v>
      </c>
      <c r="EY613" s="67">
        <v>5663.94</v>
      </c>
      <c r="EZ613" s="67" t="s">
        <v>4926</v>
      </c>
      <c r="FA613" s="67">
        <v>20063.564999999999</v>
      </c>
      <c r="FB613" s="67" t="s">
        <v>4927</v>
      </c>
      <c r="FC613" s="67" t="s">
        <v>4928</v>
      </c>
      <c r="FD613" s="67" t="s">
        <v>4929</v>
      </c>
      <c r="FE613" s="68" t="s">
        <v>4930</v>
      </c>
      <c r="FF613" s="68" t="s">
        <v>4931</v>
      </c>
    </row>
    <row r="614" spans="151:162" x14ac:dyDescent="0.2">
      <c r="EU614" s="67">
        <v>567.04</v>
      </c>
      <c r="EV614" s="67" t="s">
        <v>4932</v>
      </c>
      <c r="EW614" s="67">
        <v>490.57</v>
      </c>
      <c r="EX614" s="67" t="s">
        <v>4933</v>
      </c>
      <c r="EY614" s="67">
        <v>5663.94</v>
      </c>
      <c r="EZ614" s="67" t="s">
        <v>4934</v>
      </c>
      <c r="FA614" s="67">
        <v>20063.564999999999</v>
      </c>
      <c r="FB614" s="67" t="s">
        <v>4935</v>
      </c>
      <c r="FC614" s="67" t="s">
        <v>4936</v>
      </c>
      <c r="FD614" s="67" t="s">
        <v>4937</v>
      </c>
      <c r="FE614" s="68" t="s">
        <v>4938</v>
      </c>
      <c r="FF614" s="68" t="s">
        <v>4939</v>
      </c>
    </row>
    <row r="615" spans="151:162" x14ac:dyDescent="0.2">
      <c r="EU615" s="67">
        <v>567.15</v>
      </c>
      <c r="EV615" s="67" t="s">
        <v>4940</v>
      </c>
      <c r="EW615" s="67">
        <v>490.74</v>
      </c>
      <c r="EX615" s="67" t="s">
        <v>4941</v>
      </c>
      <c r="EY615" s="67">
        <v>5663.94</v>
      </c>
      <c r="EZ615" s="67" t="s">
        <v>4942</v>
      </c>
      <c r="FA615" s="67">
        <v>20063.564999999999</v>
      </c>
      <c r="FB615" s="67" t="s">
        <v>4943</v>
      </c>
      <c r="FC615" s="67" t="s">
        <v>4944</v>
      </c>
      <c r="FD615" s="67" t="s">
        <v>4945</v>
      </c>
      <c r="FE615" s="68" t="s">
        <v>4946</v>
      </c>
      <c r="FF615" s="68" t="s">
        <v>4947</v>
      </c>
    </row>
    <row r="616" spans="151:162" x14ac:dyDescent="0.2">
      <c r="EU616" s="67">
        <v>567.19000000000005</v>
      </c>
      <c r="EV616" s="67" t="s">
        <v>4948</v>
      </c>
      <c r="EW616" s="67">
        <v>490.75</v>
      </c>
      <c r="EX616" s="67" t="s">
        <v>4949</v>
      </c>
      <c r="EY616" s="67">
        <v>5663.94</v>
      </c>
      <c r="EZ616" s="67" t="s">
        <v>4950</v>
      </c>
      <c r="FA616" s="67">
        <v>20063.564999999999</v>
      </c>
      <c r="FB616" s="67" t="s">
        <v>4951</v>
      </c>
      <c r="FC616" s="67" t="s">
        <v>4952</v>
      </c>
      <c r="FD616" s="67" t="s">
        <v>4953</v>
      </c>
      <c r="FE616" s="68" t="s">
        <v>4954</v>
      </c>
      <c r="FF616" s="68" t="s">
        <v>4955</v>
      </c>
    </row>
    <row r="617" spans="151:162" x14ac:dyDescent="0.2">
      <c r="EU617" s="67">
        <v>566.97</v>
      </c>
      <c r="EV617" s="67" t="s">
        <v>4956</v>
      </c>
      <c r="EW617" s="67">
        <v>490.55</v>
      </c>
      <c r="EX617" s="67" t="s">
        <v>4957</v>
      </c>
      <c r="EY617" s="67">
        <v>5663.94</v>
      </c>
      <c r="EZ617" s="67" t="s">
        <v>4958</v>
      </c>
      <c r="FA617" s="67">
        <v>20063.564999999999</v>
      </c>
      <c r="FB617" s="67" t="s">
        <v>4959</v>
      </c>
      <c r="FC617" s="67" t="s">
        <v>4960</v>
      </c>
      <c r="FD617" s="67" t="s">
        <v>4961</v>
      </c>
      <c r="FE617" s="68" t="s">
        <v>4962</v>
      </c>
      <c r="FF617" s="68" t="s">
        <v>4963</v>
      </c>
    </row>
    <row r="618" spans="151:162" x14ac:dyDescent="0.2">
      <c r="EU618" s="67">
        <v>567.02</v>
      </c>
      <c r="EV618" s="67" t="s">
        <v>4964</v>
      </c>
      <c r="EW618" s="67">
        <v>490.65</v>
      </c>
      <c r="EX618" s="67" t="s">
        <v>4965</v>
      </c>
      <c r="EY618" s="67">
        <v>5663.94</v>
      </c>
      <c r="EZ618" s="67" t="s">
        <v>4966</v>
      </c>
      <c r="FA618" s="67">
        <v>20063.564999999999</v>
      </c>
      <c r="FB618" s="67" t="s">
        <v>4967</v>
      </c>
      <c r="FC618" s="67" t="s">
        <v>4968</v>
      </c>
      <c r="FD618" s="67" t="s">
        <v>4969</v>
      </c>
      <c r="FE618" s="68" t="s">
        <v>4970</v>
      </c>
      <c r="FF618" s="68" t="s">
        <v>4971</v>
      </c>
    </row>
    <row r="619" spans="151:162" x14ac:dyDescent="0.2">
      <c r="EU619" s="67">
        <v>566.9</v>
      </c>
      <c r="EV619" s="67" t="s">
        <v>4972</v>
      </c>
      <c r="EW619" s="67">
        <v>490.6</v>
      </c>
      <c r="EX619" s="67" t="s">
        <v>4973</v>
      </c>
      <c r="EY619" s="67">
        <v>5663.94</v>
      </c>
      <c r="EZ619" s="67" t="s">
        <v>4974</v>
      </c>
      <c r="FA619" s="67">
        <v>20063.564999999999</v>
      </c>
      <c r="FB619" s="67" t="s">
        <v>4975</v>
      </c>
      <c r="FC619" s="67" t="s">
        <v>4976</v>
      </c>
      <c r="FD619" s="67" t="s">
        <v>4977</v>
      </c>
      <c r="FE619" s="68" t="s">
        <v>4978</v>
      </c>
      <c r="FF619" s="68" t="s">
        <v>4979</v>
      </c>
    </row>
    <row r="620" spans="151:162" x14ac:dyDescent="0.2">
      <c r="EU620" s="67">
        <v>566.94000000000005</v>
      </c>
      <c r="EV620" s="67" t="s">
        <v>4980</v>
      </c>
      <c r="EW620" s="67">
        <v>490.66</v>
      </c>
      <c r="EX620" s="67" t="s">
        <v>4981</v>
      </c>
      <c r="EY620" s="67">
        <v>5663.94</v>
      </c>
      <c r="EZ620" s="67" t="s">
        <v>4982</v>
      </c>
      <c r="FA620" s="67">
        <v>20063.564999999999</v>
      </c>
      <c r="FB620" s="67" t="s">
        <v>4983</v>
      </c>
      <c r="FC620" s="67" t="s">
        <v>4984</v>
      </c>
      <c r="FD620" s="67" t="s">
        <v>4985</v>
      </c>
      <c r="FE620" s="68" t="s">
        <v>4986</v>
      </c>
      <c r="FF620" s="68" t="s">
        <v>4987</v>
      </c>
    </row>
    <row r="621" spans="151:162" x14ac:dyDescent="0.2">
      <c r="EU621" s="67">
        <v>566.98</v>
      </c>
      <c r="EV621" s="67" t="s">
        <v>4988</v>
      </c>
      <c r="EW621" s="67">
        <v>490.67</v>
      </c>
      <c r="EX621" s="67" t="s">
        <v>4989</v>
      </c>
      <c r="EY621" s="67">
        <v>5663.94</v>
      </c>
      <c r="EZ621" s="67" t="s">
        <v>4990</v>
      </c>
      <c r="FA621" s="67">
        <v>20063.564999999999</v>
      </c>
      <c r="FB621" s="67" t="s">
        <v>4991</v>
      </c>
      <c r="FC621" s="67" t="s">
        <v>4992</v>
      </c>
      <c r="FD621" s="67" t="s">
        <v>4993</v>
      </c>
      <c r="FE621" s="68" t="s">
        <v>4994</v>
      </c>
      <c r="FF621" s="68" t="s">
        <v>4995</v>
      </c>
    </row>
    <row r="622" spans="151:162" x14ac:dyDescent="0.2">
      <c r="EU622" s="67">
        <v>566.95000000000005</v>
      </c>
      <c r="EV622" s="67" t="s">
        <v>4996</v>
      </c>
      <c r="EW622" s="67">
        <v>490.65</v>
      </c>
      <c r="EX622" s="67" t="s">
        <v>4997</v>
      </c>
      <c r="EY622" s="67">
        <v>5663.94</v>
      </c>
      <c r="EZ622" s="67" t="s">
        <v>4998</v>
      </c>
      <c r="FA622" s="67">
        <v>20063.564999999999</v>
      </c>
      <c r="FB622" s="67" t="s">
        <v>4999</v>
      </c>
      <c r="FC622" s="67" t="s">
        <v>5000</v>
      </c>
      <c r="FD622" s="67" t="s">
        <v>5001</v>
      </c>
      <c r="FE622" s="68" t="s">
        <v>5002</v>
      </c>
      <c r="FF622" s="68" t="s">
        <v>5003</v>
      </c>
    </row>
    <row r="623" spans="151:162" x14ac:dyDescent="0.2">
      <c r="EU623" s="67">
        <v>566.84</v>
      </c>
      <c r="EV623" s="67" t="s">
        <v>5004</v>
      </c>
      <c r="EW623" s="67">
        <v>490.47</v>
      </c>
      <c r="EX623" s="67" t="s">
        <v>5005</v>
      </c>
      <c r="EY623" s="67">
        <v>5663.94</v>
      </c>
      <c r="EZ623" s="67" t="s">
        <v>5006</v>
      </c>
      <c r="FA623" s="67">
        <v>20063.564999999999</v>
      </c>
      <c r="FB623" s="67" t="s">
        <v>5007</v>
      </c>
      <c r="FC623" s="67" t="s">
        <v>5008</v>
      </c>
      <c r="FD623" s="67" t="s">
        <v>5009</v>
      </c>
      <c r="FE623" s="68" t="s">
        <v>5010</v>
      </c>
      <c r="FF623" s="68" t="s">
        <v>5011</v>
      </c>
    </row>
    <row r="624" spans="151:162" x14ac:dyDescent="0.2">
      <c r="EU624" s="67">
        <v>566.78</v>
      </c>
      <c r="EV624" s="67" t="s">
        <v>5012</v>
      </c>
      <c r="EW624" s="67">
        <v>490.43</v>
      </c>
      <c r="EX624" s="67" t="s">
        <v>5013</v>
      </c>
      <c r="EY624" s="67">
        <v>5663.94</v>
      </c>
      <c r="EZ624" s="67" t="s">
        <v>5014</v>
      </c>
      <c r="FA624" s="67">
        <v>20063.564999999999</v>
      </c>
      <c r="FB624" s="67" t="s">
        <v>5015</v>
      </c>
      <c r="FC624" s="67" t="s">
        <v>5016</v>
      </c>
      <c r="FD624" s="67" t="s">
        <v>5017</v>
      </c>
      <c r="FE624" s="68" t="s">
        <v>5018</v>
      </c>
      <c r="FF624" s="68" t="s">
        <v>5019</v>
      </c>
    </row>
    <row r="625" spans="151:162" x14ac:dyDescent="0.2">
      <c r="EU625" s="67">
        <v>566.71</v>
      </c>
      <c r="EV625" s="67" t="s">
        <v>5020</v>
      </c>
      <c r="EW625" s="67">
        <v>490.34</v>
      </c>
      <c r="EX625" s="67" t="s">
        <v>5021</v>
      </c>
      <c r="EY625" s="67">
        <v>5663.94</v>
      </c>
      <c r="EZ625" s="67" t="s">
        <v>5022</v>
      </c>
      <c r="FA625" s="67">
        <v>20063.564999999999</v>
      </c>
      <c r="FB625" s="67" t="s">
        <v>5023</v>
      </c>
      <c r="FC625" s="67" t="s">
        <v>5024</v>
      </c>
      <c r="FD625" s="67" t="s">
        <v>5025</v>
      </c>
      <c r="FE625" s="68" t="s">
        <v>5026</v>
      </c>
      <c r="FF625" s="68" t="s">
        <v>5027</v>
      </c>
    </row>
    <row r="626" spans="151:162" x14ac:dyDescent="0.2">
      <c r="EU626" s="67">
        <v>566.71</v>
      </c>
      <c r="EV626" s="67" t="s">
        <v>5028</v>
      </c>
      <c r="EW626" s="67">
        <v>490.33</v>
      </c>
      <c r="EX626" s="67" t="s">
        <v>5029</v>
      </c>
      <c r="EY626" s="67">
        <v>5663.94</v>
      </c>
      <c r="EZ626" s="67" t="s">
        <v>5030</v>
      </c>
      <c r="FA626" s="67">
        <v>20063.564999999999</v>
      </c>
      <c r="FB626" s="67" t="s">
        <v>5031</v>
      </c>
      <c r="FC626" s="67" t="s">
        <v>5032</v>
      </c>
      <c r="FD626" s="67" t="s">
        <v>5033</v>
      </c>
      <c r="FE626" s="68" t="s">
        <v>5034</v>
      </c>
      <c r="FF626" s="68" t="s">
        <v>5035</v>
      </c>
    </row>
    <row r="627" spans="151:162" x14ac:dyDescent="0.2">
      <c r="EU627" s="67">
        <v>566.46</v>
      </c>
      <c r="EV627" s="67" t="s">
        <v>5036</v>
      </c>
      <c r="EW627" s="67">
        <v>490.15</v>
      </c>
      <c r="EX627" s="67" t="s">
        <v>5037</v>
      </c>
      <c r="EY627" s="67">
        <v>5663.94</v>
      </c>
      <c r="EZ627" s="67" t="s">
        <v>5038</v>
      </c>
      <c r="FA627" s="67">
        <v>20063.564999999999</v>
      </c>
      <c r="FB627" s="67" t="s">
        <v>5039</v>
      </c>
      <c r="FC627" s="67" t="s">
        <v>5040</v>
      </c>
      <c r="FD627" s="67" t="s">
        <v>5041</v>
      </c>
      <c r="FE627" s="68" t="s">
        <v>5042</v>
      </c>
      <c r="FF627" s="68" t="s">
        <v>5043</v>
      </c>
    </row>
    <row r="628" spans="151:162" x14ac:dyDescent="0.2">
      <c r="EU628" s="67">
        <v>566.98</v>
      </c>
      <c r="EV628" s="67" t="s">
        <v>5044</v>
      </c>
      <c r="EW628" s="67">
        <v>490.83</v>
      </c>
      <c r="EX628" s="67" t="s">
        <v>5045</v>
      </c>
      <c r="EY628" s="67">
        <v>5686.54</v>
      </c>
      <c r="EZ628" s="67" t="s">
        <v>5046</v>
      </c>
      <c r="FA628" s="67">
        <v>20174.179</v>
      </c>
      <c r="FB628" s="67" t="s">
        <v>5047</v>
      </c>
      <c r="FC628" s="67" t="s">
        <v>5048</v>
      </c>
      <c r="FD628" s="67" t="s">
        <v>5049</v>
      </c>
      <c r="FE628" s="68" t="s">
        <v>5050</v>
      </c>
      <c r="FF628" s="68" t="s">
        <v>5051</v>
      </c>
    </row>
    <row r="629" spans="151:162" x14ac:dyDescent="0.2">
      <c r="EU629" s="67">
        <v>566.92999999999995</v>
      </c>
      <c r="EV629" s="67" t="s">
        <v>5052</v>
      </c>
      <c r="EW629" s="67">
        <v>490.58</v>
      </c>
      <c r="EX629" s="67" t="s">
        <v>5053</v>
      </c>
      <c r="EY629" s="67">
        <v>5686.88</v>
      </c>
      <c r="EZ629" s="67" t="s">
        <v>5054</v>
      </c>
      <c r="FA629" s="67">
        <v>20170.455000000002</v>
      </c>
      <c r="FB629" s="67" t="s">
        <v>5055</v>
      </c>
      <c r="FC629" s="67" t="s">
        <v>5056</v>
      </c>
      <c r="FD629" s="67" t="s">
        <v>5057</v>
      </c>
      <c r="FE629" s="68" t="s">
        <v>5058</v>
      </c>
      <c r="FF629" s="68" t="s">
        <v>5059</v>
      </c>
    </row>
    <row r="630" spans="151:162" x14ac:dyDescent="0.2">
      <c r="EU630" s="67">
        <v>567</v>
      </c>
      <c r="EV630" s="67" t="s">
        <v>5060</v>
      </c>
      <c r="EW630" s="67">
        <v>490.68</v>
      </c>
      <c r="EX630" s="67" t="s">
        <v>5061</v>
      </c>
      <c r="EY630" s="67">
        <v>5688.27</v>
      </c>
      <c r="EZ630" s="67" t="s">
        <v>5062</v>
      </c>
      <c r="FA630" s="67">
        <v>20173.288</v>
      </c>
      <c r="FB630" s="67" t="s">
        <v>5063</v>
      </c>
      <c r="FC630" s="67" t="s">
        <v>5064</v>
      </c>
      <c r="FD630" s="67" t="s">
        <v>5065</v>
      </c>
      <c r="FE630" s="68" t="s">
        <v>5066</v>
      </c>
      <c r="FF630" s="68" t="s">
        <v>5067</v>
      </c>
    </row>
    <row r="631" spans="151:162" x14ac:dyDescent="0.2">
      <c r="EU631" s="67">
        <v>566.96</v>
      </c>
      <c r="EV631" s="67" t="s">
        <v>5068</v>
      </c>
      <c r="EW631" s="67">
        <v>490.63</v>
      </c>
      <c r="EX631" s="67" t="s">
        <v>5069</v>
      </c>
      <c r="EY631" s="67">
        <v>5686.69</v>
      </c>
      <c r="EZ631" s="67" t="s">
        <v>5070</v>
      </c>
      <c r="FA631" s="67">
        <v>20171.821</v>
      </c>
      <c r="FB631" s="67" t="s">
        <v>5071</v>
      </c>
      <c r="FC631" s="67" t="s">
        <v>5072</v>
      </c>
      <c r="FD631" s="67" t="s">
        <v>5073</v>
      </c>
      <c r="FE631" s="68" t="s">
        <v>5074</v>
      </c>
      <c r="FF631" s="68" t="s">
        <v>5075</v>
      </c>
    </row>
    <row r="632" spans="151:162" x14ac:dyDescent="0.2">
      <c r="EU632" s="67">
        <v>567.09</v>
      </c>
      <c r="EV632" s="67" t="s">
        <v>5076</v>
      </c>
      <c r="EW632" s="67">
        <v>490.86</v>
      </c>
      <c r="EX632" s="67" t="s">
        <v>5077</v>
      </c>
      <c r="EY632" s="67">
        <v>5687.37</v>
      </c>
      <c r="EZ632" s="67" t="s">
        <v>5078</v>
      </c>
      <c r="FA632" s="67">
        <v>20174.328000000001</v>
      </c>
      <c r="FB632" s="67" t="s">
        <v>5079</v>
      </c>
      <c r="FC632" s="67" t="s">
        <v>5080</v>
      </c>
      <c r="FD632" s="67" t="s">
        <v>5081</v>
      </c>
      <c r="FE632" s="68" t="s">
        <v>5082</v>
      </c>
      <c r="FF632" s="68" t="s">
        <v>5083</v>
      </c>
    </row>
    <row r="633" spans="151:162" x14ac:dyDescent="0.2">
      <c r="EU633" s="67">
        <v>567.29999999999995</v>
      </c>
      <c r="EV633" s="67" t="s">
        <v>5084</v>
      </c>
      <c r="EW633" s="67">
        <v>491.13</v>
      </c>
      <c r="EX633" s="67" t="s">
        <v>5085</v>
      </c>
      <c r="EY633" s="67">
        <v>5689.46</v>
      </c>
      <c r="EZ633" s="67" t="s">
        <v>5086</v>
      </c>
      <c r="FA633" s="67">
        <v>20191.098000000002</v>
      </c>
      <c r="FB633" s="67" t="s">
        <v>5087</v>
      </c>
      <c r="FC633" s="67" t="s">
        <v>5088</v>
      </c>
      <c r="FD633" s="67" t="s">
        <v>5089</v>
      </c>
      <c r="FE633" s="68" t="s">
        <v>5090</v>
      </c>
      <c r="FF633" s="68" t="s">
        <v>5091</v>
      </c>
    </row>
    <row r="634" spans="151:162" x14ac:dyDescent="0.2">
      <c r="EU634" s="67">
        <v>567.19000000000005</v>
      </c>
      <c r="EV634" s="67" t="s">
        <v>5092</v>
      </c>
      <c r="EW634" s="67">
        <v>491.07499999999999</v>
      </c>
      <c r="EX634" s="67" t="s">
        <v>5093</v>
      </c>
      <c r="EY634" s="67">
        <v>5688.82</v>
      </c>
      <c r="EZ634" s="67" t="s">
        <v>5094</v>
      </c>
      <c r="FA634" s="67">
        <v>20188.927</v>
      </c>
      <c r="FB634" s="67" t="s">
        <v>5095</v>
      </c>
      <c r="FC634" s="67" t="s">
        <v>5096</v>
      </c>
      <c r="FD634" s="67" t="s">
        <v>5097</v>
      </c>
      <c r="FE634" s="68" t="s">
        <v>5098</v>
      </c>
      <c r="FF634" s="68" t="s">
        <v>5099</v>
      </c>
    </row>
    <row r="635" spans="151:162" x14ac:dyDescent="0.2">
      <c r="EU635" s="67">
        <v>567.41999999999996</v>
      </c>
      <c r="EV635" s="67" t="s">
        <v>5100</v>
      </c>
      <c r="EW635" s="67">
        <v>491.34500000000003</v>
      </c>
      <c r="EX635" s="67" t="s">
        <v>5101</v>
      </c>
      <c r="EY635" s="67">
        <v>5691.13</v>
      </c>
      <c r="EZ635" s="67" t="s">
        <v>5102</v>
      </c>
      <c r="FA635" s="67">
        <v>20197.735000000001</v>
      </c>
      <c r="FB635" s="67" t="s">
        <v>5103</v>
      </c>
      <c r="FC635" s="67" t="s">
        <v>5104</v>
      </c>
      <c r="FD635" s="67" t="s">
        <v>5105</v>
      </c>
      <c r="FE635" s="68" t="s">
        <v>5106</v>
      </c>
      <c r="FF635" s="68" t="s">
        <v>5107</v>
      </c>
    </row>
    <row r="636" spans="151:162" x14ac:dyDescent="0.2">
      <c r="EU636" s="67">
        <v>567.35</v>
      </c>
      <c r="EV636" s="67" t="s">
        <v>5108</v>
      </c>
      <c r="EW636" s="67">
        <v>491.47699999999998</v>
      </c>
      <c r="EX636" s="67" t="s">
        <v>5109</v>
      </c>
      <c r="EY636" s="67">
        <v>5691.41</v>
      </c>
      <c r="EZ636" s="67" t="s">
        <v>5110</v>
      </c>
      <c r="FA636" s="67">
        <v>20202.384999999998</v>
      </c>
      <c r="FB636" s="67" t="s">
        <v>5111</v>
      </c>
      <c r="FC636" s="67" t="s">
        <v>5112</v>
      </c>
      <c r="FD636" s="67" t="s">
        <v>5113</v>
      </c>
      <c r="FE636" s="68" t="s">
        <v>5114</v>
      </c>
      <c r="FF636" s="68" t="s">
        <v>5115</v>
      </c>
    </row>
    <row r="637" spans="151:162" x14ac:dyDescent="0.2">
      <c r="EU637" s="67">
        <v>567.16999999999996</v>
      </c>
      <c r="EV637" s="67" t="s">
        <v>5116</v>
      </c>
      <c r="EW637" s="67">
        <v>491.15499999999997</v>
      </c>
      <c r="EX637" s="67" t="s">
        <v>5117</v>
      </c>
      <c r="EY637" s="67">
        <v>5688.8</v>
      </c>
      <c r="EZ637" s="67" t="s">
        <v>5118</v>
      </c>
      <c r="FA637" s="67">
        <v>20188.940999999999</v>
      </c>
      <c r="FB637" s="67" t="s">
        <v>5119</v>
      </c>
      <c r="FC637" s="67" t="s">
        <v>5120</v>
      </c>
      <c r="FD637" s="67" t="s">
        <v>5121</v>
      </c>
      <c r="FE637" s="68" t="s">
        <v>5122</v>
      </c>
      <c r="FF637" s="68" t="s">
        <v>5123</v>
      </c>
    </row>
    <row r="638" spans="151:162" x14ac:dyDescent="0.2">
      <c r="EU638" s="67">
        <v>566.89</v>
      </c>
      <c r="EV638" s="67" t="s">
        <v>5124</v>
      </c>
      <c r="EW638" s="67">
        <v>490.75</v>
      </c>
      <c r="EX638" s="67" t="s">
        <v>5125</v>
      </c>
      <c r="EY638" s="67">
        <v>5685.57</v>
      </c>
      <c r="EZ638" s="67" t="s">
        <v>5126</v>
      </c>
      <c r="FA638" s="67">
        <v>20170.379000000001</v>
      </c>
      <c r="FB638" s="67" t="s">
        <v>5127</v>
      </c>
      <c r="FC638" s="67" t="s">
        <v>5128</v>
      </c>
      <c r="FD638" s="67" t="s">
        <v>5129</v>
      </c>
      <c r="FE638" s="68" t="s">
        <v>5130</v>
      </c>
      <c r="FF638" s="68" t="s">
        <v>5131</v>
      </c>
    </row>
    <row r="639" spans="151:162" x14ac:dyDescent="0.2">
      <c r="EU639" s="67">
        <v>566.94000000000005</v>
      </c>
      <c r="EV639" s="67" t="s">
        <v>5132</v>
      </c>
      <c r="EW639" s="67">
        <v>490.93</v>
      </c>
      <c r="EX639" s="67" t="s">
        <v>5133</v>
      </c>
      <c r="EY639" s="67">
        <v>5686.26</v>
      </c>
      <c r="EZ639" s="67" t="s">
        <v>5134</v>
      </c>
      <c r="FA639" s="67">
        <v>20178.502</v>
      </c>
      <c r="FB639" s="67" t="s">
        <v>5135</v>
      </c>
      <c r="FC639" s="67" t="s">
        <v>5136</v>
      </c>
      <c r="FD639" s="67" t="s">
        <v>5137</v>
      </c>
      <c r="FE639" s="68" t="s">
        <v>5138</v>
      </c>
      <c r="FF639" s="68" t="s">
        <v>5139</v>
      </c>
    </row>
    <row r="640" spans="151:162" x14ac:dyDescent="0.2">
      <c r="EU640" s="67">
        <v>566.76900000000001</v>
      </c>
      <c r="EV640" s="67" t="s">
        <v>5140</v>
      </c>
      <c r="EW640" s="67">
        <v>490.70499999999998</v>
      </c>
      <c r="EX640" s="67" t="s">
        <v>5141</v>
      </c>
      <c r="EY640" s="67">
        <v>5684.6</v>
      </c>
      <c r="EZ640" s="67" t="s">
        <v>5142</v>
      </c>
      <c r="FA640" s="67">
        <v>20173.100999999999</v>
      </c>
      <c r="FB640" s="67" t="s">
        <v>5143</v>
      </c>
      <c r="FC640" s="67" t="s">
        <v>5144</v>
      </c>
      <c r="FD640" s="67" t="s">
        <v>5145</v>
      </c>
      <c r="FE640" s="68" t="s">
        <v>5146</v>
      </c>
      <c r="FF640" s="68" t="s">
        <v>5147</v>
      </c>
    </row>
    <row r="641" spans="151:162" x14ac:dyDescent="0.2">
      <c r="EU641" s="67">
        <v>566.64499999999998</v>
      </c>
      <c r="EV641" s="67" t="s">
        <v>5148</v>
      </c>
      <c r="EW641" s="67">
        <v>490.58</v>
      </c>
      <c r="EX641" s="67" t="s">
        <v>5149</v>
      </c>
      <c r="EY641" s="67">
        <v>5682.63</v>
      </c>
      <c r="EZ641" s="67" t="s">
        <v>5150</v>
      </c>
      <c r="FA641" s="67">
        <v>20165.5</v>
      </c>
      <c r="FB641" s="67" t="s">
        <v>5151</v>
      </c>
      <c r="FC641" s="67" t="s">
        <v>5152</v>
      </c>
      <c r="FD641" s="67" t="s">
        <v>5153</v>
      </c>
      <c r="FE641" s="68" t="s">
        <v>5154</v>
      </c>
      <c r="FF641" s="68" t="s">
        <v>5155</v>
      </c>
    </row>
    <row r="642" spans="151:162" x14ac:dyDescent="0.2">
      <c r="EU642" s="67">
        <v>566.22</v>
      </c>
      <c r="EV642" s="67" t="s">
        <v>5156</v>
      </c>
      <c r="EW642" s="67">
        <v>490.22</v>
      </c>
      <c r="EX642" s="67" t="s">
        <v>5157</v>
      </c>
      <c r="EY642" s="67">
        <v>5679.42</v>
      </c>
      <c r="EZ642" s="67" t="s">
        <v>5158</v>
      </c>
      <c r="FA642" s="67">
        <v>20150.916000000001</v>
      </c>
      <c r="FB642" s="67" t="s">
        <v>5159</v>
      </c>
      <c r="FC642" s="67" t="s">
        <v>5160</v>
      </c>
      <c r="FD642" s="67" t="s">
        <v>5161</v>
      </c>
      <c r="FE642" s="68" t="s">
        <v>5162</v>
      </c>
      <c r="FF642" s="68" t="s">
        <v>5163</v>
      </c>
    </row>
    <row r="643" spans="151:162" x14ac:dyDescent="0.2">
      <c r="EU643" s="67">
        <v>566.41</v>
      </c>
      <c r="EV643" s="67" t="s">
        <v>5164</v>
      </c>
      <c r="EW643" s="67">
        <v>490.43</v>
      </c>
      <c r="EX643" s="67" t="s">
        <v>5165</v>
      </c>
      <c r="EY643" s="67">
        <v>5681.21</v>
      </c>
      <c r="EZ643" s="67" t="s">
        <v>5166</v>
      </c>
      <c r="FA643" s="67">
        <v>20161.055</v>
      </c>
      <c r="FB643" s="67" t="s">
        <v>5167</v>
      </c>
      <c r="FC643" s="67" t="s">
        <v>5168</v>
      </c>
      <c r="FD643" s="67" t="s">
        <v>5169</v>
      </c>
      <c r="FE643" s="68" t="s">
        <v>5170</v>
      </c>
      <c r="FF643" s="68" t="s">
        <v>5171</v>
      </c>
    </row>
    <row r="644" spans="151:162" x14ac:dyDescent="0.2">
      <c r="EU644" s="67">
        <v>566.68899999999996</v>
      </c>
      <c r="EV644" s="67" t="s">
        <v>5172</v>
      </c>
      <c r="EW644" s="67">
        <v>490.65</v>
      </c>
      <c r="EX644" s="67" t="s">
        <v>5173</v>
      </c>
      <c r="EY644" s="67">
        <v>5683.53</v>
      </c>
      <c r="EZ644" s="67" t="s">
        <v>5174</v>
      </c>
      <c r="FA644" s="67">
        <v>20165.868999999999</v>
      </c>
      <c r="FB644" s="67" t="s">
        <v>5175</v>
      </c>
      <c r="FC644" s="67" t="s">
        <v>5176</v>
      </c>
      <c r="FD644" s="67" t="s">
        <v>5177</v>
      </c>
      <c r="FE644" s="68" t="s">
        <v>5178</v>
      </c>
      <c r="FF644" s="68" t="s">
        <v>5179</v>
      </c>
    </row>
    <row r="645" spans="151:162" x14ac:dyDescent="0.2">
      <c r="EU645" s="67">
        <v>566.54999999999995</v>
      </c>
      <c r="EV645" s="67" t="s">
        <v>5180</v>
      </c>
      <c r="EW645" s="67">
        <v>490.52</v>
      </c>
      <c r="EX645" s="67" t="s">
        <v>5181</v>
      </c>
      <c r="EY645" s="67">
        <v>5682.04</v>
      </c>
      <c r="EZ645" s="67" t="s">
        <v>5182</v>
      </c>
      <c r="FA645" s="67">
        <v>20164.717000000001</v>
      </c>
      <c r="FB645" s="67" t="s">
        <v>5183</v>
      </c>
      <c r="FC645" s="67" t="s">
        <v>5184</v>
      </c>
      <c r="FD645" s="67" t="s">
        <v>5185</v>
      </c>
      <c r="FE645" s="68" t="s">
        <v>5186</v>
      </c>
      <c r="FF645" s="68" t="s">
        <v>5187</v>
      </c>
    </row>
    <row r="646" spans="151:162" x14ac:dyDescent="0.2">
      <c r="EU646" s="67">
        <v>566.53</v>
      </c>
      <c r="EV646" s="67" t="s">
        <v>5188</v>
      </c>
      <c r="EW646" s="67">
        <v>490.58</v>
      </c>
      <c r="EX646" s="67" t="s">
        <v>5189</v>
      </c>
      <c r="EY646" s="67">
        <v>5681.32</v>
      </c>
      <c r="EZ646" s="67" t="s">
        <v>5190</v>
      </c>
      <c r="FA646" s="67">
        <v>20164.034</v>
      </c>
      <c r="FB646" s="67" t="s">
        <v>5191</v>
      </c>
      <c r="FC646" s="67" t="s">
        <v>5192</v>
      </c>
      <c r="FD646" s="67" t="s">
        <v>5193</v>
      </c>
      <c r="FE646" s="68" t="s">
        <v>5194</v>
      </c>
      <c r="FF646" s="68" t="s">
        <v>5195</v>
      </c>
    </row>
    <row r="647" spans="151:162" x14ac:dyDescent="0.2">
      <c r="EU647" s="67">
        <v>566.40499999999997</v>
      </c>
      <c r="EV647" s="67" t="s">
        <v>5196</v>
      </c>
      <c r="EW647" s="67">
        <v>490.46499999999997</v>
      </c>
      <c r="EX647" s="67" t="s">
        <v>5197</v>
      </c>
      <c r="EY647" s="67">
        <v>5680.6</v>
      </c>
      <c r="EZ647" s="67" t="s">
        <v>5198</v>
      </c>
      <c r="FA647" s="67">
        <v>20159.937000000002</v>
      </c>
      <c r="FB647" s="67" t="s">
        <v>5199</v>
      </c>
      <c r="FC647" s="67" t="s">
        <v>5200</v>
      </c>
      <c r="FD647" s="67" t="s">
        <v>5201</v>
      </c>
      <c r="FE647" s="68" t="s">
        <v>5202</v>
      </c>
      <c r="FF647" s="68" t="s">
        <v>5203</v>
      </c>
    </row>
    <row r="648" spans="151:162" x14ac:dyDescent="0.2">
      <c r="EU648" s="67">
        <v>566.53</v>
      </c>
      <c r="EV648" s="67" t="s">
        <v>5204</v>
      </c>
      <c r="EW648" s="67">
        <v>490.50200000000001</v>
      </c>
      <c r="EX648" s="67" t="s">
        <v>5205</v>
      </c>
      <c r="EY648" s="67">
        <v>5681.14</v>
      </c>
      <c r="EZ648" s="67" t="s">
        <v>5206</v>
      </c>
      <c r="FA648" s="67">
        <v>20161.452000000001</v>
      </c>
      <c r="FB648" s="67" t="s">
        <v>5207</v>
      </c>
      <c r="FC648" s="67" t="s">
        <v>5208</v>
      </c>
      <c r="FD648" s="67" t="s">
        <v>5209</v>
      </c>
      <c r="FE648" s="68" t="s">
        <v>5210</v>
      </c>
      <c r="FF648" s="68" t="s">
        <v>5211</v>
      </c>
    </row>
    <row r="649" spans="151:162" x14ac:dyDescent="0.2">
      <c r="EU649" s="67">
        <v>566.13</v>
      </c>
      <c r="EV649" s="67" t="s">
        <v>5212</v>
      </c>
      <c r="EW649" s="67">
        <v>490.02</v>
      </c>
      <c r="EX649" s="67" t="s">
        <v>5213</v>
      </c>
      <c r="EY649" s="67">
        <v>5678.6</v>
      </c>
      <c r="EZ649" s="67" t="s">
        <v>5214</v>
      </c>
      <c r="FA649" s="67">
        <v>20145.182000000001</v>
      </c>
      <c r="FB649" s="67" t="s">
        <v>5215</v>
      </c>
      <c r="FC649" s="67" t="s">
        <v>5216</v>
      </c>
      <c r="FD649" s="67" t="s">
        <v>5217</v>
      </c>
      <c r="FE649" s="68" t="s">
        <v>5218</v>
      </c>
      <c r="FF649" s="68" t="s">
        <v>5219</v>
      </c>
    </row>
    <row r="650" spans="151:162" x14ac:dyDescent="0.2">
      <c r="EU650" s="67">
        <v>566.07500000000005</v>
      </c>
      <c r="EV650" s="67" t="s">
        <v>5220</v>
      </c>
      <c r="EW650" s="67">
        <v>490.03</v>
      </c>
      <c r="EX650" s="67" t="s">
        <v>5221</v>
      </c>
      <c r="EY650" s="67">
        <v>5677.23</v>
      </c>
      <c r="EZ650" s="67" t="s">
        <v>5222</v>
      </c>
      <c r="FA650" s="67">
        <v>20141.248</v>
      </c>
      <c r="FB650" s="67" t="s">
        <v>5223</v>
      </c>
      <c r="FC650" s="67" t="s">
        <v>5224</v>
      </c>
      <c r="FD650" s="67" t="s">
        <v>5225</v>
      </c>
      <c r="FE650" s="68" t="s">
        <v>5226</v>
      </c>
      <c r="FF650" s="68" t="s">
        <v>5227</v>
      </c>
    </row>
    <row r="651" spans="151:162" x14ac:dyDescent="0.2">
      <c r="EU651" s="67">
        <v>566.495</v>
      </c>
      <c r="EV651" s="67" t="s">
        <v>5228</v>
      </c>
      <c r="EW651" s="67">
        <v>490.31700000000001</v>
      </c>
      <c r="EX651" s="67" t="s">
        <v>5229</v>
      </c>
      <c r="EY651" s="67">
        <v>5680.69</v>
      </c>
      <c r="EZ651" s="67" t="s">
        <v>5230</v>
      </c>
      <c r="FA651" s="67">
        <v>20149.003000000001</v>
      </c>
      <c r="FB651" s="67" t="s">
        <v>5231</v>
      </c>
      <c r="FC651" s="67" t="s">
        <v>5232</v>
      </c>
      <c r="FD651" s="67" t="s">
        <v>5233</v>
      </c>
      <c r="FE651" s="68" t="s">
        <v>5234</v>
      </c>
      <c r="FF651" s="68" t="s">
        <v>5235</v>
      </c>
    </row>
    <row r="652" spans="151:162" x14ac:dyDescent="0.2">
      <c r="EU652" s="67">
        <v>566.58000000000004</v>
      </c>
      <c r="EV652" s="67" t="s">
        <v>5236</v>
      </c>
      <c r="EW652" s="67">
        <v>490.49</v>
      </c>
      <c r="EX652" s="67" t="s">
        <v>5237</v>
      </c>
      <c r="EY652" s="67">
        <v>5682.65</v>
      </c>
      <c r="EZ652" s="67" t="s">
        <v>5238</v>
      </c>
      <c r="FA652" s="67">
        <v>20159.417000000001</v>
      </c>
      <c r="FB652" s="67" t="s">
        <v>5239</v>
      </c>
      <c r="FC652" s="67" t="s">
        <v>5240</v>
      </c>
      <c r="FD652" s="67" t="s">
        <v>5241</v>
      </c>
      <c r="FE652" s="68" t="s">
        <v>5242</v>
      </c>
      <c r="FF652" s="68" t="s">
        <v>5243</v>
      </c>
    </row>
    <row r="653" spans="151:162" x14ac:dyDescent="0.2">
      <c r="EU653" s="67">
        <v>566.57000000000005</v>
      </c>
      <c r="EV653" s="67" t="s">
        <v>5244</v>
      </c>
      <c r="EW653" s="67">
        <v>490.43</v>
      </c>
      <c r="EX653" s="67" t="s">
        <v>5245</v>
      </c>
      <c r="EY653" s="67">
        <v>5682.66</v>
      </c>
      <c r="EZ653" s="67" t="s">
        <v>5246</v>
      </c>
      <c r="FA653" s="67">
        <v>20156.628000000001</v>
      </c>
      <c r="FB653" s="67" t="s">
        <v>5247</v>
      </c>
      <c r="FC653" s="67" t="s">
        <v>5248</v>
      </c>
      <c r="FD653" s="67" t="s">
        <v>5249</v>
      </c>
      <c r="FE653" s="68" t="s">
        <v>5250</v>
      </c>
      <c r="FF653" s="68" t="s">
        <v>5251</v>
      </c>
    </row>
    <row r="654" spans="151:162" x14ac:dyDescent="0.2">
      <c r="EU654" s="67">
        <v>566.6</v>
      </c>
      <c r="EV654" s="67" t="s">
        <v>5252</v>
      </c>
      <c r="EW654" s="67">
        <v>490.55500000000001</v>
      </c>
      <c r="EX654" s="67" t="s">
        <v>5253</v>
      </c>
      <c r="EY654" s="67">
        <v>5682.73</v>
      </c>
      <c r="EZ654" s="67" t="s">
        <v>5254</v>
      </c>
      <c r="FA654" s="67">
        <v>20160.825000000001</v>
      </c>
      <c r="FB654" s="67" t="s">
        <v>5255</v>
      </c>
      <c r="FC654" s="67" t="s">
        <v>5256</v>
      </c>
      <c r="FD654" s="67" t="s">
        <v>5257</v>
      </c>
      <c r="FE654" s="68" t="s">
        <v>5258</v>
      </c>
      <c r="FF654" s="68" t="s">
        <v>5259</v>
      </c>
    </row>
    <row r="655" spans="151:162" x14ac:dyDescent="0.2">
      <c r="EU655" s="67">
        <v>567.07000000000005</v>
      </c>
      <c r="EV655" s="67" t="s">
        <v>5260</v>
      </c>
      <c r="EW655" s="67">
        <v>490.99</v>
      </c>
      <c r="EX655" s="67" t="s">
        <v>5261</v>
      </c>
      <c r="EY655" s="67">
        <v>5686.85</v>
      </c>
      <c r="EZ655" s="67" t="s">
        <v>5262</v>
      </c>
      <c r="FA655" s="67">
        <v>20181.650000000001</v>
      </c>
      <c r="FB655" s="67" t="s">
        <v>5263</v>
      </c>
      <c r="FC655" s="67" t="s">
        <v>5264</v>
      </c>
      <c r="FD655" s="67" t="s">
        <v>5265</v>
      </c>
      <c r="FE655" s="68" t="s">
        <v>5266</v>
      </c>
      <c r="FF655" s="68" t="s">
        <v>5267</v>
      </c>
    </row>
    <row r="656" spans="151:162" x14ac:dyDescent="0.2">
      <c r="EU656" s="67">
        <v>566.94000000000005</v>
      </c>
      <c r="EV656" s="67" t="s">
        <v>5268</v>
      </c>
      <c r="EW656" s="67">
        <v>490.8</v>
      </c>
      <c r="EX656" s="67" t="s">
        <v>5269</v>
      </c>
      <c r="EY656" s="67">
        <v>5685.77</v>
      </c>
      <c r="EZ656" s="67" t="s">
        <v>5270</v>
      </c>
      <c r="FA656" s="67">
        <v>20172.988000000001</v>
      </c>
      <c r="FB656" s="67" t="s">
        <v>5271</v>
      </c>
      <c r="FC656" s="67" t="s">
        <v>5272</v>
      </c>
      <c r="FD656" s="67" t="s">
        <v>5273</v>
      </c>
      <c r="FE656" s="68" t="s">
        <v>5274</v>
      </c>
      <c r="FF656" s="68" t="s">
        <v>5275</v>
      </c>
    </row>
    <row r="657" spans="151:162" x14ac:dyDescent="0.2">
      <c r="EU657" s="67">
        <v>567.09900000000005</v>
      </c>
      <c r="EV657" s="67" t="s">
        <v>5276</v>
      </c>
      <c r="EW657" s="67">
        <v>490.92</v>
      </c>
      <c r="EX657" s="67" t="s">
        <v>5277</v>
      </c>
      <c r="EY657" s="67">
        <v>5687.1</v>
      </c>
      <c r="EZ657" s="67" t="s">
        <v>5278</v>
      </c>
      <c r="FA657" s="67">
        <v>20177.914000000001</v>
      </c>
      <c r="FB657" s="67" t="s">
        <v>5279</v>
      </c>
      <c r="FC657" s="67" t="s">
        <v>5280</v>
      </c>
      <c r="FD657" s="67" t="s">
        <v>5281</v>
      </c>
      <c r="FE657" s="68" t="s">
        <v>5282</v>
      </c>
      <c r="FF657" s="68" t="s">
        <v>5283</v>
      </c>
    </row>
    <row r="658" spans="151:162" x14ac:dyDescent="0.2">
      <c r="EU658" s="67">
        <v>567.16</v>
      </c>
      <c r="EV658" s="67" t="s">
        <v>5284</v>
      </c>
      <c r="EW658" s="67">
        <v>491.14499999999998</v>
      </c>
      <c r="EX658" s="67" t="s">
        <v>5285</v>
      </c>
      <c r="EY658" s="67">
        <v>5688.29</v>
      </c>
      <c r="EZ658" s="67" t="s">
        <v>5286</v>
      </c>
      <c r="FA658" s="67">
        <v>20186.647000000001</v>
      </c>
      <c r="FB658" s="67" t="s">
        <v>5287</v>
      </c>
      <c r="FC658" s="67" t="s">
        <v>5288</v>
      </c>
      <c r="FD658" s="67" t="s">
        <v>5289</v>
      </c>
      <c r="FE658" s="68" t="s">
        <v>5290</v>
      </c>
      <c r="FF658" s="68" t="s">
        <v>5291</v>
      </c>
    </row>
    <row r="659" spans="151:162" x14ac:dyDescent="0.2">
      <c r="EU659" s="67">
        <v>567.15</v>
      </c>
      <c r="EV659" s="67" t="s">
        <v>5292</v>
      </c>
      <c r="EW659" s="67">
        <v>491.14</v>
      </c>
      <c r="EX659" s="67" t="s">
        <v>5293</v>
      </c>
      <c r="EY659" s="67">
        <v>5688.32</v>
      </c>
      <c r="EZ659" s="67" t="s">
        <v>5294</v>
      </c>
      <c r="FA659" s="67">
        <v>20188.816999999999</v>
      </c>
      <c r="FB659" s="67" t="s">
        <v>5295</v>
      </c>
      <c r="FC659" s="67" t="s">
        <v>5296</v>
      </c>
      <c r="FD659" s="67" t="s">
        <v>5297</v>
      </c>
      <c r="FE659" s="68" t="s">
        <v>5298</v>
      </c>
      <c r="FF659" s="68" t="s">
        <v>5299</v>
      </c>
    </row>
    <row r="660" spans="151:162" x14ac:dyDescent="0.2">
      <c r="EU660" s="67">
        <v>566.89</v>
      </c>
      <c r="EV660" s="67" t="s">
        <v>5300</v>
      </c>
      <c r="EW660" s="67">
        <v>490.82</v>
      </c>
      <c r="EX660" s="67" t="s">
        <v>5301</v>
      </c>
      <c r="EY660" s="67">
        <v>5686.32</v>
      </c>
      <c r="EZ660" s="67" t="s">
        <v>5302</v>
      </c>
      <c r="FA660" s="67">
        <v>20178.167000000001</v>
      </c>
      <c r="FB660" s="67" t="s">
        <v>5303</v>
      </c>
      <c r="FC660" s="67" t="s">
        <v>5304</v>
      </c>
      <c r="FD660" s="67" t="s">
        <v>5305</v>
      </c>
      <c r="FE660" s="68" t="s">
        <v>5306</v>
      </c>
      <c r="FF660" s="68" t="s">
        <v>5307</v>
      </c>
    </row>
    <row r="661" spans="151:162" x14ac:dyDescent="0.2">
      <c r="EU661" s="67">
        <v>566.77</v>
      </c>
      <c r="EV661" s="67" t="s">
        <v>5308</v>
      </c>
      <c r="EW661" s="67">
        <v>490.64</v>
      </c>
      <c r="EX661" s="67" t="s">
        <v>5309</v>
      </c>
      <c r="EY661" s="67">
        <v>5684.62</v>
      </c>
      <c r="EZ661" s="67" t="s">
        <v>5310</v>
      </c>
      <c r="FA661" s="67">
        <v>20170.932000000001</v>
      </c>
      <c r="FB661" s="67" t="s">
        <v>5311</v>
      </c>
      <c r="FC661" s="67" t="s">
        <v>5312</v>
      </c>
      <c r="FD661" s="67" t="s">
        <v>5313</v>
      </c>
      <c r="FE661" s="68" t="s">
        <v>5314</v>
      </c>
      <c r="FF661" s="68" t="s">
        <v>5315</v>
      </c>
    </row>
    <row r="662" spans="151:162" x14ac:dyDescent="0.2">
      <c r="EU662" s="67">
        <v>566.97</v>
      </c>
      <c r="EV662" s="67" t="s">
        <v>5316</v>
      </c>
      <c r="EW662" s="67">
        <v>491.1</v>
      </c>
      <c r="EX662" s="67" t="s">
        <v>5317</v>
      </c>
      <c r="EY662" s="67">
        <v>5686.69</v>
      </c>
      <c r="EZ662" s="67" t="s">
        <v>5318</v>
      </c>
      <c r="FA662" s="67">
        <v>20185.752</v>
      </c>
      <c r="FB662" s="67" t="s">
        <v>5319</v>
      </c>
      <c r="FC662" s="67" t="s">
        <v>5320</v>
      </c>
      <c r="FD662" s="67" t="s">
        <v>5321</v>
      </c>
      <c r="FE662" s="68" t="s">
        <v>5322</v>
      </c>
      <c r="FF662" s="68" t="s">
        <v>5323</v>
      </c>
    </row>
    <row r="663" spans="151:162" x14ac:dyDescent="0.2">
      <c r="EU663" s="67">
        <v>567.26</v>
      </c>
      <c r="EV663" s="67" t="s">
        <v>5324</v>
      </c>
      <c r="EW663" s="67">
        <v>491.34</v>
      </c>
      <c r="EX663" s="67" t="s">
        <v>5325</v>
      </c>
      <c r="EY663" s="67">
        <v>5689.55</v>
      </c>
      <c r="EZ663" s="67" t="s">
        <v>5326</v>
      </c>
      <c r="FA663" s="67">
        <v>20195.409</v>
      </c>
      <c r="FB663" s="67" t="s">
        <v>5327</v>
      </c>
      <c r="FC663" s="67" t="s">
        <v>5328</v>
      </c>
      <c r="FD663" s="67" t="s">
        <v>5329</v>
      </c>
      <c r="FE663" s="68" t="s">
        <v>5330</v>
      </c>
      <c r="FF663" s="68" t="s">
        <v>5331</v>
      </c>
    </row>
    <row r="664" spans="151:162" x14ac:dyDescent="0.2">
      <c r="EU664" s="67">
        <v>567.13</v>
      </c>
      <c r="EV664" s="67" t="s">
        <v>5332</v>
      </c>
      <c r="EW664" s="67">
        <v>491.1</v>
      </c>
      <c r="EX664" s="67" t="s">
        <v>5333</v>
      </c>
      <c r="EY664" s="67">
        <v>5687.62</v>
      </c>
      <c r="EZ664" s="67" t="s">
        <v>5334</v>
      </c>
      <c r="FA664" s="67">
        <v>20180.787</v>
      </c>
      <c r="FB664" s="67" t="s">
        <v>5335</v>
      </c>
      <c r="FC664" s="67" t="s">
        <v>5336</v>
      </c>
      <c r="FD664" s="67" t="s">
        <v>5337</v>
      </c>
      <c r="FE664" s="68" t="s">
        <v>5338</v>
      </c>
      <c r="FF664" s="68" t="s">
        <v>5339</v>
      </c>
    </row>
    <row r="665" spans="151:162" x14ac:dyDescent="0.2">
      <c r="EU665" s="67">
        <v>567.17499999999995</v>
      </c>
      <c r="EV665" s="67" t="s">
        <v>5340</v>
      </c>
      <c r="EW665" s="67">
        <v>491.12</v>
      </c>
      <c r="EX665" s="67" t="s">
        <v>5341</v>
      </c>
      <c r="EY665" s="67">
        <v>5688.37</v>
      </c>
      <c r="EZ665" s="67" t="s">
        <v>5342</v>
      </c>
      <c r="FA665" s="67">
        <v>20185.558000000001</v>
      </c>
      <c r="FB665" s="67" t="s">
        <v>5343</v>
      </c>
      <c r="FC665" s="67" t="s">
        <v>5344</v>
      </c>
      <c r="FD665" s="67" t="s">
        <v>5345</v>
      </c>
      <c r="FE665" s="68" t="s">
        <v>5346</v>
      </c>
      <c r="FF665" s="68" t="s">
        <v>5347</v>
      </c>
    </row>
    <row r="666" spans="151:162" x14ac:dyDescent="0.2">
      <c r="EU666" s="67">
        <v>567.13499999999999</v>
      </c>
      <c r="EV666" s="67" t="s">
        <v>5348</v>
      </c>
      <c r="EW666" s="67">
        <v>491.01</v>
      </c>
      <c r="EX666" s="67" t="s">
        <v>5349</v>
      </c>
      <c r="EY666" s="67">
        <v>5687.54</v>
      </c>
      <c r="EZ666" s="67" t="s">
        <v>5350</v>
      </c>
      <c r="FA666" s="67">
        <v>20181.456999999999</v>
      </c>
      <c r="FB666" s="67" t="s">
        <v>5351</v>
      </c>
      <c r="FC666" s="67" t="s">
        <v>5352</v>
      </c>
      <c r="FD666" s="67" t="s">
        <v>5353</v>
      </c>
      <c r="FE666" s="68" t="s">
        <v>5354</v>
      </c>
      <c r="FF666" s="68" t="s">
        <v>5355</v>
      </c>
    </row>
    <row r="667" spans="151:162" x14ac:dyDescent="0.2">
      <c r="EU667" s="67">
        <v>566.72</v>
      </c>
      <c r="EV667" s="67" t="s">
        <v>5356</v>
      </c>
      <c r="EW667" s="67">
        <v>490.7</v>
      </c>
      <c r="EX667" s="67" t="s">
        <v>5357</v>
      </c>
      <c r="EY667" s="67">
        <v>5684.04</v>
      </c>
      <c r="EZ667" s="67" t="s">
        <v>5358</v>
      </c>
      <c r="FA667" s="67">
        <v>20172.518</v>
      </c>
      <c r="FB667" s="67" t="s">
        <v>5359</v>
      </c>
      <c r="FC667" s="67" t="s">
        <v>5360</v>
      </c>
      <c r="FD667" s="67" t="s">
        <v>5361</v>
      </c>
      <c r="FE667" s="68" t="s">
        <v>5362</v>
      </c>
      <c r="FF667" s="68" t="s">
        <v>5363</v>
      </c>
    </row>
    <row r="668" spans="151:162" x14ac:dyDescent="0.2">
      <c r="EU668" s="67">
        <v>566.72</v>
      </c>
      <c r="EV668" s="67" t="s">
        <v>5364</v>
      </c>
      <c r="EW668" s="67">
        <v>490.81</v>
      </c>
      <c r="EX668" s="67" t="s">
        <v>5365</v>
      </c>
      <c r="EY668" s="67">
        <v>5683.53</v>
      </c>
      <c r="EZ668" s="67" t="s">
        <v>5366</v>
      </c>
      <c r="FA668" s="67">
        <v>20173.662</v>
      </c>
      <c r="FB668" s="67" t="s">
        <v>5367</v>
      </c>
      <c r="FC668" s="67" t="s">
        <v>5368</v>
      </c>
      <c r="FD668" s="67" t="s">
        <v>5369</v>
      </c>
      <c r="FE668" s="68" t="s">
        <v>5370</v>
      </c>
      <c r="FF668" s="68" t="s">
        <v>5371</v>
      </c>
    </row>
    <row r="669" spans="151:162" x14ac:dyDescent="0.2">
      <c r="EU669" s="67">
        <v>566.70000000000005</v>
      </c>
      <c r="EV669" s="67" t="s">
        <v>5372</v>
      </c>
      <c r="EW669" s="67">
        <v>490.82</v>
      </c>
      <c r="EX669" s="67" t="s">
        <v>5373</v>
      </c>
      <c r="EY669" s="67">
        <v>5682.9</v>
      </c>
      <c r="EZ669" s="67" t="s">
        <v>5374</v>
      </c>
      <c r="FA669" s="67">
        <v>20174.936000000002</v>
      </c>
      <c r="FB669" s="67" t="s">
        <v>5375</v>
      </c>
      <c r="FC669" s="67" t="s">
        <v>5376</v>
      </c>
      <c r="FD669" s="67" t="s">
        <v>5377</v>
      </c>
      <c r="FE669" s="68" t="s">
        <v>5378</v>
      </c>
      <c r="FF669" s="68" t="s">
        <v>5379</v>
      </c>
    </row>
    <row r="670" spans="151:162" x14ac:dyDescent="0.2">
      <c r="EU670" s="67">
        <v>566.67999999999995</v>
      </c>
      <c r="EV670" s="67" t="s">
        <v>5380</v>
      </c>
      <c r="EW670" s="67">
        <v>490.83</v>
      </c>
      <c r="EX670" s="67" t="s">
        <v>5381</v>
      </c>
      <c r="EY670" s="67">
        <v>5683.38</v>
      </c>
      <c r="EZ670" s="67" t="s">
        <v>5382</v>
      </c>
      <c r="FA670" s="67">
        <v>20176.454000000002</v>
      </c>
      <c r="FB670" s="67" t="s">
        <v>5383</v>
      </c>
      <c r="FC670" s="67" t="s">
        <v>5384</v>
      </c>
      <c r="FD670" s="67" t="s">
        <v>5385</v>
      </c>
      <c r="FE670" s="68" t="s">
        <v>5386</v>
      </c>
      <c r="FF670" s="68" t="s">
        <v>5387</v>
      </c>
    </row>
    <row r="671" spans="151:162" x14ac:dyDescent="0.2">
      <c r="EU671" s="67">
        <v>566.51</v>
      </c>
      <c r="EV671" s="67" t="s">
        <v>5388</v>
      </c>
      <c r="EW671" s="67">
        <v>490.6</v>
      </c>
      <c r="EX671" s="67" t="s">
        <v>5389</v>
      </c>
      <c r="EY671" s="67">
        <v>5681.29</v>
      </c>
      <c r="EZ671" s="67" t="s">
        <v>5390</v>
      </c>
      <c r="FA671" s="67">
        <v>20165.23</v>
      </c>
      <c r="FB671" s="67" t="s">
        <v>5391</v>
      </c>
      <c r="FC671" s="67" t="s">
        <v>5392</v>
      </c>
      <c r="FD671" s="67" t="s">
        <v>5393</v>
      </c>
      <c r="FE671" s="68" t="s">
        <v>5394</v>
      </c>
      <c r="FF671" s="68" t="s">
        <v>5395</v>
      </c>
    </row>
    <row r="672" spans="151:162" x14ac:dyDescent="0.2">
      <c r="EU672" s="67">
        <v>566.495</v>
      </c>
      <c r="EV672" s="67" t="s">
        <v>5396</v>
      </c>
      <c r="EW672" s="67">
        <v>490.5</v>
      </c>
      <c r="EX672" s="67" t="s">
        <v>5397</v>
      </c>
      <c r="EY672" s="67">
        <v>5680.89</v>
      </c>
      <c r="EZ672" s="67" t="s">
        <v>5398</v>
      </c>
      <c r="FA672" s="67">
        <v>20162.09</v>
      </c>
      <c r="FB672" s="67" t="s">
        <v>5399</v>
      </c>
      <c r="FC672" s="67" t="s">
        <v>5400</v>
      </c>
      <c r="FD672" s="67" t="s">
        <v>5401</v>
      </c>
      <c r="FE672" s="68" t="s">
        <v>5402</v>
      </c>
      <c r="FF672" s="68" t="s">
        <v>5403</v>
      </c>
    </row>
    <row r="673" spans="151:162" x14ac:dyDescent="0.2">
      <c r="EU673" s="67">
        <v>566.20000000000005</v>
      </c>
      <c r="EV673" s="67" t="s">
        <v>5404</v>
      </c>
      <c r="EW673" s="67">
        <v>490.24</v>
      </c>
      <c r="EX673" s="67" t="s">
        <v>5405</v>
      </c>
      <c r="EY673" s="67">
        <v>5678.35</v>
      </c>
      <c r="EZ673" s="67" t="s">
        <v>5406</v>
      </c>
      <c r="FA673" s="67">
        <v>20149.705999999998</v>
      </c>
      <c r="FB673" s="67" t="s">
        <v>5407</v>
      </c>
      <c r="FC673" s="67" t="s">
        <v>5408</v>
      </c>
      <c r="FD673" s="67" t="s">
        <v>5409</v>
      </c>
      <c r="FE673" s="68" t="s">
        <v>5410</v>
      </c>
      <c r="FF673" s="68" t="s">
        <v>5411</v>
      </c>
    </row>
    <row r="674" spans="151:162" x14ac:dyDescent="0.2">
      <c r="EU674" s="67">
        <v>565.82000000000005</v>
      </c>
      <c r="EV674" s="67" t="s">
        <v>5412</v>
      </c>
      <c r="EW674" s="67">
        <v>489.78</v>
      </c>
      <c r="EX674" s="67" t="s">
        <v>5413</v>
      </c>
      <c r="EY674" s="67">
        <v>5674.29</v>
      </c>
      <c r="EZ674" s="67" t="s">
        <v>5414</v>
      </c>
      <c r="FA674" s="67">
        <v>20132.034</v>
      </c>
      <c r="FB674" s="67" t="s">
        <v>5415</v>
      </c>
      <c r="FC674" s="67" t="s">
        <v>5416</v>
      </c>
      <c r="FD674" s="67" t="s">
        <v>5417</v>
      </c>
      <c r="FE674" s="68" t="s">
        <v>5418</v>
      </c>
      <c r="FF674" s="68" t="s">
        <v>5419</v>
      </c>
    </row>
    <row r="675" spans="151:162" x14ac:dyDescent="0.2">
      <c r="EU675" s="67">
        <v>565.6</v>
      </c>
      <c r="EV675" s="67" t="s">
        <v>5420</v>
      </c>
      <c r="EW675" s="67">
        <v>489.56</v>
      </c>
      <c r="EX675" s="67" t="s">
        <v>5421</v>
      </c>
      <c r="EY675" s="67">
        <v>5671.9</v>
      </c>
      <c r="EZ675" s="67" t="s">
        <v>5422</v>
      </c>
      <c r="FA675" s="67">
        <v>20121.466</v>
      </c>
      <c r="FB675" s="67" t="s">
        <v>5423</v>
      </c>
      <c r="FC675" s="67" t="s">
        <v>5424</v>
      </c>
      <c r="FD675" s="67" t="s">
        <v>5425</v>
      </c>
      <c r="FE675" s="68" t="s">
        <v>5426</v>
      </c>
      <c r="FF675" s="68" t="s">
        <v>5427</v>
      </c>
    </row>
    <row r="676" spans="151:162" x14ac:dyDescent="0.2">
      <c r="EU676" s="67">
        <v>565.72</v>
      </c>
      <c r="EV676" s="67" t="s">
        <v>5428</v>
      </c>
      <c r="EW676" s="67">
        <v>489.68</v>
      </c>
      <c r="EX676" s="67" t="s">
        <v>5429</v>
      </c>
      <c r="EY676" s="67">
        <v>5673.58</v>
      </c>
      <c r="EZ676" s="67" t="s">
        <v>5430</v>
      </c>
      <c r="FA676" s="67">
        <v>20127.309000000001</v>
      </c>
      <c r="FB676" s="67" t="s">
        <v>5431</v>
      </c>
      <c r="FC676" s="67" t="s">
        <v>5432</v>
      </c>
      <c r="FD676" s="67" t="s">
        <v>5433</v>
      </c>
      <c r="FE676" s="68" t="s">
        <v>5434</v>
      </c>
      <c r="FF676" s="68" t="s">
        <v>5435</v>
      </c>
    </row>
    <row r="677" spans="151:162" x14ac:dyDescent="0.2">
      <c r="EU677" s="67">
        <v>565.37</v>
      </c>
      <c r="EV677" s="67" t="s">
        <v>5436</v>
      </c>
      <c r="EW677" s="67">
        <v>489.4</v>
      </c>
      <c r="EX677" s="67" t="s">
        <v>5437</v>
      </c>
      <c r="EY677" s="67">
        <v>5670.31</v>
      </c>
      <c r="EZ677" s="67" t="s">
        <v>5438</v>
      </c>
      <c r="FA677" s="67">
        <v>20115.019</v>
      </c>
      <c r="FB677" s="67" t="s">
        <v>5439</v>
      </c>
      <c r="FC677" s="67" t="s">
        <v>5440</v>
      </c>
      <c r="FD677" s="67" t="s">
        <v>5441</v>
      </c>
      <c r="FE677" s="68" t="s">
        <v>5442</v>
      </c>
      <c r="FF677" s="68" t="s">
        <v>5443</v>
      </c>
    </row>
    <row r="678" spans="151:162" x14ac:dyDescent="0.2">
      <c r="EU678" s="67">
        <v>565.4</v>
      </c>
      <c r="EV678" s="67" t="s">
        <v>5444</v>
      </c>
      <c r="EW678" s="67">
        <v>489.1</v>
      </c>
      <c r="EX678" s="67" t="s">
        <v>5445</v>
      </c>
      <c r="EY678" s="67">
        <v>5669.21</v>
      </c>
      <c r="EZ678" s="67" t="s">
        <v>5446</v>
      </c>
      <c r="FA678" s="67">
        <v>20103.094000000001</v>
      </c>
      <c r="FB678" s="67" t="s">
        <v>5447</v>
      </c>
      <c r="FC678" s="67" t="s">
        <v>5448</v>
      </c>
      <c r="FD678" s="67" t="s">
        <v>5449</v>
      </c>
      <c r="FE678" s="68" t="s">
        <v>5450</v>
      </c>
      <c r="FF678" s="68" t="s">
        <v>5451</v>
      </c>
    </row>
    <row r="679" spans="151:162" x14ac:dyDescent="0.2">
      <c r="EU679" s="67">
        <v>565.33699999999999</v>
      </c>
      <c r="EV679" s="67" t="s">
        <v>5452</v>
      </c>
      <c r="EW679" s="67">
        <v>489.23</v>
      </c>
      <c r="EX679" s="67" t="s">
        <v>5453</v>
      </c>
      <c r="EY679" s="67">
        <v>5669.43</v>
      </c>
      <c r="EZ679" s="67" t="s">
        <v>5454</v>
      </c>
      <c r="FA679" s="67">
        <v>20109.237000000001</v>
      </c>
      <c r="FB679" s="67" t="s">
        <v>5455</v>
      </c>
      <c r="FC679" s="67" t="s">
        <v>5456</v>
      </c>
      <c r="FD679" s="67" t="s">
        <v>5457</v>
      </c>
      <c r="FE679" s="68" t="s">
        <v>5458</v>
      </c>
      <c r="FF679" s="68" t="s">
        <v>5459</v>
      </c>
    </row>
    <row r="680" spans="151:162" x14ac:dyDescent="0.2">
      <c r="EU680" s="67">
        <v>564.86</v>
      </c>
      <c r="EV680" s="67" t="s">
        <v>5460</v>
      </c>
      <c r="EW680" s="67">
        <v>488.8</v>
      </c>
      <c r="EX680" s="67" t="s">
        <v>5461</v>
      </c>
      <c r="EY680" s="67">
        <v>5665.1</v>
      </c>
      <c r="EZ680" s="67" t="s">
        <v>5462</v>
      </c>
      <c r="FA680" s="67">
        <v>20090.281999999999</v>
      </c>
      <c r="FB680" s="67" t="s">
        <v>5463</v>
      </c>
      <c r="FC680" s="67" t="s">
        <v>5464</v>
      </c>
      <c r="FD680" s="67" t="s">
        <v>5465</v>
      </c>
      <c r="FE680" s="68" t="s">
        <v>5466</v>
      </c>
      <c r="FF680" s="68" t="s">
        <v>5467</v>
      </c>
    </row>
    <row r="681" spans="151:162" x14ac:dyDescent="0.2">
      <c r="EU681" s="67">
        <v>564.52</v>
      </c>
      <c r="EV681" s="67" t="s">
        <v>5468</v>
      </c>
      <c r="EW681" s="67">
        <v>488.3</v>
      </c>
      <c r="EX681" s="67" t="s">
        <v>5469</v>
      </c>
      <c r="EY681" s="67">
        <v>5661.1</v>
      </c>
      <c r="EZ681" s="67" t="s">
        <v>5470</v>
      </c>
      <c r="FA681" s="67">
        <v>20069.901000000002</v>
      </c>
      <c r="FB681" s="67" t="s">
        <v>5471</v>
      </c>
      <c r="FC681" s="67" t="s">
        <v>5472</v>
      </c>
      <c r="FD681" s="67" t="s">
        <v>5473</v>
      </c>
      <c r="FE681" s="68" t="s">
        <v>5474</v>
      </c>
      <c r="FF681" s="68" t="s">
        <v>5475</v>
      </c>
    </row>
    <row r="682" spans="151:162" x14ac:dyDescent="0.2">
      <c r="EU682" s="67">
        <v>564.04</v>
      </c>
      <c r="EV682" s="67" t="s">
        <v>5476</v>
      </c>
      <c r="EW682" s="67">
        <v>487.73</v>
      </c>
      <c r="EX682" s="67" t="s">
        <v>5477</v>
      </c>
      <c r="EY682" s="67">
        <v>5656.26</v>
      </c>
      <c r="EZ682" s="67" t="s">
        <v>5478</v>
      </c>
      <c r="FA682" s="67">
        <v>20048.945</v>
      </c>
      <c r="FB682" s="67" t="s">
        <v>5479</v>
      </c>
      <c r="FC682" s="67" t="s">
        <v>5480</v>
      </c>
      <c r="FD682" s="67" t="s">
        <v>5481</v>
      </c>
      <c r="FE682" s="68" t="s">
        <v>5482</v>
      </c>
      <c r="FF682" s="68" t="s">
        <v>5483</v>
      </c>
    </row>
    <row r="683" spans="151:162" x14ac:dyDescent="0.2">
      <c r="EU683" s="67">
        <v>564.11</v>
      </c>
      <c r="EV683" s="67" t="s">
        <v>5484</v>
      </c>
      <c r="EW683" s="67">
        <v>487.73</v>
      </c>
      <c r="EX683" s="67" t="s">
        <v>5485</v>
      </c>
      <c r="EY683" s="67">
        <v>5657.41</v>
      </c>
      <c r="EZ683" s="67" t="s">
        <v>5486</v>
      </c>
      <c r="FA683" s="67">
        <v>20046.177</v>
      </c>
      <c r="FB683" s="67" t="s">
        <v>5487</v>
      </c>
      <c r="FC683" s="67" t="s">
        <v>5488</v>
      </c>
      <c r="FD683" s="67" t="s">
        <v>5489</v>
      </c>
      <c r="FE683" s="68" t="s">
        <v>5490</v>
      </c>
      <c r="FF683" s="68" t="s">
        <v>5491</v>
      </c>
    </row>
    <row r="684" spans="151:162" x14ac:dyDescent="0.2">
      <c r="EU684" s="67">
        <v>564.42999999999995</v>
      </c>
      <c r="EV684" s="67" t="s">
        <v>5492</v>
      </c>
      <c r="EW684" s="67">
        <v>488.07</v>
      </c>
      <c r="EX684" s="67" t="s">
        <v>5493</v>
      </c>
      <c r="EY684" s="67">
        <v>5660.15</v>
      </c>
      <c r="EZ684" s="67" t="s">
        <v>5494</v>
      </c>
      <c r="FA684" s="67">
        <v>20060.527999999998</v>
      </c>
      <c r="FB684" s="67" t="s">
        <v>5495</v>
      </c>
      <c r="FC684" s="67" t="s">
        <v>5496</v>
      </c>
      <c r="FD684" s="67" t="s">
        <v>5497</v>
      </c>
      <c r="FE684" s="68" t="s">
        <v>5498</v>
      </c>
      <c r="FF684" s="68" t="s">
        <v>5499</v>
      </c>
    </row>
    <row r="685" spans="151:162" x14ac:dyDescent="0.2">
      <c r="EU685" s="67">
        <v>564.54</v>
      </c>
      <c r="EV685" s="67" t="s">
        <v>5500</v>
      </c>
      <c r="EW685" s="67">
        <v>488.04</v>
      </c>
      <c r="EX685" s="67" t="s">
        <v>5501</v>
      </c>
      <c r="EY685" s="67">
        <v>5661.55</v>
      </c>
      <c r="EZ685" s="67" t="s">
        <v>5502</v>
      </c>
      <c r="FA685" s="67">
        <v>20061.775000000001</v>
      </c>
      <c r="FB685" s="67" t="s">
        <v>5503</v>
      </c>
      <c r="FC685" s="67" t="s">
        <v>5504</v>
      </c>
      <c r="FD685" s="67" t="s">
        <v>5505</v>
      </c>
      <c r="FE685" s="68" t="s">
        <v>5506</v>
      </c>
      <c r="FF685" s="68" t="s">
        <v>5507</v>
      </c>
    </row>
    <row r="686" spans="151:162" x14ac:dyDescent="0.2">
      <c r="EU686" s="67">
        <v>564.59</v>
      </c>
      <c r="EV686" s="67" t="s">
        <v>5508</v>
      </c>
      <c r="EW686" s="67">
        <v>488.31</v>
      </c>
      <c r="EX686" s="67" t="s">
        <v>5509</v>
      </c>
      <c r="EY686" s="67">
        <v>5662.25</v>
      </c>
      <c r="EZ686" s="67" t="s">
        <v>5510</v>
      </c>
      <c r="FA686" s="67">
        <v>20071.491999999998</v>
      </c>
      <c r="FB686" s="67" t="s">
        <v>5511</v>
      </c>
      <c r="FC686" s="67" t="s">
        <v>5512</v>
      </c>
      <c r="FD686" s="67" t="s">
        <v>5513</v>
      </c>
      <c r="FE686" s="68" t="s">
        <v>5514</v>
      </c>
      <c r="FF686" s="68" t="s">
        <v>5515</v>
      </c>
    </row>
    <row r="687" spans="151:162" x14ac:dyDescent="0.2">
      <c r="EU687" s="67">
        <v>564.54999999999995</v>
      </c>
      <c r="EV687" s="67" t="s">
        <v>5516</v>
      </c>
      <c r="EW687" s="67">
        <v>488.22</v>
      </c>
      <c r="EX687" s="67" t="s">
        <v>5517</v>
      </c>
      <c r="EY687" s="67">
        <v>5661.88</v>
      </c>
      <c r="EZ687" s="67" t="s">
        <v>5518</v>
      </c>
      <c r="FA687" s="67">
        <v>20068.222000000002</v>
      </c>
      <c r="FB687" s="67" t="s">
        <v>5519</v>
      </c>
      <c r="FC687" s="67" t="s">
        <v>5520</v>
      </c>
      <c r="FD687" s="67" t="s">
        <v>5521</v>
      </c>
      <c r="FE687" s="68" t="s">
        <v>5522</v>
      </c>
      <c r="FF687" s="68" t="s">
        <v>5523</v>
      </c>
    </row>
    <row r="688" spans="151:162" x14ac:dyDescent="0.2">
      <c r="EU688" s="67">
        <v>564.1</v>
      </c>
      <c r="EV688" s="67" t="s">
        <v>5524</v>
      </c>
      <c r="EW688" s="67">
        <v>487.78</v>
      </c>
      <c r="EX688" s="67" t="s">
        <v>5525</v>
      </c>
      <c r="EY688" s="67">
        <v>5657.68</v>
      </c>
      <c r="EZ688" s="67" t="s">
        <v>5526</v>
      </c>
      <c r="FA688" s="67">
        <v>20051.253000000001</v>
      </c>
      <c r="FB688" s="67" t="s">
        <v>5527</v>
      </c>
      <c r="FC688" s="67" t="s">
        <v>5528</v>
      </c>
      <c r="FD688" s="67" t="s">
        <v>5529</v>
      </c>
      <c r="FE688" s="68" t="s">
        <v>5530</v>
      </c>
      <c r="FF688" s="68" t="s">
        <v>5531</v>
      </c>
    </row>
    <row r="689" spans="151:162" x14ac:dyDescent="0.2">
      <c r="EU689" s="67">
        <v>563.66499999999996</v>
      </c>
      <c r="EV689" s="67" t="s">
        <v>5532</v>
      </c>
      <c r="EW689" s="67">
        <v>487.12</v>
      </c>
      <c r="EX689" s="67" t="s">
        <v>5533</v>
      </c>
      <c r="EY689" s="67">
        <v>5652.34</v>
      </c>
      <c r="EZ689" s="67" t="s">
        <v>5534</v>
      </c>
      <c r="FA689" s="67">
        <v>20022.415000000001</v>
      </c>
      <c r="FB689" s="67" t="s">
        <v>5535</v>
      </c>
      <c r="FC689" s="67" t="s">
        <v>5536</v>
      </c>
      <c r="FD689" s="67" t="s">
        <v>5537</v>
      </c>
      <c r="FE689" s="68" t="s">
        <v>5538</v>
      </c>
      <c r="FF689" s="68" t="s">
        <v>5539</v>
      </c>
    </row>
    <row r="690" spans="151:162" x14ac:dyDescent="0.2">
      <c r="EU690" s="67">
        <v>563.44000000000005</v>
      </c>
      <c r="EV690" s="67" t="s">
        <v>5540</v>
      </c>
      <c r="EW690" s="67">
        <v>487.02</v>
      </c>
      <c r="EX690" s="67" t="s">
        <v>5541</v>
      </c>
      <c r="EY690" s="67">
        <v>5649.54</v>
      </c>
      <c r="EZ690" s="67" t="s">
        <v>5542</v>
      </c>
      <c r="FA690" s="67">
        <v>20011.715</v>
      </c>
      <c r="FB690" s="67" t="s">
        <v>5543</v>
      </c>
      <c r="FC690" s="67" t="s">
        <v>5544</v>
      </c>
      <c r="FD690" s="67" t="s">
        <v>5545</v>
      </c>
      <c r="FE690" s="68" t="s">
        <v>5546</v>
      </c>
      <c r="FF690" s="68" t="s">
        <v>5547</v>
      </c>
    </row>
    <row r="691" spans="151:162" x14ac:dyDescent="0.2">
      <c r="EU691" s="67">
        <v>563.32000000000005</v>
      </c>
      <c r="EV691" s="67" t="s">
        <v>5548</v>
      </c>
      <c r="EW691" s="67">
        <v>486.85</v>
      </c>
      <c r="EX691" s="67" t="s">
        <v>5549</v>
      </c>
      <c r="EY691" s="67">
        <v>5648.56</v>
      </c>
      <c r="EZ691" s="67" t="s">
        <v>5550</v>
      </c>
      <c r="FA691" s="67">
        <v>20009.438999999998</v>
      </c>
      <c r="FB691" s="67" t="s">
        <v>5551</v>
      </c>
      <c r="FC691" s="67" t="s">
        <v>5552</v>
      </c>
      <c r="FD691" s="67" t="s">
        <v>5553</v>
      </c>
      <c r="FE691" s="68" t="s">
        <v>5554</v>
      </c>
      <c r="FF691" s="68" t="s">
        <v>5555</v>
      </c>
    </row>
    <row r="692" spans="151:162" x14ac:dyDescent="0.2">
      <c r="EU692" s="67">
        <v>562.91999999999996</v>
      </c>
      <c r="EV692" s="67" t="s">
        <v>5556</v>
      </c>
      <c r="EW692" s="67">
        <v>486.3</v>
      </c>
      <c r="EX692" s="67" t="s">
        <v>5557</v>
      </c>
      <c r="EY692" s="67">
        <v>5645.16</v>
      </c>
      <c r="EZ692" s="67" t="s">
        <v>5558</v>
      </c>
      <c r="FA692" s="67">
        <v>19990.368999999999</v>
      </c>
      <c r="FB692" s="67" t="s">
        <v>5559</v>
      </c>
      <c r="FC692" s="67" t="s">
        <v>5560</v>
      </c>
      <c r="FD692" s="67" t="s">
        <v>5561</v>
      </c>
      <c r="FE692" s="68" t="s">
        <v>5562</v>
      </c>
      <c r="FF692" s="68" t="s">
        <v>5563</v>
      </c>
    </row>
    <row r="693" spans="151:162" x14ac:dyDescent="0.2">
      <c r="EU693" s="67">
        <v>563.17999999999995</v>
      </c>
      <c r="EV693" s="67" t="s">
        <v>5564</v>
      </c>
      <c r="EW693" s="67">
        <v>486.6</v>
      </c>
      <c r="EX693" s="67" t="s">
        <v>5565</v>
      </c>
      <c r="EY693" s="67">
        <v>5648.38</v>
      </c>
      <c r="EZ693" s="67" t="s">
        <v>5566</v>
      </c>
      <c r="FA693" s="67">
        <v>19998.607</v>
      </c>
      <c r="FB693" s="67" t="s">
        <v>5567</v>
      </c>
      <c r="FC693" s="67" t="s">
        <v>5568</v>
      </c>
      <c r="FD693" s="67" t="s">
        <v>5569</v>
      </c>
      <c r="FE693" s="68" t="s">
        <v>5570</v>
      </c>
      <c r="FF693" s="68" t="s">
        <v>5571</v>
      </c>
    </row>
    <row r="694" spans="151:162" x14ac:dyDescent="0.2">
      <c r="EU694" s="67">
        <v>563.41999999999996</v>
      </c>
      <c r="EV694" s="67" t="s">
        <v>5572</v>
      </c>
      <c r="EW694" s="67">
        <v>486.7</v>
      </c>
      <c r="EX694" s="67" t="s">
        <v>5573</v>
      </c>
      <c r="EY694" s="67">
        <v>5649.59</v>
      </c>
      <c r="EZ694" s="67" t="s">
        <v>5574</v>
      </c>
      <c r="FA694" s="67">
        <v>20004.367999999999</v>
      </c>
      <c r="FB694" s="67" t="s">
        <v>5575</v>
      </c>
      <c r="FC694" s="67" t="s">
        <v>5576</v>
      </c>
      <c r="FD694" s="67" t="s">
        <v>5577</v>
      </c>
      <c r="FE694" s="68" t="s">
        <v>5578</v>
      </c>
      <c r="FF694" s="68" t="s">
        <v>5579</v>
      </c>
    </row>
    <row r="695" spans="151:162" x14ac:dyDescent="0.2">
      <c r="EU695" s="67">
        <v>563.21500000000003</v>
      </c>
      <c r="EV695" s="67" t="s">
        <v>5580</v>
      </c>
      <c r="EW695" s="67">
        <v>486.55</v>
      </c>
      <c r="EX695" s="67" t="s">
        <v>5581</v>
      </c>
      <c r="EY695" s="67">
        <v>5647.8</v>
      </c>
      <c r="EZ695" s="67" t="s">
        <v>5582</v>
      </c>
      <c r="FA695" s="67">
        <v>20000.25</v>
      </c>
      <c r="FB695" s="67" t="s">
        <v>5583</v>
      </c>
      <c r="FC695" s="67" t="s">
        <v>5584</v>
      </c>
      <c r="FD695" s="67" t="s">
        <v>5585</v>
      </c>
      <c r="FE695" s="68" t="s">
        <v>5586</v>
      </c>
      <c r="FF695" s="68" t="s">
        <v>5587</v>
      </c>
    </row>
    <row r="696" spans="151:162" x14ac:dyDescent="0.2">
      <c r="EU696" s="67">
        <v>563.79999999999995</v>
      </c>
      <c r="EV696" s="67" t="s">
        <v>5588</v>
      </c>
      <c r="EW696" s="67">
        <v>487.09</v>
      </c>
      <c r="EX696" s="67" t="s">
        <v>5589</v>
      </c>
      <c r="EY696" s="67">
        <v>5654.65</v>
      </c>
      <c r="EZ696" s="67" t="s">
        <v>5590</v>
      </c>
      <c r="FA696" s="67">
        <v>20019.085999999999</v>
      </c>
      <c r="FB696" s="67" t="s">
        <v>5591</v>
      </c>
      <c r="FC696" s="67" t="s">
        <v>5592</v>
      </c>
      <c r="FD696" s="67" t="s">
        <v>5593</v>
      </c>
      <c r="FE696" s="68" t="s">
        <v>5594</v>
      </c>
      <c r="FF696" s="68" t="s">
        <v>5595</v>
      </c>
    </row>
    <row r="697" spans="151:162" x14ac:dyDescent="0.2">
      <c r="EU697" s="67">
        <v>563.75</v>
      </c>
      <c r="EV697" s="67" t="s">
        <v>5596</v>
      </c>
      <c r="EW697" s="67">
        <v>486.88400000000001</v>
      </c>
      <c r="EX697" s="67" t="s">
        <v>5597</v>
      </c>
      <c r="EY697" s="67">
        <v>5652.7</v>
      </c>
      <c r="EZ697" s="67" t="s">
        <v>5598</v>
      </c>
      <c r="FA697" s="67">
        <v>20010.694</v>
      </c>
      <c r="FB697" s="67" t="s">
        <v>5599</v>
      </c>
      <c r="FC697" s="67" t="s">
        <v>5600</v>
      </c>
      <c r="FD697" s="67" t="s">
        <v>5601</v>
      </c>
      <c r="FE697" s="68" t="s">
        <v>5602</v>
      </c>
      <c r="FF697" s="68" t="s">
        <v>5603</v>
      </c>
    </row>
    <row r="698" spans="151:162" x14ac:dyDescent="0.2">
      <c r="EU698" s="67">
        <v>564.1</v>
      </c>
      <c r="EV698" s="67" t="s">
        <v>5604</v>
      </c>
      <c r="EW698" s="67">
        <v>487.375</v>
      </c>
      <c r="EX698" s="67" t="s">
        <v>5605</v>
      </c>
      <c r="EY698" s="67">
        <v>5657.07</v>
      </c>
      <c r="EZ698" s="67" t="s">
        <v>5606</v>
      </c>
      <c r="FA698" s="67">
        <v>20029.829000000002</v>
      </c>
      <c r="FB698" s="67" t="s">
        <v>5607</v>
      </c>
      <c r="FC698" s="67" t="s">
        <v>5608</v>
      </c>
      <c r="FD698" s="67" t="s">
        <v>5609</v>
      </c>
      <c r="FE698" s="68" t="s">
        <v>5610</v>
      </c>
      <c r="FF698" s="68" t="s">
        <v>5611</v>
      </c>
    </row>
    <row r="699" spans="151:162" x14ac:dyDescent="0.2">
      <c r="EU699" s="67">
        <v>563.99</v>
      </c>
      <c r="EV699" s="67" t="s">
        <v>5612</v>
      </c>
      <c r="EW699" s="67">
        <v>487.34</v>
      </c>
      <c r="EX699" s="67" t="s">
        <v>5613</v>
      </c>
      <c r="EY699" s="67">
        <v>5656.6</v>
      </c>
      <c r="EZ699" s="67" t="s">
        <v>5614</v>
      </c>
      <c r="FA699" s="67">
        <v>20031.092000000001</v>
      </c>
      <c r="FB699" s="67" t="s">
        <v>5615</v>
      </c>
      <c r="FC699" s="67" t="s">
        <v>5616</v>
      </c>
      <c r="FD699" s="67" t="s">
        <v>5617</v>
      </c>
      <c r="FE699" s="68" t="s">
        <v>5618</v>
      </c>
      <c r="FF699" s="68" t="s">
        <v>5619</v>
      </c>
    </row>
    <row r="700" spans="151:162" x14ac:dyDescent="0.2">
      <c r="EU700" s="67">
        <v>563.88099999999997</v>
      </c>
      <c r="EV700" s="67" t="s">
        <v>5620</v>
      </c>
      <c r="EW700" s="67">
        <v>487.315</v>
      </c>
      <c r="EX700" s="67" t="s">
        <v>5621</v>
      </c>
      <c r="EY700" s="67">
        <v>5655.37</v>
      </c>
      <c r="EZ700" s="67" t="s">
        <v>5622</v>
      </c>
      <c r="FA700" s="67">
        <v>20028.298999999999</v>
      </c>
      <c r="FB700" s="67" t="s">
        <v>5623</v>
      </c>
      <c r="FC700" s="67" t="s">
        <v>5624</v>
      </c>
      <c r="FD700" s="67" t="s">
        <v>5625</v>
      </c>
      <c r="FE700" s="68" t="s">
        <v>5626</v>
      </c>
      <c r="FF700" s="68" t="s">
        <v>5627</v>
      </c>
    </row>
    <row r="701" spans="151:162" x14ac:dyDescent="0.2">
      <c r="EU701" s="67">
        <v>564.23500000000001</v>
      </c>
      <c r="EV701" s="67" t="s">
        <v>5628</v>
      </c>
      <c r="EW701" s="67">
        <v>487.78</v>
      </c>
      <c r="EX701" s="67" t="s">
        <v>5629</v>
      </c>
      <c r="EY701" s="67">
        <v>5658.27</v>
      </c>
      <c r="EZ701" s="67" t="s">
        <v>5630</v>
      </c>
      <c r="FA701" s="67">
        <v>20043.807000000001</v>
      </c>
      <c r="FB701" s="67" t="s">
        <v>5631</v>
      </c>
      <c r="FC701" s="67" t="s">
        <v>5632</v>
      </c>
      <c r="FD701" s="67" t="s">
        <v>5633</v>
      </c>
      <c r="FE701" s="68" t="s">
        <v>5634</v>
      </c>
      <c r="FF701" s="68" t="s">
        <v>5635</v>
      </c>
    </row>
    <row r="702" spans="151:162" x14ac:dyDescent="0.2">
      <c r="EU702" s="67">
        <v>564.29999999999995</v>
      </c>
      <c r="EV702" s="67" t="s">
        <v>5636</v>
      </c>
      <c r="EW702" s="67">
        <v>487.84</v>
      </c>
      <c r="EX702" s="67" t="s">
        <v>5637</v>
      </c>
      <c r="EY702" s="67">
        <v>5658.81</v>
      </c>
      <c r="EZ702" s="67" t="s">
        <v>5638</v>
      </c>
      <c r="FA702" s="67">
        <v>20048.116999999998</v>
      </c>
      <c r="FB702" s="67" t="s">
        <v>5639</v>
      </c>
      <c r="FC702" s="67" t="s">
        <v>5640</v>
      </c>
      <c r="FD702" s="67" t="s">
        <v>5641</v>
      </c>
      <c r="FE702" s="68" t="s">
        <v>5642</v>
      </c>
      <c r="FF702" s="68" t="s">
        <v>5643</v>
      </c>
    </row>
    <row r="703" spans="151:162" x14ac:dyDescent="0.2">
      <c r="EU703" s="67">
        <v>564.63800000000003</v>
      </c>
      <c r="EV703" s="67" t="s">
        <v>5644</v>
      </c>
      <c r="EW703" s="67">
        <v>488.14400000000001</v>
      </c>
      <c r="EX703" s="67" t="s">
        <v>5645</v>
      </c>
      <c r="EY703" s="67">
        <v>5662.03</v>
      </c>
      <c r="EZ703" s="67" t="s">
        <v>5646</v>
      </c>
      <c r="FA703" s="67">
        <v>20062.937999999998</v>
      </c>
      <c r="FB703" s="67" t="s">
        <v>5647</v>
      </c>
      <c r="FC703" s="67" t="s">
        <v>5648</v>
      </c>
      <c r="FD703" s="67" t="s">
        <v>5649</v>
      </c>
      <c r="FE703" s="68" t="s">
        <v>5650</v>
      </c>
      <c r="FF703" s="68" t="s">
        <v>5651</v>
      </c>
    </row>
    <row r="704" spans="151:162" x14ac:dyDescent="0.2">
      <c r="EU704" s="67">
        <v>564.45000000000005</v>
      </c>
      <c r="EV704" s="67" t="s">
        <v>5652</v>
      </c>
      <c r="EW704" s="67">
        <v>487.96</v>
      </c>
      <c r="EX704" s="67" t="s">
        <v>5653</v>
      </c>
      <c r="EY704" s="67">
        <v>5660.9</v>
      </c>
      <c r="EZ704" s="67" t="s">
        <v>5654</v>
      </c>
      <c r="FA704" s="67">
        <v>20056.066999999999</v>
      </c>
      <c r="FB704" s="67" t="s">
        <v>5655</v>
      </c>
      <c r="FC704" s="67" t="s">
        <v>5656</v>
      </c>
      <c r="FD704" s="67" t="s">
        <v>5657</v>
      </c>
      <c r="FE704" s="68" t="s">
        <v>5658</v>
      </c>
      <c r="FF704" s="68" t="s">
        <v>5659</v>
      </c>
    </row>
    <row r="705" spans="151:162" x14ac:dyDescent="0.2">
      <c r="EU705" s="67">
        <v>563.91</v>
      </c>
      <c r="EV705" s="67" t="s">
        <v>5660</v>
      </c>
      <c r="EW705" s="67">
        <v>487.48</v>
      </c>
      <c r="EX705" s="67" t="s">
        <v>5661</v>
      </c>
      <c r="EY705" s="67">
        <v>5655.56</v>
      </c>
      <c r="EZ705" s="67" t="s">
        <v>5662</v>
      </c>
      <c r="FA705" s="67">
        <v>20036.401999999998</v>
      </c>
      <c r="FB705" s="67" t="s">
        <v>5663</v>
      </c>
      <c r="FC705" s="67" t="s">
        <v>5664</v>
      </c>
      <c r="FD705" s="67" t="s">
        <v>5665</v>
      </c>
      <c r="FE705" s="68" t="s">
        <v>5666</v>
      </c>
      <c r="FF705" s="68" t="s">
        <v>5667</v>
      </c>
    </row>
    <row r="706" spans="151:162" x14ac:dyDescent="0.2">
      <c r="EU706" s="67">
        <v>564.15</v>
      </c>
      <c r="EV706" s="67" t="s">
        <v>5668</v>
      </c>
      <c r="EW706" s="67">
        <v>487.68900000000002</v>
      </c>
      <c r="EX706" s="67" t="s">
        <v>5669</v>
      </c>
      <c r="EY706" s="67">
        <v>5657.19</v>
      </c>
      <c r="EZ706" s="67" t="s">
        <v>5670</v>
      </c>
      <c r="FA706" s="67">
        <v>20040.937999999998</v>
      </c>
      <c r="FB706" s="67" t="s">
        <v>5671</v>
      </c>
      <c r="FC706" s="67" t="s">
        <v>5672</v>
      </c>
      <c r="FD706" s="67" t="s">
        <v>5673</v>
      </c>
      <c r="FE706" s="68" t="s">
        <v>5674</v>
      </c>
      <c r="FF706" s="68" t="s">
        <v>5675</v>
      </c>
    </row>
    <row r="707" spans="151:162" x14ac:dyDescent="0.2">
      <c r="EU707" s="67">
        <v>564.07000000000005</v>
      </c>
      <c r="EV707" s="67" t="s">
        <v>5676</v>
      </c>
      <c r="EW707" s="67">
        <v>487.57</v>
      </c>
      <c r="EX707" s="67" t="s">
        <v>5677</v>
      </c>
      <c r="EY707" s="67">
        <v>5657.04</v>
      </c>
      <c r="EZ707" s="67" t="s">
        <v>5678</v>
      </c>
      <c r="FA707" s="67">
        <v>20038.866000000002</v>
      </c>
      <c r="FB707" s="67" t="s">
        <v>5679</v>
      </c>
      <c r="FC707" s="67" t="s">
        <v>5680</v>
      </c>
      <c r="FD707" s="67" t="s">
        <v>5681</v>
      </c>
      <c r="FE707" s="68" t="s">
        <v>5682</v>
      </c>
      <c r="FF707" s="68" t="s">
        <v>5683</v>
      </c>
    </row>
    <row r="708" spans="151:162" x14ac:dyDescent="0.2">
      <c r="EU708" s="67">
        <v>564.37</v>
      </c>
      <c r="EV708" s="67" t="s">
        <v>5684</v>
      </c>
      <c r="EW708" s="67">
        <v>487.96</v>
      </c>
      <c r="EX708" s="67" t="s">
        <v>5685</v>
      </c>
      <c r="EY708" s="67">
        <v>5660.01</v>
      </c>
      <c r="EZ708" s="67" t="s">
        <v>5686</v>
      </c>
      <c r="FA708" s="67">
        <v>20052.626</v>
      </c>
      <c r="FB708" s="67" t="s">
        <v>5687</v>
      </c>
      <c r="FC708" s="67" t="s">
        <v>5688</v>
      </c>
      <c r="FD708" s="67" t="s">
        <v>5689</v>
      </c>
      <c r="FE708" s="68" t="s">
        <v>5690</v>
      </c>
      <c r="FF708" s="68" t="s">
        <v>5691</v>
      </c>
    </row>
    <row r="709" spans="151:162" x14ac:dyDescent="0.2">
      <c r="EU709" s="67">
        <v>564.58000000000004</v>
      </c>
      <c r="EV709" s="67" t="s">
        <v>5692</v>
      </c>
      <c r="EW709" s="67">
        <v>488.13</v>
      </c>
      <c r="EX709" s="67" t="s">
        <v>5693</v>
      </c>
      <c r="EY709" s="67">
        <v>5661.91</v>
      </c>
      <c r="EZ709" s="67" t="s">
        <v>5694</v>
      </c>
      <c r="FA709" s="67">
        <v>20059.441999999999</v>
      </c>
      <c r="FB709" s="67" t="s">
        <v>5695</v>
      </c>
      <c r="FC709" s="67" t="s">
        <v>5696</v>
      </c>
      <c r="FD709" s="67" t="s">
        <v>5697</v>
      </c>
      <c r="FE709" s="68" t="s">
        <v>5698</v>
      </c>
      <c r="FF709" s="68" t="s">
        <v>5699</v>
      </c>
    </row>
    <row r="710" spans="151:162" x14ac:dyDescent="0.2">
      <c r="EU710" s="67">
        <v>564.67999999999995</v>
      </c>
      <c r="EV710" s="67" t="s">
        <v>5700</v>
      </c>
      <c r="EW710" s="67">
        <v>488.2</v>
      </c>
      <c r="EX710" s="67" t="s">
        <v>5701</v>
      </c>
      <c r="EY710" s="67">
        <v>5663.05</v>
      </c>
      <c r="EZ710" s="67" t="s">
        <v>5702</v>
      </c>
      <c r="FA710" s="67">
        <v>20066.213</v>
      </c>
      <c r="FB710" s="67" t="s">
        <v>5703</v>
      </c>
      <c r="FC710" s="67" t="s">
        <v>5704</v>
      </c>
      <c r="FD710" s="67" t="s">
        <v>5705</v>
      </c>
      <c r="FE710" s="68" t="s">
        <v>5706</v>
      </c>
      <c r="FF710" s="68" t="s">
        <v>5707</v>
      </c>
    </row>
    <row r="711" spans="151:162" x14ac:dyDescent="0.2">
      <c r="EU711" s="67">
        <v>564.4</v>
      </c>
      <c r="EV711" s="67" t="s">
        <v>5708</v>
      </c>
      <c r="EW711" s="67">
        <v>488</v>
      </c>
      <c r="EX711" s="67" t="s">
        <v>5709</v>
      </c>
      <c r="EY711" s="67">
        <v>5660.04</v>
      </c>
      <c r="EZ711" s="67" t="s">
        <v>5710</v>
      </c>
      <c r="FA711" s="67">
        <v>20056.534</v>
      </c>
      <c r="FB711" s="67" t="s">
        <v>5711</v>
      </c>
      <c r="FC711" s="67" t="s">
        <v>5712</v>
      </c>
      <c r="FD711" s="67" t="s">
        <v>5713</v>
      </c>
      <c r="FE711" s="68" t="s">
        <v>5714</v>
      </c>
      <c r="FF711" s="68" t="s">
        <v>5715</v>
      </c>
    </row>
    <row r="712" spans="151:162" x14ac:dyDescent="0.2">
      <c r="EU712" s="67">
        <v>564.66</v>
      </c>
      <c r="EV712" s="67" t="s">
        <v>5716</v>
      </c>
      <c r="EW712" s="67">
        <v>488.24099999999999</v>
      </c>
      <c r="EX712" s="67" t="s">
        <v>5717</v>
      </c>
      <c r="EY712" s="67">
        <v>5662.5</v>
      </c>
      <c r="EZ712" s="67" t="s">
        <v>5718</v>
      </c>
      <c r="FA712" s="67">
        <v>20064.562999999998</v>
      </c>
      <c r="FB712" s="67" t="s">
        <v>5719</v>
      </c>
      <c r="FC712" s="67" t="s">
        <v>5720</v>
      </c>
      <c r="FD712" s="67" t="s">
        <v>5721</v>
      </c>
      <c r="FE712" s="68" t="s">
        <v>5722</v>
      </c>
      <c r="FF712" s="68" t="s">
        <v>5723</v>
      </c>
    </row>
    <row r="713" spans="151:162" x14ac:dyDescent="0.2">
      <c r="EU713" s="67">
        <v>564.76499999999999</v>
      </c>
      <c r="EV713" s="67" t="s">
        <v>5724</v>
      </c>
      <c r="EW713" s="67">
        <v>488.37</v>
      </c>
      <c r="EX713" s="67" t="s">
        <v>5725</v>
      </c>
      <c r="EY713" s="67">
        <v>5663.47</v>
      </c>
      <c r="EZ713" s="67" t="s">
        <v>5726</v>
      </c>
      <c r="FA713" s="67">
        <v>20068.053</v>
      </c>
      <c r="FB713" s="67" t="s">
        <v>5727</v>
      </c>
      <c r="FC713" s="67" t="s">
        <v>5728</v>
      </c>
      <c r="FD713" s="67" t="s">
        <v>5729</v>
      </c>
      <c r="FE713" s="68" t="s">
        <v>5730</v>
      </c>
      <c r="FF713" s="68" t="s">
        <v>5731</v>
      </c>
    </row>
    <row r="714" spans="151:162" x14ac:dyDescent="0.2">
      <c r="EU714" s="67">
        <v>564.79</v>
      </c>
      <c r="EV714" s="67" t="s">
        <v>5732</v>
      </c>
      <c r="EW714" s="67">
        <v>488.36</v>
      </c>
      <c r="EX714" s="67" t="s">
        <v>5733</v>
      </c>
      <c r="EY714" s="67">
        <v>5663.84</v>
      </c>
      <c r="EZ714" s="67" t="s">
        <v>5734</v>
      </c>
      <c r="FA714" s="67">
        <v>20070.561000000002</v>
      </c>
      <c r="FB714" s="67" t="s">
        <v>5735</v>
      </c>
      <c r="FC714" s="67" t="s">
        <v>5736</v>
      </c>
      <c r="FD714" s="67" t="s">
        <v>5737</v>
      </c>
      <c r="FE714" s="68" t="s">
        <v>5738</v>
      </c>
      <c r="FF714" s="68" t="s">
        <v>5739</v>
      </c>
    </row>
    <row r="715" spans="151:162" x14ac:dyDescent="0.2">
      <c r="EU715" s="67">
        <v>565.07000000000005</v>
      </c>
      <c r="EV715" s="67" t="s">
        <v>5740</v>
      </c>
      <c r="EW715" s="67">
        <v>488.65800000000002</v>
      </c>
      <c r="EX715" s="67" t="s">
        <v>5741</v>
      </c>
      <c r="EY715" s="67">
        <v>5666.6</v>
      </c>
      <c r="EZ715" s="67" t="s">
        <v>5742</v>
      </c>
      <c r="FA715" s="67">
        <v>20082.238000000001</v>
      </c>
      <c r="FB715" s="67" t="s">
        <v>5743</v>
      </c>
      <c r="FC715" s="67" t="s">
        <v>5744</v>
      </c>
      <c r="FD715" s="67" t="s">
        <v>5745</v>
      </c>
      <c r="FE715" s="68" t="s">
        <v>5746</v>
      </c>
      <c r="FF715" s="68" t="s">
        <v>5747</v>
      </c>
    </row>
    <row r="716" spans="151:162" x14ac:dyDescent="0.2">
      <c r="EU716" s="67">
        <v>565.09</v>
      </c>
      <c r="EV716" s="67" t="s">
        <v>5748</v>
      </c>
      <c r="EW716" s="67">
        <v>488.69</v>
      </c>
      <c r="EX716" s="67" t="s">
        <v>5749</v>
      </c>
      <c r="EY716" s="67">
        <v>5667.42</v>
      </c>
      <c r="EZ716" s="67" t="s">
        <v>5750</v>
      </c>
      <c r="FA716" s="67">
        <v>20085.983</v>
      </c>
      <c r="FB716" s="67" t="s">
        <v>5751</v>
      </c>
      <c r="FC716" s="67" t="s">
        <v>5752</v>
      </c>
      <c r="FD716" s="67" t="s">
        <v>5753</v>
      </c>
      <c r="FE716" s="68" t="s">
        <v>5754</v>
      </c>
      <c r="FF716" s="68" t="s">
        <v>5755</v>
      </c>
    </row>
    <row r="717" spans="151:162" x14ac:dyDescent="0.2">
      <c r="EU717" s="67">
        <v>565.12</v>
      </c>
      <c r="EV717" s="67" t="s">
        <v>5756</v>
      </c>
      <c r="EW717" s="67">
        <v>488.77</v>
      </c>
      <c r="EX717" s="67" t="s">
        <v>5757</v>
      </c>
      <c r="EY717" s="67">
        <v>5667.49</v>
      </c>
      <c r="EZ717" s="67" t="s">
        <v>5758</v>
      </c>
      <c r="FA717" s="67">
        <v>20089.031999999999</v>
      </c>
      <c r="FB717" s="67" t="s">
        <v>5759</v>
      </c>
      <c r="FC717" s="67" t="s">
        <v>5760</v>
      </c>
      <c r="FD717" s="67" t="s">
        <v>5761</v>
      </c>
      <c r="FE717" s="68" t="s">
        <v>5762</v>
      </c>
      <c r="FF717" s="68" t="s">
        <v>5763</v>
      </c>
    </row>
    <row r="718" spans="151:162" x14ac:dyDescent="0.2">
      <c r="EU718" s="67">
        <v>565.16999999999996</v>
      </c>
      <c r="EV718" s="67" t="s">
        <v>5764</v>
      </c>
      <c r="EW718" s="67">
        <v>488.88499999999999</v>
      </c>
      <c r="EX718" s="67" t="s">
        <v>5765</v>
      </c>
      <c r="EY718" s="67">
        <v>5668.05</v>
      </c>
      <c r="EZ718" s="67" t="s">
        <v>5766</v>
      </c>
      <c r="FA718" s="67">
        <v>20093.899000000001</v>
      </c>
      <c r="FB718" s="67" t="s">
        <v>5767</v>
      </c>
      <c r="FC718" s="67" t="s">
        <v>5768</v>
      </c>
      <c r="FD718" s="67" t="s">
        <v>5769</v>
      </c>
      <c r="FE718" s="68" t="s">
        <v>5770</v>
      </c>
      <c r="FF718" s="68" t="s">
        <v>5771</v>
      </c>
    </row>
    <row r="719" spans="151:162" x14ac:dyDescent="0.2">
      <c r="EU719" s="67">
        <v>565.22</v>
      </c>
      <c r="EV719" s="67" t="s">
        <v>5772</v>
      </c>
      <c r="EW719" s="67">
        <v>488.95</v>
      </c>
      <c r="EX719" s="67" t="s">
        <v>5773</v>
      </c>
      <c r="EY719" s="67">
        <v>5668.71</v>
      </c>
      <c r="EZ719" s="67" t="s">
        <v>5774</v>
      </c>
      <c r="FA719" s="67">
        <v>20099.214</v>
      </c>
      <c r="FB719" s="67" t="s">
        <v>5775</v>
      </c>
      <c r="FC719" s="67" t="s">
        <v>5776</v>
      </c>
      <c r="FD719" s="67" t="s">
        <v>5777</v>
      </c>
      <c r="FE719" s="68" t="s">
        <v>5778</v>
      </c>
      <c r="FF719" s="68" t="s">
        <v>5779</v>
      </c>
    </row>
    <row r="720" spans="151:162" x14ac:dyDescent="0.2">
      <c r="EU720" s="67">
        <v>565.20399999999995</v>
      </c>
      <c r="EV720" s="67" t="s">
        <v>5780</v>
      </c>
      <c r="EW720" s="67">
        <v>488.92</v>
      </c>
      <c r="EX720" s="67" t="s">
        <v>5781</v>
      </c>
      <c r="EY720" s="67">
        <v>5668.7</v>
      </c>
      <c r="EZ720" s="67" t="s">
        <v>5782</v>
      </c>
      <c r="FA720" s="67">
        <v>20096.489000000001</v>
      </c>
      <c r="FB720" s="67" t="s">
        <v>5783</v>
      </c>
      <c r="FC720" s="67" t="s">
        <v>5784</v>
      </c>
      <c r="FD720" s="67" t="s">
        <v>5785</v>
      </c>
      <c r="FE720" s="68" t="s">
        <v>5786</v>
      </c>
      <c r="FF720" s="68" t="s">
        <v>5787</v>
      </c>
    </row>
    <row r="721" spans="151:162" x14ac:dyDescent="0.2">
      <c r="EU721" s="67">
        <v>565.03</v>
      </c>
      <c r="EV721" s="67" t="s">
        <v>5788</v>
      </c>
      <c r="EW721" s="67">
        <v>488.77</v>
      </c>
      <c r="EX721" s="67" t="s">
        <v>5789</v>
      </c>
      <c r="EY721" s="67">
        <v>5666.9</v>
      </c>
      <c r="EZ721" s="67" t="s">
        <v>5790</v>
      </c>
      <c r="FA721" s="67">
        <v>20089.152999999998</v>
      </c>
      <c r="FB721" s="67" t="s">
        <v>5791</v>
      </c>
      <c r="FC721" s="67" t="s">
        <v>5792</v>
      </c>
      <c r="FD721" s="67" t="s">
        <v>5793</v>
      </c>
      <c r="FE721" s="68" t="s">
        <v>5794</v>
      </c>
      <c r="FF721" s="68" t="s">
        <v>5795</v>
      </c>
    </row>
    <row r="722" spans="151:162" x14ac:dyDescent="0.2">
      <c r="EU722" s="67">
        <v>564.79</v>
      </c>
      <c r="EV722" s="67" t="s">
        <v>5796</v>
      </c>
      <c r="EW722" s="67">
        <v>488.53</v>
      </c>
      <c r="EX722" s="67" t="s">
        <v>5797</v>
      </c>
      <c r="EY722" s="67">
        <v>5663.88</v>
      </c>
      <c r="EZ722" s="67" t="s">
        <v>5798</v>
      </c>
      <c r="FA722" s="67">
        <v>20077.490000000002</v>
      </c>
      <c r="FB722" s="67" t="s">
        <v>5799</v>
      </c>
      <c r="FC722" s="67" t="s">
        <v>5800</v>
      </c>
      <c r="FD722" s="67" t="s">
        <v>5801</v>
      </c>
      <c r="FE722" s="68" t="s">
        <v>5802</v>
      </c>
      <c r="FF722" s="68" t="s">
        <v>5803</v>
      </c>
    </row>
    <row r="723" spans="151:162" x14ac:dyDescent="0.2">
      <c r="EU723" s="67">
        <v>564.6</v>
      </c>
      <c r="EV723" s="67" t="s">
        <v>5804</v>
      </c>
      <c r="EW723" s="67">
        <v>488.27</v>
      </c>
      <c r="EX723" s="67" t="s">
        <v>5805</v>
      </c>
      <c r="EY723" s="67">
        <v>5662.25</v>
      </c>
      <c r="EZ723" s="67" t="s">
        <v>5806</v>
      </c>
      <c r="FA723" s="67">
        <v>20070.169000000002</v>
      </c>
      <c r="FB723" s="67" t="s">
        <v>5807</v>
      </c>
      <c r="FC723" s="67" t="s">
        <v>5808</v>
      </c>
      <c r="FD723" s="67" t="s">
        <v>5809</v>
      </c>
      <c r="FE723" s="68" t="s">
        <v>5810</v>
      </c>
      <c r="FF723" s="68" t="s">
        <v>5811</v>
      </c>
    </row>
    <row r="724" spans="151:162" x14ac:dyDescent="0.2">
      <c r="EU724" s="67">
        <v>564.66</v>
      </c>
      <c r="EV724" s="67" t="s">
        <v>5812</v>
      </c>
      <c r="EW724" s="67">
        <v>488.4</v>
      </c>
      <c r="EX724" s="67" t="s">
        <v>5813</v>
      </c>
      <c r="EY724" s="67">
        <v>5662.59</v>
      </c>
      <c r="EZ724" s="67" t="s">
        <v>5814</v>
      </c>
      <c r="FA724" s="67">
        <v>20072.195</v>
      </c>
      <c r="FB724" s="67" t="s">
        <v>5815</v>
      </c>
      <c r="FC724" s="67" t="s">
        <v>5816</v>
      </c>
      <c r="FD724" s="67" t="s">
        <v>5817</v>
      </c>
      <c r="FE724" s="68" t="s">
        <v>5818</v>
      </c>
      <c r="FF724" s="68" t="s">
        <v>5819</v>
      </c>
    </row>
    <row r="725" spans="151:162" x14ac:dyDescent="0.2">
      <c r="EU725" s="67">
        <v>564.74099999999999</v>
      </c>
      <c r="EV725" s="67" t="s">
        <v>5820</v>
      </c>
      <c r="EW725" s="67">
        <v>488.46600000000001</v>
      </c>
      <c r="EX725" s="67" t="s">
        <v>5821</v>
      </c>
      <c r="EY725" s="67">
        <v>5663.43</v>
      </c>
      <c r="EZ725" s="67" t="s">
        <v>5822</v>
      </c>
      <c r="FA725" s="67">
        <v>20077.356</v>
      </c>
      <c r="FB725" s="67" t="s">
        <v>5823</v>
      </c>
      <c r="FC725" s="67" t="s">
        <v>5824</v>
      </c>
      <c r="FD725" s="67" t="s">
        <v>5825</v>
      </c>
      <c r="FE725" s="68" t="s">
        <v>5826</v>
      </c>
      <c r="FF725" s="68" t="s">
        <v>5827</v>
      </c>
    </row>
    <row r="726" spans="151:162" x14ac:dyDescent="0.2">
      <c r="EU726" s="67">
        <v>564.36800000000005</v>
      </c>
      <c r="EV726" s="67" t="s">
        <v>5828</v>
      </c>
      <c r="EW726" s="67">
        <v>488.15</v>
      </c>
      <c r="EX726" s="67" t="s">
        <v>5829</v>
      </c>
      <c r="EY726" s="67">
        <v>5660.4</v>
      </c>
      <c r="EZ726" s="67" t="s">
        <v>5830</v>
      </c>
      <c r="FA726" s="67">
        <v>20068.008000000002</v>
      </c>
      <c r="FB726" s="67" t="s">
        <v>5831</v>
      </c>
      <c r="FC726" s="67" t="s">
        <v>5832</v>
      </c>
      <c r="FD726" s="67" t="s">
        <v>5833</v>
      </c>
      <c r="FE726" s="68" t="s">
        <v>5834</v>
      </c>
      <c r="FF726" s="68" t="s">
        <v>5835</v>
      </c>
    </row>
    <row r="727" spans="151:162" x14ac:dyDescent="0.2">
      <c r="EU727" s="67">
        <v>564.66999999999996</v>
      </c>
      <c r="EV727" s="67" t="s">
        <v>5836</v>
      </c>
      <c r="EW727" s="67">
        <v>488.42</v>
      </c>
      <c r="EX727" s="67" t="s">
        <v>5837</v>
      </c>
      <c r="EY727" s="67">
        <v>5662.65</v>
      </c>
      <c r="EZ727" s="67" t="s">
        <v>5838</v>
      </c>
      <c r="FA727" s="67">
        <v>20075.011999999999</v>
      </c>
      <c r="FB727" s="67" t="s">
        <v>5839</v>
      </c>
      <c r="FC727" s="67" t="s">
        <v>5840</v>
      </c>
      <c r="FD727" s="67" t="s">
        <v>5841</v>
      </c>
      <c r="FE727" s="68" t="s">
        <v>5842</v>
      </c>
      <c r="FF727" s="68" t="s">
        <v>5843</v>
      </c>
    </row>
    <row r="728" spans="151:162" x14ac:dyDescent="0.2">
      <c r="EU728" s="67">
        <v>564.86500000000001</v>
      </c>
      <c r="EV728" s="67" t="s">
        <v>5844</v>
      </c>
      <c r="EW728" s="67">
        <v>488.63</v>
      </c>
      <c r="EX728" s="67" t="s">
        <v>5845</v>
      </c>
      <c r="EY728" s="67">
        <v>5664.78</v>
      </c>
      <c r="EZ728" s="67" t="s">
        <v>5846</v>
      </c>
      <c r="FA728" s="67">
        <v>20083.348999999998</v>
      </c>
      <c r="FB728" s="67" t="s">
        <v>5847</v>
      </c>
      <c r="FC728" s="67" t="s">
        <v>5848</v>
      </c>
      <c r="FD728" s="67" t="s">
        <v>5849</v>
      </c>
      <c r="FE728" s="68" t="s">
        <v>5850</v>
      </c>
      <c r="FF728" s="68" t="s">
        <v>5851</v>
      </c>
    </row>
    <row r="729" spans="151:162" x14ac:dyDescent="0.2">
      <c r="EU729" s="67">
        <v>564.96</v>
      </c>
      <c r="EV729" s="67" t="s">
        <v>5852</v>
      </c>
      <c r="EW729" s="67">
        <v>488.73</v>
      </c>
      <c r="EX729" s="67" t="s">
        <v>5853</v>
      </c>
      <c r="EY729" s="67">
        <v>5666.33</v>
      </c>
      <c r="EZ729" s="67" t="s">
        <v>5854</v>
      </c>
      <c r="FA729" s="67">
        <v>20089.681</v>
      </c>
      <c r="FB729" s="67" t="s">
        <v>5855</v>
      </c>
      <c r="FC729" s="67" t="s">
        <v>5856</v>
      </c>
      <c r="FD729" s="67" t="s">
        <v>5857</v>
      </c>
      <c r="FE729" s="68" t="s">
        <v>5858</v>
      </c>
      <c r="FF729" s="68" t="s">
        <v>5859</v>
      </c>
    </row>
    <row r="730" spans="151:162" x14ac:dyDescent="0.2">
      <c r="EU730" s="67">
        <v>564.82000000000005</v>
      </c>
      <c r="EV730" s="67" t="s">
        <v>5860</v>
      </c>
      <c r="EW730" s="67">
        <v>488.54</v>
      </c>
      <c r="EX730" s="67" t="s">
        <v>5861</v>
      </c>
      <c r="EY730" s="67">
        <v>5664.67</v>
      </c>
      <c r="EZ730" s="67" t="s">
        <v>5862</v>
      </c>
      <c r="FA730" s="67">
        <v>20082.780999999999</v>
      </c>
      <c r="FB730" s="67" t="s">
        <v>5863</v>
      </c>
      <c r="FC730" s="67" t="s">
        <v>5864</v>
      </c>
      <c r="FD730" s="67" t="s">
        <v>5865</v>
      </c>
      <c r="FE730" s="68" t="s">
        <v>5866</v>
      </c>
      <c r="FF730" s="68" t="s">
        <v>5867</v>
      </c>
    </row>
    <row r="731" spans="151:162" x14ac:dyDescent="0.2">
      <c r="EU731" s="67">
        <v>564.48</v>
      </c>
      <c r="EV731" s="67" t="s">
        <v>5868</v>
      </c>
      <c r="EW731" s="67">
        <v>488.09</v>
      </c>
      <c r="EX731" s="67" t="s">
        <v>5869</v>
      </c>
      <c r="EY731" s="67">
        <v>5661.53</v>
      </c>
      <c r="EZ731" s="67" t="s">
        <v>5870</v>
      </c>
      <c r="FA731" s="67">
        <v>20065.345000000001</v>
      </c>
      <c r="FB731" s="67" t="s">
        <v>5871</v>
      </c>
      <c r="FC731" s="67" t="s">
        <v>5872</v>
      </c>
      <c r="FD731" s="67" t="s">
        <v>5873</v>
      </c>
      <c r="FE731" s="68" t="s">
        <v>5874</v>
      </c>
      <c r="FF731" s="68" t="s">
        <v>5875</v>
      </c>
    </row>
    <row r="732" spans="151:162" x14ac:dyDescent="0.2">
      <c r="EU732" s="67">
        <v>564.16999999999996</v>
      </c>
      <c r="EV732" s="67" t="s">
        <v>5876</v>
      </c>
      <c r="EW732" s="67">
        <v>487.81900000000002</v>
      </c>
      <c r="EX732" s="67" t="s">
        <v>5877</v>
      </c>
      <c r="EY732" s="67">
        <v>5658.06</v>
      </c>
      <c r="EZ732" s="67" t="s">
        <v>5878</v>
      </c>
      <c r="FA732" s="67">
        <v>20050.772000000001</v>
      </c>
      <c r="FB732" s="67" t="s">
        <v>5879</v>
      </c>
      <c r="FC732" s="67" t="s">
        <v>5880</v>
      </c>
      <c r="FD732" s="67" t="s">
        <v>5881</v>
      </c>
      <c r="FE732" s="68" t="s">
        <v>5882</v>
      </c>
      <c r="FF732" s="68" t="s">
        <v>5883</v>
      </c>
    </row>
    <row r="733" spans="151:162" x14ac:dyDescent="0.2">
      <c r="EU733" s="67">
        <v>564.14</v>
      </c>
      <c r="EV733" s="67" t="s">
        <v>5884</v>
      </c>
      <c r="EW733" s="67">
        <v>487.66</v>
      </c>
      <c r="EX733" s="67" t="s">
        <v>5885</v>
      </c>
      <c r="EY733" s="67">
        <v>5657.23</v>
      </c>
      <c r="EZ733" s="67" t="s">
        <v>5886</v>
      </c>
      <c r="FA733" s="67">
        <v>20046.039000000001</v>
      </c>
      <c r="FB733" s="67" t="s">
        <v>5887</v>
      </c>
      <c r="FC733" s="67" t="s">
        <v>5888</v>
      </c>
      <c r="FD733" s="67" t="s">
        <v>5889</v>
      </c>
      <c r="FE733" s="68" t="s">
        <v>5890</v>
      </c>
      <c r="FF733" s="68" t="s">
        <v>5891</v>
      </c>
    </row>
    <row r="734" spans="151:162" x14ac:dyDescent="0.2">
      <c r="EU734" s="67">
        <v>564.03</v>
      </c>
      <c r="EV734" s="67" t="s">
        <v>5892</v>
      </c>
      <c r="EW734" s="67">
        <v>487.49</v>
      </c>
      <c r="EX734" s="67" t="s">
        <v>5893</v>
      </c>
      <c r="EY734" s="67">
        <v>5656.54</v>
      </c>
      <c r="EZ734" s="67" t="s">
        <v>5894</v>
      </c>
      <c r="FA734" s="67">
        <v>20036.864000000001</v>
      </c>
      <c r="FB734" s="67" t="s">
        <v>5895</v>
      </c>
      <c r="FC734" s="67" t="s">
        <v>5896</v>
      </c>
      <c r="FD734" s="67" t="s">
        <v>5897</v>
      </c>
      <c r="FE734" s="68" t="s">
        <v>5898</v>
      </c>
      <c r="FF734" s="68" t="s">
        <v>5899</v>
      </c>
    </row>
    <row r="735" spans="151:162" x14ac:dyDescent="0.2">
      <c r="EU735" s="67">
        <v>564.27</v>
      </c>
      <c r="EV735" s="67" t="s">
        <v>5900</v>
      </c>
      <c r="EW735" s="67">
        <v>487.89499999999998</v>
      </c>
      <c r="EX735" s="67" t="s">
        <v>5901</v>
      </c>
      <c r="EY735" s="67">
        <v>5659.24</v>
      </c>
      <c r="EZ735" s="67" t="s">
        <v>5902</v>
      </c>
      <c r="FA735" s="67">
        <v>20049.146000000001</v>
      </c>
      <c r="FB735" s="67" t="s">
        <v>5903</v>
      </c>
      <c r="FC735" s="67" t="s">
        <v>5904</v>
      </c>
      <c r="FD735" s="67" t="s">
        <v>5905</v>
      </c>
      <c r="FE735" s="68" t="s">
        <v>5906</v>
      </c>
      <c r="FF735" s="68" t="s">
        <v>5907</v>
      </c>
    </row>
    <row r="736" spans="151:162" x14ac:dyDescent="0.2">
      <c r="EU736" s="67">
        <v>564.57500000000005</v>
      </c>
      <c r="EV736" s="67" t="s">
        <v>5908</v>
      </c>
      <c r="EW736" s="67">
        <v>488</v>
      </c>
      <c r="EX736" s="67" t="s">
        <v>5909</v>
      </c>
      <c r="EY736" s="67">
        <v>5661.17</v>
      </c>
      <c r="EZ736" s="67" t="s">
        <v>5910</v>
      </c>
      <c r="FA736" s="67">
        <v>20055.092000000001</v>
      </c>
      <c r="FB736" s="67" t="s">
        <v>5911</v>
      </c>
      <c r="FC736" s="67" t="s">
        <v>5912</v>
      </c>
      <c r="FD736" s="67" t="s">
        <v>5913</v>
      </c>
      <c r="FE736" s="68" t="s">
        <v>5914</v>
      </c>
      <c r="FF736" s="68" t="s">
        <v>5915</v>
      </c>
    </row>
    <row r="737" spans="151:162" x14ac:dyDescent="0.2">
      <c r="EU737" s="67">
        <v>564.28</v>
      </c>
      <c r="EV737" s="67" t="s">
        <v>5916</v>
      </c>
      <c r="EW737" s="67">
        <v>487.67</v>
      </c>
      <c r="EX737" s="67" t="s">
        <v>5917</v>
      </c>
      <c r="EY737" s="67">
        <v>5658.97</v>
      </c>
      <c r="EZ737" s="67" t="s">
        <v>5918</v>
      </c>
      <c r="FA737" s="67">
        <v>20045.543000000001</v>
      </c>
      <c r="FB737" s="67" t="s">
        <v>5919</v>
      </c>
      <c r="FC737" s="67" t="s">
        <v>5920</v>
      </c>
      <c r="FD737" s="67" t="s">
        <v>5921</v>
      </c>
      <c r="FE737" s="68" t="s">
        <v>5922</v>
      </c>
      <c r="FF737" s="68" t="s">
        <v>5923</v>
      </c>
    </row>
    <row r="738" spans="151:162" x14ac:dyDescent="0.2">
      <c r="EU738" s="67">
        <v>564.15</v>
      </c>
      <c r="EV738" s="67" t="s">
        <v>5924</v>
      </c>
      <c r="EW738" s="67">
        <v>487.65</v>
      </c>
      <c r="EX738" s="67" t="s">
        <v>5925</v>
      </c>
      <c r="EY738" s="67">
        <v>5657.59</v>
      </c>
      <c r="EZ738" s="67" t="s">
        <v>5926</v>
      </c>
      <c r="FA738" s="67">
        <v>20042.007000000001</v>
      </c>
      <c r="FB738" s="67" t="s">
        <v>5927</v>
      </c>
      <c r="FC738" s="67" t="s">
        <v>5928</v>
      </c>
      <c r="FD738" s="67" t="s">
        <v>5929</v>
      </c>
      <c r="FE738" s="68" t="s">
        <v>5930</v>
      </c>
      <c r="FF738" s="68" t="s">
        <v>5931</v>
      </c>
    </row>
    <row r="739" spans="151:162" x14ac:dyDescent="0.2">
      <c r="EU739" s="67">
        <v>564.07000000000005</v>
      </c>
      <c r="EV739" s="67" t="s">
        <v>5932</v>
      </c>
      <c r="EW739" s="67">
        <v>487.44</v>
      </c>
      <c r="EX739" s="67" t="s">
        <v>5933</v>
      </c>
      <c r="EY739" s="67">
        <v>5656.43</v>
      </c>
      <c r="EZ739" s="67" t="s">
        <v>5934</v>
      </c>
      <c r="FA739" s="67">
        <v>20033.653999999999</v>
      </c>
      <c r="FB739" s="67" t="s">
        <v>5935</v>
      </c>
      <c r="FC739" s="67" t="s">
        <v>5936</v>
      </c>
      <c r="FD739" s="67" t="s">
        <v>5937</v>
      </c>
      <c r="FE739" s="68" t="s">
        <v>5938</v>
      </c>
      <c r="FF739" s="68" t="s">
        <v>5939</v>
      </c>
    </row>
    <row r="740" spans="151:162" x14ac:dyDescent="0.2">
      <c r="EU740" s="67">
        <v>564.27</v>
      </c>
      <c r="EV740" s="67" t="s">
        <v>5940</v>
      </c>
      <c r="EW740" s="67">
        <v>487.69</v>
      </c>
      <c r="EX740" s="67" t="s">
        <v>5941</v>
      </c>
      <c r="EY740" s="67">
        <v>5658.5</v>
      </c>
      <c r="EZ740" s="67" t="s">
        <v>5942</v>
      </c>
      <c r="FA740" s="67">
        <v>20043.915000000001</v>
      </c>
      <c r="FB740" s="67" t="s">
        <v>5943</v>
      </c>
      <c r="FC740" s="67" t="s">
        <v>5944</v>
      </c>
      <c r="FD740" s="67" t="s">
        <v>5945</v>
      </c>
      <c r="FE740" s="68" t="s">
        <v>5946</v>
      </c>
      <c r="FF740" s="68" t="s">
        <v>5947</v>
      </c>
    </row>
    <row r="741" spans="151:162" x14ac:dyDescent="0.2">
      <c r="EU741" s="67">
        <v>564.51</v>
      </c>
      <c r="EV741" s="67" t="s">
        <v>5948</v>
      </c>
      <c r="EW741" s="67">
        <v>488.08</v>
      </c>
      <c r="EX741" s="67" t="s">
        <v>5949</v>
      </c>
      <c r="EY741" s="67">
        <v>5660.65</v>
      </c>
      <c r="EZ741" s="67" t="s">
        <v>5950</v>
      </c>
      <c r="FA741" s="67">
        <v>20055.987000000001</v>
      </c>
      <c r="FB741" s="67" t="s">
        <v>5951</v>
      </c>
      <c r="FC741" s="67" t="s">
        <v>5952</v>
      </c>
      <c r="FD741" s="67" t="s">
        <v>5953</v>
      </c>
      <c r="FE741" s="68" t="s">
        <v>5954</v>
      </c>
      <c r="FF741" s="68" t="s">
        <v>5955</v>
      </c>
    </row>
    <row r="742" spans="151:162" x14ac:dyDescent="0.2">
      <c r="EU742" s="67">
        <v>564.82000000000005</v>
      </c>
      <c r="EV742" s="67" t="s">
        <v>5956</v>
      </c>
      <c r="EW742" s="67">
        <v>488.27</v>
      </c>
      <c r="EX742" s="67" t="s">
        <v>5957</v>
      </c>
      <c r="EY742" s="67">
        <v>5664.22</v>
      </c>
      <c r="EZ742" s="67" t="s">
        <v>5958</v>
      </c>
      <c r="FA742" s="67">
        <v>20067.255000000001</v>
      </c>
      <c r="FB742" s="67" t="s">
        <v>5959</v>
      </c>
      <c r="FC742" s="67" t="s">
        <v>5960</v>
      </c>
      <c r="FD742" s="67" t="s">
        <v>5961</v>
      </c>
      <c r="FE742" s="68" t="s">
        <v>5962</v>
      </c>
      <c r="FF742" s="68" t="s">
        <v>5963</v>
      </c>
    </row>
    <row r="743" spans="151:162" x14ac:dyDescent="0.2">
      <c r="EU743" s="67">
        <v>564.89</v>
      </c>
      <c r="EV743" s="67" t="s">
        <v>5964</v>
      </c>
      <c r="EW743" s="67">
        <v>488.18</v>
      </c>
      <c r="EX743" s="67" t="s">
        <v>5965</v>
      </c>
      <c r="EY743" s="67">
        <v>5664.94</v>
      </c>
      <c r="EZ743" s="67" t="s">
        <v>5966</v>
      </c>
      <c r="FA743" s="67">
        <v>20065.898000000001</v>
      </c>
      <c r="FB743" s="67" t="s">
        <v>5967</v>
      </c>
      <c r="FC743" s="67" t="s">
        <v>5968</v>
      </c>
      <c r="FD743" s="67" t="s">
        <v>5969</v>
      </c>
      <c r="FE743" s="68" t="s">
        <v>5970</v>
      </c>
      <c r="FF743" s="68" t="s">
        <v>5971</v>
      </c>
    </row>
    <row r="744" spans="151:162" x14ac:dyDescent="0.2">
      <c r="EU744" s="67">
        <v>564.65</v>
      </c>
      <c r="EV744" s="67" t="s">
        <v>5972</v>
      </c>
      <c r="EW744" s="67">
        <v>488</v>
      </c>
      <c r="EX744" s="67" t="s">
        <v>5973</v>
      </c>
      <c r="EY744" s="67">
        <v>5662.25</v>
      </c>
      <c r="EZ744" s="67" t="s">
        <v>5974</v>
      </c>
      <c r="FA744" s="67">
        <v>20053.966</v>
      </c>
      <c r="FB744" s="67" t="s">
        <v>5975</v>
      </c>
      <c r="FC744" s="67" t="s">
        <v>5976</v>
      </c>
      <c r="FD744" s="67" t="s">
        <v>5977</v>
      </c>
      <c r="FE744" s="68" t="s">
        <v>5978</v>
      </c>
      <c r="FF744" s="68" t="s">
        <v>5979</v>
      </c>
    </row>
    <row r="745" spans="151:162" x14ac:dyDescent="0.2">
      <c r="EU745" s="67">
        <v>564.53</v>
      </c>
      <c r="EV745" s="67" t="s">
        <v>5980</v>
      </c>
      <c r="EW745" s="67">
        <v>487.92</v>
      </c>
      <c r="EX745" s="67" t="s">
        <v>5981</v>
      </c>
      <c r="EY745" s="67">
        <v>5661.86</v>
      </c>
      <c r="EZ745" s="67" t="s">
        <v>5982</v>
      </c>
      <c r="FA745" s="67">
        <v>20055.850999999999</v>
      </c>
      <c r="FB745" s="67" t="s">
        <v>5983</v>
      </c>
      <c r="FC745" s="67" t="s">
        <v>5984</v>
      </c>
      <c r="FD745" s="67" t="s">
        <v>5985</v>
      </c>
      <c r="FE745" s="68" t="s">
        <v>5986</v>
      </c>
      <c r="FF745" s="68" t="s">
        <v>5987</v>
      </c>
    </row>
    <row r="746" spans="151:162" x14ac:dyDescent="0.2">
      <c r="EU746" s="67">
        <v>564.67999999999995</v>
      </c>
      <c r="EV746" s="67" t="s">
        <v>5988</v>
      </c>
      <c r="EW746" s="67">
        <v>487.98</v>
      </c>
      <c r="EX746" s="67" t="s">
        <v>5989</v>
      </c>
      <c r="EY746" s="67">
        <v>5662.76</v>
      </c>
      <c r="EZ746" s="67" t="s">
        <v>5990</v>
      </c>
      <c r="FA746" s="67">
        <v>20055.142</v>
      </c>
      <c r="FB746" s="67" t="s">
        <v>5991</v>
      </c>
      <c r="FC746" s="67" t="s">
        <v>5992</v>
      </c>
      <c r="FD746" s="67" t="s">
        <v>5993</v>
      </c>
      <c r="FE746" s="68" t="s">
        <v>5994</v>
      </c>
      <c r="FF746" s="68" t="s">
        <v>5995</v>
      </c>
    </row>
    <row r="747" spans="151:162" x14ac:dyDescent="0.2">
      <c r="EU747" s="67">
        <v>564.27</v>
      </c>
      <c r="EV747" s="67" t="s">
        <v>5996</v>
      </c>
      <c r="EW747" s="67">
        <v>487.57</v>
      </c>
      <c r="EX747" s="67" t="s">
        <v>5997</v>
      </c>
      <c r="EY747" s="67">
        <v>5659.22</v>
      </c>
      <c r="EZ747" s="67" t="s">
        <v>5998</v>
      </c>
      <c r="FA747" s="67">
        <v>20041.629000000001</v>
      </c>
      <c r="FB747" s="67" t="s">
        <v>5999</v>
      </c>
      <c r="FC747" s="67" t="s">
        <v>6000</v>
      </c>
      <c r="FD747" s="67" t="s">
        <v>6001</v>
      </c>
      <c r="FE747" s="68" t="s">
        <v>6002</v>
      </c>
      <c r="FF747" s="68" t="s">
        <v>6003</v>
      </c>
    </row>
    <row r="748" spans="151:162" x14ac:dyDescent="0.2">
      <c r="EU748" s="67">
        <v>564.40200000000004</v>
      </c>
      <c r="EV748" s="67" t="s">
        <v>6004</v>
      </c>
      <c r="EW748" s="67">
        <v>487.76</v>
      </c>
      <c r="EX748" s="67" t="s">
        <v>6005</v>
      </c>
      <c r="EY748" s="67">
        <v>5660.82</v>
      </c>
      <c r="EZ748" s="67" t="s">
        <v>6006</v>
      </c>
      <c r="FA748" s="67">
        <v>20049.171999999999</v>
      </c>
      <c r="FB748" s="67" t="s">
        <v>6007</v>
      </c>
      <c r="FC748" s="67" t="s">
        <v>6008</v>
      </c>
      <c r="FD748" s="67" t="s">
        <v>6009</v>
      </c>
      <c r="FE748" s="68" t="s">
        <v>6010</v>
      </c>
      <c r="FF748" s="68" t="s">
        <v>6011</v>
      </c>
    </row>
    <row r="749" spans="151:162" x14ac:dyDescent="0.2">
      <c r="EU749" s="67">
        <v>564.625</v>
      </c>
      <c r="EV749" s="67" t="s">
        <v>6012</v>
      </c>
      <c r="EW749" s="67">
        <v>487.91</v>
      </c>
      <c r="EX749" s="67" t="s">
        <v>6013</v>
      </c>
      <c r="EY749" s="67">
        <v>5662.24</v>
      </c>
      <c r="EZ749" s="67" t="s">
        <v>6014</v>
      </c>
      <c r="FA749" s="67">
        <v>20050.811000000002</v>
      </c>
      <c r="FB749" s="67" t="s">
        <v>6015</v>
      </c>
      <c r="FC749" s="67" t="s">
        <v>6016</v>
      </c>
      <c r="FD749" s="67" t="s">
        <v>6017</v>
      </c>
      <c r="FE749" s="68" t="s">
        <v>6018</v>
      </c>
      <c r="FF749" s="68" t="s">
        <v>6019</v>
      </c>
    </row>
    <row r="750" spans="151:162" x14ac:dyDescent="0.2">
      <c r="EU750" s="67">
        <v>564.70000000000005</v>
      </c>
      <c r="EV750" s="67" t="s">
        <v>6020</v>
      </c>
      <c r="EW750" s="67">
        <v>488.01</v>
      </c>
      <c r="EX750" s="67" t="s">
        <v>6021</v>
      </c>
      <c r="EY750" s="67">
        <v>5662.74</v>
      </c>
      <c r="EZ750" s="67" t="s">
        <v>6022</v>
      </c>
      <c r="FA750" s="67">
        <v>20053.95</v>
      </c>
      <c r="FB750" s="67" t="s">
        <v>6023</v>
      </c>
      <c r="FC750" s="67" t="s">
        <v>6024</v>
      </c>
      <c r="FD750" s="67" t="s">
        <v>6025</v>
      </c>
      <c r="FE750" s="68" t="s">
        <v>6026</v>
      </c>
      <c r="FF750" s="68" t="s">
        <v>6027</v>
      </c>
    </row>
    <row r="751" spans="151:162" x14ac:dyDescent="0.2">
      <c r="EU751" s="67">
        <v>564.61</v>
      </c>
      <c r="EV751" s="67" t="s">
        <v>6028</v>
      </c>
      <c r="EW751" s="67">
        <v>487.87</v>
      </c>
      <c r="EX751" s="67" t="s">
        <v>6029</v>
      </c>
      <c r="EY751" s="67">
        <v>5662.14</v>
      </c>
      <c r="EZ751" s="67" t="s">
        <v>6030</v>
      </c>
      <c r="FA751" s="67">
        <v>20052.217000000001</v>
      </c>
      <c r="FB751" s="67" t="s">
        <v>6031</v>
      </c>
      <c r="FC751" s="67" t="s">
        <v>6032</v>
      </c>
      <c r="FD751" s="67" t="s">
        <v>6033</v>
      </c>
      <c r="FE751" s="68" t="s">
        <v>6034</v>
      </c>
      <c r="FF751" s="68" t="s">
        <v>6035</v>
      </c>
    </row>
    <row r="752" spans="151:162" x14ac:dyDescent="0.2">
      <c r="EU752" s="67">
        <v>564.63</v>
      </c>
      <c r="EV752" s="67" t="s">
        <v>6036</v>
      </c>
      <c r="EW752" s="67">
        <v>487.91</v>
      </c>
      <c r="EX752" s="67" t="s">
        <v>6037</v>
      </c>
      <c r="EY752" s="67">
        <v>5662.49</v>
      </c>
      <c r="EZ752" s="67" t="s">
        <v>6038</v>
      </c>
      <c r="FA752" s="67">
        <v>20052.929</v>
      </c>
      <c r="FB752" s="67" t="s">
        <v>6039</v>
      </c>
      <c r="FC752" s="67" t="s">
        <v>6040</v>
      </c>
      <c r="FD752" s="67" t="s">
        <v>6041</v>
      </c>
      <c r="FE752" s="68" t="s">
        <v>6042</v>
      </c>
      <c r="FF752" s="68" t="s">
        <v>6043</v>
      </c>
    </row>
    <row r="753" spans="151:162" x14ac:dyDescent="0.2">
      <c r="EU753" s="67">
        <v>564.72</v>
      </c>
      <c r="EV753" s="67" t="s">
        <v>6044</v>
      </c>
      <c r="EW753" s="67">
        <v>488.05</v>
      </c>
      <c r="EX753" s="67" t="s">
        <v>6045</v>
      </c>
      <c r="EY753" s="67">
        <v>5663.19</v>
      </c>
      <c r="EZ753" s="67" t="s">
        <v>6046</v>
      </c>
      <c r="FA753" s="67">
        <v>20057.491000000002</v>
      </c>
      <c r="FB753" s="67" t="s">
        <v>6047</v>
      </c>
      <c r="FC753" s="67" t="s">
        <v>6048</v>
      </c>
      <c r="FD753" s="67" t="s">
        <v>6049</v>
      </c>
      <c r="FE753" s="68" t="s">
        <v>6050</v>
      </c>
      <c r="FF753" s="68" t="s">
        <v>6051</v>
      </c>
    </row>
    <row r="754" spans="151:162" x14ac:dyDescent="0.2">
      <c r="EU754" s="67">
        <v>564.78499999999997</v>
      </c>
      <c r="EV754" s="67" t="s">
        <v>6052</v>
      </c>
      <c r="EW754" s="67">
        <v>488.08</v>
      </c>
      <c r="EX754" s="67" t="s">
        <v>6053</v>
      </c>
      <c r="EY754" s="67">
        <v>5664.23</v>
      </c>
      <c r="EZ754" s="67" t="s">
        <v>6054</v>
      </c>
      <c r="FA754" s="67">
        <v>20059.228999999999</v>
      </c>
      <c r="FB754" s="67" t="s">
        <v>6055</v>
      </c>
      <c r="FC754" s="67" t="s">
        <v>6056</v>
      </c>
      <c r="FD754" s="67" t="s">
        <v>6057</v>
      </c>
      <c r="FE754" s="68" t="s">
        <v>6058</v>
      </c>
      <c r="FF754" s="68" t="s">
        <v>6059</v>
      </c>
    </row>
    <row r="755" spans="151:162" x14ac:dyDescent="0.2">
      <c r="EU755" s="67">
        <v>564.87</v>
      </c>
      <c r="EV755" s="67" t="s">
        <v>6060</v>
      </c>
      <c r="EW755" s="67">
        <v>488.185</v>
      </c>
      <c r="EX755" s="67" t="s">
        <v>6061</v>
      </c>
      <c r="EY755" s="67">
        <v>5665.51</v>
      </c>
      <c r="EZ755" s="67" t="s">
        <v>6062</v>
      </c>
      <c r="FA755" s="67">
        <v>20067.491000000002</v>
      </c>
      <c r="FB755" s="67" t="s">
        <v>6063</v>
      </c>
      <c r="FC755" s="67" t="s">
        <v>6064</v>
      </c>
      <c r="FD755" s="67" t="s">
        <v>6065</v>
      </c>
      <c r="FE755" s="68" t="s">
        <v>6066</v>
      </c>
      <c r="FF755" s="68" t="s">
        <v>6067</v>
      </c>
    </row>
    <row r="756" spans="151:162" x14ac:dyDescent="0.2">
      <c r="EU756" s="67">
        <v>564.89</v>
      </c>
      <c r="EV756" s="67" t="s">
        <v>6068</v>
      </c>
      <c r="EW756" s="67">
        <v>488.08</v>
      </c>
      <c r="EX756" s="67" t="s">
        <v>6069</v>
      </c>
      <c r="EY756" s="67">
        <v>5664.79</v>
      </c>
      <c r="EZ756" s="67" t="s">
        <v>6070</v>
      </c>
      <c r="FA756" s="67">
        <v>20059.944</v>
      </c>
      <c r="FB756" s="67" t="s">
        <v>6071</v>
      </c>
      <c r="FC756" s="67" t="s">
        <v>6072</v>
      </c>
      <c r="FD756" s="67" t="s">
        <v>6073</v>
      </c>
      <c r="FE756" s="68" t="s">
        <v>6074</v>
      </c>
      <c r="FF756" s="68" t="s">
        <v>6075</v>
      </c>
    </row>
    <row r="757" spans="151:162" x14ac:dyDescent="0.2">
      <c r="EU757" s="67">
        <v>565.16</v>
      </c>
      <c r="EV757" s="67" t="s">
        <v>6076</v>
      </c>
      <c r="EW757" s="67">
        <v>488.5</v>
      </c>
      <c r="EX757" s="67" t="s">
        <v>6077</v>
      </c>
      <c r="EY757" s="67">
        <v>5668.1</v>
      </c>
      <c r="EZ757" s="67" t="s">
        <v>6078</v>
      </c>
      <c r="FA757" s="67">
        <v>20077.563999999998</v>
      </c>
      <c r="FB757" s="67" t="s">
        <v>6079</v>
      </c>
      <c r="FC757" s="67" t="s">
        <v>6080</v>
      </c>
      <c r="FD757" s="67" t="s">
        <v>6081</v>
      </c>
      <c r="FE757" s="68" t="s">
        <v>6082</v>
      </c>
      <c r="FF757" s="68" t="s">
        <v>6083</v>
      </c>
    </row>
    <row r="758" spans="151:162" x14ac:dyDescent="0.2">
      <c r="EU758" s="67">
        <v>565.34500000000003</v>
      </c>
      <c r="EV758" s="67" t="s">
        <v>6084</v>
      </c>
      <c r="EW758" s="67">
        <v>488.62</v>
      </c>
      <c r="EX758" s="67" t="s">
        <v>6085</v>
      </c>
      <c r="EY758" s="67">
        <v>5669.15</v>
      </c>
      <c r="EZ758" s="67" t="s">
        <v>6086</v>
      </c>
      <c r="FA758" s="67">
        <v>20081.293000000001</v>
      </c>
      <c r="FB758" s="67" t="s">
        <v>6087</v>
      </c>
      <c r="FC758" s="67" t="s">
        <v>6088</v>
      </c>
      <c r="FD758" s="67" t="s">
        <v>6089</v>
      </c>
      <c r="FE758" s="68" t="s">
        <v>6090</v>
      </c>
      <c r="FF758" s="68" t="s">
        <v>6091</v>
      </c>
    </row>
    <row r="759" spans="151:162" x14ac:dyDescent="0.2">
      <c r="EU759" s="67">
        <v>565.41999999999996</v>
      </c>
      <c r="EV759" s="67" t="s">
        <v>6092</v>
      </c>
      <c r="EW759" s="67">
        <v>488.65</v>
      </c>
      <c r="EX759" s="67" t="s">
        <v>6093</v>
      </c>
      <c r="EY759" s="67">
        <v>5669.9</v>
      </c>
      <c r="EZ759" s="67" t="s">
        <v>6094</v>
      </c>
      <c r="FA759" s="67">
        <v>20082.592000000001</v>
      </c>
      <c r="FB759" s="67" t="s">
        <v>6095</v>
      </c>
      <c r="FC759" s="67" t="s">
        <v>6096</v>
      </c>
      <c r="FD759" s="67" t="s">
        <v>6097</v>
      </c>
      <c r="FE759" s="68" t="s">
        <v>6098</v>
      </c>
      <c r="FF759" s="68" t="s">
        <v>6099</v>
      </c>
    </row>
    <row r="760" spans="151:162" x14ac:dyDescent="0.2">
      <c r="EU760" s="67">
        <v>565.48</v>
      </c>
      <c r="EV760" s="67" t="s">
        <v>6100</v>
      </c>
      <c r="EW760" s="67">
        <v>488.73</v>
      </c>
      <c r="EX760" s="67" t="s">
        <v>6101</v>
      </c>
      <c r="EY760" s="67">
        <v>5670.95</v>
      </c>
      <c r="EZ760" s="67" t="s">
        <v>6102</v>
      </c>
      <c r="FA760" s="67">
        <v>20085.834999999999</v>
      </c>
      <c r="FB760" s="67" t="s">
        <v>6103</v>
      </c>
      <c r="FC760" s="67" t="s">
        <v>6104</v>
      </c>
      <c r="FD760" s="67" t="s">
        <v>6105</v>
      </c>
      <c r="FE760" s="68" t="s">
        <v>6106</v>
      </c>
      <c r="FF760" s="68" t="s">
        <v>6107</v>
      </c>
    </row>
    <row r="761" spans="151:162" x14ac:dyDescent="0.2">
      <c r="EU761" s="67">
        <v>565.16099999999994</v>
      </c>
      <c r="EV761" s="67" t="s">
        <v>6108</v>
      </c>
      <c r="EW761" s="67">
        <v>488.41</v>
      </c>
      <c r="EX761" s="67" t="s">
        <v>6109</v>
      </c>
      <c r="EY761" s="67">
        <v>5668.16</v>
      </c>
      <c r="EZ761" s="67" t="s">
        <v>6110</v>
      </c>
      <c r="FA761" s="67">
        <v>20075.363000000001</v>
      </c>
      <c r="FB761" s="67" t="s">
        <v>6111</v>
      </c>
      <c r="FC761" s="67" t="s">
        <v>6112</v>
      </c>
      <c r="FD761" s="67" t="s">
        <v>6113</v>
      </c>
      <c r="FE761" s="68" t="s">
        <v>6114</v>
      </c>
      <c r="FF761" s="68" t="s">
        <v>6115</v>
      </c>
    </row>
    <row r="762" spans="151:162" x14ac:dyDescent="0.2">
      <c r="EU762" s="67">
        <v>565.23</v>
      </c>
      <c r="EV762" s="67" t="s">
        <v>6116</v>
      </c>
      <c r="EW762" s="67">
        <v>488.47</v>
      </c>
      <c r="EX762" s="67" t="s">
        <v>6117</v>
      </c>
      <c r="EY762" s="67">
        <v>5668.34</v>
      </c>
      <c r="EZ762" s="67" t="s">
        <v>6118</v>
      </c>
      <c r="FA762" s="67">
        <v>20076.330999999998</v>
      </c>
      <c r="FB762" s="67" t="s">
        <v>6119</v>
      </c>
      <c r="FC762" s="67" t="s">
        <v>6120</v>
      </c>
      <c r="FD762" s="67" t="s">
        <v>6121</v>
      </c>
      <c r="FE762" s="68" t="s">
        <v>6122</v>
      </c>
      <c r="FF762" s="68" t="s">
        <v>6123</v>
      </c>
    </row>
    <row r="763" spans="151:162" x14ac:dyDescent="0.2">
      <c r="EU763" s="67">
        <v>565.29999999999995</v>
      </c>
      <c r="EV763" s="67" t="s">
        <v>6124</v>
      </c>
      <c r="EW763" s="67">
        <v>488.51</v>
      </c>
      <c r="EX763" s="67" t="s">
        <v>6125</v>
      </c>
      <c r="EY763" s="67">
        <v>5668.85</v>
      </c>
      <c r="EZ763" s="67" t="s">
        <v>6126</v>
      </c>
      <c r="FA763" s="67">
        <v>20077.722000000002</v>
      </c>
      <c r="FB763" s="67" t="s">
        <v>6127</v>
      </c>
      <c r="FC763" s="67" t="s">
        <v>6128</v>
      </c>
      <c r="FD763" s="67" t="s">
        <v>6129</v>
      </c>
      <c r="FE763" s="68" t="s">
        <v>6130</v>
      </c>
      <c r="FF763" s="68" t="s">
        <v>6131</v>
      </c>
    </row>
    <row r="764" spans="151:162" x14ac:dyDescent="0.2">
      <c r="EU764" s="67">
        <v>565.46</v>
      </c>
      <c r="EV764" s="67" t="s">
        <v>6132</v>
      </c>
      <c r="EW764" s="67">
        <v>488.83</v>
      </c>
      <c r="EX764" s="67" t="s">
        <v>6133</v>
      </c>
      <c r="EY764" s="67">
        <v>5670.95</v>
      </c>
      <c r="EZ764" s="67" t="s">
        <v>6134</v>
      </c>
      <c r="FA764" s="67">
        <v>20090.359</v>
      </c>
      <c r="FB764" s="67" t="s">
        <v>6135</v>
      </c>
      <c r="FC764" s="67" t="s">
        <v>6136</v>
      </c>
      <c r="FD764" s="67" t="s">
        <v>6137</v>
      </c>
      <c r="FE764" s="68" t="s">
        <v>6138</v>
      </c>
      <c r="FF764" s="68" t="s">
        <v>6139</v>
      </c>
    </row>
    <row r="765" spans="151:162" x14ac:dyDescent="0.2">
      <c r="EU765" s="67">
        <v>564.22</v>
      </c>
      <c r="EV765" s="67" t="s">
        <v>6140</v>
      </c>
      <c r="EW765" s="67">
        <v>487.52499999999998</v>
      </c>
      <c r="EX765" s="67" t="s">
        <v>6141</v>
      </c>
      <c r="EY765" s="67">
        <v>5659.16</v>
      </c>
      <c r="EZ765" s="67" t="s">
        <v>6142</v>
      </c>
      <c r="FA765" s="67">
        <v>20044.165000000001</v>
      </c>
      <c r="FB765" s="67" t="s">
        <v>6143</v>
      </c>
      <c r="FC765" s="67" t="s">
        <v>6144</v>
      </c>
      <c r="FD765" s="67" t="s">
        <v>6145</v>
      </c>
      <c r="FE765" s="68" t="s">
        <v>6146</v>
      </c>
      <c r="FF765" s="68" t="s">
        <v>6147</v>
      </c>
    </row>
    <row r="766" spans="151:162" x14ac:dyDescent="0.2">
      <c r="EU766" s="67">
        <v>564.54</v>
      </c>
      <c r="EV766" s="67" t="s">
        <v>6148</v>
      </c>
      <c r="EW766" s="67">
        <v>487.71499999999997</v>
      </c>
      <c r="EX766" s="67" t="s">
        <v>6149</v>
      </c>
      <c r="EY766" s="67">
        <v>5661.43</v>
      </c>
      <c r="EZ766" s="67" t="s">
        <v>6150</v>
      </c>
      <c r="FA766" s="67">
        <v>20047.04</v>
      </c>
      <c r="FB766" s="67" t="s">
        <v>6151</v>
      </c>
      <c r="FC766" s="67" t="s">
        <v>6152</v>
      </c>
      <c r="FD766" s="67" t="s">
        <v>6153</v>
      </c>
      <c r="FE766" s="68" t="s">
        <v>6154</v>
      </c>
      <c r="FF766" s="68" t="s">
        <v>6155</v>
      </c>
    </row>
    <row r="767" spans="151:162" x14ac:dyDescent="0.2">
      <c r="EU767" s="67">
        <v>564.23</v>
      </c>
      <c r="EV767" s="67" t="s">
        <v>6156</v>
      </c>
      <c r="EW767" s="67">
        <v>487.41</v>
      </c>
      <c r="EX767" s="67" t="s">
        <v>6157</v>
      </c>
      <c r="EY767" s="67">
        <v>5658.94</v>
      </c>
      <c r="EZ767" s="67" t="s">
        <v>6158</v>
      </c>
      <c r="FA767" s="67">
        <v>20037.424999999999</v>
      </c>
      <c r="FB767" s="67" t="s">
        <v>6159</v>
      </c>
      <c r="FC767" s="67" t="s">
        <v>6160</v>
      </c>
      <c r="FD767" s="67" t="s">
        <v>6161</v>
      </c>
      <c r="FE767" s="68" t="s">
        <v>6162</v>
      </c>
      <c r="FF767" s="68" t="s">
        <v>6163</v>
      </c>
    </row>
    <row r="768" spans="151:162" x14ac:dyDescent="0.2">
      <c r="EU768" s="67">
        <v>564.11500000000001</v>
      </c>
      <c r="EV768" s="67" t="s">
        <v>6164</v>
      </c>
      <c r="EW768" s="67">
        <v>487.21899999999999</v>
      </c>
      <c r="EX768" s="67" t="s">
        <v>6165</v>
      </c>
      <c r="EY768" s="67">
        <v>5657.18</v>
      </c>
      <c r="EZ768" s="67" t="s">
        <v>6166</v>
      </c>
      <c r="FA768" s="67">
        <v>20028.105</v>
      </c>
      <c r="FB768" s="67" t="s">
        <v>6167</v>
      </c>
      <c r="FC768" s="67" t="s">
        <v>6168</v>
      </c>
      <c r="FD768" s="67" t="s">
        <v>6169</v>
      </c>
      <c r="FE768" s="68" t="s">
        <v>6170</v>
      </c>
      <c r="FF768" s="68" t="s">
        <v>6171</v>
      </c>
    </row>
    <row r="769" spans="151:162" x14ac:dyDescent="0.2">
      <c r="EU769" s="67">
        <v>563.97</v>
      </c>
      <c r="EV769" s="67" t="s">
        <v>6172</v>
      </c>
      <c r="EW769" s="67">
        <v>487.16</v>
      </c>
      <c r="EX769" s="67" t="s">
        <v>6173</v>
      </c>
      <c r="EY769" s="67">
        <v>5656.28</v>
      </c>
      <c r="EZ769" s="67" t="s">
        <v>6174</v>
      </c>
      <c r="FA769" s="67">
        <v>20027.095000000001</v>
      </c>
      <c r="FB769" s="67" t="s">
        <v>6175</v>
      </c>
      <c r="FC769" s="67" t="s">
        <v>6176</v>
      </c>
      <c r="FD769" s="67" t="s">
        <v>6177</v>
      </c>
      <c r="FE769" s="68" t="s">
        <v>6178</v>
      </c>
      <c r="FF769" s="68" t="s">
        <v>6179</v>
      </c>
    </row>
    <row r="770" spans="151:162" x14ac:dyDescent="0.2">
      <c r="EU770" s="67">
        <v>563.85</v>
      </c>
      <c r="EV770" s="67" t="s">
        <v>6180</v>
      </c>
      <c r="EW770" s="67">
        <v>486.98</v>
      </c>
      <c r="EX770" s="67" t="s">
        <v>6181</v>
      </c>
      <c r="EY770" s="67">
        <v>5654.48</v>
      </c>
      <c r="EZ770" s="67" t="s">
        <v>6182</v>
      </c>
      <c r="FA770" s="67">
        <v>20018.146000000001</v>
      </c>
      <c r="FB770" s="67" t="s">
        <v>6183</v>
      </c>
      <c r="FC770" s="67" t="s">
        <v>6184</v>
      </c>
      <c r="FD770" s="67" t="s">
        <v>6185</v>
      </c>
      <c r="FE770" s="68" t="s">
        <v>6186</v>
      </c>
      <c r="FF770" s="68" t="s">
        <v>6187</v>
      </c>
    </row>
    <row r="771" spans="151:162" x14ac:dyDescent="0.2">
      <c r="EU771" s="67">
        <v>563.58000000000004</v>
      </c>
      <c r="EV771" s="67" t="s">
        <v>6188</v>
      </c>
      <c r="EW771" s="67">
        <v>486.71800000000002</v>
      </c>
      <c r="EX771" s="67" t="s">
        <v>6189</v>
      </c>
      <c r="EY771" s="67">
        <v>5651.88</v>
      </c>
      <c r="EZ771" s="67" t="s">
        <v>6190</v>
      </c>
      <c r="FA771" s="67">
        <v>20007.824000000001</v>
      </c>
      <c r="FB771" s="67" t="s">
        <v>6191</v>
      </c>
      <c r="FC771" s="67" t="s">
        <v>6192</v>
      </c>
      <c r="FD771" s="67" t="s">
        <v>6193</v>
      </c>
      <c r="FE771" s="68" t="s">
        <v>6194</v>
      </c>
      <c r="FF771" s="68" t="s">
        <v>6195</v>
      </c>
    </row>
    <row r="772" spans="151:162" x14ac:dyDescent="0.2">
      <c r="EU772" s="67">
        <v>564.09</v>
      </c>
      <c r="EV772" s="67" t="s">
        <v>6196</v>
      </c>
      <c r="EW772" s="67">
        <v>487.26</v>
      </c>
      <c r="EX772" s="67" t="s">
        <v>6197</v>
      </c>
      <c r="EY772" s="67">
        <v>5656.51</v>
      </c>
      <c r="EZ772" s="67" t="s">
        <v>6198</v>
      </c>
      <c r="FA772" s="67">
        <v>20023.595000000001</v>
      </c>
      <c r="FB772" s="67" t="s">
        <v>6199</v>
      </c>
      <c r="FC772" s="67" t="s">
        <v>6200</v>
      </c>
      <c r="FD772" s="67" t="s">
        <v>6201</v>
      </c>
      <c r="FE772" s="68" t="s">
        <v>6202</v>
      </c>
      <c r="FF772" s="68" t="s">
        <v>6203</v>
      </c>
    </row>
    <row r="773" spans="151:162" x14ac:dyDescent="0.2">
      <c r="EU773" s="67">
        <v>564.32000000000005</v>
      </c>
      <c r="EV773" s="67" t="s">
        <v>6204</v>
      </c>
      <c r="EW773" s="67">
        <v>487.45</v>
      </c>
      <c r="EX773" s="67" t="s">
        <v>6205</v>
      </c>
      <c r="EY773" s="67">
        <v>5658.31</v>
      </c>
      <c r="EZ773" s="67" t="s">
        <v>6206</v>
      </c>
      <c r="FA773" s="67">
        <v>20029.802</v>
      </c>
      <c r="FB773" s="67" t="s">
        <v>6207</v>
      </c>
      <c r="FC773" s="67" t="s">
        <v>6208</v>
      </c>
      <c r="FD773" s="67" t="s">
        <v>6209</v>
      </c>
      <c r="FE773" s="68" t="s">
        <v>6210</v>
      </c>
      <c r="FF773" s="68" t="s">
        <v>6211</v>
      </c>
    </row>
    <row r="774" spans="151:162" x14ac:dyDescent="0.2">
      <c r="EU774" s="67">
        <v>564.34</v>
      </c>
      <c r="EV774" s="67" t="s">
        <v>6212</v>
      </c>
      <c r="EW774" s="67">
        <v>487.48</v>
      </c>
      <c r="EX774" s="67" t="s">
        <v>6213</v>
      </c>
      <c r="EY774" s="67">
        <v>5659.15</v>
      </c>
      <c r="EZ774" s="67" t="s">
        <v>6214</v>
      </c>
      <c r="FA774" s="67">
        <v>20031.66</v>
      </c>
      <c r="FB774" s="67" t="s">
        <v>6215</v>
      </c>
      <c r="FC774" s="67" t="s">
        <v>6216</v>
      </c>
      <c r="FD774" s="67" t="s">
        <v>6217</v>
      </c>
      <c r="FE774" s="68" t="s">
        <v>6218</v>
      </c>
      <c r="FF774" s="68" t="s">
        <v>6219</v>
      </c>
    </row>
    <row r="775" spans="151:162" x14ac:dyDescent="0.2">
      <c r="EU775" s="67">
        <v>563.87</v>
      </c>
      <c r="EV775" s="67" t="s">
        <v>6220</v>
      </c>
      <c r="EW775" s="67">
        <v>487.06</v>
      </c>
      <c r="EX775" s="67" t="s">
        <v>6221</v>
      </c>
      <c r="EY775" s="67">
        <v>5655.39</v>
      </c>
      <c r="EZ775" s="67" t="s">
        <v>6222</v>
      </c>
      <c r="FA775" s="67">
        <v>20020.669999999998</v>
      </c>
      <c r="FB775" s="67" t="s">
        <v>6223</v>
      </c>
      <c r="FC775" s="67" t="s">
        <v>6224</v>
      </c>
      <c r="FD775" s="67" t="s">
        <v>6225</v>
      </c>
      <c r="FE775" s="68" t="s">
        <v>6226</v>
      </c>
      <c r="FF775" s="68" t="s">
        <v>6227</v>
      </c>
    </row>
    <row r="776" spans="151:162" x14ac:dyDescent="0.2">
      <c r="EU776" s="67">
        <v>564.11</v>
      </c>
      <c r="EV776" s="67" t="s">
        <v>6228</v>
      </c>
      <c r="EW776" s="67">
        <v>487.3</v>
      </c>
      <c r="EX776" s="67" t="s">
        <v>6229</v>
      </c>
      <c r="EY776" s="67">
        <v>5657.32</v>
      </c>
      <c r="EZ776" s="67" t="s">
        <v>6230</v>
      </c>
      <c r="FA776" s="67">
        <v>20028.565999999999</v>
      </c>
      <c r="FB776" s="67" t="s">
        <v>6231</v>
      </c>
      <c r="FC776" s="67" t="s">
        <v>6232</v>
      </c>
      <c r="FD776" s="67" t="s">
        <v>6233</v>
      </c>
      <c r="FE776" s="68" t="s">
        <v>6234</v>
      </c>
      <c r="FF776" s="68" t="s">
        <v>6235</v>
      </c>
    </row>
    <row r="777" spans="151:162" x14ac:dyDescent="0.2">
      <c r="EU777" s="67">
        <v>564.13</v>
      </c>
      <c r="EV777" s="67" t="s">
        <v>6236</v>
      </c>
      <c r="EW777" s="67">
        <v>487.36</v>
      </c>
      <c r="EX777" s="67" t="s">
        <v>6237</v>
      </c>
      <c r="EY777" s="67">
        <v>5657.51</v>
      </c>
      <c r="EZ777" s="67" t="s">
        <v>6238</v>
      </c>
      <c r="FA777" s="67">
        <v>20030.085999999999</v>
      </c>
      <c r="FB777" s="67" t="s">
        <v>6239</v>
      </c>
      <c r="FC777" s="67" t="s">
        <v>6240</v>
      </c>
      <c r="FD777" s="67" t="s">
        <v>6241</v>
      </c>
      <c r="FE777" s="68" t="s">
        <v>6242</v>
      </c>
      <c r="FF777" s="68" t="s">
        <v>6243</v>
      </c>
    </row>
    <row r="778" spans="151:162" x14ac:dyDescent="0.2">
      <c r="EU778" s="67">
        <v>564.17999999999995</v>
      </c>
      <c r="EV778" s="67" t="s">
        <v>6244</v>
      </c>
      <c r="EW778" s="67">
        <v>487.47</v>
      </c>
      <c r="EX778" s="67" t="s">
        <v>6245</v>
      </c>
      <c r="EY778" s="67">
        <v>5658.32</v>
      </c>
      <c r="EZ778" s="67" t="s">
        <v>6246</v>
      </c>
      <c r="FA778" s="67">
        <v>20035.312999999998</v>
      </c>
      <c r="FB778" s="67" t="s">
        <v>6247</v>
      </c>
      <c r="FC778" s="67" t="s">
        <v>6248</v>
      </c>
      <c r="FD778" s="67" t="s">
        <v>6249</v>
      </c>
      <c r="FE778" s="68" t="s">
        <v>6250</v>
      </c>
      <c r="FF778" s="68" t="s">
        <v>6251</v>
      </c>
    </row>
    <row r="779" spans="151:162" x14ac:dyDescent="0.2">
      <c r="EU779" s="67">
        <v>564.41999999999996</v>
      </c>
      <c r="EV779" s="67" t="s">
        <v>6252</v>
      </c>
      <c r="EW779" s="67">
        <v>487.67</v>
      </c>
      <c r="EX779" s="67" t="s">
        <v>6253</v>
      </c>
      <c r="EY779" s="67">
        <v>5660.37</v>
      </c>
      <c r="EZ779" s="67" t="s">
        <v>6254</v>
      </c>
      <c r="FA779" s="67">
        <v>20040.678</v>
      </c>
      <c r="FB779" s="67" t="s">
        <v>6255</v>
      </c>
      <c r="FC779" s="67" t="s">
        <v>6256</v>
      </c>
      <c r="FD779" s="67" t="s">
        <v>6257</v>
      </c>
      <c r="FE779" s="68" t="s">
        <v>6258</v>
      </c>
      <c r="FF779" s="68" t="s">
        <v>6259</v>
      </c>
    </row>
    <row r="780" spans="151:162" x14ac:dyDescent="0.2">
      <c r="EU780" s="67">
        <v>564.29499999999996</v>
      </c>
      <c r="EV780" s="67" t="s">
        <v>6260</v>
      </c>
      <c r="EW780" s="67">
        <v>487.5</v>
      </c>
      <c r="EX780" s="67" t="s">
        <v>6261</v>
      </c>
      <c r="EY780" s="67">
        <v>5659.73</v>
      </c>
      <c r="EZ780" s="67" t="s">
        <v>6262</v>
      </c>
      <c r="FA780" s="67">
        <v>20037.651999999998</v>
      </c>
      <c r="FB780" s="67" t="s">
        <v>6263</v>
      </c>
      <c r="FC780" s="67" t="s">
        <v>6264</v>
      </c>
      <c r="FD780" s="67" t="s">
        <v>6265</v>
      </c>
      <c r="FE780" s="68" t="s">
        <v>6266</v>
      </c>
      <c r="FF780" s="68" t="s">
        <v>6267</v>
      </c>
    </row>
    <row r="781" spans="151:162" x14ac:dyDescent="0.2">
      <c r="EU781" s="67">
        <v>564.34</v>
      </c>
      <c r="EV781" s="67" t="s">
        <v>6268</v>
      </c>
      <c r="EW781" s="67">
        <v>487.56</v>
      </c>
      <c r="EX781" s="67" t="s">
        <v>6269</v>
      </c>
      <c r="EY781" s="67">
        <v>5660.19</v>
      </c>
      <c r="EZ781" s="67" t="s">
        <v>6270</v>
      </c>
      <c r="FA781" s="67">
        <v>20038.990000000002</v>
      </c>
      <c r="FB781" s="67" t="s">
        <v>6271</v>
      </c>
      <c r="FC781" s="67" t="s">
        <v>6272</v>
      </c>
      <c r="FD781" s="67" t="s">
        <v>6273</v>
      </c>
      <c r="FE781" s="68" t="s">
        <v>6274</v>
      </c>
      <c r="FF781" s="68" t="s">
        <v>6275</v>
      </c>
    </row>
    <row r="782" spans="151:162" x14ac:dyDescent="0.2">
      <c r="EU782" s="67">
        <v>564.5</v>
      </c>
      <c r="EV782" s="67" t="s">
        <v>6276</v>
      </c>
      <c r="EW782" s="67">
        <v>487.74</v>
      </c>
      <c r="EX782" s="67" t="s">
        <v>6277</v>
      </c>
      <c r="EY782" s="67">
        <v>5660.53</v>
      </c>
      <c r="EZ782" s="67" t="s">
        <v>6278</v>
      </c>
      <c r="FA782" s="67">
        <v>20044.695</v>
      </c>
      <c r="FB782" s="67" t="s">
        <v>6279</v>
      </c>
      <c r="FC782" s="67" t="s">
        <v>6280</v>
      </c>
      <c r="FD782" s="67" t="s">
        <v>6281</v>
      </c>
      <c r="FE782" s="68" t="s">
        <v>6282</v>
      </c>
      <c r="FF782" s="68" t="s">
        <v>6283</v>
      </c>
    </row>
    <row r="783" spans="151:162" x14ac:dyDescent="0.2">
      <c r="EU783" s="67">
        <v>564.29</v>
      </c>
      <c r="EV783" s="67" t="s">
        <v>6284</v>
      </c>
      <c r="EW783" s="67">
        <v>487.55</v>
      </c>
      <c r="EX783" s="67" t="s">
        <v>6285</v>
      </c>
      <c r="EY783" s="67">
        <v>5659.13</v>
      </c>
      <c r="EZ783" s="67" t="s">
        <v>6286</v>
      </c>
      <c r="FA783" s="67">
        <v>20040.73</v>
      </c>
      <c r="FB783" s="67" t="s">
        <v>6287</v>
      </c>
      <c r="FC783" s="67" t="s">
        <v>6288</v>
      </c>
      <c r="FD783" s="67" t="s">
        <v>6289</v>
      </c>
      <c r="FE783" s="68" t="s">
        <v>6290</v>
      </c>
      <c r="FF783" s="68" t="s">
        <v>6291</v>
      </c>
    </row>
    <row r="784" spans="151:162" x14ac:dyDescent="0.2">
      <c r="EU784" s="67">
        <v>563.99</v>
      </c>
      <c r="EV784" s="67" t="s">
        <v>6292</v>
      </c>
      <c r="EW784" s="67">
        <v>487.34500000000003</v>
      </c>
      <c r="EX784" s="67" t="s">
        <v>6293</v>
      </c>
      <c r="EY784" s="67">
        <v>5656.41</v>
      </c>
      <c r="EZ784" s="67" t="s">
        <v>6294</v>
      </c>
      <c r="FA784" s="67">
        <v>20031.214</v>
      </c>
      <c r="FB784" s="67" t="s">
        <v>6295</v>
      </c>
      <c r="FC784" s="67" t="s">
        <v>6296</v>
      </c>
      <c r="FD784" s="67" t="s">
        <v>6297</v>
      </c>
      <c r="FE784" s="68" t="s">
        <v>6298</v>
      </c>
      <c r="FF784" s="68" t="s">
        <v>6299</v>
      </c>
    </row>
    <row r="785" spans="151:162" x14ac:dyDescent="0.2">
      <c r="EU785" s="67">
        <v>564.02</v>
      </c>
      <c r="EV785" s="67" t="s">
        <v>6300</v>
      </c>
      <c r="EW785" s="67">
        <v>487.32</v>
      </c>
      <c r="EX785" s="67" t="s">
        <v>6301</v>
      </c>
      <c r="EY785" s="67">
        <v>5656.42</v>
      </c>
      <c r="EZ785" s="67" t="s">
        <v>6302</v>
      </c>
      <c r="FA785" s="67">
        <v>20030.607</v>
      </c>
      <c r="FB785" s="67" t="s">
        <v>6303</v>
      </c>
      <c r="FC785" s="67" t="s">
        <v>6304</v>
      </c>
      <c r="FD785" s="67" t="s">
        <v>6305</v>
      </c>
      <c r="FE785" s="68" t="s">
        <v>6306</v>
      </c>
      <c r="FF785" s="68" t="s">
        <v>6307</v>
      </c>
    </row>
    <row r="786" spans="151:162" x14ac:dyDescent="0.2">
      <c r="EU786" s="67">
        <v>563.91499999999996</v>
      </c>
      <c r="EV786" s="67" t="s">
        <v>6308</v>
      </c>
      <c r="EW786" s="67">
        <v>487.28</v>
      </c>
      <c r="EX786" s="67" t="s">
        <v>6309</v>
      </c>
      <c r="EY786" s="67">
        <v>5655.6</v>
      </c>
      <c r="EZ786" s="67" t="s">
        <v>6310</v>
      </c>
      <c r="FA786" s="67">
        <v>20029.098999999998</v>
      </c>
      <c r="FB786" s="67" t="s">
        <v>6311</v>
      </c>
      <c r="FC786" s="67" t="s">
        <v>6312</v>
      </c>
      <c r="FD786" s="67" t="s">
        <v>6313</v>
      </c>
      <c r="FE786" s="68" t="s">
        <v>6314</v>
      </c>
      <c r="FF786" s="68" t="s">
        <v>6315</v>
      </c>
    </row>
    <row r="787" spans="151:162" x14ac:dyDescent="0.2">
      <c r="EU787" s="67">
        <v>563.97</v>
      </c>
      <c r="EV787" s="67" t="s">
        <v>6316</v>
      </c>
      <c r="EW787" s="67">
        <v>487.32</v>
      </c>
      <c r="EX787" s="67" t="s">
        <v>6317</v>
      </c>
      <c r="EY787" s="67">
        <v>5655.68</v>
      </c>
      <c r="EZ787" s="67" t="s">
        <v>6318</v>
      </c>
      <c r="FA787" s="67">
        <v>20029.957999999999</v>
      </c>
      <c r="FB787" s="67" t="s">
        <v>6319</v>
      </c>
      <c r="FC787" s="67" t="s">
        <v>6320</v>
      </c>
      <c r="FD787" s="67" t="s">
        <v>6321</v>
      </c>
      <c r="FE787" s="68" t="s">
        <v>6322</v>
      </c>
      <c r="FF787" s="68" t="s">
        <v>6323</v>
      </c>
    </row>
    <row r="788" spans="151:162" x14ac:dyDescent="0.2">
      <c r="EU788" s="67">
        <v>563.83000000000004</v>
      </c>
      <c r="EV788" s="67" t="s">
        <v>6324</v>
      </c>
      <c r="EW788" s="67">
        <v>487.19</v>
      </c>
      <c r="EX788" s="67" t="s">
        <v>6325</v>
      </c>
      <c r="EY788" s="67">
        <v>5654.57</v>
      </c>
      <c r="EZ788" s="67" t="s">
        <v>6326</v>
      </c>
      <c r="FA788" s="67">
        <v>20026.281999999999</v>
      </c>
      <c r="FB788" s="67" t="s">
        <v>6327</v>
      </c>
      <c r="FC788" s="67" t="s">
        <v>6328</v>
      </c>
      <c r="FD788" s="67" t="s">
        <v>6329</v>
      </c>
      <c r="FE788" s="68" t="s">
        <v>6330</v>
      </c>
      <c r="FF788" s="68" t="s">
        <v>6331</v>
      </c>
    </row>
    <row r="789" spans="151:162" x14ac:dyDescent="0.2">
      <c r="EU789" s="67">
        <v>563.88</v>
      </c>
      <c r="EV789" s="67" t="s">
        <v>6332</v>
      </c>
      <c r="EW789" s="67">
        <v>487.26</v>
      </c>
      <c r="EX789" s="67" t="s">
        <v>6333</v>
      </c>
      <c r="EY789" s="67">
        <v>5655.24</v>
      </c>
      <c r="EZ789" s="67" t="s">
        <v>6334</v>
      </c>
      <c r="FA789" s="67">
        <v>20031.107</v>
      </c>
      <c r="FB789" s="67" t="s">
        <v>6335</v>
      </c>
      <c r="FC789" s="67" t="s">
        <v>6336</v>
      </c>
      <c r="FD789" s="67" t="s">
        <v>6337</v>
      </c>
      <c r="FE789" s="68" t="s">
        <v>6338</v>
      </c>
      <c r="FF789" s="68" t="s">
        <v>6339</v>
      </c>
    </row>
    <row r="790" spans="151:162" x14ac:dyDescent="0.2">
      <c r="EU790" s="67">
        <v>563.89</v>
      </c>
      <c r="EV790" s="67" t="s">
        <v>6340</v>
      </c>
      <c r="EW790" s="67">
        <v>487.3</v>
      </c>
      <c r="EX790" s="67" t="s">
        <v>6341</v>
      </c>
      <c r="EY790" s="67">
        <v>5654.65</v>
      </c>
      <c r="EZ790" s="67" t="s">
        <v>6342</v>
      </c>
      <c r="FA790" s="67">
        <v>20027.368999999999</v>
      </c>
      <c r="FB790" s="67" t="s">
        <v>6343</v>
      </c>
      <c r="FC790" s="67" t="s">
        <v>6344</v>
      </c>
      <c r="FD790" s="67" t="s">
        <v>6345</v>
      </c>
      <c r="FE790" s="68" t="s">
        <v>6346</v>
      </c>
      <c r="FF790" s="68" t="s">
        <v>6347</v>
      </c>
    </row>
    <row r="791" spans="151:162" x14ac:dyDescent="0.2">
      <c r="EU791" s="67">
        <v>563.6</v>
      </c>
      <c r="EV791" s="67" t="s">
        <v>6348</v>
      </c>
      <c r="EW791" s="67">
        <v>487.19</v>
      </c>
      <c r="EX791" s="67" t="s">
        <v>6349</v>
      </c>
      <c r="EY791" s="67">
        <v>5652.7</v>
      </c>
      <c r="EZ791" s="67" t="s">
        <v>6350</v>
      </c>
      <c r="FA791" s="67">
        <v>20027.379000000001</v>
      </c>
      <c r="FB791" s="67" t="s">
        <v>6351</v>
      </c>
      <c r="FC791" s="67" t="s">
        <v>6352</v>
      </c>
      <c r="FD791" s="67" t="s">
        <v>6353</v>
      </c>
      <c r="FE791" s="68" t="s">
        <v>6354</v>
      </c>
      <c r="FF791" s="68" t="s">
        <v>6355</v>
      </c>
    </row>
    <row r="792" spans="151:162" x14ac:dyDescent="0.2">
      <c r="EU792" s="67">
        <v>563.73</v>
      </c>
      <c r="EV792" s="67" t="s">
        <v>6356</v>
      </c>
      <c r="EW792" s="67">
        <v>487.28899999999999</v>
      </c>
      <c r="EX792" s="67" t="s">
        <v>6357</v>
      </c>
      <c r="EY792" s="67">
        <v>5653.77</v>
      </c>
      <c r="EZ792" s="67" t="s">
        <v>6358</v>
      </c>
      <c r="FA792" s="67">
        <v>20029.487000000001</v>
      </c>
      <c r="FB792" s="67" t="s">
        <v>6359</v>
      </c>
      <c r="FC792" s="67" t="s">
        <v>6360</v>
      </c>
      <c r="FD792" s="67" t="s">
        <v>6361</v>
      </c>
      <c r="FE792" s="68" t="s">
        <v>6362</v>
      </c>
      <c r="FF792" s="68" t="s">
        <v>6363</v>
      </c>
    </row>
    <row r="793" spans="151:162" x14ac:dyDescent="0.2">
      <c r="EU793" s="67">
        <v>563.73</v>
      </c>
      <c r="EV793" s="67" t="s">
        <v>6364</v>
      </c>
      <c r="EW793" s="67">
        <v>487.28899999999999</v>
      </c>
      <c r="EX793" s="67" t="s">
        <v>6365</v>
      </c>
      <c r="EY793" s="67">
        <v>5653.77</v>
      </c>
      <c r="EZ793" s="67" t="s">
        <v>6366</v>
      </c>
      <c r="FA793" s="67">
        <v>20029.487000000001</v>
      </c>
      <c r="FB793" s="67" t="s">
        <v>6367</v>
      </c>
      <c r="FC793" s="67" t="s">
        <v>6368</v>
      </c>
      <c r="FD793" s="67" t="s">
        <v>6369</v>
      </c>
      <c r="FE793" s="68" t="s">
        <v>6370</v>
      </c>
      <c r="FF793" s="68" t="s">
        <v>6371</v>
      </c>
    </row>
    <row r="794" spans="151:162" x14ac:dyDescent="0.2">
      <c r="EU794" s="67">
        <v>563.75</v>
      </c>
      <c r="EV794" s="67" t="s">
        <v>6372</v>
      </c>
      <c r="EW794" s="67">
        <v>487.21</v>
      </c>
      <c r="EX794" s="67" t="s">
        <v>6373</v>
      </c>
      <c r="EY794" s="67">
        <v>5653.18</v>
      </c>
      <c r="EZ794" s="67" t="s">
        <v>6374</v>
      </c>
      <c r="FA794" s="67">
        <v>20022.608</v>
      </c>
      <c r="FB794" s="67" t="s">
        <v>6375</v>
      </c>
      <c r="FC794" s="67" t="s">
        <v>6376</v>
      </c>
      <c r="FD794" s="67" t="s">
        <v>6377</v>
      </c>
      <c r="FE794" s="68" t="s">
        <v>6378</v>
      </c>
      <c r="FF794" s="68" t="s">
        <v>6379</v>
      </c>
    </row>
    <row r="795" spans="151:162" x14ac:dyDescent="0.2">
      <c r="EU795" s="67">
        <v>563.69000000000005</v>
      </c>
      <c r="EV795" s="67" t="s">
        <v>6380</v>
      </c>
      <c r="EW795" s="67">
        <v>487.20499999999998</v>
      </c>
      <c r="EX795" s="67" t="s">
        <v>6381</v>
      </c>
      <c r="EY795" s="67">
        <v>5652.91</v>
      </c>
      <c r="EZ795" s="67" t="s">
        <v>6382</v>
      </c>
      <c r="FA795" s="67">
        <v>20023.831999999999</v>
      </c>
      <c r="FB795" s="67" t="s">
        <v>6383</v>
      </c>
      <c r="FC795" s="67" t="s">
        <v>6384</v>
      </c>
      <c r="FD795" s="67" t="s">
        <v>6385</v>
      </c>
      <c r="FE795" s="68" t="s">
        <v>6386</v>
      </c>
      <c r="FF795" s="68" t="s">
        <v>6387</v>
      </c>
    </row>
    <row r="796" spans="151:162" x14ac:dyDescent="0.2">
      <c r="EU796" s="67">
        <v>563.64</v>
      </c>
      <c r="EV796" s="67" t="s">
        <v>6388</v>
      </c>
      <c r="EW796" s="67">
        <v>487.18</v>
      </c>
      <c r="EX796" s="67" t="s">
        <v>6389</v>
      </c>
      <c r="EY796" s="67">
        <v>5652.24</v>
      </c>
      <c r="EZ796" s="67" t="s">
        <v>6390</v>
      </c>
      <c r="FA796" s="67">
        <v>20021.748</v>
      </c>
      <c r="FB796" s="67" t="s">
        <v>6391</v>
      </c>
      <c r="FC796" s="67" t="s">
        <v>6392</v>
      </c>
      <c r="FD796" s="67" t="s">
        <v>6393</v>
      </c>
      <c r="FE796" s="68" t="s">
        <v>6394</v>
      </c>
      <c r="FF796" s="68" t="s">
        <v>6395</v>
      </c>
    </row>
    <row r="797" spans="151:162" x14ac:dyDescent="0.2">
      <c r="EU797" s="67">
        <v>563.51</v>
      </c>
      <c r="EV797" s="67" t="s">
        <v>6396</v>
      </c>
      <c r="EW797" s="67">
        <v>487.02</v>
      </c>
      <c r="EX797" s="67" t="s">
        <v>6397</v>
      </c>
      <c r="EY797" s="67">
        <v>5650.61</v>
      </c>
      <c r="EZ797" s="67" t="s">
        <v>6398</v>
      </c>
      <c r="FA797" s="67">
        <v>20015.826000000001</v>
      </c>
      <c r="FB797" s="67" t="s">
        <v>6399</v>
      </c>
      <c r="FC797" s="67" t="s">
        <v>6400</v>
      </c>
      <c r="FD797" s="67" t="s">
        <v>6401</v>
      </c>
      <c r="FE797" s="68" t="s">
        <v>6402</v>
      </c>
      <c r="FF797" s="68" t="s">
        <v>6403</v>
      </c>
    </row>
    <row r="798" spans="151:162" x14ac:dyDescent="0.2">
      <c r="EU798" s="67">
        <v>563.47</v>
      </c>
      <c r="EV798" s="67" t="s">
        <v>6404</v>
      </c>
      <c r="EW798" s="67">
        <v>486.96</v>
      </c>
      <c r="EX798" s="67" t="s">
        <v>6405</v>
      </c>
      <c r="EY798" s="67">
        <v>5650.35</v>
      </c>
      <c r="EZ798" s="67" t="s">
        <v>6406</v>
      </c>
      <c r="FA798" s="67">
        <v>20013.37</v>
      </c>
      <c r="FB798" s="67" t="s">
        <v>6407</v>
      </c>
      <c r="FC798" s="67" t="s">
        <v>6408</v>
      </c>
      <c r="FD798" s="67" t="s">
        <v>6409</v>
      </c>
      <c r="FE798" s="68" t="s">
        <v>6410</v>
      </c>
      <c r="FF798" s="68" t="s">
        <v>6411</v>
      </c>
    </row>
    <row r="799" spans="151:162" x14ac:dyDescent="0.2">
      <c r="EU799" s="67">
        <v>563.4</v>
      </c>
      <c r="EV799" s="67" t="s">
        <v>6412</v>
      </c>
      <c r="EW799" s="67">
        <v>486.91</v>
      </c>
      <c r="EX799" s="67" t="s">
        <v>6413</v>
      </c>
      <c r="EY799" s="67">
        <v>5649.85</v>
      </c>
      <c r="EZ799" s="67" t="s">
        <v>6414</v>
      </c>
      <c r="FA799" s="67">
        <v>20011.766</v>
      </c>
      <c r="FB799" s="67" t="s">
        <v>6415</v>
      </c>
      <c r="FC799" s="67" t="s">
        <v>6416</v>
      </c>
      <c r="FD799" s="67" t="s">
        <v>6417</v>
      </c>
      <c r="FE799" s="68" t="s">
        <v>6418</v>
      </c>
      <c r="FF799" s="68" t="s">
        <v>6419</v>
      </c>
    </row>
    <row r="800" spans="151:162" x14ac:dyDescent="0.2">
      <c r="EU800" s="67">
        <v>563.45500000000004</v>
      </c>
      <c r="EV800" s="67" t="s">
        <v>6420</v>
      </c>
      <c r="EW800" s="67">
        <v>486.97</v>
      </c>
      <c r="EX800" s="67" t="s">
        <v>6421</v>
      </c>
      <c r="EY800" s="67">
        <v>5650.1</v>
      </c>
      <c r="EZ800" s="67" t="s">
        <v>6422</v>
      </c>
      <c r="FA800" s="67">
        <v>20014.072</v>
      </c>
      <c r="FB800" s="67" t="s">
        <v>6423</v>
      </c>
      <c r="FC800" s="67" t="s">
        <v>6424</v>
      </c>
      <c r="FD800" s="67" t="s">
        <v>6425</v>
      </c>
      <c r="FE800" s="68" t="s">
        <v>6426</v>
      </c>
      <c r="FF800" s="68" t="s">
        <v>6427</v>
      </c>
    </row>
    <row r="801" spans="151:162" x14ac:dyDescent="0.2">
      <c r="EU801" s="67">
        <v>563.59</v>
      </c>
      <c r="EV801" s="67" t="s">
        <v>6428</v>
      </c>
      <c r="EW801" s="67">
        <v>487.11</v>
      </c>
      <c r="EX801" s="67" t="s">
        <v>6429</v>
      </c>
      <c r="EY801" s="67">
        <v>5651.69</v>
      </c>
      <c r="EZ801" s="67" t="s">
        <v>6430</v>
      </c>
      <c r="FA801" s="67">
        <v>20019.441999999999</v>
      </c>
      <c r="FB801" s="67" t="s">
        <v>6431</v>
      </c>
      <c r="FC801" s="67" t="s">
        <v>6432</v>
      </c>
      <c r="FD801" s="67" t="s">
        <v>6433</v>
      </c>
      <c r="FE801" s="68" t="s">
        <v>6434</v>
      </c>
      <c r="FF801" s="68" t="s">
        <v>6435</v>
      </c>
    </row>
    <row r="802" spans="151:162" x14ac:dyDescent="0.2">
      <c r="EU802" s="67">
        <v>563.41499999999996</v>
      </c>
      <c r="EV802" s="67" t="s">
        <v>6436</v>
      </c>
      <c r="EW802" s="67">
        <v>486.97</v>
      </c>
      <c r="EX802" s="67" t="s">
        <v>6437</v>
      </c>
      <c r="EY802" s="67">
        <v>5650.54</v>
      </c>
      <c r="EZ802" s="67" t="s">
        <v>6438</v>
      </c>
      <c r="FA802" s="67">
        <v>20015.541000000001</v>
      </c>
      <c r="FB802" s="67" t="s">
        <v>6439</v>
      </c>
      <c r="FC802" s="67" t="s">
        <v>6440</v>
      </c>
      <c r="FD802" s="67" t="s">
        <v>6441</v>
      </c>
      <c r="FE802" s="68" t="s">
        <v>6442</v>
      </c>
      <c r="FF802" s="68" t="s">
        <v>6443</v>
      </c>
    </row>
    <row r="803" spans="151:162" x14ac:dyDescent="0.2">
      <c r="EU803" s="67">
        <v>563.51</v>
      </c>
      <c r="EV803" s="67" t="s">
        <v>6444</v>
      </c>
      <c r="EW803" s="67">
        <v>487.01</v>
      </c>
      <c r="EX803" s="67" t="s">
        <v>6445</v>
      </c>
      <c r="EY803" s="67">
        <v>5651.23</v>
      </c>
      <c r="EZ803" s="67" t="s">
        <v>6446</v>
      </c>
      <c r="FA803" s="67">
        <v>20018.595000000001</v>
      </c>
      <c r="FB803" s="67" t="s">
        <v>6447</v>
      </c>
      <c r="FC803" s="67" t="s">
        <v>6448</v>
      </c>
      <c r="FD803" s="67" t="s">
        <v>6449</v>
      </c>
      <c r="FE803" s="68" t="s">
        <v>6450</v>
      </c>
      <c r="FF803" s="68" t="s">
        <v>6451</v>
      </c>
    </row>
    <row r="804" spans="151:162" x14ac:dyDescent="0.2">
      <c r="EU804" s="67">
        <v>563.41999999999996</v>
      </c>
      <c r="EV804" s="67" t="s">
        <v>6452</v>
      </c>
      <c r="EW804" s="67">
        <v>486.95</v>
      </c>
      <c r="EX804" s="67" t="s">
        <v>6453</v>
      </c>
      <c r="EY804" s="67">
        <v>5650.49</v>
      </c>
      <c r="EZ804" s="67" t="s">
        <v>6454</v>
      </c>
      <c r="FA804" s="67">
        <v>20016.146000000001</v>
      </c>
      <c r="FB804" s="67" t="s">
        <v>6455</v>
      </c>
      <c r="FC804" s="67" t="s">
        <v>6456</v>
      </c>
      <c r="FD804" s="67" t="s">
        <v>6457</v>
      </c>
      <c r="FE804" s="68" t="s">
        <v>6458</v>
      </c>
      <c r="FF804" s="68" t="s">
        <v>6459</v>
      </c>
    </row>
    <row r="805" spans="151:162" x14ac:dyDescent="0.2">
      <c r="EU805" s="67">
        <v>563.20000000000005</v>
      </c>
      <c r="EV805" s="67" t="s">
        <v>6460</v>
      </c>
      <c r="EW805" s="67">
        <v>486.74</v>
      </c>
      <c r="EX805" s="67" t="s">
        <v>6461</v>
      </c>
      <c r="EY805" s="67">
        <v>5648.3</v>
      </c>
      <c r="EZ805" s="67" t="s">
        <v>6462</v>
      </c>
      <c r="FA805" s="67">
        <v>20006.91</v>
      </c>
      <c r="FB805" s="67" t="s">
        <v>6463</v>
      </c>
      <c r="FC805" s="67" t="s">
        <v>6464</v>
      </c>
      <c r="FD805" s="67" t="s">
        <v>6465</v>
      </c>
      <c r="FE805" s="68" t="s">
        <v>6466</v>
      </c>
      <c r="FF805" s="68" t="s">
        <v>6467</v>
      </c>
    </row>
    <row r="806" spans="151:162" x14ac:dyDescent="0.2">
      <c r="EU806" s="67">
        <v>563.41</v>
      </c>
      <c r="EV806" s="67" t="s">
        <v>6468</v>
      </c>
      <c r="EW806" s="67">
        <v>486.90600000000001</v>
      </c>
      <c r="EX806" s="67" t="s">
        <v>6469</v>
      </c>
      <c r="EY806" s="67">
        <v>5650.25</v>
      </c>
      <c r="EZ806" s="67" t="s">
        <v>6470</v>
      </c>
      <c r="FA806" s="67">
        <v>20014.986000000001</v>
      </c>
      <c r="FB806" s="67" t="s">
        <v>6471</v>
      </c>
      <c r="FC806" s="67" t="s">
        <v>6472</v>
      </c>
      <c r="FD806" s="67" t="s">
        <v>6473</v>
      </c>
      <c r="FE806" s="68" t="s">
        <v>6474</v>
      </c>
      <c r="FF806" s="68" t="s">
        <v>6475</v>
      </c>
    </row>
    <row r="807" spans="151:162" x14ac:dyDescent="0.2">
      <c r="EU807" s="67">
        <v>563.41999999999996</v>
      </c>
      <c r="EV807" s="67" t="s">
        <v>6476</v>
      </c>
      <c r="EW807" s="67">
        <v>486.86</v>
      </c>
      <c r="EX807" s="67" t="s">
        <v>6477</v>
      </c>
      <c r="EY807" s="67">
        <v>5650.21</v>
      </c>
      <c r="EZ807" s="67" t="s">
        <v>6478</v>
      </c>
      <c r="FA807" s="67">
        <v>20011.059000000001</v>
      </c>
      <c r="FB807" s="67" t="s">
        <v>6479</v>
      </c>
      <c r="FC807" s="67" t="s">
        <v>6480</v>
      </c>
      <c r="FD807" s="67" t="s">
        <v>6481</v>
      </c>
      <c r="FE807" s="68" t="s">
        <v>6482</v>
      </c>
      <c r="FF807" s="68" t="s">
        <v>6483</v>
      </c>
    </row>
    <row r="808" spans="151:162" x14ac:dyDescent="0.2">
      <c r="EU808" s="67">
        <v>563.53</v>
      </c>
      <c r="EV808" s="67" t="s">
        <v>6484</v>
      </c>
      <c r="EW808" s="67">
        <v>486.94</v>
      </c>
      <c r="EX808" s="67" t="s">
        <v>6485</v>
      </c>
      <c r="EY808" s="67">
        <v>5650.82</v>
      </c>
      <c r="EZ808" s="67" t="s">
        <v>6486</v>
      </c>
      <c r="FA808" s="67">
        <v>20012.438999999998</v>
      </c>
      <c r="FB808" s="67" t="s">
        <v>6487</v>
      </c>
      <c r="FC808" s="67" t="s">
        <v>6488</v>
      </c>
      <c r="FD808" s="67" t="s">
        <v>6489</v>
      </c>
      <c r="FE808" s="68" t="s">
        <v>6490</v>
      </c>
      <c r="FF808" s="68" t="s">
        <v>6491</v>
      </c>
    </row>
    <row r="809" spans="151:162" x14ac:dyDescent="0.2">
      <c r="EU809" s="67">
        <v>563.78</v>
      </c>
      <c r="EV809" s="67" t="s">
        <v>6492</v>
      </c>
      <c r="EW809" s="67">
        <v>487.2</v>
      </c>
      <c r="EX809" s="67" t="s">
        <v>6493</v>
      </c>
      <c r="EY809" s="67">
        <v>5652.95</v>
      </c>
      <c r="EZ809" s="67" t="s">
        <v>6494</v>
      </c>
      <c r="FA809" s="67">
        <v>20020.46</v>
      </c>
      <c r="FB809" s="67" t="s">
        <v>6495</v>
      </c>
      <c r="FC809" s="67" t="s">
        <v>6496</v>
      </c>
      <c r="FD809" s="67" t="s">
        <v>6497</v>
      </c>
      <c r="FE809" s="68" t="s">
        <v>6498</v>
      </c>
      <c r="FF809" s="68" t="s">
        <v>6499</v>
      </c>
    </row>
    <row r="810" spans="151:162" x14ac:dyDescent="0.2">
      <c r="EU810" s="67">
        <v>564.11</v>
      </c>
      <c r="EV810" s="67" t="s">
        <v>6500</v>
      </c>
      <c r="EW810" s="67">
        <v>487.54</v>
      </c>
      <c r="EX810" s="67" t="s">
        <v>6501</v>
      </c>
      <c r="EY810" s="67">
        <v>5656.48</v>
      </c>
      <c r="EZ810" s="67" t="s">
        <v>6502</v>
      </c>
      <c r="FA810" s="67">
        <v>20034.526000000002</v>
      </c>
      <c r="FB810" s="67" t="s">
        <v>6503</v>
      </c>
      <c r="FC810" s="67" t="s">
        <v>6504</v>
      </c>
      <c r="FD810" s="67" t="s">
        <v>6505</v>
      </c>
      <c r="FE810" s="68" t="s">
        <v>6506</v>
      </c>
      <c r="FF810" s="68" t="s">
        <v>6507</v>
      </c>
    </row>
    <row r="811" spans="151:162" x14ac:dyDescent="0.2">
      <c r="EU811" s="67">
        <v>563.99</v>
      </c>
      <c r="EV811" s="67" t="s">
        <v>6508</v>
      </c>
      <c r="EW811" s="67">
        <v>487.42</v>
      </c>
      <c r="EX811" s="67" t="s">
        <v>6509</v>
      </c>
      <c r="EY811" s="67">
        <v>5655.51</v>
      </c>
      <c r="EZ811" s="67" t="s">
        <v>6510</v>
      </c>
      <c r="FA811" s="67">
        <v>20031.257000000001</v>
      </c>
      <c r="FB811" s="67" t="s">
        <v>6511</v>
      </c>
      <c r="FC811" s="67" t="s">
        <v>6512</v>
      </c>
      <c r="FD811" s="67" t="s">
        <v>6513</v>
      </c>
      <c r="FE811" s="68" t="s">
        <v>6514</v>
      </c>
      <c r="FF811" s="68" t="s">
        <v>6515</v>
      </c>
    </row>
    <row r="812" spans="151:162" x14ac:dyDescent="0.2">
      <c r="EU812" s="67">
        <v>563.75</v>
      </c>
      <c r="EV812" s="67" t="s">
        <v>6516</v>
      </c>
      <c r="EW812" s="67">
        <v>487.21</v>
      </c>
      <c r="EX812" s="67" t="s">
        <v>6517</v>
      </c>
      <c r="EY812" s="67">
        <v>5653.83</v>
      </c>
      <c r="EZ812" s="67" t="s">
        <v>6518</v>
      </c>
      <c r="FA812" s="67">
        <v>20025.100999999999</v>
      </c>
      <c r="FB812" s="67" t="s">
        <v>6519</v>
      </c>
      <c r="FC812" s="67" t="s">
        <v>6520</v>
      </c>
      <c r="FD812" s="67" t="s">
        <v>6521</v>
      </c>
      <c r="FE812" s="68" t="s">
        <v>6522</v>
      </c>
      <c r="FF812" s="68" t="s">
        <v>6523</v>
      </c>
    </row>
    <row r="813" spans="151:162" x14ac:dyDescent="0.2">
      <c r="EU813" s="67">
        <v>563.66999999999996</v>
      </c>
      <c r="EV813" s="67" t="s">
        <v>6524</v>
      </c>
      <c r="EW813" s="67">
        <v>487.09</v>
      </c>
      <c r="EX813" s="67" t="s">
        <v>6525</v>
      </c>
      <c r="EY813" s="67">
        <v>5653.32</v>
      </c>
      <c r="EZ813" s="67" t="s">
        <v>6526</v>
      </c>
      <c r="FA813" s="67">
        <v>20024.460999999999</v>
      </c>
      <c r="FB813" s="67" t="s">
        <v>6527</v>
      </c>
      <c r="FC813" s="67" t="s">
        <v>6528</v>
      </c>
      <c r="FD813" s="67" t="s">
        <v>6529</v>
      </c>
      <c r="FE813" s="68" t="s">
        <v>6530</v>
      </c>
      <c r="FF813" s="68" t="s">
        <v>6531</v>
      </c>
    </row>
    <row r="814" spans="151:162" x14ac:dyDescent="0.2">
      <c r="EU814" s="67">
        <v>563.47</v>
      </c>
      <c r="EV814" s="67" t="s">
        <v>6532</v>
      </c>
      <c r="EW814" s="67">
        <v>486.83</v>
      </c>
      <c r="EX814" s="67" t="s">
        <v>6533</v>
      </c>
      <c r="EY814" s="67">
        <v>5650.61</v>
      </c>
      <c r="EZ814" s="67" t="s">
        <v>6534</v>
      </c>
      <c r="FA814" s="67">
        <v>20012.349999999999</v>
      </c>
      <c r="FB814" s="67" t="s">
        <v>6535</v>
      </c>
      <c r="FC814" s="67" t="s">
        <v>6536</v>
      </c>
      <c r="FD814" s="67" t="s">
        <v>6537</v>
      </c>
      <c r="FE814" s="68" t="s">
        <v>6538</v>
      </c>
      <c r="FF814" s="68" t="s">
        <v>6539</v>
      </c>
    </row>
    <row r="815" spans="151:162" x14ac:dyDescent="0.2">
      <c r="EU815" s="67">
        <v>563.96</v>
      </c>
      <c r="EV815" s="67" t="s">
        <v>6540</v>
      </c>
      <c r="EW815" s="67">
        <v>487.33</v>
      </c>
      <c r="EX815" s="67" t="s">
        <v>6541</v>
      </c>
      <c r="EY815" s="67">
        <v>5654.86</v>
      </c>
      <c r="EZ815" s="67" t="s">
        <v>6542</v>
      </c>
      <c r="FA815" s="67">
        <v>20025.223000000002</v>
      </c>
      <c r="FB815" s="67" t="s">
        <v>6543</v>
      </c>
      <c r="FC815" s="67" t="s">
        <v>6544</v>
      </c>
      <c r="FD815" s="67" t="s">
        <v>6545</v>
      </c>
      <c r="FE815" s="68" t="s">
        <v>6546</v>
      </c>
      <c r="FF815" s="68" t="s">
        <v>6547</v>
      </c>
    </row>
    <row r="816" spans="151:162" x14ac:dyDescent="0.2">
      <c r="EU816" s="67">
        <v>564.04999999999995</v>
      </c>
      <c r="EV816" s="67" t="s">
        <v>6548</v>
      </c>
      <c r="EW816" s="67">
        <v>487.42</v>
      </c>
      <c r="EX816" s="67" t="s">
        <v>6549</v>
      </c>
      <c r="EY816" s="67">
        <v>5656.08</v>
      </c>
      <c r="EZ816" s="67" t="s">
        <v>6550</v>
      </c>
      <c r="FA816" s="67">
        <v>20031.314999999999</v>
      </c>
      <c r="FB816" s="67" t="s">
        <v>6551</v>
      </c>
      <c r="FC816" s="67" t="s">
        <v>6552</v>
      </c>
      <c r="FD816" s="67" t="s">
        <v>6553</v>
      </c>
      <c r="FE816" s="68" t="s">
        <v>6554</v>
      </c>
      <c r="FF816" s="68" t="s">
        <v>6555</v>
      </c>
    </row>
    <row r="817" spans="151:162" x14ac:dyDescent="0.2">
      <c r="EU817" s="67">
        <v>564.13</v>
      </c>
      <c r="EV817" s="67" t="s">
        <v>6556</v>
      </c>
      <c r="EW817" s="67">
        <v>487.5</v>
      </c>
      <c r="EX817" s="67" t="s">
        <v>6557</v>
      </c>
      <c r="EY817" s="67">
        <v>5656.99</v>
      </c>
      <c r="EZ817" s="67" t="s">
        <v>6558</v>
      </c>
      <c r="FA817" s="67">
        <v>20034.580999999998</v>
      </c>
      <c r="FB817" s="67" t="s">
        <v>6559</v>
      </c>
      <c r="FC817" s="67" t="s">
        <v>6560</v>
      </c>
      <c r="FD817" s="67" t="s">
        <v>6561</v>
      </c>
      <c r="FE817" s="68" t="s">
        <v>6562</v>
      </c>
      <c r="FF817" s="68" t="s">
        <v>6563</v>
      </c>
    </row>
    <row r="818" spans="151:162" x14ac:dyDescent="0.2">
      <c r="EU818" s="67">
        <v>564.14</v>
      </c>
      <c r="EV818" s="67" t="s">
        <v>6564</v>
      </c>
      <c r="EW818" s="67">
        <v>487.51</v>
      </c>
      <c r="EX818" s="67" t="s">
        <v>6565</v>
      </c>
      <c r="EY818" s="67">
        <v>5657.23</v>
      </c>
      <c r="EZ818" s="67" t="s">
        <v>6566</v>
      </c>
      <c r="FA818" s="67">
        <v>20034.03</v>
      </c>
      <c r="FB818" s="67" t="s">
        <v>6567</v>
      </c>
      <c r="FC818" s="67" t="s">
        <v>6568</v>
      </c>
      <c r="FD818" s="67" t="s">
        <v>6569</v>
      </c>
      <c r="FE818" s="68" t="s">
        <v>6570</v>
      </c>
      <c r="FF818" s="68" t="s">
        <v>6571</v>
      </c>
    </row>
    <row r="819" spans="151:162" x14ac:dyDescent="0.2">
      <c r="EU819" s="67">
        <v>563.91999999999996</v>
      </c>
      <c r="EV819" s="67" t="s">
        <v>6572</v>
      </c>
      <c r="EW819" s="67">
        <v>487.41</v>
      </c>
      <c r="EX819" s="67" t="s">
        <v>6573</v>
      </c>
      <c r="EY819" s="67">
        <v>5655.84</v>
      </c>
      <c r="EZ819" s="67" t="s">
        <v>6574</v>
      </c>
      <c r="FA819" s="67">
        <v>20030.955000000002</v>
      </c>
      <c r="FB819" s="67" t="s">
        <v>6575</v>
      </c>
      <c r="FC819" s="67" t="s">
        <v>6576</v>
      </c>
      <c r="FD819" s="67" t="s">
        <v>6577</v>
      </c>
      <c r="FE819" s="68" t="s">
        <v>6578</v>
      </c>
      <c r="FF819" s="68" t="s">
        <v>6579</v>
      </c>
    </row>
    <row r="820" spans="151:162" x14ac:dyDescent="0.2">
      <c r="EU820" s="67">
        <v>563.88499999999999</v>
      </c>
      <c r="EV820" s="67" t="s">
        <v>6580</v>
      </c>
      <c r="EW820" s="67">
        <v>487.3</v>
      </c>
      <c r="EX820" s="67" t="s">
        <v>6581</v>
      </c>
      <c r="EY820" s="67">
        <v>5654.68</v>
      </c>
      <c r="EZ820" s="67" t="s">
        <v>6582</v>
      </c>
      <c r="FA820" s="67">
        <v>20025.823</v>
      </c>
      <c r="FB820" s="67" t="s">
        <v>6583</v>
      </c>
      <c r="FC820" s="67" t="s">
        <v>6584</v>
      </c>
      <c r="FD820" s="67" t="s">
        <v>6585</v>
      </c>
      <c r="FE820" s="68" t="s">
        <v>6586</v>
      </c>
      <c r="FF820" s="68" t="s">
        <v>6587</v>
      </c>
    </row>
    <row r="821" spans="151:162" x14ac:dyDescent="0.2">
      <c r="EU821" s="67">
        <v>563.4</v>
      </c>
      <c r="EV821" s="67" t="s">
        <v>6588</v>
      </c>
      <c r="EW821" s="67">
        <v>486.74</v>
      </c>
      <c r="EX821" s="67" t="s">
        <v>6589</v>
      </c>
      <c r="EY821" s="67">
        <v>5649.62</v>
      </c>
      <c r="EZ821" s="67" t="s">
        <v>6590</v>
      </c>
      <c r="FA821" s="67">
        <v>20023.11</v>
      </c>
      <c r="FB821" s="67" t="s">
        <v>6591</v>
      </c>
      <c r="FC821" s="67" t="s">
        <v>6592</v>
      </c>
      <c r="FD821" s="67" t="s">
        <v>6593</v>
      </c>
      <c r="FE821" s="68" t="s">
        <v>6594</v>
      </c>
      <c r="FF821" s="68" t="s">
        <v>6595</v>
      </c>
    </row>
    <row r="822" spans="151:162" x14ac:dyDescent="0.2">
      <c r="EU822" s="67">
        <v>564.16</v>
      </c>
      <c r="EV822" s="67" t="s">
        <v>6596</v>
      </c>
      <c r="EW822" s="67">
        <v>487.77</v>
      </c>
      <c r="EX822" s="67" t="s">
        <v>6597</v>
      </c>
      <c r="EY822" s="67">
        <v>5657.79</v>
      </c>
      <c r="EZ822" s="67" t="s">
        <v>6598</v>
      </c>
      <c r="FA822" s="67">
        <v>20039.241000000002</v>
      </c>
      <c r="FB822" s="67" t="s">
        <v>6599</v>
      </c>
      <c r="FC822" s="67" t="s">
        <v>6600</v>
      </c>
      <c r="FD822" s="67" t="s">
        <v>6601</v>
      </c>
      <c r="FE822" s="68" t="s">
        <v>6602</v>
      </c>
      <c r="FF822" s="68" t="s">
        <v>6603</v>
      </c>
    </row>
    <row r="823" spans="151:162" x14ac:dyDescent="0.2">
      <c r="EU823" s="67">
        <v>563.91</v>
      </c>
      <c r="EV823" s="67" t="s">
        <v>6604</v>
      </c>
      <c r="EW823" s="67">
        <v>487.32499999999999</v>
      </c>
      <c r="EX823" s="67" t="s">
        <v>6605</v>
      </c>
      <c r="EY823" s="67">
        <v>5655.03</v>
      </c>
      <c r="EZ823" s="67" t="s">
        <v>6606</v>
      </c>
      <c r="FA823" s="67">
        <v>20024.351999999999</v>
      </c>
      <c r="FB823" s="67" t="s">
        <v>6607</v>
      </c>
      <c r="FC823" s="67" t="s">
        <v>6608</v>
      </c>
      <c r="FD823" s="67" t="s">
        <v>6609</v>
      </c>
      <c r="FE823" s="68" t="s">
        <v>6610</v>
      </c>
      <c r="FF823" s="68" t="s">
        <v>6611</v>
      </c>
    </row>
    <row r="824" spans="151:162" x14ac:dyDescent="0.2">
      <c r="EU824" s="67">
        <v>564.30999999999995</v>
      </c>
      <c r="EV824" s="67" t="s">
        <v>6612</v>
      </c>
      <c r="EW824" s="67">
        <v>487.73</v>
      </c>
      <c r="EX824" s="67" t="s">
        <v>6613</v>
      </c>
      <c r="EY824" s="67">
        <v>5658.51</v>
      </c>
      <c r="EZ824" s="67" t="s">
        <v>6614</v>
      </c>
      <c r="FA824" s="67">
        <v>20038.116999999998</v>
      </c>
      <c r="FB824" s="67" t="s">
        <v>6615</v>
      </c>
      <c r="FC824" s="67" t="s">
        <v>6616</v>
      </c>
      <c r="FD824" s="67" t="s">
        <v>6617</v>
      </c>
      <c r="FE824" s="68" t="s">
        <v>6618</v>
      </c>
      <c r="FF824" s="68" t="s">
        <v>6619</v>
      </c>
    </row>
    <row r="825" spans="151:162" x14ac:dyDescent="0.2">
      <c r="EU825" s="67">
        <v>564.23</v>
      </c>
      <c r="EV825" s="67" t="s">
        <v>6620</v>
      </c>
      <c r="EW825" s="67">
        <v>487.67</v>
      </c>
      <c r="EX825" s="67" t="s">
        <v>6621</v>
      </c>
      <c r="EY825" s="67">
        <v>5658.04</v>
      </c>
      <c r="EZ825" s="67" t="s">
        <v>6622</v>
      </c>
      <c r="FA825" s="67">
        <v>20035.96</v>
      </c>
      <c r="FB825" s="67" t="s">
        <v>6623</v>
      </c>
      <c r="FC825" s="67" t="s">
        <v>6624</v>
      </c>
      <c r="FD825" s="67" t="s">
        <v>6625</v>
      </c>
      <c r="FE825" s="68" t="s">
        <v>6626</v>
      </c>
      <c r="FF825" s="68" t="s">
        <v>6627</v>
      </c>
    </row>
    <row r="826" spans="151:162" x14ac:dyDescent="0.2">
      <c r="EU826" s="67">
        <v>564.13499999999999</v>
      </c>
      <c r="EV826" s="67" t="s">
        <v>6628</v>
      </c>
      <c r="EW826" s="67">
        <v>487.53</v>
      </c>
      <c r="EX826" s="67" t="s">
        <v>6629</v>
      </c>
      <c r="EY826" s="67">
        <v>5657.87</v>
      </c>
      <c r="EZ826" s="67" t="s">
        <v>6630</v>
      </c>
      <c r="FA826" s="67">
        <v>20036.966</v>
      </c>
      <c r="FB826" s="67" t="s">
        <v>6631</v>
      </c>
      <c r="FC826" s="67" t="s">
        <v>6632</v>
      </c>
      <c r="FD826" s="67" t="s">
        <v>6633</v>
      </c>
      <c r="FE826" s="68" t="s">
        <v>6634</v>
      </c>
      <c r="FF826" s="68" t="s">
        <v>6635</v>
      </c>
    </row>
    <row r="827" spans="151:162" x14ac:dyDescent="0.2">
      <c r="EU827" s="67">
        <v>564</v>
      </c>
      <c r="EV827" s="67" t="s">
        <v>6636</v>
      </c>
      <c r="EW827" s="67">
        <v>487.41</v>
      </c>
      <c r="EX827" s="67" t="s">
        <v>6637</v>
      </c>
      <c r="EY827" s="67">
        <v>5656.66</v>
      </c>
      <c r="EZ827" s="67" t="s">
        <v>6638</v>
      </c>
      <c r="FA827" s="67">
        <v>20031.625</v>
      </c>
      <c r="FB827" s="67" t="s">
        <v>6639</v>
      </c>
      <c r="FC827" s="67" t="s">
        <v>6640</v>
      </c>
      <c r="FD827" s="67" t="s">
        <v>6641</v>
      </c>
      <c r="FE827" s="68" t="s">
        <v>6642</v>
      </c>
      <c r="FF827" s="68" t="s">
        <v>6643</v>
      </c>
    </row>
    <row r="828" spans="151:162" x14ac:dyDescent="0.2">
      <c r="EU828" s="67">
        <v>563.95000000000005</v>
      </c>
      <c r="EV828" s="67" t="s">
        <v>6644</v>
      </c>
      <c r="EW828" s="67">
        <v>487.3</v>
      </c>
      <c r="EX828" s="67" t="s">
        <v>6645</v>
      </c>
      <c r="EY828" s="67">
        <v>5655.7</v>
      </c>
      <c r="EZ828" s="67" t="s">
        <v>6646</v>
      </c>
      <c r="FA828" s="67">
        <v>20028.09</v>
      </c>
      <c r="FB828" s="67" t="s">
        <v>6647</v>
      </c>
      <c r="FC828" s="67" t="s">
        <v>6648</v>
      </c>
      <c r="FD828" s="67" t="s">
        <v>6649</v>
      </c>
      <c r="FE828" s="68" t="s">
        <v>6650</v>
      </c>
      <c r="FF828" s="68" t="s">
        <v>6651</v>
      </c>
    </row>
    <row r="829" spans="151:162" x14ac:dyDescent="0.2">
      <c r="EU829" s="67">
        <v>563.91</v>
      </c>
      <c r="EV829" s="67" t="s">
        <v>6652</v>
      </c>
      <c r="EW829" s="67">
        <v>487.26</v>
      </c>
      <c r="EX829" s="67" t="s">
        <v>6653</v>
      </c>
      <c r="EY829" s="67">
        <v>5655.6</v>
      </c>
      <c r="EZ829" s="67" t="s">
        <v>6654</v>
      </c>
      <c r="FA829" s="67">
        <v>20025.912</v>
      </c>
      <c r="FB829" s="67" t="s">
        <v>6655</v>
      </c>
      <c r="FC829" s="67" t="s">
        <v>6656</v>
      </c>
      <c r="FD829" s="67" t="s">
        <v>6657</v>
      </c>
      <c r="FE829" s="68" t="s">
        <v>6658</v>
      </c>
      <c r="FF829" s="68" t="s">
        <v>6659</v>
      </c>
    </row>
    <row r="830" spans="151:162" x14ac:dyDescent="0.2">
      <c r="EU830" s="67">
        <v>563.83000000000004</v>
      </c>
      <c r="EV830" s="67" t="s">
        <v>6660</v>
      </c>
      <c r="EW830" s="67">
        <v>487.19</v>
      </c>
      <c r="EX830" s="67" t="s">
        <v>6661</v>
      </c>
      <c r="EY830" s="67">
        <v>5654.12</v>
      </c>
      <c r="EZ830" s="67" t="s">
        <v>6662</v>
      </c>
      <c r="FA830" s="67">
        <v>20020.435000000001</v>
      </c>
      <c r="FB830" s="67" t="s">
        <v>6663</v>
      </c>
      <c r="FC830" s="67" t="s">
        <v>6664</v>
      </c>
      <c r="FD830" s="67" t="s">
        <v>6665</v>
      </c>
      <c r="FE830" s="68" t="s">
        <v>6666</v>
      </c>
      <c r="FF830" s="68" t="s">
        <v>6667</v>
      </c>
    </row>
    <row r="831" spans="151:162" x14ac:dyDescent="0.2">
      <c r="EU831" s="67">
        <v>563.73</v>
      </c>
      <c r="EV831" s="67" t="s">
        <v>6668</v>
      </c>
      <c r="EW831" s="67">
        <v>487.1</v>
      </c>
      <c r="EX831" s="67" t="s">
        <v>6669</v>
      </c>
      <c r="EY831" s="67">
        <v>5653.51</v>
      </c>
      <c r="EZ831" s="67" t="s">
        <v>6670</v>
      </c>
      <c r="FA831" s="67">
        <v>20019.976999999999</v>
      </c>
      <c r="FB831" s="67" t="s">
        <v>6671</v>
      </c>
      <c r="FC831" s="67" t="s">
        <v>6672</v>
      </c>
      <c r="FD831" s="67" t="s">
        <v>6673</v>
      </c>
      <c r="FE831" s="68" t="s">
        <v>6674</v>
      </c>
      <c r="FF831" s="68" t="s">
        <v>6675</v>
      </c>
    </row>
    <row r="832" spans="151:162" x14ac:dyDescent="0.2">
      <c r="EU832" s="67">
        <v>563.72</v>
      </c>
      <c r="EV832" s="67" t="s">
        <v>6676</v>
      </c>
      <c r="EW832" s="67">
        <v>487.08</v>
      </c>
      <c r="EX832" s="67" t="s">
        <v>6677</v>
      </c>
      <c r="EY832" s="67">
        <v>5653.55</v>
      </c>
      <c r="EZ832" s="67" t="s">
        <v>6678</v>
      </c>
      <c r="FA832" s="67">
        <v>20018.98</v>
      </c>
      <c r="FB832" s="67" t="s">
        <v>6679</v>
      </c>
      <c r="FC832" s="67" t="s">
        <v>6680</v>
      </c>
      <c r="FD832" s="67" t="s">
        <v>6681</v>
      </c>
      <c r="FE832" s="68" t="s">
        <v>6682</v>
      </c>
      <c r="FF832" s="68" t="s">
        <v>6683</v>
      </c>
    </row>
    <row r="833" spans="151:162" x14ac:dyDescent="0.2">
      <c r="EU833" s="67">
        <v>563.88</v>
      </c>
      <c r="EV833" s="67" t="s">
        <v>6684</v>
      </c>
      <c r="EW833" s="67">
        <v>487.19</v>
      </c>
      <c r="EX833" s="67" t="s">
        <v>6685</v>
      </c>
      <c r="EY833" s="67">
        <v>5654.69</v>
      </c>
      <c r="EZ833" s="67" t="s">
        <v>6686</v>
      </c>
      <c r="FA833" s="67">
        <v>20023.223000000002</v>
      </c>
      <c r="FB833" s="67" t="s">
        <v>6687</v>
      </c>
      <c r="FC833" s="67" t="s">
        <v>6688</v>
      </c>
      <c r="FD833" s="67" t="s">
        <v>6689</v>
      </c>
      <c r="FE833" s="68" t="s">
        <v>6690</v>
      </c>
      <c r="FF833" s="68" t="s">
        <v>6691</v>
      </c>
    </row>
    <row r="834" spans="151:162" x14ac:dyDescent="0.2">
      <c r="EU834" s="67">
        <v>564.14</v>
      </c>
      <c r="EV834" s="67" t="s">
        <v>6692</v>
      </c>
      <c r="EW834" s="67">
        <v>487.49</v>
      </c>
      <c r="EX834" s="67" t="s">
        <v>6693</v>
      </c>
      <c r="EY834" s="67">
        <v>5657.22</v>
      </c>
      <c r="EZ834" s="67" t="s">
        <v>6694</v>
      </c>
      <c r="FA834" s="67">
        <v>20033.359</v>
      </c>
      <c r="FB834" s="67" t="s">
        <v>6695</v>
      </c>
      <c r="FC834" s="67" t="s">
        <v>6696</v>
      </c>
      <c r="FD834" s="67" t="s">
        <v>6697</v>
      </c>
      <c r="FE834" s="68" t="s">
        <v>6698</v>
      </c>
      <c r="FF834" s="68" t="s">
        <v>6699</v>
      </c>
    </row>
    <row r="835" spans="151:162" x14ac:dyDescent="0.2">
      <c r="EU835" s="67">
        <v>564.25</v>
      </c>
      <c r="EV835" s="67" t="s">
        <v>6700</v>
      </c>
      <c r="EW835" s="67">
        <v>487.58</v>
      </c>
      <c r="EX835" s="67" t="s">
        <v>6701</v>
      </c>
      <c r="EY835" s="67">
        <v>5658.25</v>
      </c>
      <c r="EZ835" s="67" t="s">
        <v>6702</v>
      </c>
      <c r="FA835" s="67">
        <v>20036.644</v>
      </c>
      <c r="FB835" s="67" t="s">
        <v>6703</v>
      </c>
      <c r="FC835" s="67" t="s">
        <v>6704</v>
      </c>
      <c r="FD835" s="67" t="s">
        <v>6705</v>
      </c>
      <c r="FE835" s="68" t="s">
        <v>6706</v>
      </c>
      <c r="FF835" s="68" t="s">
        <v>6707</v>
      </c>
    </row>
    <row r="836" spans="151:162" x14ac:dyDescent="0.2">
      <c r="EU836" s="67">
        <v>564.09</v>
      </c>
      <c r="EV836" s="67" t="s">
        <v>6708</v>
      </c>
      <c r="EW836" s="67">
        <v>487.43</v>
      </c>
      <c r="EX836" s="67" t="s">
        <v>6709</v>
      </c>
      <c r="EY836" s="67">
        <v>5657.14</v>
      </c>
      <c r="EZ836" s="67" t="s">
        <v>6710</v>
      </c>
      <c r="FA836" s="67">
        <v>20032.606</v>
      </c>
      <c r="FB836" s="67" t="s">
        <v>6711</v>
      </c>
      <c r="FC836" s="67" t="s">
        <v>6712</v>
      </c>
      <c r="FD836" s="67" t="s">
        <v>6713</v>
      </c>
      <c r="FE836" s="68" t="s">
        <v>6714</v>
      </c>
      <c r="FF836" s="68" t="s">
        <v>6715</v>
      </c>
    </row>
    <row r="837" spans="151:162" x14ac:dyDescent="0.2">
      <c r="EU837" s="67">
        <v>564.21</v>
      </c>
      <c r="EV837" s="67" t="s">
        <v>6716</v>
      </c>
      <c r="EW837" s="67">
        <v>487.505</v>
      </c>
      <c r="EX837" s="67" t="s">
        <v>6717</v>
      </c>
      <c r="EY837" s="67">
        <v>5657.67</v>
      </c>
      <c r="EZ837" s="67" t="s">
        <v>6718</v>
      </c>
      <c r="FA837" s="67">
        <v>20034.919999999998</v>
      </c>
      <c r="FB837" s="67" t="s">
        <v>6719</v>
      </c>
      <c r="FC837" s="67" t="s">
        <v>6720</v>
      </c>
      <c r="FD837" s="67" t="s">
        <v>6721</v>
      </c>
      <c r="FE837" s="68" t="s">
        <v>6722</v>
      </c>
      <c r="FF837" s="68" t="s">
        <v>6723</v>
      </c>
    </row>
    <row r="838" spans="151:162" x14ac:dyDescent="0.2">
      <c r="EU838" s="67">
        <v>564.29999999999995</v>
      </c>
      <c r="EV838" s="67" t="s">
        <v>6724</v>
      </c>
      <c r="EW838" s="67">
        <v>487.57</v>
      </c>
      <c r="EX838" s="67" t="s">
        <v>6725</v>
      </c>
      <c r="EY838" s="67">
        <v>5658.73</v>
      </c>
      <c r="EZ838" s="67" t="s">
        <v>6726</v>
      </c>
      <c r="FA838" s="67">
        <v>20037.267</v>
      </c>
      <c r="FB838" s="67" t="s">
        <v>6727</v>
      </c>
      <c r="FC838" s="67" t="s">
        <v>6728</v>
      </c>
      <c r="FD838" s="67" t="s">
        <v>6729</v>
      </c>
      <c r="FE838" s="68" t="s">
        <v>6730</v>
      </c>
      <c r="FF838" s="68" t="s">
        <v>6731</v>
      </c>
    </row>
    <row r="839" spans="151:162" x14ac:dyDescent="0.2">
      <c r="EU839" s="67">
        <v>564.44000000000005</v>
      </c>
      <c r="EV839" s="67" t="s">
        <v>6732</v>
      </c>
      <c r="EW839" s="67">
        <v>487.64</v>
      </c>
      <c r="EX839" s="67" t="s">
        <v>6733</v>
      </c>
      <c r="EY839" s="67">
        <v>5659.8</v>
      </c>
      <c r="EZ839" s="67" t="s">
        <v>6734</v>
      </c>
      <c r="FA839" s="67">
        <v>20040.596000000001</v>
      </c>
      <c r="FB839" s="67" t="s">
        <v>6735</v>
      </c>
      <c r="FC839" s="67" t="s">
        <v>6736</v>
      </c>
      <c r="FD839" s="67" t="s">
        <v>6737</v>
      </c>
      <c r="FE839" s="68" t="s">
        <v>6738</v>
      </c>
      <c r="FF839" s="68" t="s">
        <v>6739</v>
      </c>
    </row>
    <row r="840" spans="151:162" x14ac:dyDescent="0.2">
      <c r="EU840" s="67">
        <v>564.58000000000004</v>
      </c>
      <c r="EV840" s="67" t="s">
        <v>6740</v>
      </c>
      <c r="EW840" s="67">
        <v>487.78500000000003</v>
      </c>
      <c r="EX840" s="67" t="s">
        <v>6741</v>
      </c>
      <c r="EY840" s="67">
        <v>5661.29</v>
      </c>
      <c r="EZ840" s="67" t="s">
        <v>6742</v>
      </c>
      <c r="FA840" s="67">
        <v>20046.815999999999</v>
      </c>
      <c r="FB840" s="67" t="s">
        <v>6743</v>
      </c>
      <c r="FC840" s="67" t="s">
        <v>6744</v>
      </c>
      <c r="FD840" s="67" t="s">
        <v>6745</v>
      </c>
      <c r="FE840" s="68" t="s">
        <v>6746</v>
      </c>
      <c r="FF840" s="68" t="s">
        <v>6747</v>
      </c>
    </row>
    <row r="841" spans="151:162" x14ac:dyDescent="0.2">
      <c r="EU841" s="67">
        <v>564.78</v>
      </c>
      <c r="EV841" s="67" t="s">
        <v>6748</v>
      </c>
      <c r="EW841" s="67">
        <v>487.99</v>
      </c>
      <c r="EX841" s="67" t="s">
        <v>6749</v>
      </c>
      <c r="EY841" s="67">
        <v>5663.42</v>
      </c>
      <c r="EZ841" s="67" t="s">
        <v>6750</v>
      </c>
      <c r="FA841" s="67">
        <v>20053.083999999999</v>
      </c>
      <c r="FB841" s="67" t="s">
        <v>6751</v>
      </c>
      <c r="FC841" s="67" t="s">
        <v>6752</v>
      </c>
      <c r="FD841" s="67" t="s">
        <v>6753</v>
      </c>
      <c r="FE841" s="68" t="s">
        <v>6754</v>
      </c>
      <c r="FF841" s="68" t="s">
        <v>6755</v>
      </c>
    </row>
    <row r="842" spans="151:162" x14ac:dyDescent="0.2">
      <c r="EU842" s="67">
        <v>564.87</v>
      </c>
      <c r="EV842" s="67" t="s">
        <v>6756</v>
      </c>
      <c r="EW842" s="67">
        <v>488.18</v>
      </c>
      <c r="EX842" s="67" t="s">
        <v>6757</v>
      </c>
      <c r="EY842" s="67">
        <v>5664.75</v>
      </c>
      <c r="EZ842" s="67" t="s">
        <v>6758</v>
      </c>
      <c r="FA842" s="67">
        <v>20061.632000000001</v>
      </c>
      <c r="FB842" s="67" t="s">
        <v>6759</v>
      </c>
      <c r="FC842" s="67" t="s">
        <v>6760</v>
      </c>
      <c r="FD842" s="67" t="s">
        <v>6761</v>
      </c>
      <c r="FE842" s="68" t="s">
        <v>6762</v>
      </c>
      <c r="FF842" s="68" t="s">
        <v>6763</v>
      </c>
    </row>
    <row r="843" spans="151:162" x14ac:dyDescent="0.2">
      <c r="EU843" s="67">
        <v>564.88499999999999</v>
      </c>
      <c r="EV843" s="67" t="s">
        <v>6764</v>
      </c>
      <c r="EW843" s="67">
        <v>488.19</v>
      </c>
      <c r="EX843" s="67" t="s">
        <v>6765</v>
      </c>
      <c r="EY843" s="67">
        <v>5664.63</v>
      </c>
      <c r="EZ843" s="67" t="s">
        <v>6766</v>
      </c>
      <c r="FA843" s="67">
        <v>20062.163</v>
      </c>
      <c r="FB843" s="67" t="s">
        <v>6767</v>
      </c>
      <c r="FC843" s="67" t="s">
        <v>6768</v>
      </c>
      <c r="FD843" s="67" t="s">
        <v>6769</v>
      </c>
      <c r="FE843" s="68" t="s">
        <v>6770</v>
      </c>
      <c r="FF843" s="68" t="s">
        <v>6771</v>
      </c>
    </row>
    <row r="844" spans="151:162" x14ac:dyDescent="0.2">
      <c r="EU844" s="67">
        <v>564.87</v>
      </c>
      <c r="EV844" s="67" t="s">
        <v>6772</v>
      </c>
      <c r="EW844" s="67">
        <v>488.16</v>
      </c>
      <c r="EX844" s="67" t="s">
        <v>6773</v>
      </c>
      <c r="EY844" s="67">
        <v>5664.61</v>
      </c>
      <c r="EZ844" s="67" t="s">
        <v>6774</v>
      </c>
      <c r="FA844" s="67">
        <v>20062.742999999999</v>
      </c>
      <c r="FB844" s="67" t="s">
        <v>6775</v>
      </c>
      <c r="FC844" s="67" t="s">
        <v>6776</v>
      </c>
      <c r="FD844" s="67" t="s">
        <v>6777</v>
      </c>
      <c r="FE844" s="68" t="s">
        <v>6778</v>
      </c>
      <c r="FF844" s="68" t="s">
        <v>6779</v>
      </c>
    </row>
    <row r="845" spans="151:162" x14ac:dyDescent="0.2">
      <c r="EU845" s="67">
        <v>565.01199999999994</v>
      </c>
      <c r="EV845" s="67" t="s">
        <v>6780</v>
      </c>
      <c r="EW845" s="67">
        <v>488.26799999999997</v>
      </c>
      <c r="EX845" s="67" t="s">
        <v>6781</v>
      </c>
      <c r="EY845" s="67">
        <v>5665.93</v>
      </c>
      <c r="EZ845" s="67" t="s">
        <v>6782</v>
      </c>
      <c r="FA845" s="67">
        <v>20067.668000000001</v>
      </c>
      <c r="FB845" s="67" t="s">
        <v>6783</v>
      </c>
      <c r="FC845" s="67" t="s">
        <v>6784</v>
      </c>
      <c r="FD845" s="67" t="s">
        <v>6785</v>
      </c>
      <c r="FE845" s="68" t="s">
        <v>6786</v>
      </c>
      <c r="FF845" s="68" t="s">
        <v>6787</v>
      </c>
    </row>
    <row r="846" spans="151:162" x14ac:dyDescent="0.2">
      <c r="EU846" s="67">
        <v>564.98500000000001</v>
      </c>
      <c r="EV846" s="67" t="s">
        <v>6788</v>
      </c>
      <c r="EW846" s="67">
        <v>488.28</v>
      </c>
      <c r="EX846" s="67" t="s">
        <v>6789</v>
      </c>
      <c r="EY846" s="67">
        <v>5665.94</v>
      </c>
      <c r="EZ846" s="67" t="s">
        <v>6790</v>
      </c>
      <c r="FA846" s="67">
        <v>20068.376</v>
      </c>
      <c r="FB846" s="67" t="s">
        <v>6791</v>
      </c>
      <c r="FC846" s="67" t="s">
        <v>6792</v>
      </c>
      <c r="FD846" s="67" t="s">
        <v>6793</v>
      </c>
      <c r="FE846" s="68" t="s">
        <v>6794</v>
      </c>
      <c r="FF846" s="68" t="s">
        <v>6795</v>
      </c>
    </row>
    <row r="847" spans="151:162" x14ac:dyDescent="0.2">
      <c r="EU847" s="67">
        <v>565.02</v>
      </c>
      <c r="EV847" s="67" t="s">
        <v>6796</v>
      </c>
      <c r="EW847" s="67">
        <v>488.36</v>
      </c>
      <c r="EX847" s="67" t="s">
        <v>6797</v>
      </c>
      <c r="EY847" s="67">
        <v>5666.07</v>
      </c>
      <c r="EZ847" s="67" t="s">
        <v>6798</v>
      </c>
      <c r="FA847" s="67">
        <v>20070.866000000002</v>
      </c>
      <c r="FB847" s="67" t="s">
        <v>6799</v>
      </c>
      <c r="FC847" s="67" t="s">
        <v>6800</v>
      </c>
      <c r="FD847" s="67" t="s">
        <v>6801</v>
      </c>
      <c r="FE847" s="68" t="s">
        <v>6802</v>
      </c>
      <c r="FF847" s="68" t="s">
        <v>6803</v>
      </c>
    </row>
    <row r="848" spans="151:162" x14ac:dyDescent="0.2">
      <c r="EU848" s="67">
        <v>564.99</v>
      </c>
      <c r="EV848" s="67" t="s">
        <v>6804</v>
      </c>
      <c r="EW848" s="67">
        <v>488.32</v>
      </c>
      <c r="EX848" s="67" t="s">
        <v>6805</v>
      </c>
      <c r="EY848" s="67">
        <v>5666.04</v>
      </c>
      <c r="EZ848" s="67" t="s">
        <v>6806</v>
      </c>
      <c r="FA848" s="67">
        <v>20070.686000000002</v>
      </c>
      <c r="FB848" s="67" t="s">
        <v>6807</v>
      </c>
      <c r="FC848" s="67" t="s">
        <v>6808</v>
      </c>
      <c r="FD848" s="67" t="s">
        <v>6809</v>
      </c>
      <c r="FE848" s="68" t="s">
        <v>6810</v>
      </c>
      <c r="FF848" s="68" t="s">
        <v>6811</v>
      </c>
    </row>
    <row r="849" spans="151:162" x14ac:dyDescent="0.2">
      <c r="EU849" s="67">
        <v>564.53</v>
      </c>
      <c r="EV849" s="67" t="s">
        <v>6812</v>
      </c>
      <c r="EW849" s="67">
        <v>487.9</v>
      </c>
      <c r="EX849" s="67" t="s">
        <v>6813</v>
      </c>
      <c r="EY849" s="67">
        <v>5661.78</v>
      </c>
      <c r="EZ849" s="67" t="s">
        <v>6814</v>
      </c>
      <c r="FA849" s="67">
        <v>20055.116999999998</v>
      </c>
      <c r="FB849" s="67" t="s">
        <v>6815</v>
      </c>
      <c r="FC849" s="67" t="s">
        <v>6816</v>
      </c>
      <c r="FD849" s="67" t="s">
        <v>6817</v>
      </c>
      <c r="FE849" s="68" t="s">
        <v>6818</v>
      </c>
      <c r="FF849" s="68" t="s">
        <v>6819</v>
      </c>
    </row>
    <row r="850" spans="151:162" x14ac:dyDescent="0.2">
      <c r="EU850" s="67">
        <v>564.61</v>
      </c>
      <c r="EV850" s="67" t="s">
        <v>6820</v>
      </c>
      <c r="EW850" s="67">
        <v>487.99799999999999</v>
      </c>
      <c r="EX850" s="67" t="s">
        <v>6821</v>
      </c>
      <c r="EY850" s="67">
        <v>5662.13</v>
      </c>
      <c r="EZ850" s="67" t="s">
        <v>6822</v>
      </c>
      <c r="FA850" s="67">
        <v>20056.045999999998</v>
      </c>
      <c r="FB850" s="67" t="s">
        <v>6823</v>
      </c>
      <c r="FC850" s="67" t="s">
        <v>6824</v>
      </c>
      <c r="FD850" s="67" t="s">
        <v>6825</v>
      </c>
      <c r="FE850" s="68" t="s">
        <v>6826</v>
      </c>
      <c r="FF850" s="68" t="s">
        <v>6827</v>
      </c>
    </row>
    <row r="851" spans="151:162" x14ac:dyDescent="0.2">
      <c r="EU851" s="67">
        <v>564.65</v>
      </c>
      <c r="EV851" s="67" t="s">
        <v>6828</v>
      </c>
      <c r="EW851" s="67">
        <v>488</v>
      </c>
      <c r="EX851" s="67" t="s">
        <v>6829</v>
      </c>
      <c r="EY851" s="67">
        <v>5662.12</v>
      </c>
      <c r="EZ851" s="67" t="s">
        <v>6830</v>
      </c>
      <c r="FA851" s="67">
        <v>20057.151000000002</v>
      </c>
      <c r="FB851" s="67" t="s">
        <v>6831</v>
      </c>
      <c r="FC851" s="67" t="s">
        <v>6832</v>
      </c>
      <c r="FD851" s="67" t="s">
        <v>6833</v>
      </c>
      <c r="FE851" s="68" t="s">
        <v>6834</v>
      </c>
      <c r="FF851" s="68" t="s">
        <v>6835</v>
      </c>
    </row>
    <row r="852" spans="151:162" x14ac:dyDescent="0.2">
      <c r="EU852" s="67">
        <v>564.9</v>
      </c>
      <c r="EV852" s="67" t="s">
        <v>6836</v>
      </c>
      <c r="EW852" s="67">
        <v>488.21</v>
      </c>
      <c r="EX852" s="67" t="s">
        <v>6837</v>
      </c>
      <c r="EY852" s="67">
        <v>5664.86</v>
      </c>
      <c r="EZ852" s="67" t="s">
        <v>6838</v>
      </c>
      <c r="FA852" s="67">
        <v>20065.398000000001</v>
      </c>
      <c r="FB852" s="67" t="s">
        <v>6839</v>
      </c>
      <c r="FC852" s="67" t="s">
        <v>6840</v>
      </c>
      <c r="FD852" s="67" t="s">
        <v>6841</v>
      </c>
      <c r="FE852" s="68" t="s">
        <v>6842</v>
      </c>
      <c r="FF852" s="68" t="s">
        <v>6843</v>
      </c>
    </row>
    <row r="853" spans="151:162" x14ac:dyDescent="0.2">
      <c r="EU853" s="67">
        <v>564.80999999999995</v>
      </c>
      <c r="EV853" s="67" t="s">
        <v>6844</v>
      </c>
      <c r="EW853" s="67">
        <v>488.09500000000003</v>
      </c>
      <c r="EX853" s="67" t="s">
        <v>6845</v>
      </c>
      <c r="EY853" s="67">
        <v>5664.13</v>
      </c>
      <c r="EZ853" s="67" t="s">
        <v>6846</v>
      </c>
      <c r="FA853" s="67">
        <v>20062.383999999998</v>
      </c>
      <c r="FB853" s="67" t="s">
        <v>6847</v>
      </c>
      <c r="FC853" s="67" t="s">
        <v>6848</v>
      </c>
      <c r="FD853" s="67" t="s">
        <v>6849</v>
      </c>
      <c r="FE853" s="68" t="s">
        <v>6850</v>
      </c>
      <c r="FF853" s="68" t="s">
        <v>6851</v>
      </c>
    </row>
    <row r="854" spans="151:162" x14ac:dyDescent="0.2">
      <c r="EU854" s="67">
        <v>565.01700000000005</v>
      </c>
      <c r="EV854" s="67" t="s">
        <v>6852</v>
      </c>
      <c r="EW854" s="67">
        <v>488.3</v>
      </c>
      <c r="EX854" s="67" t="s">
        <v>6853</v>
      </c>
      <c r="EY854" s="67">
        <v>5665.59</v>
      </c>
      <c r="EZ854" s="67" t="s">
        <v>6854</v>
      </c>
      <c r="FA854" s="67">
        <v>20067.146000000001</v>
      </c>
      <c r="FB854" s="67" t="s">
        <v>6855</v>
      </c>
      <c r="FC854" s="67" t="s">
        <v>6856</v>
      </c>
      <c r="FD854" s="67" t="s">
        <v>6857</v>
      </c>
      <c r="FE854" s="68" t="s">
        <v>6858</v>
      </c>
      <c r="FF854" s="68" t="s">
        <v>6859</v>
      </c>
    </row>
    <row r="855" spans="151:162" x14ac:dyDescent="0.2">
      <c r="EU855" s="67">
        <v>565.17999999999995</v>
      </c>
      <c r="EV855" s="67" t="s">
        <v>6860</v>
      </c>
      <c r="EW855" s="67">
        <v>488.45</v>
      </c>
      <c r="EX855" s="67" t="s">
        <v>6861</v>
      </c>
      <c r="EY855" s="67">
        <v>5667.35</v>
      </c>
      <c r="EZ855" s="67" t="s">
        <v>6862</v>
      </c>
      <c r="FA855" s="67">
        <v>20073.754000000001</v>
      </c>
      <c r="FB855" s="67" t="s">
        <v>6863</v>
      </c>
      <c r="FC855" s="67" t="s">
        <v>6864</v>
      </c>
      <c r="FD855" s="67" t="s">
        <v>6865</v>
      </c>
      <c r="FE855" s="68" t="s">
        <v>6866</v>
      </c>
      <c r="FF855" s="68" t="s">
        <v>6867</v>
      </c>
    </row>
    <row r="856" spans="151:162" x14ac:dyDescent="0.2">
      <c r="EU856" s="67">
        <v>565.29999999999995</v>
      </c>
      <c r="EV856" s="67" t="s">
        <v>6868</v>
      </c>
      <c r="EW856" s="67">
        <v>488.61</v>
      </c>
      <c r="EX856" s="67" t="s">
        <v>6869</v>
      </c>
      <c r="EY856" s="67">
        <v>5668.84</v>
      </c>
      <c r="EZ856" s="67" t="s">
        <v>6870</v>
      </c>
      <c r="FA856" s="67">
        <v>20080.338</v>
      </c>
      <c r="FB856" s="67" t="s">
        <v>6871</v>
      </c>
      <c r="FC856" s="67" t="s">
        <v>6872</v>
      </c>
      <c r="FD856" s="67" t="s">
        <v>6873</v>
      </c>
      <c r="FE856" s="68" t="s">
        <v>6874</v>
      </c>
      <c r="FF856" s="68" t="s">
        <v>6875</v>
      </c>
    </row>
    <row r="857" spans="151:162" x14ac:dyDescent="0.2">
      <c r="EU857" s="67">
        <v>565.15</v>
      </c>
      <c r="EV857" s="67" t="s">
        <v>6876</v>
      </c>
      <c r="EW857" s="67">
        <v>488.5</v>
      </c>
      <c r="EX857" s="67" t="s">
        <v>6877</v>
      </c>
      <c r="EY857" s="67">
        <v>5667.52</v>
      </c>
      <c r="EZ857" s="67" t="s">
        <v>6878</v>
      </c>
      <c r="FA857" s="67">
        <v>20075.837</v>
      </c>
      <c r="FB857" s="67" t="s">
        <v>6879</v>
      </c>
      <c r="FC857" s="67" t="s">
        <v>6880</v>
      </c>
      <c r="FD857" s="67" t="s">
        <v>6881</v>
      </c>
      <c r="FE857" s="68" t="s">
        <v>6882</v>
      </c>
      <c r="FF857" s="68" t="s">
        <v>6883</v>
      </c>
    </row>
    <row r="858" spans="151:162" x14ac:dyDescent="0.2">
      <c r="EU858" s="67">
        <v>565.24</v>
      </c>
      <c r="EV858" s="67" t="s">
        <v>6884</v>
      </c>
      <c r="EW858" s="67">
        <v>488.53</v>
      </c>
      <c r="EX858" s="67" t="s">
        <v>6885</v>
      </c>
      <c r="EY858" s="67">
        <v>5667.98</v>
      </c>
      <c r="EZ858" s="67" t="s">
        <v>6886</v>
      </c>
      <c r="FA858" s="67">
        <v>20077.835999999999</v>
      </c>
      <c r="FB858" s="67" t="s">
        <v>6887</v>
      </c>
      <c r="FC858" s="67" t="s">
        <v>6888</v>
      </c>
      <c r="FD858" s="67" t="s">
        <v>6889</v>
      </c>
      <c r="FE858" s="68" t="s">
        <v>6890</v>
      </c>
      <c r="FF858" s="68" t="s">
        <v>6891</v>
      </c>
    </row>
    <row r="859" spans="151:162" x14ac:dyDescent="0.2">
      <c r="EU859" s="67">
        <v>565.24</v>
      </c>
      <c r="EV859" s="67" t="s">
        <v>6892</v>
      </c>
      <c r="EW859" s="67">
        <v>488.57</v>
      </c>
      <c r="EX859" s="67" t="s">
        <v>6893</v>
      </c>
      <c r="EY859" s="67">
        <v>5668.31</v>
      </c>
      <c r="EZ859" s="67" t="s">
        <v>6894</v>
      </c>
      <c r="FA859" s="67">
        <v>20079.776000000002</v>
      </c>
      <c r="FB859" s="67" t="s">
        <v>6895</v>
      </c>
      <c r="FC859" s="67" t="s">
        <v>6896</v>
      </c>
      <c r="FD859" s="67" t="s">
        <v>6897</v>
      </c>
      <c r="FE859" s="68" t="s">
        <v>6898</v>
      </c>
      <c r="FF859" s="68" t="s">
        <v>6899</v>
      </c>
    </row>
    <row r="860" spans="151:162" x14ac:dyDescent="0.2">
      <c r="EU860" s="67">
        <v>565.08000000000004</v>
      </c>
      <c r="EV860" s="67" t="s">
        <v>6900</v>
      </c>
      <c r="EW860" s="67">
        <v>488.45</v>
      </c>
      <c r="EX860" s="67" t="s">
        <v>6901</v>
      </c>
      <c r="EY860" s="67">
        <v>5666.79</v>
      </c>
      <c r="EZ860" s="67" t="s">
        <v>6902</v>
      </c>
      <c r="FA860" s="67">
        <v>20074.043000000001</v>
      </c>
      <c r="FB860" s="67" t="s">
        <v>6903</v>
      </c>
      <c r="FC860" s="67" t="s">
        <v>6904</v>
      </c>
      <c r="FD860" s="67" t="s">
        <v>6905</v>
      </c>
      <c r="FE860" s="68" t="s">
        <v>6906</v>
      </c>
      <c r="FF860" s="68" t="s">
        <v>6907</v>
      </c>
    </row>
    <row r="861" spans="151:162" x14ac:dyDescent="0.2">
      <c r="EU861" s="67">
        <v>565.01499999999999</v>
      </c>
      <c r="EV861" s="67" t="s">
        <v>6908</v>
      </c>
      <c r="EW861" s="67">
        <v>488.41</v>
      </c>
      <c r="EX861" s="67" t="s">
        <v>6909</v>
      </c>
      <c r="EY861" s="67">
        <v>5665.99</v>
      </c>
      <c r="EZ861" s="67" t="s">
        <v>6910</v>
      </c>
      <c r="FA861" s="67">
        <v>20073.419999999998</v>
      </c>
      <c r="FB861" s="67" t="s">
        <v>6911</v>
      </c>
      <c r="FC861" s="67" t="s">
        <v>6912</v>
      </c>
      <c r="FD861" s="67" t="s">
        <v>6913</v>
      </c>
      <c r="FE861" s="68" t="s">
        <v>6914</v>
      </c>
      <c r="FF861" s="68" t="s">
        <v>6915</v>
      </c>
    </row>
    <row r="862" spans="151:162" x14ac:dyDescent="0.2">
      <c r="EU862" s="67">
        <v>564.97</v>
      </c>
      <c r="EV862" s="67" t="s">
        <v>6916</v>
      </c>
      <c r="EW862" s="67">
        <v>488.35</v>
      </c>
      <c r="EX862" s="67" t="s">
        <v>6917</v>
      </c>
      <c r="EY862" s="67">
        <v>5665.83</v>
      </c>
      <c r="EZ862" s="67" t="s">
        <v>6918</v>
      </c>
      <c r="FA862" s="67">
        <v>20071.811000000002</v>
      </c>
      <c r="FB862" s="67" t="s">
        <v>6919</v>
      </c>
      <c r="FC862" s="67" t="s">
        <v>6920</v>
      </c>
      <c r="FD862" s="67" t="s">
        <v>6921</v>
      </c>
      <c r="FE862" s="68" t="s">
        <v>6922</v>
      </c>
      <c r="FF862" s="68" t="s">
        <v>6923</v>
      </c>
    </row>
    <row r="863" spans="151:162" x14ac:dyDescent="0.2">
      <c r="EU863" s="67">
        <v>564.80499999999995</v>
      </c>
      <c r="EV863" s="67" t="s">
        <v>6924</v>
      </c>
      <c r="EW863" s="67">
        <v>488.17</v>
      </c>
      <c r="EX863" s="67" t="s">
        <v>6925</v>
      </c>
      <c r="EY863" s="67">
        <v>5664.22</v>
      </c>
      <c r="EZ863" s="67" t="s">
        <v>6926</v>
      </c>
      <c r="FA863" s="67">
        <v>20064.149000000001</v>
      </c>
      <c r="FB863" s="67" t="s">
        <v>6927</v>
      </c>
      <c r="FC863" s="67" t="s">
        <v>6928</v>
      </c>
      <c r="FD863" s="67" t="s">
        <v>6929</v>
      </c>
      <c r="FE863" s="68" t="s">
        <v>6930</v>
      </c>
      <c r="FF863" s="68" t="s">
        <v>6931</v>
      </c>
    </row>
    <row r="864" spans="151:162" x14ac:dyDescent="0.2">
      <c r="EU864" s="67">
        <v>564.99</v>
      </c>
      <c r="EV864" s="67" t="s">
        <v>6932</v>
      </c>
      <c r="EW864" s="67">
        <v>488.35</v>
      </c>
      <c r="EX864" s="67" t="s">
        <v>6933</v>
      </c>
      <c r="EY864" s="67">
        <v>5665.87</v>
      </c>
      <c r="EZ864" s="67" t="s">
        <v>6934</v>
      </c>
      <c r="FA864" s="67">
        <v>20071.866999999998</v>
      </c>
      <c r="FB864" s="67" t="s">
        <v>6935</v>
      </c>
      <c r="FC864" s="67" t="s">
        <v>6936</v>
      </c>
      <c r="FD864" s="67" t="s">
        <v>6937</v>
      </c>
      <c r="FE864" s="68" t="s">
        <v>6938</v>
      </c>
      <c r="FF864" s="68" t="s">
        <v>6939</v>
      </c>
    </row>
    <row r="865" spans="151:162" x14ac:dyDescent="0.2">
      <c r="EU865" s="67">
        <v>565.07000000000005</v>
      </c>
      <c r="EV865" s="67" t="s">
        <v>6940</v>
      </c>
      <c r="EW865" s="67">
        <v>488.44</v>
      </c>
      <c r="EX865" s="67" t="s">
        <v>6941</v>
      </c>
      <c r="EY865" s="67">
        <v>5666.38</v>
      </c>
      <c r="EZ865" s="67" t="s">
        <v>6942</v>
      </c>
      <c r="FA865" s="67">
        <v>20074.376</v>
      </c>
      <c r="FB865" s="67" t="s">
        <v>6943</v>
      </c>
      <c r="FC865" s="67" t="s">
        <v>6944</v>
      </c>
      <c r="FD865" s="67" t="s">
        <v>6945</v>
      </c>
      <c r="FE865" s="68" t="s">
        <v>6946</v>
      </c>
      <c r="FF865" s="68" t="s">
        <v>6947</v>
      </c>
    </row>
    <row r="866" spans="151:162" x14ac:dyDescent="0.2">
      <c r="EU866" s="67">
        <v>564.91999999999996</v>
      </c>
      <c r="EV866" s="67" t="s">
        <v>6948</v>
      </c>
      <c r="EW866" s="67">
        <v>488.31</v>
      </c>
      <c r="EX866" s="67" t="s">
        <v>6949</v>
      </c>
      <c r="EY866" s="67">
        <v>5665.33</v>
      </c>
      <c r="EZ866" s="67" t="s">
        <v>6950</v>
      </c>
      <c r="FA866" s="67">
        <v>20070.891</v>
      </c>
      <c r="FB866" s="67" t="s">
        <v>6951</v>
      </c>
      <c r="FC866" s="67" t="s">
        <v>6952</v>
      </c>
      <c r="FD866" s="67" t="s">
        <v>6953</v>
      </c>
      <c r="FE866" s="68" t="s">
        <v>6954</v>
      </c>
      <c r="FF866" s="68" t="s">
        <v>6955</v>
      </c>
    </row>
    <row r="867" spans="151:162" x14ac:dyDescent="0.2">
      <c r="EU867" s="67">
        <v>564.69000000000005</v>
      </c>
      <c r="EV867" s="67" t="s">
        <v>6956</v>
      </c>
      <c r="EW867" s="67">
        <v>488.06</v>
      </c>
      <c r="EX867" s="67" t="s">
        <v>6957</v>
      </c>
      <c r="EY867" s="67">
        <v>5663.05</v>
      </c>
      <c r="EZ867" s="67" t="s">
        <v>6958</v>
      </c>
      <c r="FA867" s="67">
        <v>20061.523000000001</v>
      </c>
      <c r="FB867" s="67" t="s">
        <v>6959</v>
      </c>
      <c r="FC867" s="67" t="s">
        <v>6960</v>
      </c>
      <c r="FD867" s="67" t="s">
        <v>6961</v>
      </c>
      <c r="FE867" s="68" t="s">
        <v>6962</v>
      </c>
      <c r="FF867" s="68" t="s">
        <v>6963</v>
      </c>
    </row>
    <row r="868" spans="151:162" x14ac:dyDescent="0.2">
      <c r="EU868" s="67">
        <v>564.77499999999998</v>
      </c>
      <c r="EV868" s="67" t="s">
        <v>6964</v>
      </c>
      <c r="EW868" s="67">
        <v>488.14</v>
      </c>
      <c r="EX868" s="67" t="s">
        <v>6965</v>
      </c>
      <c r="EY868" s="67">
        <v>5663.67</v>
      </c>
      <c r="EZ868" s="67" t="s">
        <v>6966</v>
      </c>
      <c r="FA868" s="67">
        <v>20062.614000000001</v>
      </c>
      <c r="FB868" s="67" t="s">
        <v>6967</v>
      </c>
      <c r="FC868" s="67" t="s">
        <v>6968</v>
      </c>
      <c r="FD868" s="67" t="s">
        <v>6969</v>
      </c>
      <c r="FE868" s="68" t="s">
        <v>6970</v>
      </c>
      <c r="FF868" s="68" t="s">
        <v>6971</v>
      </c>
    </row>
    <row r="869" spans="151:162" x14ac:dyDescent="0.2">
      <c r="EU869" s="67">
        <v>564.72</v>
      </c>
      <c r="EV869" s="67" t="s">
        <v>6972</v>
      </c>
      <c r="EW869" s="67">
        <v>488.11</v>
      </c>
      <c r="EX869" s="67" t="s">
        <v>6973</v>
      </c>
      <c r="EY869" s="67">
        <v>5663.03</v>
      </c>
      <c r="EZ869" s="67" t="s">
        <v>6974</v>
      </c>
      <c r="FA869" s="67">
        <v>20061.041000000001</v>
      </c>
      <c r="FB869" s="67" t="s">
        <v>6975</v>
      </c>
      <c r="FC869" s="67" t="s">
        <v>6976</v>
      </c>
      <c r="FD869" s="67" t="s">
        <v>6977</v>
      </c>
      <c r="FE869" s="68" t="s">
        <v>6978</v>
      </c>
      <c r="FF869" s="68" t="s">
        <v>6979</v>
      </c>
    </row>
    <row r="870" spans="151:162" x14ac:dyDescent="0.2">
      <c r="EU870" s="67">
        <v>564.72</v>
      </c>
      <c r="EV870" s="67" t="s">
        <v>6980</v>
      </c>
      <c r="EW870" s="67">
        <v>488.1</v>
      </c>
      <c r="EX870" s="67" t="s">
        <v>6981</v>
      </c>
      <c r="EY870" s="67">
        <v>5662.9</v>
      </c>
      <c r="EZ870" s="67" t="s">
        <v>6982</v>
      </c>
      <c r="FA870" s="67">
        <v>20059.958999999999</v>
      </c>
      <c r="FB870" s="67" t="s">
        <v>6983</v>
      </c>
      <c r="FC870" s="67" t="s">
        <v>6984</v>
      </c>
      <c r="FD870" s="67" t="s">
        <v>6985</v>
      </c>
      <c r="FE870" s="68" t="s">
        <v>6986</v>
      </c>
      <c r="FF870" s="68" t="s">
        <v>6987</v>
      </c>
    </row>
    <row r="871" spans="151:162" x14ac:dyDescent="0.2">
      <c r="EU871" s="67">
        <v>564.84</v>
      </c>
      <c r="EV871" s="67" t="s">
        <v>6988</v>
      </c>
      <c r="EW871" s="67">
        <v>488.2</v>
      </c>
      <c r="EX871" s="67" t="s">
        <v>6989</v>
      </c>
      <c r="EY871" s="67">
        <v>5664.42</v>
      </c>
      <c r="EZ871" s="67" t="s">
        <v>6990</v>
      </c>
      <c r="FA871" s="67">
        <v>20064.901999999998</v>
      </c>
      <c r="FB871" s="67" t="s">
        <v>6991</v>
      </c>
      <c r="FC871" s="67" t="s">
        <v>6992</v>
      </c>
      <c r="FD871" s="67" t="s">
        <v>6993</v>
      </c>
      <c r="FE871" s="68" t="s">
        <v>6994</v>
      </c>
      <c r="FF871" s="68" t="s">
        <v>6995</v>
      </c>
    </row>
    <row r="872" spans="151:162" x14ac:dyDescent="0.2">
      <c r="EU872" s="67">
        <v>564.75</v>
      </c>
      <c r="EV872" s="67" t="s">
        <v>6996</v>
      </c>
      <c r="EW872" s="67">
        <v>488.12099999999998</v>
      </c>
      <c r="EX872" s="67" t="s">
        <v>6997</v>
      </c>
      <c r="EY872" s="67">
        <v>5663.6</v>
      </c>
      <c r="EZ872" s="67" t="s">
        <v>6998</v>
      </c>
      <c r="FA872" s="67">
        <v>20062.667000000001</v>
      </c>
      <c r="FB872" s="67" t="s">
        <v>6999</v>
      </c>
      <c r="FC872" s="67" t="s">
        <v>7000</v>
      </c>
      <c r="FD872" s="67" t="s">
        <v>7001</v>
      </c>
      <c r="FE872" s="68" t="s">
        <v>7002</v>
      </c>
      <c r="FF872" s="68" t="s">
        <v>7003</v>
      </c>
    </row>
    <row r="873" spans="151:162" x14ac:dyDescent="0.2">
      <c r="EU873" s="67">
        <v>564.99</v>
      </c>
      <c r="EV873" s="67" t="s">
        <v>7004</v>
      </c>
      <c r="EW873" s="67">
        <v>488.31</v>
      </c>
      <c r="EX873" s="67" t="s">
        <v>7005</v>
      </c>
      <c r="EY873" s="67">
        <v>5665.41</v>
      </c>
      <c r="EZ873" s="67" t="s">
        <v>7006</v>
      </c>
      <c r="FA873" s="67">
        <v>20069.392</v>
      </c>
      <c r="FB873" s="67" t="s">
        <v>7007</v>
      </c>
      <c r="FC873" s="67" t="s">
        <v>7008</v>
      </c>
      <c r="FD873" s="67" t="s">
        <v>7009</v>
      </c>
      <c r="FE873" s="68" t="s">
        <v>7010</v>
      </c>
      <c r="FF873" s="68" t="s">
        <v>7011</v>
      </c>
    </row>
    <row r="874" spans="151:162" x14ac:dyDescent="0.2">
      <c r="EU874" s="67">
        <v>564.70000000000005</v>
      </c>
      <c r="EV874" s="67" t="s">
        <v>7012</v>
      </c>
      <c r="EW874" s="67">
        <v>488.02</v>
      </c>
      <c r="EX874" s="67" t="s">
        <v>7013</v>
      </c>
      <c r="EY874" s="67">
        <v>5663.33</v>
      </c>
      <c r="EZ874" s="67" t="s">
        <v>7014</v>
      </c>
      <c r="FA874" s="67">
        <v>20060.998</v>
      </c>
      <c r="FB874" s="67" t="s">
        <v>7015</v>
      </c>
      <c r="FC874" s="67" t="s">
        <v>7016</v>
      </c>
      <c r="FD874" s="67" t="s">
        <v>7017</v>
      </c>
      <c r="FE874" s="68" t="s">
        <v>7018</v>
      </c>
      <c r="FF874" s="68" t="s">
        <v>7019</v>
      </c>
    </row>
    <row r="875" spans="151:162" x14ac:dyDescent="0.2">
      <c r="EU875" s="67">
        <v>564.16999999999996</v>
      </c>
      <c r="EV875" s="67" t="s">
        <v>7020</v>
      </c>
      <c r="EW875" s="67">
        <v>487.54</v>
      </c>
      <c r="EX875" s="67" t="s">
        <v>7021</v>
      </c>
      <c r="EY875" s="67">
        <v>5658.45</v>
      </c>
      <c r="EZ875" s="67" t="s">
        <v>7022</v>
      </c>
      <c r="FA875" s="67">
        <v>20043.001</v>
      </c>
      <c r="FB875" s="67" t="s">
        <v>7023</v>
      </c>
      <c r="FC875" s="67" t="s">
        <v>7024</v>
      </c>
      <c r="FD875" s="67" t="s">
        <v>7025</v>
      </c>
      <c r="FE875" s="68" t="s">
        <v>7026</v>
      </c>
      <c r="FF875" s="68" t="s">
        <v>7027</v>
      </c>
    </row>
    <row r="876" spans="151:162" x14ac:dyDescent="0.2">
      <c r="EU876" s="67">
        <v>564.44000000000005</v>
      </c>
      <c r="EV876" s="67" t="s">
        <v>7028</v>
      </c>
      <c r="EW876" s="67">
        <v>487.74</v>
      </c>
      <c r="EX876" s="67" t="s">
        <v>7029</v>
      </c>
      <c r="EY876" s="67">
        <v>5660.15</v>
      </c>
      <c r="EZ876" s="67" t="s">
        <v>7030</v>
      </c>
      <c r="FA876" s="67">
        <v>20046.272000000001</v>
      </c>
      <c r="FB876" s="67" t="s">
        <v>7031</v>
      </c>
      <c r="FC876" s="67" t="s">
        <v>7032</v>
      </c>
      <c r="FD876" s="67" t="s">
        <v>7033</v>
      </c>
      <c r="FE876" s="68" t="s">
        <v>7034</v>
      </c>
      <c r="FF876" s="68" t="s">
        <v>7035</v>
      </c>
    </row>
    <row r="877" spans="151:162" x14ac:dyDescent="0.2">
      <c r="EU877" s="67">
        <v>564.41</v>
      </c>
      <c r="EV877" s="67" t="s">
        <v>7036</v>
      </c>
      <c r="EW877" s="67">
        <v>487.73</v>
      </c>
      <c r="EX877" s="67" t="s">
        <v>7037</v>
      </c>
      <c r="EY877" s="67">
        <v>5659.75</v>
      </c>
      <c r="EZ877" s="67" t="s">
        <v>7038</v>
      </c>
      <c r="FA877" s="67">
        <v>20045.687999999998</v>
      </c>
      <c r="FB877" s="67" t="s">
        <v>7039</v>
      </c>
      <c r="FC877" s="67" t="s">
        <v>7040</v>
      </c>
      <c r="FD877" s="67" t="s">
        <v>7041</v>
      </c>
      <c r="FE877" s="68" t="s">
        <v>7042</v>
      </c>
      <c r="FF877" s="68" t="s">
        <v>7043</v>
      </c>
    </row>
    <row r="878" spans="151:162" x14ac:dyDescent="0.2">
      <c r="EU878" s="67">
        <v>564.6</v>
      </c>
      <c r="EV878" s="67" t="s">
        <v>7044</v>
      </c>
      <c r="EW878" s="67">
        <v>487.88</v>
      </c>
      <c r="EX878" s="67" t="s">
        <v>7045</v>
      </c>
      <c r="EY878" s="67">
        <v>5661.57</v>
      </c>
      <c r="EZ878" s="67" t="s">
        <v>7046</v>
      </c>
      <c r="FA878" s="67">
        <v>20051.222000000002</v>
      </c>
      <c r="FB878" s="67" t="s">
        <v>7047</v>
      </c>
      <c r="FC878" s="67" t="s">
        <v>7048</v>
      </c>
      <c r="FD878" s="67" t="s">
        <v>7049</v>
      </c>
      <c r="FE878" s="68" t="s">
        <v>7050</v>
      </c>
      <c r="FF878" s="68" t="s">
        <v>7051</v>
      </c>
    </row>
    <row r="879" spans="151:162" x14ac:dyDescent="0.2">
      <c r="EU879" s="67">
        <v>564.34</v>
      </c>
      <c r="EV879" s="67" t="s">
        <v>7052</v>
      </c>
      <c r="EW879" s="67">
        <v>487.66</v>
      </c>
      <c r="EX879" s="67" t="s">
        <v>7053</v>
      </c>
      <c r="EY879" s="67">
        <v>5659.27</v>
      </c>
      <c r="EZ879" s="67" t="s">
        <v>7054</v>
      </c>
      <c r="FA879" s="67">
        <v>20043.534</v>
      </c>
      <c r="FB879" s="67" t="s">
        <v>7055</v>
      </c>
      <c r="FC879" s="67" t="s">
        <v>7056</v>
      </c>
      <c r="FD879" s="67" t="s">
        <v>7057</v>
      </c>
      <c r="FE879" s="68" t="s">
        <v>7058</v>
      </c>
      <c r="FF879" s="68" t="s">
        <v>7059</v>
      </c>
    </row>
    <row r="880" spans="151:162" x14ac:dyDescent="0.2">
      <c r="EU880" s="67">
        <v>564.39</v>
      </c>
      <c r="EV880" s="67" t="s">
        <v>7060</v>
      </c>
      <c r="EW880" s="67">
        <v>487.7</v>
      </c>
      <c r="EX880" s="67" t="s">
        <v>7061</v>
      </c>
      <c r="EY880" s="67">
        <v>5659.82</v>
      </c>
      <c r="EZ880" s="67" t="s">
        <v>7062</v>
      </c>
      <c r="FA880" s="67">
        <v>20046.744999999999</v>
      </c>
      <c r="FB880" s="67" t="s">
        <v>7063</v>
      </c>
      <c r="FC880" s="67" t="s">
        <v>7064</v>
      </c>
      <c r="FD880" s="67" t="s">
        <v>7065</v>
      </c>
      <c r="FE880" s="68" t="s">
        <v>7066</v>
      </c>
      <c r="FF880" s="68" t="s">
        <v>7067</v>
      </c>
    </row>
    <row r="881" spans="151:162" x14ac:dyDescent="0.2">
      <c r="EU881" s="67">
        <v>564.49</v>
      </c>
      <c r="EV881" s="67" t="s">
        <v>7068</v>
      </c>
      <c r="EW881" s="67">
        <v>487.85</v>
      </c>
      <c r="EX881" s="67" t="s">
        <v>7069</v>
      </c>
      <c r="EY881" s="67">
        <v>5660.65</v>
      </c>
      <c r="EZ881" s="67" t="s">
        <v>7070</v>
      </c>
      <c r="FA881" s="67">
        <v>20050.34</v>
      </c>
      <c r="FB881" s="67" t="s">
        <v>7071</v>
      </c>
      <c r="FC881" s="67" t="s">
        <v>7072</v>
      </c>
      <c r="FD881" s="67" t="s">
        <v>7073</v>
      </c>
      <c r="FE881" s="68" t="s">
        <v>7074</v>
      </c>
      <c r="FF881" s="68" t="s">
        <v>7075</v>
      </c>
    </row>
    <row r="882" spans="151:162" x14ac:dyDescent="0.2">
      <c r="EU882" s="67">
        <v>564.64499999999998</v>
      </c>
      <c r="EV882" s="67" t="s">
        <v>7076</v>
      </c>
      <c r="EW882" s="67">
        <v>487.98</v>
      </c>
      <c r="EX882" s="67" t="s">
        <v>7077</v>
      </c>
      <c r="EY882" s="67">
        <v>5661.8</v>
      </c>
      <c r="EZ882" s="67" t="s">
        <v>7078</v>
      </c>
      <c r="FA882" s="67">
        <v>20054.45</v>
      </c>
      <c r="FB882" s="67" t="s">
        <v>7079</v>
      </c>
      <c r="FC882" s="67" t="s">
        <v>7080</v>
      </c>
      <c r="FD882" s="67" t="s">
        <v>7081</v>
      </c>
      <c r="FE882" s="68" t="s">
        <v>7082</v>
      </c>
      <c r="FF882" s="68" t="s">
        <v>7083</v>
      </c>
    </row>
    <row r="883" spans="151:162" x14ac:dyDescent="0.2">
      <c r="EU883" s="67">
        <v>564.58000000000004</v>
      </c>
      <c r="EV883" s="67" t="s">
        <v>7084</v>
      </c>
      <c r="EW883" s="67">
        <v>487.96</v>
      </c>
      <c r="EX883" s="67" t="s">
        <v>7085</v>
      </c>
      <c r="EY883" s="67">
        <v>5661.66</v>
      </c>
      <c r="EZ883" s="67" t="s">
        <v>7086</v>
      </c>
      <c r="FA883" s="67">
        <v>20055.081999999999</v>
      </c>
      <c r="FB883" s="67" t="s">
        <v>7087</v>
      </c>
      <c r="FC883" s="67" t="s">
        <v>7088</v>
      </c>
      <c r="FD883" s="67" t="s">
        <v>7089</v>
      </c>
      <c r="FE883" s="68" t="s">
        <v>7090</v>
      </c>
      <c r="FF883" s="68" t="s">
        <v>7091</v>
      </c>
    </row>
    <row r="884" spans="151:162" x14ac:dyDescent="0.2">
      <c r="EU884" s="67">
        <v>564.44500000000005</v>
      </c>
      <c r="EV884" s="67" t="s">
        <v>7092</v>
      </c>
      <c r="EW884" s="67">
        <v>487.85</v>
      </c>
      <c r="EX884" s="67" t="s">
        <v>7093</v>
      </c>
      <c r="EY884" s="67">
        <v>5660.6</v>
      </c>
      <c r="EZ884" s="67" t="s">
        <v>7094</v>
      </c>
      <c r="FA884" s="67">
        <v>20052.028999999999</v>
      </c>
      <c r="FB884" s="67" t="s">
        <v>7095</v>
      </c>
      <c r="FC884" s="67" t="s">
        <v>7096</v>
      </c>
      <c r="FD884" s="67" t="s">
        <v>7097</v>
      </c>
      <c r="FE884" s="68" t="s">
        <v>7098</v>
      </c>
      <c r="FF884" s="68" t="s">
        <v>7099</v>
      </c>
    </row>
    <row r="885" spans="151:162" x14ac:dyDescent="0.2">
      <c r="EU885" s="67">
        <v>564.32000000000005</v>
      </c>
      <c r="EV885" s="67" t="s">
        <v>7100</v>
      </c>
      <c r="EW885" s="67">
        <v>487.74</v>
      </c>
      <c r="EX885" s="67" t="s">
        <v>7101</v>
      </c>
      <c r="EY885" s="67">
        <v>5659.52</v>
      </c>
      <c r="EZ885" s="67" t="s">
        <v>7102</v>
      </c>
      <c r="FA885" s="67">
        <v>20049.73</v>
      </c>
      <c r="FB885" s="67" t="s">
        <v>7103</v>
      </c>
      <c r="FC885" s="67" t="s">
        <v>7104</v>
      </c>
      <c r="FD885" s="67" t="s">
        <v>7105</v>
      </c>
      <c r="FE885" s="68" t="s">
        <v>7106</v>
      </c>
      <c r="FF885" s="68" t="s">
        <v>7107</v>
      </c>
    </row>
    <row r="886" spans="151:162" x14ac:dyDescent="0.2">
      <c r="EU886" s="67">
        <v>564.24</v>
      </c>
      <c r="EV886" s="67" t="s">
        <v>7108</v>
      </c>
      <c r="EW886" s="67">
        <v>487.67</v>
      </c>
      <c r="EX886" s="67" t="s">
        <v>7109</v>
      </c>
      <c r="EY886" s="67">
        <v>5658.48</v>
      </c>
      <c r="EZ886" s="67" t="s">
        <v>7110</v>
      </c>
      <c r="FA886" s="67">
        <v>20045.444</v>
      </c>
      <c r="FB886" s="67" t="s">
        <v>7111</v>
      </c>
      <c r="FC886" s="67" t="s">
        <v>7112</v>
      </c>
      <c r="FD886" s="67" t="s">
        <v>7113</v>
      </c>
      <c r="FE886" s="68" t="s">
        <v>7114</v>
      </c>
      <c r="FF886" s="68" t="s">
        <v>7115</v>
      </c>
    </row>
    <row r="887" spans="151:162" x14ac:dyDescent="0.2">
      <c r="EU887" s="67">
        <v>564.27</v>
      </c>
      <c r="EV887" s="67" t="s">
        <v>7116</v>
      </c>
      <c r="EW887" s="67">
        <v>487.69</v>
      </c>
      <c r="EX887" s="67" t="s">
        <v>7117</v>
      </c>
      <c r="EY887" s="67">
        <v>5658.71</v>
      </c>
      <c r="EZ887" s="67" t="s">
        <v>7118</v>
      </c>
      <c r="FA887" s="67">
        <v>20046.584999999999</v>
      </c>
      <c r="FB887" s="67" t="s">
        <v>7119</v>
      </c>
      <c r="FC887" s="67" t="s">
        <v>7120</v>
      </c>
      <c r="FD887" s="67" t="s">
        <v>7121</v>
      </c>
      <c r="FE887" s="68" t="s">
        <v>7122</v>
      </c>
      <c r="FF887" s="68" t="s">
        <v>7123</v>
      </c>
    </row>
    <row r="888" spans="151:162" x14ac:dyDescent="0.2">
      <c r="EU888" s="67">
        <v>564.45000000000005</v>
      </c>
      <c r="EV888" s="67" t="s">
        <v>7124</v>
      </c>
      <c r="EW888" s="67">
        <v>487.91500000000002</v>
      </c>
      <c r="EX888" s="67" t="s">
        <v>7125</v>
      </c>
      <c r="EY888" s="67">
        <v>5660.65</v>
      </c>
      <c r="EZ888" s="67" t="s">
        <v>7126</v>
      </c>
      <c r="FA888" s="67">
        <v>20053.934000000001</v>
      </c>
      <c r="FB888" s="67" t="s">
        <v>7127</v>
      </c>
      <c r="FC888" s="67" t="s">
        <v>7128</v>
      </c>
      <c r="FD888" s="67" t="s">
        <v>7129</v>
      </c>
      <c r="FE888" s="68" t="s">
        <v>7130</v>
      </c>
      <c r="FF888" s="68" t="s">
        <v>7131</v>
      </c>
    </row>
    <row r="889" spans="151:162" x14ac:dyDescent="0.2">
      <c r="EU889" s="67">
        <v>564.70000000000005</v>
      </c>
      <c r="EV889" s="67" t="s">
        <v>7132</v>
      </c>
      <c r="EW889" s="67">
        <v>488.10700000000003</v>
      </c>
      <c r="EX889" s="67" t="s">
        <v>7133</v>
      </c>
      <c r="EY889" s="67">
        <v>5662.41</v>
      </c>
      <c r="EZ889" s="67" t="s">
        <v>7134</v>
      </c>
      <c r="FA889" s="67">
        <v>20059.753000000001</v>
      </c>
      <c r="FB889" s="67" t="s">
        <v>7135</v>
      </c>
      <c r="FC889" s="67" t="s">
        <v>7136</v>
      </c>
      <c r="FD889" s="67" t="s">
        <v>7137</v>
      </c>
      <c r="FE889" s="68" t="s">
        <v>7138</v>
      </c>
      <c r="FF889" s="68" t="s">
        <v>7139</v>
      </c>
    </row>
    <row r="890" spans="151:162" x14ac:dyDescent="0.2">
      <c r="EU890" s="67">
        <v>564.74</v>
      </c>
      <c r="EV890" s="67" t="s">
        <v>7140</v>
      </c>
      <c r="EW890" s="67">
        <v>488.17399999999998</v>
      </c>
      <c r="EX890" s="67" t="s">
        <v>7141</v>
      </c>
      <c r="EY890" s="67">
        <v>5663.07</v>
      </c>
      <c r="EZ890" s="67" t="s">
        <v>7142</v>
      </c>
      <c r="FA890" s="67">
        <v>20062.415000000001</v>
      </c>
      <c r="FB890" s="67" t="s">
        <v>7143</v>
      </c>
      <c r="FC890" s="67" t="s">
        <v>7144</v>
      </c>
      <c r="FD890" s="67" t="s">
        <v>7145</v>
      </c>
      <c r="FE890" s="68" t="s">
        <v>7146</v>
      </c>
      <c r="FF890" s="68" t="s">
        <v>7147</v>
      </c>
    </row>
    <row r="891" spans="151:162" x14ac:dyDescent="0.2">
      <c r="EU891" s="67">
        <v>564.75</v>
      </c>
      <c r="EV891" s="67" t="s">
        <v>7148</v>
      </c>
      <c r="EW891" s="67">
        <v>488.14</v>
      </c>
      <c r="EX891" s="67" t="s">
        <v>7149</v>
      </c>
      <c r="EY891" s="67">
        <v>5663.27</v>
      </c>
      <c r="EZ891" s="67" t="s">
        <v>7150</v>
      </c>
      <c r="FA891" s="67">
        <v>20062.71</v>
      </c>
      <c r="FB891" s="67" t="s">
        <v>7151</v>
      </c>
      <c r="FC891" s="67" t="s">
        <v>7152</v>
      </c>
      <c r="FD891" s="67" t="s">
        <v>7153</v>
      </c>
      <c r="FE891" s="68" t="s">
        <v>7154</v>
      </c>
      <c r="FF891" s="68" t="s">
        <v>7155</v>
      </c>
    </row>
    <row r="892" spans="151:162" x14ac:dyDescent="0.2">
      <c r="EU892" s="67">
        <v>564.5</v>
      </c>
      <c r="EV892" s="67" t="s">
        <v>7156</v>
      </c>
      <c r="EW892" s="67">
        <v>487.93</v>
      </c>
      <c r="EX892" s="67" t="s">
        <v>7157</v>
      </c>
      <c r="EY892" s="67">
        <v>5661.14</v>
      </c>
      <c r="EZ892" s="67" t="s">
        <v>7158</v>
      </c>
      <c r="FA892" s="67">
        <v>20056.194</v>
      </c>
      <c r="FB892" s="67" t="s">
        <v>7159</v>
      </c>
      <c r="FC892" s="67" t="s">
        <v>7160</v>
      </c>
      <c r="FD892" s="67" t="s">
        <v>7161</v>
      </c>
      <c r="FE892" s="68" t="s">
        <v>7162</v>
      </c>
      <c r="FF892" s="68" t="s">
        <v>7163</v>
      </c>
    </row>
    <row r="893" spans="151:162" x14ac:dyDescent="0.2">
      <c r="EU893" s="67">
        <v>564.53</v>
      </c>
      <c r="EV893" s="67" t="s">
        <v>7164</v>
      </c>
      <c r="EW893" s="67">
        <v>487.89</v>
      </c>
      <c r="EX893" s="67" t="s">
        <v>7165</v>
      </c>
      <c r="EY893" s="67">
        <v>5660.82</v>
      </c>
      <c r="EZ893" s="67" t="s">
        <v>7166</v>
      </c>
      <c r="FA893" s="67">
        <v>20051.867999999999</v>
      </c>
      <c r="FB893" s="67" t="s">
        <v>7167</v>
      </c>
      <c r="FC893" s="67" t="s">
        <v>7168</v>
      </c>
      <c r="FD893" s="67" t="s">
        <v>7169</v>
      </c>
      <c r="FE893" s="68" t="s">
        <v>7170</v>
      </c>
      <c r="FF893" s="68" t="s">
        <v>7171</v>
      </c>
    </row>
    <row r="894" spans="151:162" x14ac:dyDescent="0.2">
      <c r="EU894" s="67">
        <v>564.5</v>
      </c>
      <c r="EV894" s="67" t="s">
        <v>7172</v>
      </c>
      <c r="EW894" s="67">
        <v>487.88400000000001</v>
      </c>
      <c r="EX894" s="67" t="s">
        <v>7173</v>
      </c>
      <c r="EY894" s="67">
        <v>5661</v>
      </c>
      <c r="EZ894" s="67" t="s">
        <v>7174</v>
      </c>
      <c r="FA894" s="67">
        <v>20053.758999999998</v>
      </c>
      <c r="FB894" s="67" t="s">
        <v>7175</v>
      </c>
      <c r="FC894" s="67" t="s">
        <v>7176</v>
      </c>
      <c r="FD894" s="67" t="s">
        <v>7177</v>
      </c>
      <c r="FE894" s="68" t="s">
        <v>7178</v>
      </c>
      <c r="FF894" s="68" t="s">
        <v>7179</v>
      </c>
    </row>
    <row r="895" spans="151:162" x14ac:dyDescent="0.2">
      <c r="EU895" s="67">
        <v>564.48</v>
      </c>
      <c r="EV895" s="67" t="s">
        <v>7180</v>
      </c>
      <c r="EW895" s="67">
        <v>487.83</v>
      </c>
      <c r="EX895" s="67" t="s">
        <v>7181</v>
      </c>
      <c r="EY895" s="67">
        <v>5661.26</v>
      </c>
      <c r="EZ895" s="67" t="s">
        <v>7182</v>
      </c>
      <c r="FA895" s="67">
        <v>20053.427</v>
      </c>
      <c r="FB895" s="67" t="s">
        <v>7183</v>
      </c>
      <c r="FC895" s="67" t="s">
        <v>7184</v>
      </c>
      <c r="FD895" s="67" t="s">
        <v>7185</v>
      </c>
      <c r="FE895" s="68" t="s">
        <v>7186</v>
      </c>
      <c r="FF895" s="68" t="s">
        <v>7187</v>
      </c>
    </row>
    <row r="896" spans="151:162" x14ac:dyDescent="0.2">
      <c r="EU896" s="67">
        <v>564.53</v>
      </c>
      <c r="EV896" s="67" t="s">
        <v>7188</v>
      </c>
      <c r="EW896" s="67">
        <v>487.92</v>
      </c>
      <c r="EX896" s="67" t="s">
        <v>7189</v>
      </c>
      <c r="EY896" s="67">
        <v>5661.1</v>
      </c>
      <c r="EZ896" s="67" t="s">
        <v>7190</v>
      </c>
      <c r="FA896" s="67">
        <v>20053.062000000002</v>
      </c>
      <c r="FB896" s="67" t="s">
        <v>7191</v>
      </c>
      <c r="FC896" s="67" t="s">
        <v>7192</v>
      </c>
      <c r="FD896" s="67" t="s">
        <v>7193</v>
      </c>
      <c r="FE896" s="68" t="s">
        <v>7194</v>
      </c>
      <c r="FF896" s="68" t="s">
        <v>7195</v>
      </c>
    </row>
    <row r="897" spans="151:162" x14ac:dyDescent="0.2">
      <c r="EU897" s="67">
        <v>564.69500000000005</v>
      </c>
      <c r="EV897" s="67" t="s">
        <v>7196</v>
      </c>
      <c r="EW897" s="67">
        <v>488.05</v>
      </c>
      <c r="EX897" s="67" t="s">
        <v>7197</v>
      </c>
      <c r="EY897" s="67">
        <v>5662.47</v>
      </c>
      <c r="EZ897" s="67" t="s">
        <v>7198</v>
      </c>
      <c r="FA897" s="67">
        <v>20058.257000000001</v>
      </c>
      <c r="FB897" s="67" t="s">
        <v>7199</v>
      </c>
      <c r="FC897" s="67" t="s">
        <v>7200</v>
      </c>
      <c r="FD897" s="67" t="s">
        <v>7201</v>
      </c>
      <c r="FE897" s="68" t="s">
        <v>7202</v>
      </c>
      <c r="FF897" s="68" t="s">
        <v>7203</v>
      </c>
    </row>
    <row r="898" spans="151:162" x14ac:dyDescent="0.2">
      <c r="EU898" s="67">
        <v>564.48</v>
      </c>
      <c r="EV898" s="67" t="s">
        <v>7204</v>
      </c>
      <c r="EW898" s="67">
        <v>487.87</v>
      </c>
      <c r="EX898" s="67" t="s">
        <v>7205</v>
      </c>
      <c r="EY898" s="67">
        <v>5661.25</v>
      </c>
      <c r="EZ898" s="67" t="s">
        <v>7206</v>
      </c>
      <c r="FA898" s="67">
        <v>20055.400000000001</v>
      </c>
      <c r="FB898" s="67" t="s">
        <v>7207</v>
      </c>
      <c r="FC898" s="67" t="s">
        <v>7208</v>
      </c>
      <c r="FD898" s="67" t="s">
        <v>7209</v>
      </c>
      <c r="FE898" s="68" t="s">
        <v>7210</v>
      </c>
      <c r="FF898" s="68" t="s">
        <v>7211</v>
      </c>
    </row>
    <row r="899" spans="151:162" x14ac:dyDescent="0.2">
      <c r="EU899" s="67">
        <v>564.6</v>
      </c>
      <c r="EV899" s="67" t="s">
        <v>7212</v>
      </c>
      <c r="EW899" s="67">
        <v>487.93</v>
      </c>
      <c r="EX899" s="67" t="s">
        <v>7213</v>
      </c>
      <c r="EY899" s="67">
        <v>5661.86</v>
      </c>
      <c r="EZ899" s="67" t="s">
        <v>7214</v>
      </c>
      <c r="FA899" s="67">
        <v>20054.848999999998</v>
      </c>
      <c r="FB899" s="67" t="s">
        <v>7215</v>
      </c>
      <c r="FC899" s="67" t="s">
        <v>7216</v>
      </c>
      <c r="FD899" s="67" t="s">
        <v>7217</v>
      </c>
      <c r="FE899" s="68" t="s">
        <v>7218</v>
      </c>
      <c r="FF899" s="68" t="s">
        <v>7219</v>
      </c>
    </row>
    <row r="900" spans="151:162" x14ac:dyDescent="0.2">
      <c r="EU900" s="67">
        <v>564.58000000000004</v>
      </c>
      <c r="EV900" s="67" t="s">
        <v>7220</v>
      </c>
      <c r="EW900" s="67">
        <v>487.82</v>
      </c>
      <c r="EX900" s="67" t="s">
        <v>7221</v>
      </c>
      <c r="EY900" s="67">
        <v>5661.38</v>
      </c>
      <c r="EZ900" s="67" t="s">
        <v>7222</v>
      </c>
      <c r="FA900" s="67">
        <v>20052.670999999998</v>
      </c>
      <c r="FB900" s="67" t="s">
        <v>7223</v>
      </c>
      <c r="FC900" s="67" t="s">
        <v>7224</v>
      </c>
      <c r="FD900" s="67" t="s">
        <v>7225</v>
      </c>
      <c r="FE900" s="68" t="s">
        <v>7226</v>
      </c>
      <c r="FF900" s="68" t="s">
        <v>7227</v>
      </c>
    </row>
    <row r="901" spans="151:162" x14ac:dyDescent="0.2">
      <c r="EU901" s="67">
        <v>564.54999999999995</v>
      </c>
      <c r="EV901" s="67" t="s">
        <v>7228</v>
      </c>
      <c r="EW901" s="67">
        <v>487.86</v>
      </c>
      <c r="EX901" s="67" t="s">
        <v>7229</v>
      </c>
      <c r="EY901" s="67">
        <v>5661.34</v>
      </c>
      <c r="EZ901" s="67" t="s">
        <v>7230</v>
      </c>
      <c r="FA901" s="67">
        <v>20051.206999999999</v>
      </c>
      <c r="FB901" s="67" t="s">
        <v>7231</v>
      </c>
      <c r="FC901" s="67" t="s">
        <v>7232</v>
      </c>
      <c r="FD901" s="67" t="s">
        <v>7233</v>
      </c>
      <c r="FE901" s="68" t="s">
        <v>7234</v>
      </c>
      <c r="FF901" s="68" t="s">
        <v>7235</v>
      </c>
    </row>
    <row r="902" spans="151:162" x14ac:dyDescent="0.2">
      <c r="EU902" s="67">
        <v>564.66</v>
      </c>
      <c r="EV902" s="67" t="s">
        <v>7236</v>
      </c>
      <c r="EW902" s="67">
        <v>487.94</v>
      </c>
      <c r="EX902" s="67" t="s">
        <v>7237</v>
      </c>
      <c r="EY902" s="67">
        <v>5662.47</v>
      </c>
      <c r="EZ902" s="67" t="s">
        <v>7238</v>
      </c>
      <c r="FA902" s="67">
        <v>20054.419000000002</v>
      </c>
      <c r="FB902" s="67" t="s">
        <v>7239</v>
      </c>
      <c r="FC902" s="67" t="s">
        <v>7240</v>
      </c>
      <c r="FD902" s="67" t="s">
        <v>7241</v>
      </c>
      <c r="FE902" s="68" t="s">
        <v>7242</v>
      </c>
      <c r="FF902" s="68" t="s">
        <v>7243</v>
      </c>
    </row>
    <row r="903" spans="151:162" x14ac:dyDescent="0.2">
      <c r="EU903" s="67">
        <v>564.745</v>
      </c>
      <c r="EV903" s="67" t="s">
        <v>7244</v>
      </c>
      <c r="EW903" s="67">
        <v>488.03</v>
      </c>
      <c r="EX903" s="67" t="s">
        <v>7245</v>
      </c>
      <c r="EY903" s="67">
        <v>5663.05</v>
      </c>
      <c r="EZ903" s="67" t="s">
        <v>7246</v>
      </c>
      <c r="FA903" s="67">
        <v>20056.289000000001</v>
      </c>
      <c r="FB903" s="67" t="s">
        <v>7247</v>
      </c>
      <c r="FC903" s="67" t="s">
        <v>7248</v>
      </c>
      <c r="FD903" s="67" t="s">
        <v>7249</v>
      </c>
      <c r="FE903" s="68" t="s">
        <v>7250</v>
      </c>
      <c r="FF903" s="68" t="s">
        <v>7251</v>
      </c>
    </row>
    <row r="904" spans="151:162" x14ac:dyDescent="0.2">
      <c r="EU904" s="67">
        <v>564.97799999999995</v>
      </c>
      <c r="EV904" s="67" t="s">
        <v>7252</v>
      </c>
      <c r="EW904" s="67">
        <v>488.274</v>
      </c>
      <c r="EX904" s="67" t="s">
        <v>7253</v>
      </c>
      <c r="EY904" s="67">
        <v>5665.32</v>
      </c>
      <c r="EZ904" s="67" t="s">
        <v>7254</v>
      </c>
      <c r="FA904" s="67">
        <v>20065.155999999999</v>
      </c>
      <c r="FB904" s="67" t="s">
        <v>7255</v>
      </c>
      <c r="FC904" s="67" t="s">
        <v>7256</v>
      </c>
      <c r="FD904" s="67" t="s">
        <v>7257</v>
      </c>
      <c r="FE904" s="68" t="s">
        <v>7258</v>
      </c>
      <c r="FF904" s="68" t="s">
        <v>7259</v>
      </c>
    </row>
    <row r="905" spans="151:162" x14ac:dyDescent="0.2">
      <c r="EU905" s="67">
        <v>564.87</v>
      </c>
      <c r="EV905" s="67" t="s">
        <v>7260</v>
      </c>
      <c r="EW905" s="67">
        <v>488.22</v>
      </c>
      <c r="EX905" s="67" t="s">
        <v>7261</v>
      </c>
      <c r="EY905" s="67">
        <v>5664.68</v>
      </c>
      <c r="EZ905" s="67" t="s">
        <v>7262</v>
      </c>
      <c r="FA905" s="67">
        <v>20065.261999999999</v>
      </c>
      <c r="FB905" s="67" t="s">
        <v>7263</v>
      </c>
      <c r="FC905" s="67" t="s">
        <v>7264</v>
      </c>
      <c r="FD905" s="67" t="s">
        <v>7265</v>
      </c>
      <c r="FE905" s="68" t="s">
        <v>7266</v>
      </c>
      <c r="FF905" s="68" t="s">
        <v>7267</v>
      </c>
    </row>
    <row r="906" spans="151:162" x14ac:dyDescent="0.2">
      <c r="EU906" s="67">
        <v>564.91999999999996</v>
      </c>
      <c r="EV906" s="67" t="s">
        <v>7268</v>
      </c>
      <c r="EW906" s="67">
        <v>488.25</v>
      </c>
      <c r="EX906" s="67" t="s">
        <v>7269</v>
      </c>
      <c r="EY906" s="67">
        <v>5665.14</v>
      </c>
      <c r="EZ906" s="67" t="s">
        <v>7270</v>
      </c>
      <c r="FA906" s="67">
        <v>20064.960999999999</v>
      </c>
      <c r="FB906" s="67" t="s">
        <v>7271</v>
      </c>
      <c r="FC906" s="67" t="s">
        <v>7272</v>
      </c>
      <c r="FD906" s="67" t="s">
        <v>7273</v>
      </c>
      <c r="FE906" s="68" t="s">
        <v>7274</v>
      </c>
      <c r="FF906" s="68" t="s">
        <v>7275</v>
      </c>
    </row>
    <row r="907" spans="151:162" x14ac:dyDescent="0.2">
      <c r="EU907" s="67">
        <v>565.02</v>
      </c>
      <c r="EV907" s="67" t="s">
        <v>7276</v>
      </c>
      <c r="EW907" s="67">
        <v>488.35</v>
      </c>
      <c r="EX907" s="67" t="s">
        <v>7277</v>
      </c>
      <c r="EY907" s="67">
        <v>5666.11</v>
      </c>
      <c r="EZ907" s="67" t="s">
        <v>7278</v>
      </c>
      <c r="FA907" s="67">
        <v>20070.727999999999</v>
      </c>
      <c r="FB907" s="67" t="s">
        <v>7279</v>
      </c>
      <c r="FC907" s="67" t="s">
        <v>7280</v>
      </c>
      <c r="FD907" s="67" t="s">
        <v>7281</v>
      </c>
      <c r="FE907" s="68" t="s">
        <v>7282</v>
      </c>
      <c r="FF907" s="68" t="s">
        <v>7283</v>
      </c>
    </row>
    <row r="908" spans="151:162" x14ac:dyDescent="0.2">
      <c r="EU908" s="67">
        <v>564.87</v>
      </c>
      <c r="EV908" s="67" t="s">
        <v>7284</v>
      </c>
      <c r="EW908" s="67">
        <v>488.17</v>
      </c>
      <c r="EX908" s="67" t="s">
        <v>7285</v>
      </c>
      <c r="EY908" s="67">
        <v>5664.3</v>
      </c>
      <c r="EZ908" s="67" t="s">
        <v>7286</v>
      </c>
      <c r="FA908" s="67">
        <v>20064.891</v>
      </c>
      <c r="FB908" s="67" t="s">
        <v>7287</v>
      </c>
      <c r="FC908" s="67" t="s">
        <v>7288</v>
      </c>
      <c r="FD908" s="67" t="s">
        <v>7289</v>
      </c>
      <c r="FE908" s="68" t="s">
        <v>7290</v>
      </c>
      <c r="FF908" s="68" t="s">
        <v>7291</v>
      </c>
    </row>
    <row r="909" spans="151:162" x14ac:dyDescent="0.2">
      <c r="EU909" s="67">
        <v>564.71</v>
      </c>
      <c r="EV909" s="67" t="s">
        <v>7292</v>
      </c>
      <c r="EW909" s="67">
        <v>488.01</v>
      </c>
      <c r="EX909" s="67" t="s">
        <v>7293</v>
      </c>
      <c r="EY909" s="67">
        <v>5662.69</v>
      </c>
      <c r="EZ909" s="67" t="s">
        <v>7294</v>
      </c>
      <c r="FA909" s="67">
        <v>20057.467000000001</v>
      </c>
      <c r="FB909" s="67" t="s">
        <v>7295</v>
      </c>
      <c r="FC909" s="67" t="s">
        <v>7296</v>
      </c>
      <c r="FD909" s="67" t="s">
        <v>7297</v>
      </c>
      <c r="FE909" s="68" t="s">
        <v>7298</v>
      </c>
      <c r="FF909" s="68" t="s">
        <v>7299</v>
      </c>
    </row>
    <row r="910" spans="151:162" x14ac:dyDescent="0.2">
      <c r="EU910" s="67">
        <v>564.71</v>
      </c>
      <c r="EV910" s="67" t="s">
        <v>7300</v>
      </c>
      <c r="EW910" s="67">
        <v>488.06</v>
      </c>
      <c r="EX910" s="67" t="s">
        <v>7301</v>
      </c>
      <c r="EY910" s="67">
        <v>5663.3</v>
      </c>
      <c r="EZ910" s="67" t="s">
        <v>7302</v>
      </c>
      <c r="FA910" s="67">
        <v>20060.236000000001</v>
      </c>
      <c r="FB910" s="67" t="s">
        <v>7303</v>
      </c>
      <c r="FC910" s="67" t="s">
        <v>7304</v>
      </c>
      <c r="FD910" s="67" t="s">
        <v>7305</v>
      </c>
      <c r="FE910" s="68" t="s">
        <v>7306</v>
      </c>
      <c r="FF910" s="68" t="s">
        <v>7307</v>
      </c>
    </row>
    <row r="911" spans="151:162" x14ac:dyDescent="0.2">
      <c r="EU911" s="67">
        <v>564.84</v>
      </c>
      <c r="EV911" s="67" t="s">
        <v>7308</v>
      </c>
      <c r="EW911" s="67">
        <v>488.16</v>
      </c>
      <c r="EX911" s="67" t="s">
        <v>7309</v>
      </c>
      <c r="EY911" s="67">
        <v>5664.53</v>
      </c>
      <c r="EZ911" s="67" t="s">
        <v>7310</v>
      </c>
      <c r="FA911" s="67">
        <v>20065.519</v>
      </c>
      <c r="FB911" s="67" t="s">
        <v>7311</v>
      </c>
      <c r="FC911" s="67" t="s">
        <v>7312</v>
      </c>
      <c r="FD911" s="67" t="s">
        <v>7313</v>
      </c>
      <c r="FE911" s="68" t="s">
        <v>7314</v>
      </c>
      <c r="FF911" s="68" t="s">
        <v>7315</v>
      </c>
    </row>
    <row r="912" spans="151:162" x14ac:dyDescent="0.2">
      <c r="EU912" s="67">
        <v>564.85</v>
      </c>
      <c r="EV912" s="67" t="s">
        <v>7316</v>
      </c>
      <c r="EW912" s="67">
        <v>488.16</v>
      </c>
      <c r="EX912" s="67" t="s">
        <v>7317</v>
      </c>
      <c r="EY912" s="67">
        <v>5664.38</v>
      </c>
      <c r="EZ912" s="67" t="s">
        <v>7318</v>
      </c>
      <c r="FA912" s="67">
        <v>20063.582999999999</v>
      </c>
      <c r="FB912" s="67" t="s">
        <v>7319</v>
      </c>
      <c r="FC912" s="67" t="s">
        <v>7320</v>
      </c>
      <c r="FD912" s="67" t="s">
        <v>7321</v>
      </c>
      <c r="FE912" s="68" t="s">
        <v>7322</v>
      </c>
      <c r="FF912" s="68" t="s">
        <v>7323</v>
      </c>
    </row>
    <row r="913" spans="151:162" x14ac:dyDescent="0.2">
      <c r="EU913" s="67">
        <v>564.91999999999996</v>
      </c>
      <c r="EV913" s="67" t="s">
        <v>7324</v>
      </c>
      <c r="EW913" s="67">
        <v>488.27</v>
      </c>
      <c r="EX913" s="67" t="s">
        <v>7325</v>
      </c>
      <c r="EY913" s="67">
        <v>5665.02</v>
      </c>
      <c r="EZ913" s="67" t="s">
        <v>7326</v>
      </c>
      <c r="FA913" s="67">
        <v>20067.146000000001</v>
      </c>
      <c r="FB913" s="67" t="s">
        <v>7327</v>
      </c>
      <c r="FC913" s="67" t="s">
        <v>7328</v>
      </c>
      <c r="FD913" s="67" t="s">
        <v>7329</v>
      </c>
      <c r="FE913" s="68" t="s">
        <v>7330</v>
      </c>
      <c r="FF913" s="68" t="s">
        <v>7331</v>
      </c>
    </row>
    <row r="914" spans="151:162" x14ac:dyDescent="0.2">
      <c r="EU914" s="67">
        <v>564.89</v>
      </c>
      <c r="EV914" s="67" t="s">
        <v>7332</v>
      </c>
      <c r="EW914" s="67">
        <v>488.23899999999998</v>
      </c>
      <c r="EX914" s="67" t="s">
        <v>7333</v>
      </c>
      <c r="EY914" s="67">
        <v>5664.92</v>
      </c>
      <c r="EZ914" s="67" t="s">
        <v>7334</v>
      </c>
      <c r="FA914" s="67">
        <v>20066.672999999999</v>
      </c>
      <c r="FB914" s="67" t="s">
        <v>7335</v>
      </c>
      <c r="FC914" s="67" t="s">
        <v>7336</v>
      </c>
      <c r="FD914" s="67" t="s">
        <v>7337</v>
      </c>
      <c r="FE914" s="68" t="s">
        <v>7338</v>
      </c>
      <c r="FF914" s="68" t="s">
        <v>7339</v>
      </c>
    </row>
    <row r="915" spans="151:162" x14ac:dyDescent="0.2">
      <c r="EU915" s="67">
        <v>564.91</v>
      </c>
      <c r="EV915" s="67" t="s">
        <v>7340</v>
      </c>
      <c r="EW915" s="67">
        <v>488.23</v>
      </c>
      <c r="EX915" s="67" t="s">
        <v>7341</v>
      </c>
      <c r="EY915" s="67">
        <v>5664.92</v>
      </c>
      <c r="EZ915" s="67" t="s">
        <v>7342</v>
      </c>
      <c r="FA915" s="67">
        <v>20065.913</v>
      </c>
      <c r="FB915" s="67" t="s">
        <v>7343</v>
      </c>
      <c r="FC915" s="67" t="s">
        <v>7344</v>
      </c>
      <c r="FD915" s="67" t="s">
        <v>7345</v>
      </c>
      <c r="FE915" s="68" t="s">
        <v>7346</v>
      </c>
      <c r="FF915" s="68" t="s">
        <v>7347</v>
      </c>
    </row>
    <row r="916" spans="151:162" x14ac:dyDescent="0.2">
      <c r="EU916" s="67">
        <v>565.05999999999995</v>
      </c>
      <c r="EV916" s="67" t="s">
        <v>7348</v>
      </c>
      <c r="EW916" s="67">
        <v>488.34</v>
      </c>
      <c r="EX916" s="67" t="s">
        <v>7349</v>
      </c>
      <c r="EY916" s="67">
        <v>5666.11</v>
      </c>
      <c r="EZ916" s="67" t="s">
        <v>7350</v>
      </c>
      <c r="FA916" s="67">
        <v>20069.462</v>
      </c>
      <c r="FB916" s="67" t="s">
        <v>7351</v>
      </c>
      <c r="FC916" s="67" t="s">
        <v>7352</v>
      </c>
      <c r="FD916" s="67" t="s">
        <v>7353</v>
      </c>
      <c r="FE916" s="68" t="s">
        <v>7354</v>
      </c>
      <c r="FF916" s="68" t="s">
        <v>7355</v>
      </c>
    </row>
    <row r="917" spans="151:162" x14ac:dyDescent="0.2">
      <c r="EU917" s="67">
        <v>564.88</v>
      </c>
      <c r="EV917" s="67" t="s">
        <v>7356</v>
      </c>
      <c r="EW917" s="67">
        <v>488.18</v>
      </c>
      <c r="EX917" s="67" t="s">
        <v>7357</v>
      </c>
      <c r="EY917" s="67">
        <v>5664.97</v>
      </c>
      <c r="EZ917" s="67" t="s">
        <v>7358</v>
      </c>
      <c r="FA917" s="67">
        <v>20064.762999999999</v>
      </c>
      <c r="FB917" s="67" t="s">
        <v>7359</v>
      </c>
      <c r="FC917" s="67" t="s">
        <v>7360</v>
      </c>
      <c r="FD917" s="67" t="s">
        <v>7361</v>
      </c>
      <c r="FE917" s="68" t="s">
        <v>7362</v>
      </c>
      <c r="FF917" s="68" t="s">
        <v>7363</v>
      </c>
    </row>
    <row r="918" spans="151:162" x14ac:dyDescent="0.2">
      <c r="EU918" s="67">
        <v>564.96</v>
      </c>
      <c r="EV918" s="67" t="s">
        <v>7364</v>
      </c>
      <c r="EW918" s="67">
        <v>488.27</v>
      </c>
      <c r="EX918" s="67" t="s">
        <v>7365</v>
      </c>
      <c r="EY918" s="67">
        <v>5665.52</v>
      </c>
      <c r="EZ918" s="67" t="s">
        <v>7366</v>
      </c>
      <c r="FA918" s="67">
        <v>20066.704000000002</v>
      </c>
      <c r="FB918" s="67" t="s">
        <v>7367</v>
      </c>
      <c r="FC918" s="67" t="s">
        <v>7368</v>
      </c>
      <c r="FD918" s="67" t="s">
        <v>7369</v>
      </c>
      <c r="FE918" s="68" t="s">
        <v>7370</v>
      </c>
      <c r="FF918" s="68" t="s">
        <v>7371</v>
      </c>
    </row>
    <row r="919" spans="151:162" x14ac:dyDescent="0.2">
      <c r="EU919" s="67">
        <v>565.28</v>
      </c>
      <c r="EV919" s="67" t="s">
        <v>7372</v>
      </c>
      <c r="EW919" s="67">
        <v>488.53</v>
      </c>
      <c r="EX919" s="67" t="s">
        <v>7373</v>
      </c>
      <c r="EY919" s="67">
        <v>5668.53</v>
      </c>
      <c r="EZ919" s="67" t="s">
        <v>7374</v>
      </c>
      <c r="FA919" s="67">
        <v>20077.325000000001</v>
      </c>
      <c r="FB919" s="67" t="s">
        <v>7375</v>
      </c>
      <c r="FC919" s="67" t="s">
        <v>7376</v>
      </c>
      <c r="FD919" s="67" t="s">
        <v>7377</v>
      </c>
      <c r="FE919" s="68" t="s">
        <v>7378</v>
      </c>
      <c r="FF919" s="68" t="s">
        <v>7379</v>
      </c>
    </row>
    <row r="920" spans="151:162" x14ac:dyDescent="0.2">
      <c r="EU920" s="67">
        <v>565.15</v>
      </c>
      <c r="EV920" s="67" t="s">
        <v>7380</v>
      </c>
      <c r="EW920" s="67">
        <v>488.43</v>
      </c>
      <c r="EX920" s="67" t="s">
        <v>7381</v>
      </c>
      <c r="EY920" s="67">
        <v>5667.44</v>
      </c>
      <c r="EZ920" s="67" t="s">
        <v>7382</v>
      </c>
      <c r="FA920" s="67">
        <v>20075.641</v>
      </c>
      <c r="FB920" s="67" t="s">
        <v>7383</v>
      </c>
      <c r="FC920" s="67" t="s">
        <v>7384</v>
      </c>
      <c r="FD920" s="67" t="s">
        <v>7385</v>
      </c>
      <c r="FE920" s="68" t="s">
        <v>7386</v>
      </c>
      <c r="FF920" s="68" t="s">
        <v>7387</v>
      </c>
    </row>
    <row r="921" spans="151:162" x14ac:dyDescent="0.2">
      <c r="EU921" s="67">
        <v>565.29</v>
      </c>
      <c r="EV921" s="67" t="s">
        <v>7388</v>
      </c>
      <c r="EW921" s="67">
        <v>488.58</v>
      </c>
      <c r="EX921" s="67" t="s">
        <v>7389</v>
      </c>
      <c r="EY921" s="67">
        <v>5668.87</v>
      </c>
      <c r="EZ921" s="67" t="s">
        <v>7390</v>
      </c>
      <c r="FA921" s="67">
        <v>20080.118999999999</v>
      </c>
      <c r="FB921" s="67" t="s">
        <v>7391</v>
      </c>
      <c r="FC921" s="67" t="s">
        <v>7392</v>
      </c>
      <c r="FD921" s="67" t="s">
        <v>7393</v>
      </c>
      <c r="FE921" s="68" t="s">
        <v>7394</v>
      </c>
      <c r="FF921" s="68" t="s">
        <v>7395</v>
      </c>
    </row>
    <row r="922" spans="151:162" x14ac:dyDescent="0.2">
      <c r="EU922" s="67">
        <v>565.16</v>
      </c>
      <c r="EV922" s="67" t="s">
        <v>7396</v>
      </c>
      <c r="EW922" s="67">
        <v>488.44</v>
      </c>
      <c r="EX922" s="67" t="s">
        <v>7397</v>
      </c>
      <c r="EY922" s="67">
        <v>5667.51</v>
      </c>
      <c r="EZ922" s="67" t="s">
        <v>7398</v>
      </c>
      <c r="FA922" s="67">
        <v>20075.187000000002</v>
      </c>
      <c r="FB922" s="67" t="s">
        <v>7399</v>
      </c>
      <c r="FC922" s="67" t="s">
        <v>7400</v>
      </c>
      <c r="FD922" s="67" t="s">
        <v>7401</v>
      </c>
      <c r="FE922" s="68" t="s">
        <v>7402</v>
      </c>
      <c r="FF922" s="68" t="s">
        <v>7403</v>
      </c>
    </row>
    <row r="923" spans="151:162" x14ac:dyDescent="0.2">
      <c r="EU923" s="67">
        <v>565.16999999999996</v>
      </c>
      <c r="EV923" s="67" t="s">
        <v>7404</v>
      </c>
      <c r="EW923" s="67">
        <v>488.45</v>
      </c>
      <c r="EX923" s="67" t="s">
        <v>7405</v>
      </c>
      <c r="EY923" s="67">
        <v>5667.62</v>
      </c>
      <c r="EZ923" s="67" t="s">
        <v>7406</v>
      </c>
      <c r="FA923" s="67">
        <v>20074.746999999999</v>
      </c>
      <c r="FB923" s="67" t="s">
        <v>7407</v>
      </c>
      <c r="FC923" s="67" t="s">
        <v>7408</v>
      </c>
      <c r="FD923" s="67" t="s">
        <v>7409</v>
      </c>
      <c r="FE923" s="68" t="s">
        <v>7410</v>
      </c>
      <c r="FF923" s="68" t="s">
        <v>7411</v>
      </c>
    </row>
    <row r="924" spans="151:162" x14ac:dyDescent="0.2">
      <c r="EU924" s="67">
        <v>565.53899999999999</v>
      </c>
      <c r="EV924" s="67" t="s">
        <v>7412</v>
      </c>
      <c r="EW924" s="67">
        <v>488.84</v>
      </c>
      <c r="EX924" s="67" t="s">
        <v>7413</v>
      </c>
      <c r="EY924" s="67">
        <v>5671.06</v>
      </c>
      <c r="EZ924" s="67" t="s">
        <v>7414</v>
      </c>
      <c r="FA924" s="67">
        <v>20088.737000000001</v>
      </c>
      <c r="FB924" s="67" t="s">
        <v>7415</v>
      </c>
      <c r="FC924" s="67" t="s">
        <v>7416</v>
      </c>
      <c r="FD924" s="67" t="s">
        <v>7417</v>
      </c>
      <c r="FE924" s="68" t="s">
        <v>7418</v>
      </c>
      <c r="FF924" s="68" t="s">
        <v>7419</v>
      </c>
    </row>
    <row r="925" spans="151:162" x14ac:dyDescent="0.2">
      <c r="EU925" s="67">
        <v>565.78</v>
      </c>
      <c r="EV925" s="67" t="s">
        <v>7420</v>
      </c>
      <c r="EW925" s="67">
        <v>489.08499999999998</v>
      </c>
      <c r="EX925" s="67" t="s">
        <v>7421</v>
      </c>
      <c r="EY925" s="67">
        <v>5673.53</v>
      </c>
      <c r="EZ925" s="67" t="s">
        <v>7422</v>
      </c>
      <c r="FA925" s="67">
        <v>20100.334999999999</v>
      </c>
      <c r="FB925" s="67" t="s">
        <v>7423</v>
      </c>
      <c r="FC925" s="67" t="s">
        <v>7424</v>
      </c>
      <c r="FD925" s="67" t="s">
        <v>7425</v>
      </c>
      <c r="FE925" s="68" t="s">
        <v>7426</v>
      </c>
      <c r="FF925" s="68" t="s">
        <v>7427</v>
      </c>
    </row>
    <row r="926" spans="151:162" x14ac:dyDescent="0.2">
      <c r="EU926" s="67">
        <v>565.79</v>
      </c>
      <c r="EV926" s="67" t="s">
        <v>7428</v>
      </c>
      <c r="EW926" s="67">
        <v>489.15</v>
      </c>
      <c r="EX926" s="67" t="s">
        <v>7429</v>
      </c>
      <c r="EY926" s="67">
        <v>5674.02</v>
      </c>
      <c r="EZ926" s="67" t="s">
        <v>7430</v>
      </c>
      <c r="FA926" s="67">
        <v>20103.467000000001</v>
      </c>
      <c r="FB926" s="67" t="s">
        <v>7431</v>
      </c>
      <c r="FC926" s="67" t="s">
        <v>7432</v>
      </c>
      <c r="FD926" s="67" t="s">
        <v>7433</v>
      </c>
      <c r="FE926" s="68" t="s">
        <v>7434</v>
      </c>
      <c r="FF926" s="68" t="s">
        <v>7435</v>
      </c>
    </row>
    <row r="927" spans="151:162" x14ac:dyDescent="0.2">
      <c r="EU927" s="67">
        <v>565.73</v>
      </c>
      <c r="EV927" s="67" t="s">
        <v>7436</v>
      </c>
      <c r="EW927" s="67">
        <v>489.07</v>
      </c>
      <c r="EX927" s="67" t="s">
        <v>7437</v>
      </c>
      <c r="EY927" s="67">
        <v>5673.39</v>
      </c>
      <c r="EZ927" s="67" t="s">
        <v>7438</v>
      </c>
      <c r="FA927" s="67">
        <v>20101.406999999999</v>
      </c>
      <c r="FB927" s="67" t="s">
        <v>7439</v>
      </c>
      <c r="FC927" s="67" t="s">
        <v>7440</v>
      </c>
      <c r="FD927" s="67" t="s">
        <v>7441</v>
      </c>
      <c r="FE927" s="68" t="s">
        <v>7442</v>
      </c>
      <c r="FF927" s="68" t="s">
        <v>7443</v>
      </c>
    </row>
    <row r="928" spans="151:162" x14ac:dyDescent="0.2">
      <c r="EU928" s="67">
        <v>565.73</v>
      </c>
      <c r="EV928" s="67" t="s">
        <v>7444</v>
      </c>
      <c r="EW928" s="67">
        <v>489.06</v>
      </c>
      <c r="EX928" s="67" t="s">
        <v>7445</v>
      </c>
      <c r="EY928" s="67">
        <v>5673.08</v>
      </c>
      <c r="EZ928" s="67" t="s">
        <v>7446</v>
      </c>
      <c r="FA928" s="67">
        <v>20099.091</v>
      </c>
      <c r="FB928" s="67" t="s">
        <v>7447</v>
      </c>
      <c r="FC928" s="67" t="s">
        <v>7448</v>
      </c>
      <c r="FD928" s="67" t="s">
        <v>7449</v>
      </c>
      <c r="FE928" s="68" t="s">
        <v>7450</v>
      </c>
      <c r="FF928" s="68" t="s">
        <v>7451</v>
      </c>
    </row>
    <row r="929" spans="151:162" x14ac:dyDescent="0.2">
      <c r="EU929" s="67">
        <v>565.48199999999997</v>
      </c>
      <c r="EV929" s="67" t="s">
        <v>7452</v>
      </c>
      <c r="EW929" s="67">
        <v>488.87</v>
      </c>
      <c r="EX929" s="67" t="s">
        <v>7453</v>
      </c>
      <c r="EY929" s="67">
        <v>5671.36</v>
      </c>
      <c r="EZ929" s="67" t="s">
        <v>7454</v>
      </c>
      <c r="FA929" s="67">
        <v>20094.482</v>
      </c>
      <c r="FB929" s="67" t="s">
        <v>7455</v>
      </c>
      <c r="FC929" s="67" t="s">
        <v>7456</v>
      </c>
      <c r="FD929" s="67" t="s">
        <v>7457</v>
      </c>
      <c r="FE929" s="68" t="s">
        <v>7458</v>
      </c>
      <c r="FF929" s="68" t="s">
        <v>7459</v>
      </c>
    </row>
    <row r="930" spans="151:162" x14ac:dyDescent="0.2">
      <c r="EU930" s="67">
        <v>565.27</v>
      </c>
      <c r="EV930" s="67" t="s">
        <v>7460</v>
      </c>
      <c r="EW930" s="67">
        <v>488.63</v>
      </c>
      <c r="EX930" s="67" t="s">
        <v>7461</v>
      </c>
      <c r="EY930" s="67">
        <v>5668.73</v>
      </c>
      <c r="EZ930" s="67" t="s">
        <v>7462</v>
      </c>
      <c r="FA930" s="67">
        <v>20084.123</v>
      </c>
      <c r="FB930" s="67" t="s">
        <v>7463</v>
      </c>
      <c r="FC930" s="67" t="s">
        <v>7464</v>
      </c>
      <c r="FD930" s="67" t="s">
        <v>7465</v>
      </c>
      <c r="FE930" s="68" t="s">
        <v>7466</v>
      </c>
      <c r="FF930" s="68" t="s">
        <v>7467</v>
      </c>
    </row>
    <row r="931" spans="151:162" x14ac:dyDescent="0.2">
      <c r="EU931" s="67">
        <v>565.42999999999995</v>
      </c>
      <c r="EV931" s="67" t="s">
        <v>7468</v>
      </c>
      <c r="EW931" s="67">
        <v>488.78</v>
      </c>
      <c r="EX931" s="67" t="s">
        <v>7469</v>
      </c>
      <c r="EY931" s="67">
        <v>5670.43</v>
      </c>
      <c r="EZ931" s="67" t="s">
        <v>7470</v>
      </c>
      <c r="FA931" s="67">
        <v>20088.876</v>
      </c>
      <c r="FB931" s="67" t="s">
        <v>7471</v>
      </c>
      <c r="FC931" s="67" t="s">
        <v>7472</v>
      </c>
      <c r="FD931" s="67" t="s">
        <v>7473</v>
      </c>
      <c r="FE931" s="68" t="s">
        <v>7474</v>
      </c>
      <c r="FF931" s="68" t="s">
        <v>7475</v>
      </c>
    </row>
    <row r="932" spans="151:162" x14ac:dyDescent="0.2">
      <c r="EU932" s="67">
        <v>565.35</v>
      </c>
      <c r="EV932" s="67" t="s">
        <v>7476</v>
      </c>
      <c r="EW932" s="67">
        <v>488.69</v>
      </c>
      <c r="EX932" s="67" t="s">
        <v>7477</v>
      </c>
      <c r="EY932" s="67">
        <v>5669.28</v>
      </c>
      <c r="EZ932" s="67" t="s">
        <v>7478</v>
      </c>
      <c r="FA932" s="67">
        <v>20085.475999999999</v>
      </c>
      <c r="FB932" s="67" t="s">
        <v>7479</v>
      </c>
      <c r="FC932" s="67" t="s">
        <v>7480</v>
      </c>
      <c r="FD932" s="67" t="s">
        <v>7481</v>
      </c>
      <c r="FE932" s="68" t="s">
        <v>7482</v>
      </c>
      <c r="FF932" s="68" t="s">
        <v>7483</v>
      </c>
    </row>
    <row r="933" spans="151:162" x14ac:dyDescent="0.2">
      <c r="EU933" s="67">
        <v>565.30999999999995</v>
      </c>
      <c r="EV933" s="67" t="s">
        <v>7484</v>
      </c>
      <c r="EW933" s="67">
        <v>488.72</v>
      </c>
      <c r="EX933" s="67" t="s">
        <v>7485</v>
      </c>
      <c r="EY933" s="67">
        <v>5669.3</v>
      </c>
      <c r="EZ933" s="67" t="s">
        <v>7486</v>
      </c>
      <c r="FA933" s="67">
        <v>20086.704000000002</v>
      </c>
      <c r="FB933" s="67" t="s">
        <v>7487</v>
      </c>
      <c r="FC933" s="67" t="s">
        <v>7488</v>
      </c>
      <c r="FD933" s="67" t="s">
        <v>7489</v>
      </c>
      <c r="FE933" s="68" t="s">
        <v>7490</v>
      </c>
      <c r="FF933" s="68" t="s">
        <v>7491</v>
      </c>
    </row>
    <row r="934" spans="151:162" x14ac:dyDescent="0.2">
      <c r="EU934" s="67">
        <v>565.30999999999995</v>
      </c>
      <c r="EV934" s="67" t="s">
        <v>7492</v>
      </c>
      <c r="EW934" s="67">
        <v>488.76</v>
      </c>
      <c r="EX934" s="67" t="s">
        <v>7493</v>
      </c>
      <c r="EY934" s="67">
        <v>5669.01</v>
      </c>
      <c r="EZ934" s="67" t="s">
        <v>7494</v>
      </c>
      <c r="FA934" s="67">
        <v>20086.172999999999</v>
      </c>
      <c r="FB934" s="67" t="s">
        <v>7495</v>
      </c>
      <c r="FC934" s="67" t="s">
        <v>7496</v>
      </c>
      <c r="FD934" s="67" t="s">
        <v>7497</v>
      </c>
      <c r="FE934" s="68" t="s">
        <v>7498</v>
      </c>
      <c r="FF934" s="68" t="s">
        <v>7499</v>
      </c>
    </row>
    <row r="935" spans="151:162" x14ac:dyDescent="0.2">
      <c r="EU935" s="67">
        <v>565.45500000000004</v>
      </c>
      <c r="EV935" s="67" t="s">
        <v>7500</v>
      </c>
      <c r="EW935" s="67">
        <v>488.85</v>
      </c>
      <c r="EX935" s="67" t="s">
        <v>7501</v>
      </c>
      <c r="EY935" s="67">
        <v>5670.64</v>
      </c>
      <c r="EZ935" s="67" t="s">
        <v>7502</v>
      </c>
      <c r="FA935" s="67">
        <v>20091.21</v>
      </c>
      <c r="FB935" s="67" t="s">
        <v>7503</v>
      </c>
      <c r="FC935" s="67" t="s">
        <v>7504</v>
      </c>
      <c r="FD935" s="67" t="s">
        <v>7505</v>
      </c>
      <c r="FE935" s="68" t="s">
        <v>7506</v>
      </c>
      <c r="FF935" s="68" t="s">
        <v>7507</v>
      </c>
    </row>
    <row r="936" spans="151:162" x14ac:dyDescent="0.2">
      <c r="EU936" s="67">
        <v>565.36</v>
      </c>
      <c r="EV936" s="67" t="s">
        <v>7508</v>
      </c>
      <c r="EW936" s="67">
        <v>488.76</v>
      </c>
      <c r="EX936" s="67" t="s">
        <v>7509</v>
      </c>
      <c r="EY936" s="67">
        <v>5669.95</v>
      </c>
      <c r="EZ936" s="67" t="s">
        <v>7510</v>
      </c>
      <c r="FA936" s="67">
        <v>20089.874</v>
      </c>
      <c r="FB936" s="67" t="s">
        <v>7511</v>
      </c>
      <c r="FC936" s="67" t="s">
        <v>7512</v>
      </c>
      <c r="FD936" s="67" t="s">
        <v>7513</v>
      </c>
      <c r="FE936" s="68" t="s">
        <v>7514</v>
      </c>
      <c r="FF936" s="68" t="s">
        <v>7515</v>
      </c>
    </row>
    <row r="937" spans="151:162" x14ac:dyDescent="0.2">
      <c r="EU937" s="67">
        <v>564.92999999999995</v>
      </c>
      <c r="EV937" s="67" t="s">
        <v>7516</v>
      </c>
      <c r="EW937" s="67">
        <v>488.33</v>
      </c>
      <c r="EX937" s="67" t="s">
        <v>7517</v>
      </c>
      <c r="EY937" s="67">
        <v>5665.66</v>
      </c>
      <c r="EZ937" s="67" t="s">
        <v>7518</v>
      </c>
      <c r="FA937" s="67">
        <v>20073.343000000001</v>
      </c>
      <c r="FB937" s="67" t="s">
        <v>7519</v>
      </c>
      <c r="FC937" s="67" t="s">
        <v>7520</v>
      </c>
      <c r="FD937" s="67" t="s">
        <v>7521</v>
      </c>
      <c r="FE937" s="68" t="s">
        <v>7522</v>
      </c>
      <c r="FF937" s="68" t="s">
        <v>7523</v>
      </c>
    </row>
    <row r="938" spans="151:162" x14ac:dyDescent="0.2">
      <c r="EU938" s="67">
        <v>564.99</v>
      </c>
      <c r="EV938" s="67" t="s">
        <v>7524</v>
      </c>
      <c r="EW938" s="67">
        <v>488.4</v>
      </c>
      <c r="EX938" s="67" t="s">
        <v>7525</v>
      </c>
      <c r="EY938" s="67">
        <v>5665.75</v>
      </c>
      <c r="EZ938" s="67" t="s">
        <v>7526</v>
      </c>
      <c r="FA938" s="67">
        <v>20073.042000000001</v>
      </c>
      <c r="FB938" s="67" t="s">
        <v>7527</v>
      </c>
      <c r="FC938" s="67" t="s">
        <v>7528</v>
      </c>
      <c r="FD938" s="67" t="s">
        <v>7529</v>
      </c>
      <c r="FE938" s="68" t="s">
        <v>7530</v>
      </c>
      <c r="FF938" s="68" t="s">
        <v>7531</v>
      </c>
    </row>
    <row r="939" spans="151:162" x14ac:dyDescent="0.2">
      <c r="EU939" s="67">
        <v>565.04</v>
      </c>
      <c r="EV939" s="67" t="s">
        <v>7532</v>
      </c>
      <c r="EW939" s="67">
        <v>488.45</v>
      </c>
      <c r="EX939" s="67" t="s">
        <v>7533</v>
      </c>
      <c r="EY939" s="67">
        <v>5666.23</v>
      </c>
      <c r="EZ939" s="67" t="s">
        <v>7534</v>
      </c>
      <c r="FA939" s="67">
        <v>20077.082999999999</v>
      </c>
      <c r="FB939" s="67" t="s">
        <v>7535</v>
      </c>
      <c r="FC939" s="67" t="s">
        <v>7536</v>
      </c>
      <c r="FD939" s="67" t="s">
        <v>7537</v>
      </c>
      <c r="FE939" s="68" t="s">
        <v>7538</v>
      </c>
      <c r="FF939" s="68" t="s">
        <v>7539</v>
      </c>
    </row>
    <row r="940" spans="151:162" x14ac:dyDescent="0.2">
      <c r="EU940" s="67">
        <v>565.16</v>
      </c>
      <c r="EV940" s="67" t="s">
        <v>7540</v>
      </c>
      <c r="EW940" s="67">
        <v>488.58</v>
      </c>
      <c r="EX940" s="67" t="s">
        <v>7541</v>
      </c>
      <c r="EY940" s="67">
        <v>5667.39</v>
      </c>
      <c r="EZ940" s="67" t="s">
        <v>7542</v>
      </c>
      <c r="FA940" s="67">
        <v>20081.011999999999</v>
      </c>
      <c r="FB940" s="67" t="s">
        <v>7543</v>
      </c>
      <c r="FC940" s="67" t="s">
        <v>7544</v>
      </c>
      <c r="FD940" s="67" t="s">
        <v>7545</v>
      </c>
      <c r="FE940" s="68" t="s">
        <v>7546</v>
      </c>
      <c r="FF940" s="68" t="s">
        <v>7547</v>
      </c>
    </row>
    <row r="941" spans="151:162" x14ac:dyDescent="0.2">
      <c r="EU941" s="67">
        <v>565.11</v>
      </c>
      <c r="EV941" s="67" t="s">
        <v>7548</v>
      </c>
      <c r="EW941" s="67">
        <v>488.55</v>
      </c>
      <c r="EX941" s="67" t="s">
        <v>7549</v>
      </c>
      <c r="EY941" s="67">
        <v>5667.05</v>
      </c>
      <c r="EZ941" s="67" t="s">
        <v>7550</v>
      </c>
      <c r="FA941" s="67">
        <v>20080.718000000001</v>
      </c>
      <c r="FB941" s="67" t="s">
        <v>7551</v>
      </c>
      <c r="FC941" s="67" t="s">
        <v>7552</v>
      </c>
      <c r="FD941" s="67" t="s">
        <v>7553</v>
      </c>
      <c r="FE941" s="68" t="s">
        <v>7554</v>
      </c>
      <c r="FF941" s="68" t="s">
        <v>7555</v>
      </c>
    </row>
    <row r="942" spans="151:162" x14ac:dyDescent="0.2">
      <c r="EU942" s="67">
        <v>565</v>
      </c>
      <c r="EV942" s="67" t="s">
        <v>7556</v>
      </c>
      <c r="EW942" s="67">
        <v>488.48</v>
      </c>
      <c r="EX942" s="67" t="s">
        <v>7557</v>
      </c>
      <c r="EY942" s="67">
        <v>5666.21</v>
      </c>
      <c r="EZ942" s="67" t="s">
        <v>7558</v>
      </c>
      <c r="FA942" s="67">
        <v>20078.252</v>
      </c>
      <c r="FB942" s="67" t="s">
        <v>7559</v>
      </c>
      <c r="FC942" s="67" t="s">
        <v>7560</v>
      </c>
      <c r="FD942" s="67" t="s">
        <v>7561</v>
      </c>
      <c r="FE942" s="68" t="s">
        <v>7562</v>
      </c>
      <c r="FF942" s="68" t="s">
        <v>7563</v>
      </c>
    </row>
    <row r="943" spans="151:162" x14ac:dyDescent="0.2">
      <c r="EU943" s="67">
        <v>565.07000000000005</v>
      </c>
      <c r="EV943" s="67" t="s">
        <v>7564</v>
      </c>
      <c r="EW943" s="67">
        <v>488.58</v>
      </c>
      <c r="EX943" s="67" t="s">
        <v>7565</v>
      </c>
      <c r="EY943" s="67">
        <v>5667.07</v>
      </c>
      <c r="EZ943" s="67" t="s">
        <v>7566</v>
      </c>
      <c r="FA943" s="67">
        <v>20082.493999999999</v>
      </c>
      <c r="FB943" s="67" t="s">
        <v>7567</v>
      </c>
      <c r="FC943" s="67" t="s">
        <v>7568</v>
      </c>
      <c r="FD943" s="67" t="s">
        <v>7569</v>
      </c>
      <c r="FE943" s="68" t="s">
        <v>7570</v>
      </c>
      <c r="FF943" s="68" t="s">
        <v>7571</v>
      </c>
    </row>
    <row r="944" spans="151:162" x14ac:dyDescent="0.2">
      <c r="EU944" s="67">
        <v>565.05999999999995</v>
      </c>
      <c r="EV944" s="67" t="s">
        <v>7572</v>
      </c>
      <c r="EW944" s="67">
        <v>488.59300000000002</v>
      </c>
      <c r="EX944" s="67" t="s">
        <v>7573</v>
      </c>
      <c r="EY944" s="67">
        <v>5666.51</v>
      </c>
      <c r="EZ944" s="67" t="s">
        <v>7574</v>
      </c>
      <c r="FA944" s="67">
        <v>20082.001</v>
      </c>
      <c r="FB944" s="67" t="s">
        <v>7575</v>
      </c>
      <c r="FC944" s="67" t="s">
        <v>7576</v>
      </c>
      <c r="FD944" s="67" t="s">
        <v>7577</v>
      </c>
      <c r="FE944" s="68" t="s">
        <v>7578</v>
      </c>
      <c r="FF944" s="68" t="s">
        <v>7579</v>
      </c>
    </row>
    <row r="945" spans="151:162" x14ac:dyDescent="0.2">
      <c r="EU945" s="67">
        <v>564.94000000000005</v>
      </c>
      <c r="EV945" s="67" t="s">
        <v>7580</v>
      </c>
      <c r="EW945" s="67">
        <v>488.54</v>
      </c>
      <c r="EX945" s="67" t="s">
        <v>7581</v>
      </c>
      <c r="EY945" s="67">
        <v>5665.57</v>
      </c>
      <c r="EZ945" s="67" t="s">
        <v>7582</v>
      </c>
      <c r="FA945" s="67">
        <v>20080.394</v>
      </c>
      <c r="FB945" s="67" t="s">
        <v>7583</v>
      </c>
      <c r="FC945" s="67" t="s">
        <v>7584</v>
      </c>
      <c r="FD945" s="67" t="s">
        <v>7585</v>
      </c>
      <c r="FE945" s="68" t="s">
        <v>7586</v>
      </c>
      <c r="FF945" s="68" t="s">
        <v>7587</v>
      </c>
    </row>
    <row r="946" spans="151:162" x14ac:dyDescent="0.2">
      <c r="EU946" s="67">
        <v>564.48</v>
      </c>
      <c r="EV946" s="67" t="s">
        <v>7588</v>
      </c>
      <c r="EW946" s="67">
        <v>488.12</v>
      </c>
      <c r="EX946" s="67" t="s">
        <v>7589</v>
      </c>
      <c r="EY946" s="67">
        <v>5661.46</v>
      </c>
      <c r="EZ946" s="67" t="s">
        <v>7590</v>
      </c>
      <c r="FA946" s="67">
        <v>20063.911</v>
      </c>
      <c r="FB946" s="67" t="s">
        <v>7591</v>
      </c>
      <c r="FC946" s="67" t="s">
        <v>7592</v>
      </c>
      <c r="FD946" s="67" t="s">
        <v>7593</v>
      </c>
      <c r="FE946" s="68" t="s">
        <v>7594</v>
      </c>
      <c r="FF946" s="68" t="s">
        <v>7595</v>
      </c>
    </row>
    <row r="947" spans="151:162" x14ac:dyDescent="0.2">
      <c r="EU947" s="67">
        <v>564.46</v>
      </c>
      <c r="EV947" s="67" t="s">
        <v>7596</v>
      </c>
      <c r="EW947" s="67">
        <v>488.1</v>
      </c>
      <c r="EX947" s="67" t="s">
        <v>7597</v>
      </c>
      <c r="EY947" s="67">
        <v>5660.95</v>
      </c>
      <c r="EZ947" s="67" t="s">
        <v>7598</v>
      </c>
      <c r="FA947" s="67">
        <v>20061.495999999999</v>
      </c>
      <c r="FB947" s="67" t="s">
        <v>7599</v>
      </c>
      <c r="FC947" s="67" t="s">
        <v>7600</v>
      </c>
      <c r="FD947" s="67" t="s">
        <v>7601</v>
      </c>
      <c r="FE947" s="68" t="s">
        <v>7602</v>
      </c>
      <c r="FF947" s="68" t="s">
        <v>7603</v>
      </c>
    </row>
    <row r="948" spans="151:162" x14ac:dyDescent="0.2">
      <c r="EU948" s="67">
        <v>564.84</v>
      </c>
      <c r="EV948" s="67" t="s">
        <v>7604</v>
      </c>
      <c r="EW948" s="67">
        <v>488.37</v>
      </c>
      <c r="EX948" s="67" t="s">
        <v>7605</v>
      </c>
      <c r="EY948" s="67">
        <v>5664.18</v>
      </c>
      <c r="EZ948" s="67" t="s">
        <v>7606</v>
      </c>
      <c r="FA948" s="67">
        <v>20071.011999999999</v>
      </c>
      <c r="FB948" s="67" t="s">
        <v>7607</v>
      </c>
      <c r="FC948" s="67" t="s">
        <v>7608</v>
      </c>
      <c r="FD948" s="67" t="s">
        <v>7609</v>
      </c>
      <c r="FE948" s="68" t="s">
        <v>7610</v>
      </c>
      <c r="FF948" s="68" t="s">
        <v>7611</v>
      </c>
    </row>
    <row r="949" spans="151:162" x14ac:dyDescent="0.2">
      <c r="EU949" s="67">
        <v>564.9</v>
      </c>
      <c r="EV949" s="67" t="s">
        <v>7612</v>
      </c>
      <c r="EW949" s="67">
        <v>488.54</v>
      </c>
      <c r="EX949" s="67" t="s">
        <v>7613</v>
      </c>
      <c r="EY949" s="67">
        <v>5665.35</v>
      </c>
      <c r="EZ949" s="67" t="s">
        <v>7614</v>
      </c>
      <c r="FA949" s="67">
        <v>20079.661</v>
      </c>
      <c r="FB949" s="67" t="s">
        <v>7615</v>
      </c>
      <c r="FC949" s="67" t="s">
        <v>7616</v>
      </c>
      <c r="FD949" s="67" t="s">
        <v>7617</v>
      </c>
      <c r="FE949" s="68" t="s">
        <v>7618</v>
      </c>
      <c r="FF949" s="68" t="s">
        <v>7619</v>
      </c>
    </row>
    <row r="950" spans="151:162" x14ac:dyDescent="0.2">
      <c r="EU950" s="67">
        <v>565.02</v>
      </c>
      <c r="EV950" s="67" t="s">
        <v>7620</v>
      </c>
      <c r="EW950" s="67">
        <v>488.74</v>
      </c>
      <c r="EX950" s="67" t="s">
        <v>7621</v>
      </c>
      <c r="EY950" s="67">
        <v>5665.81</v>
      </c>
      <c r="EZ950" s="67" t="s">
        <v>7622</v>
      </c>
      <c r="FA950" s="67">
        <v>20085.168000000001</v>
      </c>
      <c r="FB950" s="67" t="s">
        <v>7623</v>
      </c>
      <c r="FC950" s="67" t="s">
        <v>7624</v>
      </c>
      <c r="FD950" s="67" t="s">
        <v>7625</v>
      </c>
      <c r="FE950" s="68" t="s">
        <v>7626</v>
      </c>
      <c r="FF950" s="68" t="s">
        <v>7627</v>
      </c>
    </row>
    <row r="951" spans="151:162" x14ac:dyDescent="0.2">
      <c r="EU951" s="67">
        <v>564.91999999999996</v>
      </c>
      <c r="EV951" s="67" t="s">
        <v>7628</v>
      </c>
      <c r="EW951" s="67">
        <v>488.64</v>
      </c>
      <c r="EX951" s="67" t="s">
        <v>7629</v>
      </c>
      <c r="EY951" s="67">
        <v>5665.59</v>
      </c>
      <c r="EZ951" s="67" t="s">
        <v>7630</v>
      </c>
      <c r="FA951" s="67">
        <v>20083.986000000001</v>
      </c>
      <c r="FB951" s="67" t="s">
        <v>7631</v>
      </c>
      <c r="FC951" s="67" t="s">
        <v>7632</v>
      </c>
      <c r="FD951" s="67" t="s">
        <v>7633</v>
      </c>
      <c r="FE951" s="68" t="s">
        <v>7634</v>
      </c>
      <c r="FF951" s="68" t="s">
        <v>7635</v>
      </c>
    </row>
    <row r="952" spans="151:162" x14ac:dyDescent="0.2">
      <c r="EU952" s="67">
        <v>564.82000000000005</v>
      </c>
      <c r="EV952" s="67" t="s">
        <v>7636</v>
      </c>
      <c r="EW952" s="67">
        <v>488.52</v>
      </c>
      <c r="EX952" s="67" t="s">
        <v>7637</v>
      </c>
      <c r="EY952" s="67">
        <v>5664.46</v>
      </c>
      <c r="EZ952" s="67" t="s">
        <v>7638</v>
      </c>
      <c r="FA952" s="67">
        <v>20079.458999999999</v>
      </c>
      <c r="FB952" s="67" t="s">
        <v>7639</v>
      </c>
      <c r="FC952" s="67" t="s">
        <v>7640</v>
      </c>
      <c r="FD952" s="67" t="s">
        <v>7641</v>
      </c>
      <c r="FE952" s="68" t="s">
        <v>7642</v>
      </c>
      <c r="FF952" s="68" t="s">
        <v>7643</v>
      </c>
    </row>
    <row r="953" spans="151:162" x14ac:dyDescent="0.2">
      <c r="EU953" s="67">
        <v>564.73</v>
      </c>
      <c r="EV953" s="67" t="s">
        <v>7644</v>
      </c>
      <c r="EW953" s="67">
        <v>488.44</v>
      </c>
      <c r="EX953" s="67" t="s">
        <v>7645</v>
      </c>
      <c r="EY953" s="67">
        <v>5663.3</v>
      </c>
      <c r="EZ953" s="67" t="s">
        <v>7646</v>
      </c>
      <c r="FA953" s="67">
        <v>20075.524000000001</v>
      </c>
      <c r="FB953" s="67" t="s">
        <v>7647</v>
      </c>
      <c r="FC953" s="67" t="s">
        <v>7648</v>
      </c>
      <c r="FD953" s="67" t="s">
        <v>7649</v>
      </c>
      <c r="FE953" s="68" t="s">
        <v>7650</v>
      </c>
      <c r="FF953" s="68" t="s">
        <v>7651</v>
      </c>
    </row>
    <row r="954" spans="151:162" x14ac:dyDescent="0.2">
      <c r="EU954" s="67">
        <v>564.70000000000005</v>
      </c>
      <c r="EV954" s="67" t="s">
        <v>7652</v>
      </c>
      <c r="EW954" s="67">
        <v>488.43</v>
      </c>
      <c r="EX954" s="67" t="s">
        <v>7653</v>
      </c>
      <c r="EY954" s="67">
        <v>5662.83</v>
      </c>
      <c r="EZ954" s="67" t="s">
        <v>7654</v>
      </c>
      <c r="FA954" s="67">
        <v>20074.189999999999</v>
      </c>
      <c r="FB954" s="67" t="s">
        <v>7655</v>
      </c>
      <c r="FC954" s="67" t="s">
        <v>7656</v>
      </c>
      <c r="FD954" s="67" t="s">
        <v>7657</v>
      </c>
      <c r="FE954" s="68" t="s">
        <v>7658</v>
      </c>
      <c r="FF954" s="68" t="s">
        <v>7659</v>
      </c>
    </row>
    <row r="955" spans="151:162" x14ac:dyDescent="0.2">
      <c r="EU955" s="67">
        <v>564.69000000000005</v>
      </c>
      <c r="EV955" s="67" t="s">
        <v>7660</v>
      </c>
      <c r="EW955" s="67">
        <v>488.4</v>
      </c>
      <c r="EX955" s="67" t="s">
        <v>7661</v>
      </c>
      <c r="EY955" s="67">
        <v>5663.1</v>
      </c>
      <c r="EZ955" s="67" t="s">
        <v>7662</v>
      </c>
      <c r="FA955" s="67">
        <v>20073.937999999998</v>
      </c>
      <c r="FB955" s="67" t="s">
        <v>7663</v>
      </c>
      <c r="FC955" s="67" t="s">
        <v>7664</v>
      </c>
      <c r="FD955" s="67" t="s">
        <v>7665</v>
      </c>
      <c r="FE955" s="68" t="s">
        <v>7666</v>
      </c>
      <c r="FF955" s="68" t="s">
        <v>7667</v>
      </c>
    </row>
    <row r="956" spans="151:162" x14ac:dyDescent="0.2">
      <c r="EU956" s="67">
        <v>564.72</v>
      </c>
      <c r="EV956" s="67" t="s">
        <v>7668</v>
      </c>
      <c r="EW956" s="67">
        <v>488.44</v>
      </c>
      <c r="EX956" s="67" t="s">
        <v>7669</v>
      </c>
      <c r="EY956" s="67">
        <v>5663.63</v>
      </c>
      <c r="EZ956" s="67" t="s">
        <v>7670</v>
      </c>
      <c r="FA956" s="67">
        <v>20076.791000000001</v>
      </c>
      <c r="FB956" s="67" t="s">
        <v>7671</v>
      </c>
      <c r="FC956" s="67" t="s">
        <v>7672</v>
      </c>
      <c r="FD956" s="67" t="s">
        <v>7673</v>
      </c>
      <c r="FE956" s="68" t="s">
        <v>7674</v>
      </c>
      <c r="FF956" s="68" t="s">
        <v>7675</v>
      </c>
    </row>
    <row r="957" spans="151:162" x14ac:dyDescent="0.2">
      <c r="EU957" s="67">
        <v>564.66</v>
      </c>
      <c r="EV957" s="67" t="s">
        <v>7676</v>
      </c>
      <c r="EW957" s="67">
        <v>488.45</v>
      </c>
      <c r="EX957" s="67" t="s">
        <v>7677</v>
      </c>
      <c r="EY957" s="67">
        <v>5663.12</v>
      </c>
      <c r="EZ957" s="67" t="s">
        <v>7678</v>
      </c>
      <c r="FA957" s="67">
        <v>20076.043000000001</v>
      </c>
      <c r="FB957" s="67" t="s">
        <v>7679</v>
      </c>
      <c r="FC957" s="67" t="s">
        <v>7680</v>
      </c>
      <c r="FD957" s="67" t="s">
        <v>7681</v>
      </c>
      <c r="FE957" s="68" t="s">
        <v>7682</v>
      </c>
      <c r="FF957" s="68" t="s">
        <v>7683</v>
      </c>
    </row>
    <row r="958" spans="151:162" x14ac:dyDescent="0.2">
      <c r="EU958" s="67">
        <v>564.82899999999995</v>
      </c>
      <c r="EV958" s="67" t="s">
        <v>7684</v>
      </c>
      <c r="EW958" s="67">
        <v>488.65</v>
      </c>
      <c r="EX958" s="67" t="s">
        <v>7685</v>
      </c>
      <c r="EY958" s="67">
        <v>5664.35</v>
      </c>
      <c r="EZ958" s="67" t="s">
        <v>7686</v>
      </c>
      <c r="FA958" s="67">
        <v>20081.645</v>
      </c>
      <c r="FB958" s="67" t="s">
        <v>7687</v>
      </c>
      <c r="FC958" s="67" t="s">
        <v>7688</v>
      </c>
      <c r="FD958" s="67" t="s">
        <v>7689</v>
      </c>
      <c r="FE958" s="68" t="s">
        <v>7690</v>
      </c>
      <c r="FF958" s="68" t="s">
        <v>7691</v>
      </c>
    </row>
    <row r="959" spans="151:162" x14ac:dyDescent="0.2">
      <c r="EU959" s="67">
        <v>564.70000000000005</v>
      </c>
      <c r="EV959" s="67" t="s">
        <v>7692</v>
      </c>
      <c r="EW959" s="67">
        <v>488.54</v>
      </c>
      <c r="EX959" s="67" t="s">
        <v>7693</v>
      </c>
      <c r="EY959" s="67">
        <v>5662.95</v>
      </c>
      <c r="EZ959" s="67" t="s">
        <v>7694</v>
      </c>
      <c r="FA959" s="67">
        <v>20078.366000000002</v>
      </c>
      <c r="FB959" s="67" t="s">
        <v>7695</v>
      </c>
      <c r="FC959" s="67" t="s">
        <v>7696</v>
      </c>
      <c r="FD959" s="67" t="s">
        <v>7697</v>
      </c>
      <c r="FE959" s="68" t="s">
        <v>7698</v>
      </c>
      <c r="FF959" s="68" t="s">
        <v>7699</v>
      </c>
    </row>
    <row r="960" spans="151:162" x14ac:dyDescent="0.2">
      <c r="EU960" s="67">
        <v>564.6</v>
      </c>
      <c r="EV960" s="67" t="s">
        <v>7700</v>
      </c>
      <c r="EW960" s="67">
        <v>488.46</v>
      </c>
      <c r="EX960" s="67" t="s">
        <v>7701</v>
      </c>
      <c r="EY960" s="67">
        <v>5662.41</v>
      </c>
      <c r="EZ960" s="67" t="s">
        <v>7702</v>
      </c>
      <c r="FA960" s="67">
        <v>20077.579000000002</v>
      </c>
      <c r="FB960" s="67" t="s">
        <v>7703</v>
      </c>
      <c r="FC960" s="67" t="s">
        <v>7704</v>
      </c>
      <c r="FD960" s="67" t="s">
        <v>7705</v>
      </c>
      <c r="FE960" s="68" t="s">
        <v>7706</v>
      </c>
      <c r="FF960" s="68" t="s">
        <v>7707</v>
      </c>
    </row>
    <row r="961" spans="151:162" x14ac:dyDescent="0.2">
      <c r="EU961" s="67">
        <v>564.17499999999995</v>
      </c>
      <c r="EV961" s="67" t="s">
        <v>7708</v>
      </c>
      <c r="EW961" s="67">
        <v>488.04</v>
      </c>
      <c r="EX961" s="67" t="s">
        <v>7709</v>
      </c>
      <c r="EY961" s="67">
        <v>5657.83</v>
      </c>
      <c r="EZ961" s="67" t="s">
        <v>7710</v>
      </c>
      <c r="FA961" s="67">
        <v>20059.84</v>
      </c>
      <c r="FB961" s="67" t="s">
        <v>7711</v>
      </c>
      <c r="FC961" s="67" t="s">
        <v>7712</v>
      </c>
      <c r="FD961" s="67" t="s">
        <v>7713</v>
      </c>
      <c r="FE961" s="68" t="s">
        <v>7714</v>
      </c>
      <c r="FF961" s="68" t="s">
        <v>7715</v>
      </c>
    </row>
    <row r="962" spans="151:162" x14ac:dyDescent="0.2">
      <c r="EU962" s="67">
        <v>564.54999999999995</v>
      </c>
      <c r="EV962" s="67" t="s">
        <v>7716</v>
      </c>
      <c r="EW962" s="67">
        <v>488.33</v>
      </c>
      <c r="EX962" s="67" t="s">
        <v>7717</v>
      </c>
      <c r="EY962" s="67">
        <v>5661.21</v>
      </c>
      <c r="EZ962" s="67" t="s">
        <v>7718</v>
      </c>
      <c r="FA962" s="67">
        <v>20070.563999999998</v>
      </c>
      <c r="FB962" s="67" t="s">
        <v>7719</v>
      </c>
      <c r="FC962" s="67" t="s">
        <v>7720</v>
      </c>
      <c r="FD962" s="67" t="s">
        <v>7721</v>
      </c>
      <c r="FE962" s="68" t="s">
        <v>7722</v>
      </c>
      <c r="FF962" s="68" t="s">
        <v>7723</v>
      </c>
    </row>
    <row r="963" spans="151:162" x14ac:dyDescent="0.2">
      <c r="EU963" s="67">
        <v>564.32000000000005</v>
      </c>
      <c r="EV963" s="67" t="s">
        <v>7724</v>
      </c>
      <c r="EW963" s="67">
        <v>488.1</v>
      </c>
      <c r="EX963" s="67" t="s">
        <v>7725</v>
      </c>
      <c r="EY963" s="67">
        <v>5658.64</v>
      </c>
      <c r="EZ963" s="67" t="s">
        <v>7726</v>
      </c>
      <c r="FA963" s="67">
        <v>20060.227999999999</v>
      </c>
      <c r="FB963" s="67" t="s">
        <v>7727</v>
      </c>
      <c r="FC963" s="67" t="s">
        <v>7728</v>
      </c>
      <c r="FD963" s="67" t="s">
        <v>7729</v>
      </c>
      <c r="FE963" s="68" t="s">
        <v>7730</v>
      </c>
      <c r="FF963" s="68" t="s">
        <v>7731</v>
      </c>
    </row>
    <row r="964" spans="151:162" x14ac:dyDescent="0.2">
      <c r="EU964" s="67">
        <v>564.17999999999995</v>
      </c>
      <c r="EV964" s="67" t="s">
        <v>7732</v>
      </c>
      <c r="EW964" s="67">
        <v>487.98</v>
      </c>
      <c r="EX964" s="67" t="s">
        <v>7733</v>
      </c>
      <c r="EY964" s="67">
        <v>5657.84</v>
      </c>
      <c r="EZ964" s="67" t="s">
        <v>7734</v>
      </c>
      <c r="FA964" s="67">
        <v>20056.457999999999</v>
      </c>
      <c r="FB964" s="67" t="s">
        <v>7735</v>
      </c>
      <c r="FC964" s="67" t="s">
        <v>7736</v>
      </c>
      <c r="FD964" s="67" t="s">
        <v>7737</v>
      </c>
      <c r="FE964" s="68" t="s">
        <v>7738</v>
      </c>
      <c r="FF964" s="68" t="s">
        <v>7739</v>
      </c>
    </row>
    <row r="965" spans="151:162" x14ac:dyDescent="0.2">
      <c r="EU965" s="67">
        <v>564.64</v>
      </c>
      <c r="EV965" s="67" t="s">
        <v>7740</v>
      </c>
      <c r="EW965" s="67">
        <v>488.47500000000002</v>
      </c>
      <c r="EX965" s="67" t="s">
        <v>7741</v>
      </c>
      <c r="EY965" s="67">
        <v>5662.17</v>
      </c>
      <c r="EZ965" s="67" t="s">
        <v>7742</v>
      </c>
      <c r="FA965" s="67">
        <v>20075.080000000002</v>
      </c>
      <c r="FB965" s="67" t="s">
        <v>7743</v>
      </c>
      <c r="FC965" s="67" t="s">
        <v>7744</v>
      </c>
      <c r="FD965" s="67" t="s">
        <v>7745</v>
      </c>
      <c r="FE965" s="68" t="s">
        <v>7746</v>
      </c>
      <c r="FF965" s="68" t="s">
        <v>7747</v>
      </c>
    </row>
    <row r="966" spans="151:162" x14ac:dyDescent="0.2">
      <c r="EU966" s="67">
        <v>564.65</v>
      </c>
      <c r="EV966" s="67" t="s">
        <v>7748</v>
      </c>
      <c r="EW966" s="67">
        <v>488.39</v>
      </c>
      <c r="EX966" s="67" t="s">
        <v>7749</v>
      </c>
      <c r="EY966" s="67">
        <v>5662.36</v>
      </c>
      <c r="EZ966" s="67" t="s">
        <v>7750</v>
      </c>
      <c r="FA966" s="67">
        <v>20074.368999999999</v>
      </c>
      <c r="FB966" s="67" t="s">
        <v>7751</v>
      </c>
      <c r="FC966" s="67" t="s">
        <v>7752</v>
      </c>
      <c r="FD966" s="67" t="s">
        <v>7753</v>
      </c>
      <c r="FE966" s="68" t="s">
        <v>7754</v>
      </c>
      <c r="FF966" s="68" t="s">
        <v>7755</v>
      </c>
    </row>
    <row r="967" spans="151:162" x14ac:dyDescent="0.2">
      <c r="EU967" s="67">
        <v>564.61</v>
      </c>
      <c r="EV967" s="67" t="s">
        <v>7756</v>
      </c>
      <c r="EW967" s="67">
        <v>488.38</v>
      </c>
      <c r="EX967" s="67" t="s">
        <v>7757</v>
      </c>
      <c r="EY967" s="67">
        <v>5661.53</v>
      </c>
      <c r="EZ967" s="67" t="s">
        <v>7758</v>
      </c>
      <c r="FA967" s="67">
        <v>20073.102999999999</v>
      </c>
      <c r="FB967" s="67" t="s">
        <v>7759</v>
      </c>
      <c r="FC967" s="67" t="s">
        <v>7760</v>
      </c>
      <c r="FD967" s="67" t="s">
        <v>7761</v>
      </c>
      <c r="FE967" s="68" t="s">
        <v>7762</v>
      </c>
      <c r="FF967" s="68" t="s">
        <v>7763</v>
      </c>
    </row>
    <row r="968" spans="151:162" x14ac:dyDescent="0.2">
      <c r="EU968" s="67">
        <v>564.60500000000002</v>
      </c>
      <c r="EV968" s="67" t="s">
        <v>7764</v>
      </c>
      <c r="EW968" s="67">
        <v>488.36500000000001</v>
      </c>
      <c r="EX968" s="67" t="s">
        <v>7765</v>
      </c>
      <c r="EY968" s="67">
        <v>5662.06</v>
      </c>
      <c r="EZ968" s="67" t="s">
        <v>7766</v>
      </c>
      <c r="FA968" s="67">
        <v>20071.728999999999</v>
      </c>
      <c r="FB968" s="67" t="s">
        <v>7767</v>
      </c>
      <c r="FC968" s="67" t="s">
        <v>7768</v>
      </c>
      <c r="FD968" s="67" t="s">
        <v>7769</v>
      </c>
      <c r="FE968" s="68" t="s">
        <v>7770</v>
      </c>
      <c r="FF968" s="68" t="s">
        <v>7771</v>
      </c>
    </row>
    <row r="969" spans="151:162" x14ac:dyDescent="0.2">
      <c r="EU969" s="67">
        <v>564.83000000000004</v>
      </c>
      <c r="EV969" s="67" t="s">
        <v>7772</v>
      </c>
      <c r="EW969" s="67">
        <v>488.51</v>
      </c>
      <c r="EX969" s="67" t="s">
        <v>7773</v>
      </c>
      <c r="EY969" s="67">
        <v>5664.64</v>
      </c>
      <c r="EZ969" s="67" t="s">
        <v>7774</v>
      </c>
      <c r="FA969" s="67">
        <v>20085.728999999999</v>
      </c>
      <c r="FB969" s="67" t="s">
        <v>7775</v>
      </c>
      <c r="FC969" s="67" t="s">
        <v>7776</v>
      </c>
      <c r="FD969" s="67" t="s">
        <v>7777</v>
      </c>
      <c r="FE969" s="68" t="s">
        <v>7778</v>
      </c>
      <c r="FF969" s="68" t="s">
        <v>7779</v>
      </c>
    </row>
    <row r="970" spans="151:162" x14ac:dyDescent="0.2">
      <c r="EU970" s="67">
        <v>564.32500000000005</v>
      </c>
      <c r="EV970" s="67" t="s">
        <v>7780</v>
      </c>
      <c r="EW970" s="67">
        <v>488.07</v>
      </c>
      <c r="EX970" s="67" t="s">
        <v>7781</v>
      </c>
      <c r="EY970" s="67">
        <v>5659.12</v>
      </c>
      <c r="EZ970" s="67" t="s">
        <v>7782</v>
      </c>
      <c r="FA970" s="67">
        <v>20062.637999999999</v>
      </c>
      <c r="FB970" s="67" t="s">
        <v>7783</v>
      </c>
      <c r="FC970" s="67" t="s">
        <v>7784</v>
      </c>
      <c r="FD970" s="67" t="s">
        <v>7785</v>
      </c>
      <c r="FE970" s="68" t="s">
        <v>7786</v>
      </c>
      <c r="FF970" s="68" t="s">
        <v>7787</v>
      </c>
    </row>
    <row r="971" spans="151:162" x14ac:dyDescent="0.2">
      <c r="EU971" s="67">
        <v>564.279</v>
      </c>
      <c r="EV971" s="67" t="s">
        <v>7788</v>
      </c>
      <c r="EW971" s="67">
        <v>488</v>
      </c>
      <c r="EX971" s="67" t="s">
        <v>7789</v>
      </c>
      <c r="EY971" s="67">
        <v>5658.36</v>
      </c>
      <c r="EZ971" s="67" t="s">
        <v>7790</v>
      </c>
      <c r="FA971" s="67">
        <v>20057.940999999999</v>
      </c>
      <c r="FB971" s="67" t="s">
        <v>7791</v>
      </c>
      <c r="FC971" s="67" t="s">
        <v>7792</v>
      </c>
      <c r="FD971" s="67" t="s">
        <v>7793</v>
      </c>
      <c r="FE971" s="68" t="s">
        <v>7794</v>
      </c>
      <c r="FF971" s="68" t="s">
        <v>7795</v>
      </c>
    </row>
    <row r="972" spans="151:162" x14ac:dyDescent="0.2">
      <c r="EU972" s="67">
        <v>564.30999999999995</v>
      </c>
      <c r="EV972" s="67" t="s">
        <v>7796</v>
      </c>
      <c r="EW972" s="67">
        <v>488.125</v>
      </c>
      <c r="EX972" s="67" t="s">
        <v>7797</v>
      </c>
      <c r="EY972" s="67">
        <v>5658.92</v>
      </c>
      <c r="EZ972" s="67" t="s">
        <v>7798</v>
      </c>
      <c r="FA972" s="67">
        <v>20062.722000000002</v>
      </c>
      <c r="FB972" s="67" t="s">
        <v>7799</v>
      </c>
      <c r="FC972" s="67" t="s">
        <v>7800</v>
      </c>
      <c r="FD972" s="67" t="s">
        <v>7801</v>
      </c>
      <c r="FE972" s="68" t="s">
        <v>7802</v>
      </c>
      <c r="FF972" s="68" t="s">
        <v>7803</v>
      </c>
    </row>
    <row r="973" spans="151:162" x14ac:dyDescent="0.2">
      <c r="EU973" s="67">
        <v>564.17999999999995</v>
      </c>
      <c r="EV973" s="67" t="s">
        <v>7804</v>
      </c>
      <c r="EW973" s="67">
        <v>488.03500000000003</v>
      </c>
      <c r="EX973" s="67" t="s">
        <v>7805</v>
      </c>
      <c r="EY973" s="67">
        <v>5658.29</v>
      </c>
      <c r="EZ973" s="67" t="s">
        <v>7806</v>
      </c>
      <c r="FA973" s="67">
        <v>20060.385999999999</v>
      </c>
      <c r="FB973" s="67" t="s">
        <v>7807</v>
      </c>
      <c r="FC973" s="67" t="s">
        <v>7808</v>
      </c>
      <c r="FD973" s="67" t="s">
        <v>7809</v>
      </c>
      <c r="FE973" s="68" t="s">
        <v>7810</v>
      </c>
      <c r="FF973" s="68" t="s">
        <v>7811</v>
      </c>
    </row>
    <row r="974" spans="151:162" x14ac:dyDescent="0.2">
      <c r="EU974" s="67">
        <v>564.23</v>
      </c>
      <c r="EV974" s="67" t="s">
        <v>7812</v>
      </c>
      <c r="EW974" s="67">
        <v>488.03</v>
      </c>
      <c r="EX974" s="67" t="s">
        <v>7813</v>
      </c>
      <c r="EY974" s="67">
        <v>5658.82</v>
      </c>
      <c r="EZ974" s="67" t="s">
        <v>7814</v>
      </c>
      <c r="FA974" s="67">
        <v>20060.713</v>
      </c>
      <c r="FB974" s="67" t="s">
        <v>7815</v>
      </c>
      <c r="FC974" s="67" t="s">
        <v>7816</v>
      </c>
      <c r="FD974" s="67" t="s">
        <v>7817</v>
      </c>
      <c r="FE974" s="68" t="s">
        <v>7818</v>
      </c>
      <c r="FF974" s="68" t="s">
        <v>7819</v>
      </c>
    </row>
    <row r="975" spans="151:162" x14ac:dyDescent="0.2">
      <c r="EU975" s="67">
        <v>564.17999999999995</v>
      </c>
      <c r="EV975" s="67" t="s">
        <v>7820</v>
      </c>
      <c r="EW975" s="67">
        <v>487.97</v>
      </c>
      <c r="EX975" s="67" t="s">
        <v>7821</v>
      </c>
      <c r="EY975" s="67">
        <v>5659.88</v>
      </c>
      <c r="EZ975" s="67" t="s">
        <v>7822</v>
      </c>
      <c r="FA975" s="67">
        <v>20061.449000000001</v>
      </c>
      <c r="FB975" s="67" t="s">
        <v>7823</v>
      </c>
      <c r="FC975" s="67" t="s">
        <v>7824</v>
      </c>
      <c r="FD975" s="67" t="s">
        <v>7825</v>
      </c>
      <c r="FE975" s="68" t="s">
        <v>7826</v>
      </c>
      <c r="FF975" s="68" t="s">
        <v>7827</v>
      </c>
    </row>
    <row r="976" spans="151:162" x14ac:dyDescent="0.2">
      <c r="EU976" s="67">
        <v>564.33000000000004</v>
      </c>
      <c r="EV976" s="67" t="s">
        <v>7828</v>
      </c>
      <c r="EW976" s="67">
        <v>488.09</v>
      </c>
      <c r="EX976" s="67" t="s">
        <v>7829</v>
      </c>
      <c r="EY976" s="67">
        <v>5659.91</v>
      </c>
      <c r="EZ976" s="67" t="s">
        <v>7830</v>
      </c>
      <c r="FA976" s="67">
        <v>20061.449000000001</v>
      </c>
      <c r="FB976" s="67" t="s">
        <v>7831</v>
      </c>
      <c r="FC976" s="67" t="s">
        <v>7832</v>
      </c>
      <c r="FD976" s="67" t="s">
        <v>7833</v>
      </c>
      <c r="FE976" s="68" t="s">
        <v>7834</v>
      </c>
      <c r="FF976" s="68" t="s">
        <v>7835</v>
      </c>
    </row>
    <row r="977" spans="151:162" x14ac:dyDescent="0.2">
      <c r="EU977" s="67">
        <v>564.37</v>
      </c>
      <c r="EV977" s="67" t="s">
        <v>7836</v>
      </c>
      <c r="EW977" s="67">
        <v>488.16</v>
      </c>
      <c r="EX977" s="67" t="s">
        <v>7837</v>
      </c>
      <c r="EY977" s="67">
        <v>5659.91</v>
      </c>
      <c r="EZ977" s="67" t="s">
        <v>7838</v>
      </c>
      <c r="FA977" s="67">
        <v>20061.449000000001</v>
      </c>
      <c r="FB977" s="67" t="s">
        <v>7839</v>
      </c>
      <c r="FC977" s="67" t="s">
        <v>7840</v>
      </c>
      <c r="FD977" s="67" t="s">
        <v>7841</v>
      </c>
      <c r="FE977" s="68" t="s">
        <v>7842</v>
      </c>
      <c r="FF977" s="68" t="s">
        <v>7843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"GEX-OI,GEX-VOL,DEX,VOLPRESS,TRUGEX"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topLeftCell="A85" zoomScale="80" zoomScaleNormal="80" workbookViewId="0">
      <selection activeCell="AW95" sqref="AW95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250512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/>
      </c>
      <c r="E1" s="92" t="str">
        <f ca="1">IF(AND(TEXT(E3,"YYMMDD")&gt;$A$1,TEXT(E3,"YYMMDD")&lt;&gt;Hoja1!$C$2,TEXT(E3,"YYMMDD")&lt;&gt;Hoja1!$D$2),TEXT(E3,"YYMMDD"),"")</f>
        <v/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/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571.44000000000005</v>
      </c>
      <c r="B4" s="92"/>
      <c r="C4" s="92"/>
      <c r="D4" s="92"/>
    </row>
    <row r="5" spans="1:25" x14ac:dyDescent="0.25">
      <c r="A5" s="92">
        <f>+Hoja1!A4</f>
        <v>582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0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0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287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282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62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0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9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0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34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0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674</v>
      </c>
    </row>
    <row r="6" spans="1:25" x14ac:dyDescent="0.25">
      <c r="A6" s="92">
        <f>+Hoja1!A5</f>
        <v>581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0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0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315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655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55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0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92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11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2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0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2</v>
      </c>
      <c r="Y6" s="98">
        <f t="shared" ref="Y6:Y39" ca="1" si="3">SUM(B6:X6)</f>
        <v>1132</v>
      </c>
    </row>
    <row r="7" spans="1:25" x14ac:dyDescent="0.25">
      <c r="A7" s="92">
        <f>+Hoja1!A6</f>
        <v>580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0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0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3107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3249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807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0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598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3673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162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116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3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-647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-13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36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224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-125</v>
      </c>
      <c r="Y7" s="98">
        <f t="shared" ca="1" si="3"/>
        <v>11190</v>
      </c>
    </row>
    <row r="8" spans="1:25" x14ac:dyDescent="0.25">
      <c r="A8" s="92">
        <f>+Hoja1!A7</f>
        <v>579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0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126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282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164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0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-34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18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0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0</v>
      </c>
      <c r="Y8" s="98">
        <f t="shared" ca="1" si="3"/>
        <v>557</v>
      </c>
    </row>
    <row r="9" spans="1:25" x14ac:dyDescent="0.25">
      <c r="A9" s="93">
        <f>+Hoja1!A8</f>
        <v>578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0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0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227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564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55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0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38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-2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67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-21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-20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3"/>
        <v>908</v>
      </c>
    </row>
    <row r="10" spans="1:25" x14ac:dyDescent="0.25">
      <c r="A10" s="93">
        <f>+Hoja1!A9</f>
        <v>577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0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170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282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113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0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9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2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29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0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3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0</v>
      </c>
      <c r="Y10" s="98">
        <f t="shared" ca="1" si="3"/>
        <v>608</v>
      </c>
    </row>
    <row r="11" spans="1:25" x14ac:dyDescent="0.25">
      <c r="A11" s="93">
        <f>+Hoja1!A10</f>
        <v>576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0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401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342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207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0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12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0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95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0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0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1057</v>
      </c>
    </row>
    <row r="12" spans="1:25" x14ac:dyDescent="0.25">
      <c r="A12" s="93">
        <f>+Hoja1!A11</f>
        <v>575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0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0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978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2397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537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0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363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537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106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155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-2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103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24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-1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-8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-80</v>
      </c>
      <c r="Y12" s="98">
        <f t="shared" ca="1" si="3"/>
        <v>5109</v>
      </c>
    </row>
    <row r="13" spans="1:25" x14ac:dyDescent="0.25">
      <c r="A13" s="93">
        <f>+Hoja1!A12</f>
        <v>574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0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113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374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116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0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18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6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9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-4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-1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0</v>
      </c>
      <c r="Y13" s="98">
        <f t="shared" ca="1" si="3"/>
        <v>631</v>
      </c>
    </row>
    <row r="14" spans="1:25" x14ac:dyDescent="0.25">
      <c r="A14" s="93">
        <f>+Hoja1!A13</f>
        <v>573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0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152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861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204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0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43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0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9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6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0</v>
      </c>
      <c r="Y14" s="98">
        <f t="shared" ca="1" si="3"/>
        <v>1275</v>
      </c>
    </row>
    <row r="15" spans="1:25" x14ac:dyDescent="0.25">
      <c r="A15" s="93">
        <f>+Hoja1!A14</f>
        <v>572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0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0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282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483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426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0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-18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1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-6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0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0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-12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8</v>
      </c>
      <c r="Y15" s="98">
        <f t="shared" ca="1" si="3"/>
        <v>1164</v>
      </c>
    </row>
    <row r="16" spans="1:25" x14ac:dyDescent="0.25">
      <c r="A16" s="93">
        <f>+Hoja1!A15</f>
        <v>571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0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1562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192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167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0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13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0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121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-1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-1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19</v>
      </c>
      <c r="Y16" s="98">
        <f t="shared" ca="1" si="3"/>
        <v>2072</v>
      </c>
    </row>
    <row r="17" spans="1:25" x14ac:dyDescent="0.25">
      <c r="A17" s="93">
        <f>+Hoja1!A16</f>
        <v>570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0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1240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1834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1064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721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-668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77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-40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-15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-178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-40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-33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-363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-5</v>
      </c>
      <c r="Y17" s="98">
        <f t="shared" ca="1" si="3"/>
        <v>3594</v>
      </c>
    </row>
    <row r="18" spans="1:25" x14ac:dyDescent="0.25">
      <c r="A18" s="93">
        <f>+Hoja1!A17</f>
        <v>569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0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23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343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4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0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-8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5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-10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4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6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-9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-1</v>
      </c>
      <c r="Y18" s="98">
        <f t="shared" ca="1" si="3"/>
        <v>357</v>
      </c>
    </row>
    <row r="19" spans="1:25" x14ac:dyDescent="0.25">
      <c r="A19" s="93">
        <f>+Hoja1!A18</f>
        <v>568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0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303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923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137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0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-7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0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104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5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3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-12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3</v>
      </c>
      <c r="Y19" s="98">
        <f t="shared" ca="1" si="3"/>
        <v>1459</v>
      </c>
    </row>
    <row r="20" spans="1:25" x14ac:dyDescent="0.25">
      <c r="A20" s="93">
        <f>+Hoja1!A19</f>
        <v>567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580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326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70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0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86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-1028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14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-29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-3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-2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0</v>
      </c>
      <c r="Y20" s="98">
        <f t="shared" ca="1" si="3"/>
        <v>14</v>
      </c>
    </row>
    <row r="21" spans="1:25" x14ac:dyDescent="0.25">
      <c r="A21" s="93">
        <f>+Hoja1!A20</f>
        <v>566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0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476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570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-672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0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62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27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-24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23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-2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18</v>
      </c>
      <c r="Y21" s="98">
        <f t="shared" ca="1" si="3"/>
        <v>478</v>
      </c>
    </row>
    <row r="22" spans="1:25" x14ac:dyDescent="0.25">
      <c r="A22" s="93">
        <f>+Hoja1!A21</f>
        <v>565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0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890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2227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1060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0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-72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-33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-140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-144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-52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-349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-100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-36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-8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56</v>
      </c>
      <c r="Y22" s="98">
        <f t="shared" ca="1" si="3"/>
        <v>3299</v>
      </c>
    </row>
    <row r="23" spans="1:25" x14ac:dyDescent="0.25">
      <c r="A23" s="93">
        <f>+Hoja1!A22</f>
        <v>564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0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0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104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132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-1034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0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87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-24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-137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-13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16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-101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-33</v>
      </c>
      <c r="Y23" s="98">
        <f t="shared" ca="1" si="3"/>
        <v>-1003</v>
      </c>
    </row>
    <row r="24" spans="1:25" x14ac:dyDescent="0.25">
      <c r="A24" s="93">
        <f>+Hoja1!A23</f>
        <v>563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0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0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372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78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356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0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82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-108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-130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9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2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-2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-151</v>
      </c>
      <c r="Y24" s="98">
        <f t="shared" ca="1" si="3"/>
        <v>508</v>
      </c>
    </row>
    <row r="25" spans="1:25" x14ac:dyDescent="0.25">
      <c r="A25" s="93">
        <f>+Hoja1!A24</f>
        <v>562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0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-392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517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27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0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-28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-3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-110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0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-11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-10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-387</v>
      </c>
      <c r="Y25" s="98">
        <f t="shared" ca="1" si="3"/>
        <v>-397</v>
      </c>
    </row>
    <row r="26" spans="1:25" x14ac:dyDescent="0.25">
      <c r="A26" s="93">
        <f>+Hoja1!A25</f>
        <v>561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0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-1002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-625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26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0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-35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0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-146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0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-3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-13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-132</v>
      </c>
      <c r="Y26" s="98">
        <f t="shared" ca="1" si="3"/>
        <v>-1930</v>
      </c>
    </row>
    <row r="27" spans="1:25" x14ac:dyDescent="0.25">
      <c r="A27" s="93">
        <f>+Hoja1!A26</f>
        <v>560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0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0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-1429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-820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-614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0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-658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-1015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-409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-539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-9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-194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-7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-31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-118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-3</v>
      </c>
      <c r="Y27" s="98">
        <f t="shared" ca="1" si="3"/>
        <v>-5846</v>
      </c>
    </row>
    <row r="28" spans="1:25" x14ac:dyDescent="0.25">
      <c r="A28" s="93">
        <f>+Hoja1!A27</f>
        <v>559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0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0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-194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-138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-118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0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-386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-281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-2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0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0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-1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0</v>
      </c>
      <c r="Y28" s="98">
        <f t="shared" ca="1" si="3"/>
        <v>-1120</v>
      </c>
    </row>
    <row r="29" spans="1:25" x14ac:dyDescent="0.25">
      <c r="A29" s="93">
        <f>+Hoja1!A28</f>
        <v>558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-391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-321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11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0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-76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-148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6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-7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-1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-7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2</v>
      </c>
      <c r="Y29" s="98">
        <f t="shared" ca="1" si="3"/>
        <v>-932</v>
      </c>
    </row>
    <row r="30" spans="1:25" x14ac:dyDescent="0.25">
      <c r="A30" s="93">
        <f>+Hoja1!A29</f>
        <v>557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0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-132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-335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-193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0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-4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-61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-9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0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-5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-5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0</v>
      </c>
      <c r="Y30" s="98">
        <f t="shared" ca="1" si="3"/>
        <v>-744</v>
      </c>
    </row>
    <row r="31" spans="1:25" x14ac:dyDescent="0.25">
      <c r="A31" s="93">
        <f>+Hoja1!A30</f>
        <v>556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0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-257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-1971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-106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0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-76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11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-1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-1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-2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-7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0</v>
      </c>
      <c r="Y31" s="98">
        <f t="shared" ca="1" si="3"/>
        <v>-2410</v>
      </c>
    </row>
    <row r="32" spans="1:25" x14ac:dyDescent="0.25">
      <c r="A32" s="93">
        <f>+Hoja1!A31</f>
        <v>555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0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-6444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-1941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-442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0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-567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-457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-124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-177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-23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-79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-3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-82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-62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-8</v>
      </c>
      <c r="Y32" s="98">
        <f t="shared" ca="1" si="3"/>
        <v>-10409</v>
      </c>
    </row>
    <row r="33" spans="1:25" x14ac:dyDescent="0.25">
      <c r="A33" s="93">
        <f>+Hoja1!A32</f>
        <v>554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0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0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-179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-445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-218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0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-13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2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-10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-3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-6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-1</v>
      </c>
      <c r="Y33" s="98">
        <f t="shared" ca="1" si="3"/>
        <v>-873</v>
      </c>
    </row>
    <row r="34" spans="1:25" x14ac:dyDescent="0.25">
      <c r="A34" s="93">
        <f>+Hoja1!A33</f>
        <v>553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0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0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-126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-291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-71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0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-95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2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-122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-3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17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-3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3"/>
        <v>-692</v>
      </c>
    </row>
    <row r="35" spans="1:25" x14ac:dyDescent="0.25">
      <c r="A35" s="93">
        <f>+Hoja1!A34</f>
        <v>552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0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0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-244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6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-8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0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-19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-1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-5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0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-2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-5</v>
      </c>
      <c r="Y35" s="98">
        <f t="shared" ca="1" si="3"/>
        <v>-278</v>
      </c>
    </row>
    <row r="36" spans="1:25" x14ac:dyDescent="0.25">
      <c r="A36" s="93">
        <f>+Hoja1!A35</f>
        <v>551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0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-100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-80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-25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0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-8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-9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-1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-2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-4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0</v>
      </c>
      <c r="Y36" s="98">
        <f t="shared" ca="1" si="3"/>
        <v>-229</v>
      </c>
    </row>
    <row r="37" spans="1:25" x14ac:dyDescent="0.25">
      <c r="A37" s="93">
        <f>+Hoja1!A36</f>
        <v>550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0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-2900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-3537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-393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0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-667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-2060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-341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-353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-21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-1301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-107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-91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-575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-70</v>
      </c>
      <c r="Y37" s="98">
        <f t="shared" ca="1" si="3"/>
        <v>-12416</v>
      </c>
    </row>
    <row r="38" spans="1:25" x14ac:dyDescent="0.25">
      <c r="A38" s="93">
        <f>+Hoja1!A37</f>
        <v>549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0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0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-226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-66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-189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0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-15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-4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-10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0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-3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-10</v>
      </c>
      <c r="Y38" s="98">
        <f t="shared" ca="1" si="3"/>
        <v>-524</v>
      </c>
    </row>
    <row r="39" spans="1:25" x14ac:dyDescent="0.25">
      <c r="A39" s="93">
        <f>+Hoja1!A38</f>
        <v>548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0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0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-147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-39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-15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0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-4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1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-52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0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-1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0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0</v>
      </c>
      <c r="Y39" s="98">
        <f t="shared" ca="1" si="3"/>
        <v>-257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/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496.17</v>
      </c>
      <c r="B45" s="92"/>
      <c r="C45" s="92"/>
      <c r="D45" s="92"/>
    </row>
    <row r="46" spans="1:25" x14ac:dyDescent="0.25">
      <c r="A46" s="93">
        <f>+Hoja1!A45</f>
        <v>502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0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0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-164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17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7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3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12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-125</v>
      </c>
    </row>
    <row r="47" spans="1:25" x14ac:dyDescent="0.25">
      <c r="A47" s="93">
        <f>+Hoja1!A46</f>
        <v>501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-92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367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9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-40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7">SUM(B47:X47)</f>
        <v>244</v>
      </c>
    </row>
    <row r="48" spans="1:25" x14ac:dyDescent="0.25">
      <c r="A48" s="93">
        <f>+Hoja1!A47</f>
        <v>500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0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0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5887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5652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544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0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-188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159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4033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277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65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358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114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115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32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-6</v>
      </c>
      <c r="Y48" s="98">
        <f t="shared" ca="1" si="7"/>
        <v>17042</v>
      </c>
    </row>
    <row r="49" spans="1:25" x14ac:dyDescent="0.25">
      <c r="A49" s="93">
        <f>+Hoja1!A48</f>
        <v>499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0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0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-228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-6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1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10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-5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2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7"/>
        <v>-226</v>
      </c>
    </row>
    <row r="50" spans="1:25" x14ac:dyDescent="0.25">
      <c r="A50" s="93">
        <f>+Hoja1!A49</f>
        <v>498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0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0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62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56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-3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-2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-10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0</v>
      </c>
      <c r="Y50" s="98">
        <f t="shared" ca="1" si="7"/>
        <v>103</v>
      </c>
    </row>
    <row r="51" spans="1:25" x14ac:dyDescent="0.25">
      <c r="A51" s="93">
        <f>+Hoja1!A50</f>
        <v>497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0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0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182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223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117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-191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-20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1</v>
      </c>
      <c r="Y51" s="98">
        <f t="shared" ca="1" si="7"/>
        <v>312</v>
      </c>
    </row>
    <row r="52" spans="1:25" x14ac:dyDescent="0.25">
      <c r="A52" s="93">
        <f>+Hoja1!A51</f>
        <v>496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0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0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12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57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28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-8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1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0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1</v>
      </c>
      <c r="Y52" s="98">
        <f t="shared" ca="1" si="7"/>
        <v>91</v>
      </c>
    </row>
    <row r="53" spans="1:25" x14ac:dyDescent="0.25">
      <c r="A53" s="93">
        <f>+Hoja1!A52</f>
        <v>495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0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584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645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114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0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17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97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50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53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29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47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-14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96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4</v>
      </c>
      <c r="Y53" s="98">
        <f t="shared" ca="1" si="7"/>
        <v>1722</v>
      </c>
    </row>
    <row r="54" spans="1:25" x14ac:dyDescent="0.25">
      <c r="A54" s="93">
        <f>+Hoja1!A53</f>
        <v>494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0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135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23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-3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-3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-3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-3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7"/>
        <v>146</v>
      </c>
    </row>
    <row r="55" spans="1:25" x14ac:dyDescent="0.25">
      <c r="A55" s="93">
        <f>+Hoja1!A54</f>
        <v>493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0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27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304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39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10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-3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7"/>
        <v>377</v>
      </c>
    </row>
    <row r="56" spans="1:25" x14ac:dyDescent="0.25">
      <c r="A56" s="93">
        <f>+Hoja1!A55</f>
        <v>492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0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455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-86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118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13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18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5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523</v>
      </c>
    </row>
    <row r="57" spans="1:25" x14ac:dyDescent="0.25">
      <c r="A57" s="93">
        <f>+Hoja1!A56</f>
        <v>491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0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0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1264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-356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98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29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-3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-2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0</v>
      </c>
      <c r="Y57" s="98">
        <f t="shared" ca="1" si="7"/>
        <v>1030</v>
      </c>
    </row>
    <row r="58" spans="1:25" x14ac:dyDescent="0.25">
      <c r="A58" s="93">
        <f>+Hoja1!A57</f>
        <v>490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24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-400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-150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0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-6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-184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108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-78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-62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-80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-9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-101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14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8</v>
      </c>
      <c r="Y58" s="98">
        <f t="shared" ca="1" si="7"/>
        <v>-916</v>
      </c>
    </row>
    <row r="59" spans="1:25" x14ac:dyDescent="0.25">
      <c r="A59" s="93">
        <f>+Hoja1!A58</f>
        <v>489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0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0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-17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-137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-42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-6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-10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4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3</v>
      </c>
      <c r="Y59" s="98">
        <f t="shared" ca="1" si="7"/>
        <v>-205</v>
      </c>
    </row>
    <row r="60" spans="1:25" x14ac:dyDescent="0.25">
      <c r="A60" s="93">
        <f>+Hoja1!A59</f>
        <v>488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0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193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-274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-61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-1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-102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4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-8</v>
      </c>
      <c r="Y60" s="98">
        <f t="shared" ca="1" si="7"/>
        <v>-249</v>
      </c>
    </row>
    <row r="61" spans="1:25" x14ac:dyDescent="0.25">
      <c r="A61" s="93">
        <f>+Hoja1!A60</f>
        <v>487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0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0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-284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-195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-119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-16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-18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44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19</v>
      </c>
      <c r="Y61" s="98">
        <f t="shared" ca="1" si="7"/>
        <v>-569</v>
      </c>
    </row>
    <row r="62" spans="1:25" x14ac:dyDescent="0.25">
      <c r="A62" s="93">
        <f>+Hoja1!A61</f>
        <v>486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0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-290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-237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-28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-52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-2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20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0</v>
      </c>
      <c r="Y62" s="98">
        <f t="shared" ca="1" si="7"/>
        <v>-589</v>
      </c>
    </row>
    <row r="63" spans="1:25" x14ac:dyDescent="0.25">
      <c r="A63" s="93">
        <f>+Hoja1!A62</f>
        <v>485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0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-2069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-262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-60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0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3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-64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-3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17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26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-545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-95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102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-11</v>
      </c>
      <c r="Y63" s="98">
        <f t="shared" ca="1" si="7"/>
        <v>-2961</v>
      </c>
    </row>
    <row r="64" spans="1:25" x14ac:dyDescent="0.25">
      <c r="A64" s="93">
        <f>+Hoja1!A63</f>
        <v>484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0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0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-106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-1766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-2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0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-1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8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9</v>
      </c>
      <c r="Y64" s="98">
        <f t="shared" ca="1" si="7"/>
        <v>-1858</v>
      </c>
    </row>
    <row r="65" spans="1:25" x14ac:dyDescent="0.25">
      <c r="A65" s="93">
        <f>+Hoja1!A64</f>
        <v>483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0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-230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-118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-3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9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-20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0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-2</v>
      </c>
      <c r="Y65" s="98">
        <f t="shared" ca="1" si="7"/>
        <v>-364</v>
      </c>
    </row>
    <row r="66" spans="1:25" x14ac:dyDescent="0.25">
      <c r="A66" s="93">
        <f>+Hoja1!A65</f>
        <v>482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0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0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-31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95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-99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3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18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0</v>
      </c>
      <c r="Y66" s="98">
        <f t="shared" ca="1" si="7"/>
        <v>-14</v>
      </c>
    </row>
    <row r="67" spans="1:25" x14ac:dyDescent="0.25">
      <c r="A67" s="93">
        <f>+Hoja1!A66</f>
        <v>481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0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-299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53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-8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-10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1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7"/>
        <v>-263</v>
      </c>
    </row>
    <row r="68" spans="1:25" x14ac:dyDescent="0.25">
      <c r="A68" s="93">
        <f>+Hoja1!A67</f>
        <v>480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0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-5459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-5181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-369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0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-141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-501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66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-57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-16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-124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-10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-3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-15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3</v>
      </c>
      <c r="Y68" s="98">
        <f t="shared" ca="1" si="7"/>
        <v>-11807</v>
      </c>
    </row>
    <row r="69" spans="1:25" x14ac:dyDescent="0.25">
      <c r="A69" s="93">
        <f>+Hoja1!A68</f>
        <v>479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0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-19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-55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-5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-8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-2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-1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3</v>
      </c>
      <c r="Y69" s="98">
        <f t="shared" ca="1" si="7"/>
        <v>-87</v>
      </c>
    </row>
    <row r="70" spans="1:25" x14ac:dyDescent="0.25">
      <c r="A70" s="93">
        <f>+Hoja1!A69</f>
        <v>478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0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0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-113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-36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-14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-2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-14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1</v>
      </c>
      <c r="Y70" s="98">
        <f t="shared" ca="1" si="7"/>
        <v>-181</v>
      </c>
    </row>
    <row r="71" spans="1:25" x14ac:dyDescent="0.25">
      <c r="A71" s="93">
        <f>+Hoja1!A70</f>
        <v>477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0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-103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-33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-227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-5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-3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0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-1</v>
      </c>
      <c r="Y71" s="98">
        <f t="shared" ca="1" si="7"/>
        <v>-372</v>
      </c>
    </row>
    <row r="72" spans="1:25" x14ac:dyDescent="0.25">
      <c r="A72" s="93">
        <f>+Hoja1!A71</f>
        <v>476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0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-148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-112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-24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-10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-12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-42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7"/>
        <v>-348</v>
      </c>
    </row>
    <row r="73" spans="1:25" x14ac:dyDescent="0.25">
      <c r="A73" s="93">
        <f>+Hoja1!A72</f>
        <v>475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-6874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-2882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-82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0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1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-277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-4015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-188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-7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-74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-25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-30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-1</v>
      </c>
      <c r="Y73" s="98">
        <f t="shared" ca="1" si="7"/>
        <v>-14454</v>
      </c>
    </row>
    <row r="74" spans="1:25" x14ac:dyDescent="0.25">
      <c r="A74" s="93">
        <f>+Hoja1!A73</f>
        <v>474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0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-53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-81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-58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-8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-6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-25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7"/>
        <v>-231</v>
      </c>
    </row>
    <row r="75" spans="1:25" x14ac:dyDescent="0.25">
      <c r="A75" s="93">
        <f>+Hoja1!A74</f>
        <v>473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0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-134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-7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-15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-1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0</v>
      </c>
      <c r="Y75" s="98">
        <f t="shared" ca="1" si="7"/>
        <v>-158</v>
      </c>
    </row>
    <row r="76" spans="1:25" x14ac:dyDescent="0.25">
      <c r="A76" s="93">
        <f>+Hoja1!A75</f>
        <v>472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0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-676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-129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0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-11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0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0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-1</v>
      </c>
      <c r="Y76" s="98">
        <f t="shared" ca="1" si="7"/>
        <v>-817</v>
      </c>
    </row>
    <row r="77" spans="1:25" x14ac:dyDescent="0.25">
      <c r="A77" s="93">
        <f>+Hoja1!A76</f>
        <v>471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0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-86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-84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1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-8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4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7"/>
        <v>-173</v>
      </c>
    </row>
    <row r="78" spans="1:25" x14ac:dyDescent="0.25">
      <c r="A78" s="93">
        <f>+Hoja1!A77</f>
        <v>470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0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0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-1597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-2291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33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0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-126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-4794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-36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-486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-6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-478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-15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-29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-7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0</v>
      </c>
      <c r="Y78" s="98">
        <f t="shared" ca="1" si="7"/>
        <v>-9832</v>
      </c>
    </row>
    <row r="79" spans="1:25" x14ac:dyDescent="0.25">
      <c r="A79" s="93">
        <f>+Hoja1!A78</f>
        <v>469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0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0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-54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-127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-9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-3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-2</v>
      </c>
      <c r="Y79" s="98">
        <f t="shared" ca="1" si="7"/>
        <v>-194</v>
      </c>
    </row>
    <row r="80" spans="1:25" x14ac:dyDescent="0.25">
      <c r="A80" s="93">
        <f>+Hoja1!A79</f>
        <v>468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0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0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-319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-42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-8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2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-12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7"/>
        <v>-379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/>
      </c>
      <c r="E82" s="92" t="str">
        <f t="shared" ca="1" si="8"/>
        <v/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/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5659.91</v>
      </c>
      <c r="B85" s="92"/>
    </row>
    <row r="86" spans="1:25" x14ac:dyDescent="0.25">
      <c r="A86" s="93">
        <f>+Hoja1!A85</f>
        <v>5870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0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0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0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0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0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0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0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0</v>
      </c>
    </row>
    <row r="87" spans="1:25" x14ac:dyDescent="0.25">
      <c r="A87" s="93">
        <f>+Hoja1!A86</f>
        <v>5860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0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0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0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0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0</v>
      </c>
    </row>
    <row r="88" spans="1:25" x14ac:dyDescent="0.25">
      <c r="A88" s="93">
        <f>+Hoja1!A87</f>
        <v>5850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0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0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0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0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0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0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0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0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0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5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0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0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10"/>
        <v>5</v>
      </c>
    </row>
    <row r="89" spans="1:25" x14ac:dyDescent="0.25">
      <c r="A89" s="93">
        <f>+Hoja1!A88</f>
        <v>5840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0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0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0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0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0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0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0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0</v>
      </c>
    </row>
    <row r="90" spans="1:25" x14ac:dyDescent="0.25">
      <c r="A90" s="93">
        <f>+Hoja1!A89</f>
        <v>5830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0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0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0</v>
      </c>
    </row>
    <row r="91" spans="1:25" x14ac:dyDescent="0.25">
      <c r="A91" s="93">
        <f>+Hoja1!A90</f>
        <v>5820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0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0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0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0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0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0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0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0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0</v>
      </c>
    </row>
    <row r="92" spans="1:25" x14ac:dyDescent="0.25">
      <c r="A92" s="93">
        <f>+Hoja1!A91</f>
        <v>5810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0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0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0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0</v>
      </c>
    </row>
    <row r="93" spans="1:25" x14ac:dyDescent="0.25">
      <c r="A93" s="93">
        <f>+Hoja1!A92</f>
        <v>5800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0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0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0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0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0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1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0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0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0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0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0</v>
      </c>
      <c r="Y93" s="98">
        <f t="shared" ca="1" si="10"/>
        <v>1</v>
      </c>
    </row>
    <row r="94" spans="1:25" x14ac:dyDescent="0.25">
      <c r="A94" s="93">
        <f>+Hoja1!A93</f>
        <v>5790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0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0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0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0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0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0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10"/>
        <v>0</v>
      </c>
    </row>
    <row r="95" spans="1:25" x14ac:dyDescent="0.25">
      <c r="A95" s="93">
        <f>+Hoja1!A94</f>
        <v>5780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0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0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0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0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0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0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0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10"/>
        <v>0</v>
      </c>
    </row>
    <row r="96" spans="1:25" x14ac:dyDescent="0.25">
      <c r="A96" s="93">
        <f>+Hoja1!A95</f>
        <v>5770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0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0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0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0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0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0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0</v>
      </c>
    </row>
    <row r="97" spans="1:25" x14ac:dyDescent="0.25">
      <c r="A97" s="93">
        <f>+Hoja1!A96</f>
        <v>5760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0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0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0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0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0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0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0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10"/>
        <v>0</v>
      </c>
    </row>
    <row r="98" spans="1:25" x14ac:dyDescent="0.25">
      <c r="A98" s="93">
        <f>+Hoja1!A97</f>
        <v>5750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0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0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0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0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0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0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0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0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0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0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0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0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4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0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0</v>
      </c>
      <c r="Y98" s="98">
        <f t="shared" ca="1" si="10"/>
        <v>4</v>
      </c>
    </row>
    <row r="99" spans="1:25" x14ac:dyDescent="0.25">
      <c r="A99" s="93">
        <f>+Hoja1!A98</f>
        <v>5740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0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0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0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0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0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0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10"/>
        <v>0</v>
      </c>
    </row>
    <row r="100" spans="1:25" x14ac:dyDescent="0.25">
      <c r="A100" s="93">
        <f>+Hoja1!A99</f>
        <v>5730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0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0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0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0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0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0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0</v>
      </c>
    </row>
    <row r="101" spans="1:25" x14ac:dyDescent="0.25">
      <c r="A101" s="93">
        <f>+Hoja1!A100</f>
        <v>5720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0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0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0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0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0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1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0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0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1</v>
      </c>
    </row>
    <row r="102" spans="1:25" x14ac:dyDescent="0.25">
      <c r="A102" s="93">
        <f>+Hoja1!A101</f>
        <v>5710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0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0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0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0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0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0</v>
      </c>
    </row>
    <row r="103" spans="1:25" x14ac:dyDescent="0.25">
      <c r="A103" s="93">
        <f>+Hoja1!A102</f>
        <v>5700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0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0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0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0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0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0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0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0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2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0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0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0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0</v>
      </c>
      <c r="Y103" s="98">
        <f t="shared" ca="1" si="10"/>
        <v>2</v>
      </c>
    </row>
    <row r="104" spans="1:25" x14ac:dyDescent="0.25">
      <c r="A104" s="93">
        <f>+Hoja1!A103</f>
        <v>5690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0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0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0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0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0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0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0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10"/>
        <v>0</v>
      </c>
    </row>
    <row r="105" spans="1:25" x14ac:dyDescent="0.25">
      <c r="A105" s="93">
        <f>+Hoja1!A104</f>
        <v>5680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0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0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0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0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0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0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0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0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0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10"/>
        <v>0</v>
      </c>
    </row>
    <row r="106" spans="1:25" x14ac:dyDescent="0.25">
      <c r="A106" s="93">
        <f>+Hoja1!A105</f>
        <v>5670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0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0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0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0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0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0</v>
      </c>
    </row>
    <row r="107" spans="1:25" x14ac:dyDescent="0.25">
      <c r="A107" s="93">
        <f>+Hoja1!A106</f>
        <v>5660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0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0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0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0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0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0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0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0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0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10"/>
        <v>0</v>
      </c>
    </row>
    <row r="108" spans="1:25" x14ac:dyDescent="0.25">
      <c r="A108" s="93">
        <f>+Hoja1!A107</f>
        <v>5650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0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0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0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0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0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0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0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0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0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0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0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0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0</v>
      </c>
      <c r="Y108" s="98">
        <f t="shared" ca="1" si="10"/>
        <v>0</v>
      </c>
    </row>
    <row r="109" spans="1:25" x14ac:dyDescent="0.25">
      <c r="A109" s="93">
        <f>+Hoja1!A108</f>
        <v>5640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0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0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0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0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0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0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0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0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10"/>
        <v>0</v>
      </c>
    </row>
    <row r="110" spans="1:25" x14ac:dyDescent="0.25">
      <c r="A110" s="93">
        <f>+Hoja1!A109</f>
        <v>5630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0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0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0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0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0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0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0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0</v>
      </c>
    </row>
    <row r="111" spans="1:25" x14ac:dyDescent="0.25">
      <c r="A111" s="93">
        <f>+Hoja1!A110</f>
        <v>5620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0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0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0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0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0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0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10"/>
        <v>0</v>
      </c>
    </row>
    <row r="112" spans="1:25" x14ac:dyDescent="0.25">
      <c r="A112" s="93">
        <f>+Hoja1!A111</f>
        <v>5610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0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0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0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0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0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0</v>
      </c>
    </row>
    <row r="113" spans="1:25" x14ac:dyDescent="0.25">
      <c r="A113" s="93">
        <f>+Hoja1!A112</f>
        <v>5600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0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0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0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0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0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0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0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0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0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0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0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0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-3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-3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0</v>
      </c>
      <c r="Y113" s="98">
        <f t="shared" ca="1" si="10"/>
        <v>-6</v>
      </c>
    </row>
    <row r="114" spans="1:25" x14ac:dyDescent="0.25">
      <c r="A114" s="93">
        <f>+Hoja1!A113</f>
        <v>5590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0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0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0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0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0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0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0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0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0</v>
      </c>
    </row>
    <row r="115" spans="1:25" x14ac:dyDescent="0.25">
      <c r="A115" s="93">
        <f>+Hoja1!A114</f>
        <v>5580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0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0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0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0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0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10"/>
        <v>0</v>
      </c>
    </row>
    <row r="116" spans="1:25" x14ac:dyDescent="0.25">
      <c r="A116" s="93">
        <f>+Hoja1!A115</f>
        <v>5570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0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0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0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0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0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0</v>
      </c>
    </row>
    <row r="117" spans="1:25" x14ac:dyDescent="0.25">
      <c r="A117" s="93">
        <f>+Hoja1!A116</f>
        <v>5560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0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0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0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0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0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0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10"/>
        <v>0</v>
      </c>
    </row>
    <row r="118" spans="1:25" x14ac:dyDescent="0.25">
      <c r="A118" s="93">
        <f>+Hoja1!A117</f>
        <v>5550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0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0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-1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0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0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0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0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0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0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0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0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0</v>
      </c>
      <c r="Y118" s="98">
        <f t="shared" ca="1" si="10"/>
        <v>-1</v>
      </c>
    </row>
    <row r="119" spans="1:25" x14ac:dyDescent="0.25">
      <c r="A119" s="93">
        <f>+Hoja1!A118</f>
        <v>5540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0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0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0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0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0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0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10"/>
        <v>0</v>
      </c>
    </row>
    <row r="120" spans="1:25" x14ac:dyDescent="0.25">
      <c r="A120" s="93">
        <f>+Hoja1!A119</f>
        <v>5530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0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0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0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0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0</v>
      </c>
    </row>
    <row r="121" spans="1:25" x14ac:dyDescent="0.25">
      <c r="A121" s="93">
        <f>+Hoja1!A120</f>
        <v>5520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0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0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0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0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0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0</v>
      </c>
    </row>
    <row r="122" spans="1:25" x14ac:dyDescent="0.25">
      <c r="A122" s="93">
        <f>+Hoja1!A121</f>
        <v>5510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0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0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0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0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0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0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0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0</v>
      </c>
    </row>
    <row r="123" spans="1:25" x14ac:dyDescent="0.25">
      <c r="A123" s="93">
        <f>+Hoja1!A122</f>
        <v>5500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0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0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0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0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0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0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0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0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0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0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0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0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0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0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0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0</v>
      </c>
      <c r="Y123" s="98">
        <f t="shared" ca="1" si="10"/>
        <v>0</v>
      </c>
    </row>
    <row r="124" spans="1:25" x14ac:dyDescent="0.25">
      <c r="A124" s="93">
        <f>+Hoja1!A123</f>
        <v>5490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0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0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0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10"/>
        <v>0</v>
      </c>
    </row>
    <row r="125" spans="1:25" x14ac:dyDescent="0.25">
      <c r="A125" s="93">
        <f>+Hoja1!A124</f>
        <v>5480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0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0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0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0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10"/>
        <v>0</v>
      </c>
    </row>
    <row r="126" spans="1:25" x14ac:dyDescent="0.25">
      <c r="A126" s="93">
        <f>+Hoja1!A125</f>
        <v>5470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0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0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0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0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0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0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0</v>
      </c>
    </row>
    <row r="127" spans="1:25" x14ac:dyDescent="0.25">
      <c r="A127" s="93">
        <f>+Hoja1!A126</f>
        <v>5460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0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0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0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-1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-1</v>
      </c>
    </row>
    <row r="128" spans="1:25" x14ac:dyDescent="0.25">
      <c r="A128" s="93">
        <f>+Hoja1!A127</f>
        <v>5450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0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0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0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-4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0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0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0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0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0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0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0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0</v>
      </c>
      <c r="Y128" s="98">
        <f t="shared" ca="1" si="10"/>
        <v>-4</v>
      </c>
    </row>
    <row r="129" spans="1:27" x14ac:dyDescent="0.25">
      <c r="A129" s="93">
        <f>+Hoja1!A128</f>
        <v>5440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0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0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0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0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0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0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0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0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10"/>
        <v>0</v>
      </c>
    </row>
    <row r="130" spans="1:27" x14ac:dyDescent="0.25">
      <c r="A130" s="93">
        <f>+Hoja1!A129</f>
        <v>5430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0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0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-1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0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10"/>
        <v>-1</v>
      </c>
    </row>
    <row r="131" spans="1:27" x14ac:dyDescent="0.25">
      <c r="A131" s="93">
        <f>+Hoja1!A130</f>
        <v>5420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0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0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0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0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0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/>
      </c>
      <c r="E134" s="92" t="str">
        <f t="shared" ca="1" si="11"/>
        <v/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/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20061.449000000001</v>
      </c>
      <c r="B137" s="92"/>
      <c r="X137" s="91"/>
    </row>
    <row r="138" spans="1:27" x14ac:dyDescent="0.25">
      <c r="A138" s="93">
        <f>+Hoja1!A137</f>
        <v>20550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0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0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1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1</v>
      </c>
      <c r="Z138" s="91"/>
      <c r="AA138" s="91"/>
    </row>
    <row r="139" spans="1:27" x14ac:dyDescent="0.25">
      <c r="A139" s="93">
        <f>+Hoja1!A138</f>
        <v>20525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0</v>
      </c>
      <c r="Z139" s="91"/>
      <c r="AA139" s="91"/>
    </row>
    <row r="140" spans="1:27" x14ac:dyDescent="0.25">
      <c r="A140" s="93">
        <f>+Hoja1!A139</f>
        <v>20500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0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0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1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4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0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51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56</v>
      </c>
      <c r="Z140" s="91"/>
      <c r="AA140" s="91"/>
    </row>
    <row r="141" spans="1:27" x14ac:dyDescent="0.25">
      <c r="A141" s="93">
        <f>+Hoja1!A140</f>
        <v>20475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0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0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0</v>
      </c>
      <c r="Z141" s="91"/>
      <c r="AA141" s="91"/>
    </row>
    <row r="142" spans="1:27" x14ac:dyDescent="0.25">
      <c r="A142" s="93">
        <f>+Hoja1!A141</f>
        <v>20450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0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16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16</v>
      </c>
      <c r="Z142" s="91"/>
      <c r="AA142" s="91"/>
    </row>
    <row r="143" spans="1:27" x14ac:dyDescent="0.25">
      <c r="A143" s="93">
        <f>+Hoja1!A142</f>
        <v>20425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0</v>
      </c>
      <c r="Z143" s="91"/>
      <c r="AA143" s="91"/>
    </row>
    <row r="144" spans="1:27" x14ac:dyDescent="0.25">
      <c r="A144" s="93">
        <f>+Hoja1!A143</f>
        <v>20400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0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0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9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0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2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3"/>
        <v>11</v>
      </c>
      <c r="Z144" s="91"/>
      <c r="AA144" s="91"/>
    </row>
    <row r="145" spans="1:27" x14ac:dyDescent="0.25">
      <c r="A145" s="93">
        <f>+Hoja1!A144</f>
        <v>20375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0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2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2</v>
      </c>
      <c r="Z145" s="91"/>
      <c r="AA145" s="91"/>
    </row>
    <row r="146" spans="1:27" x14ac:dyDescent="0.25">
      <c r="A146" s="93">
        <f>+Hoja1!A145</f>
        <v>20350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0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0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0</v>
      </c>
      <c r="Z146" s="91"/>
      <c r="AA146" s="91"/>
    </row>
    <row r="147" spans="1:27" x14ac:dyDescent="0.25">
      <c r="A147" s="93">
        <f>+Hoja1!A146</f>
        <v>20325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0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0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0</v>
      </c>
      <c r="Z147" s="91"/>
      <c r="AA147" s="91"/>
    </row>
    <row r="148" spans="1:27" x14ac:dyDescent="0.25">
      <c r="A148" s="93">
        <f>+Hoja1!A147</f>
        <v>20300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0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0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5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3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0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8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16</v>
      </c>
      <c r="Z148" s="91"/>
      <c r="AA148" s="91"/>
    </row>
    <row r="149" spans="1:27" x14ac:dyDescent="0.25">
      <c r="A149" s="93">
        <f>+Hoja1!A148</f>
        <v>20275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0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2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2</v>
      </c>
      <c r="Z149" s="91"/>
      <c r="AA149" s="91"/>
    </row>
    <row r="150" spans="1:27" x14ac:dyDescent="0.25">
      <c r="A150" s="93">
        <f>+Hoja1!A149</f>
        <v>20250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0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1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0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1</v>
      </c>
      <c r="Z150" s="91"/>
      <c r="AA150" s="91"/>
    </row>
    <row r="151" spans="1:27" x14ac:dyDescent="0.25">
      <c r="A151" s="93">
        <f>+Hoja1!A150</f>
        <v>20225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0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0</v>
      </c>
      <c r="Z151" s="91"/>
      <c r="AA151" s="91"/>
    </row>
    <row r="152" spans="1:27" x14ac:dyDescent="0.25">
      <c r="A152" s="93">
        <f>+Hoja1!A151</f>
        <v>20200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0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0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-2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2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2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3"/>
        <v>2</v>
      </c>
      <c r="Z152" s="91"/>
      <c r="AA152" s="91"/>
    </row>
    <row r="153" spans="1:27" x14ac:dyDescent="0.25">
      <c r="A153" s="93">
        <f>+Hoja1!A152</f>
        <v>20175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0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0</v>
      </c>
      <c r="Z153" s="91"/>
      <c r="AA153" s="91"/>
    </row>
    <row r="154" spans="1:27" x14ac:dyDescent="0.25">
      <c r="A154" s="93">
        <f>+Hoja1!A153</f>
        <v>20150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0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0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1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1</v>
      </c>
      <c r="Z154" s="91"/>
      <c r="AA154" s="91"/>
    </row>
    <row r="155" spans="1:27" x14ac:dyDescent="0.25">
      <c r="A155" s="93">
        <f>+Hoja1!A154</f>
        <v>20125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-1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1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0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0</v>
      </c>
      <c r="Z155" s="91"/>
      <c r="AA155" s="91"/>
    </row>
    <row r="156" spans="1:27" x14ac:dyDescent="0.25">
      <c r="A156" s="93">
        <f>+Hoja1!A155</f>
        <v>20100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0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-8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0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0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2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-1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-8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3"/>
        <v>-15</v>
      </c>
      <c r="Z156" s="91"/>
      <c r="AA156" s="91"/>
    </row>
    <row r="157" spans="1:27" x14ac:dyDescent="0.25">
      <c r="A157" s="93">
        <f>+Hoja1!A156</f>
        <v>20075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-1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-1</v>
      </c>
      <c r="Z157" s="91"/>
      <c r="AA157" s="91"/>
    </row>
    <row r="158" spans="1:27" x14ac:dyDescent="0.25">
      <c r="A158" s="93">
        <f>+Hoja1!A157</f>
        <v>20050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0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0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2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0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-9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-7</v>
      </c>
      <c r="Z158" s="91"/>
      <c r="AA158" s="91"/>
    </row>
    <row r="159" spans="1:27" x14ac:dyDescent="0.25">
      <c r="A159" s="93">
        <f>+Hoja1!A158</f>
        <v>20025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0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-3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-3</v>
      </c>
      <c r="Z159" s="91"/>
      <c r="AA159" s="91"/>
    </row>
    <row r="160" spans="1:27" x14ac:dyDescent="0.25">
      <c r="A160" s="93">
        <f>+Hoja1!A159</f>
        <v>20000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0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0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0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-2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2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-2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-2</v>
      </c>
      <c r="Z160" s="91"/>
      <c r="AA160" s="91"/>
    </row>
    <row r="161" spans="1:27" x14ac:dyDescent="0.25">
      <c r="A161" s="93">
        <f>+Hoja1!A160</f>
        <v>19975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0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0</v>
      </c>
      <c r="Z161" s="91"/>
      <c r="AA161" s="91"/>
    </row>
    <row r="162" spans="1:27" x14ac:dyDescent="0.25">
      <c r="A162" s="93">
        <f>+Hoja1!A161</f>
        <v>19950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0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-2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-2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0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1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-3</v>
      </c>
      <c r="Z162" s="91"/>
      <c r="AA162" s="91"/>
    </row>
    <row r="163" spans="1:27" x14ac:dyDescent="0.25">
      <c r="A163" s="93">
        <f>+Hoja1!A162</f>
        <v>19925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0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0</v>
      </c>
      <c r="Z163" s="91"/>
      <c r="AA163" s="91"/>
    </row>
    <row r="164" spans="1:27" x14ac:dyDescent="0.25">
      <c r="A164" s="93">
        <f>+Hoja1!A163</f>
        <v>19900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-4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0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0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3"/>
        <v>-4</v>
      </c>
      <c r="Z164" s="91"/>
      <c r="AA164" s="91"/>
    </row>
    <row r="165" spans="1:27" x14ac:dyDescent="0.25">
      <c r="A165" s="93">
        <f>+Hoja1!A164</f>
        <v>19875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1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0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1</v>
      </c>
      <c r="Z165" s="91"/>
      <c r="AA165" s="91"/>
    </row>
    <row r="166" spans="1:27" x14ac:dyDescent="0.25">
      <c r="A166" s="93">
        <f>+Hoja1!A165</f>
        <v>19850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0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0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0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0</v>
      </c>
      <c r="Z166" s="91"/>
      <c r="AA166" s="91"/>
    </row>
    <row r="167" spans="1:27" x14ac:dyDescent="0.25">
      <c r="A167" s="93">
        <f>+Hoja1!A166</f>
        <v>19825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1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1</v>
      </c>
      <c r="Z167" s="91"/>
      <c r="AA167" s="91"/>
    </row>
    <row r="168" spans="1:27" x14ac:dyDescent="0.25">
      <c r="A168" s="93">
        <f>+Hoja1!A167</f>
        <v>19800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0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-3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0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0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-2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0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-5</v>
      </c>
      <c r="Z168" s="91"/>
      <c r="AA168" s="91"/>
    </row>
    <row r="169" spans="1:27" x14ac:dyDescent="0.25">
      <c r="A169" s="93">
        <f>+Hoja1!A168</f>
        <v>19775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0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0</v>
      </c>
      <c r="Z169" s="91"/>
      <c r="AA169" s="91"/>
    </row>
    <row r="170" spans="1:27" x14ac:dyDescent="0.25">
      <c r="A170" s="93">
        <f>+Hoja1!A169</f>
        <v>19750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0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0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0</v>
      </c>
      <c r="Z170" s="91"/>
      <c r="AA170" s="91"/>
    </row>
    <row r="171" spans="1:27" x14ac:dyDescent="0.25">
      <c r="A171" s="93">
        <f>+Hoja1!A170</f>
        <v>19725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0</v>
      </c>
      <c r="Z171" s="91"/>
      <c r="AA171" s="91"/>
    </row>
    <row r="172" spans="1:27" x14ac:dyDescent="0.25">
      <c r="A172" s="93">
        <f>+Hoja1!A171</f>
        <v>19700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0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0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0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0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0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0</v>
      </c>
      <c r="Z172" s="91"/>
      <c r="AA172" s="91"/>
    </row>
    <row r="173" spans="1:27" x14ac:dyDescent="0.25">
      <c r="A173" s="93">
        <f>+Hoja1!A172</f>
        <v>19675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-2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-2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-4</v>
      </c>
      <c r="Z173" s="91"/>
      <c r="AA173" s="91"/>
    </row>
    <row r="174" spans="1:27" x14ac:dyDescent="0.25">
      <c r="A174" s="93">
        <f>+Hoja1!A173</f>
        <v>19650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0</v>
      </c>
      <c r="Z174" s="91"/>
      <c r="AA174" s="91"/>
    </row>
    <row r="175" spans="1:27" x14ac:dyDescent="0.25">
      <c r="A175" s="93">
        <f>+Hoja1!A174</f>
        <v>19625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0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0</v>
      </c>
      <c r="Z175" s="91"/>
      <c r="AA175" s="91"/>
    </row>
    <row r="176" spans="1:27" x14ac:dyDescent="0.25">
      <c r="A176" s="93">
        <f>+Hoja1!A175</f>
        <v>19600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0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-1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-6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-7</v>
      </c>
      <c r="Z176" s="91"/>
      <c r="AA176" s="91"/>
    </row>
    <row r="177" spans="1:27" x14ac:dyDescent="0.25">
      <c r="A177" s="93">
        <f>+Hoja1!A176</f>
        <v>19575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0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0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0</v>
      </c>
      <c r="Z177" s="91"/>
      <c r="AA177" s="91"/>
    </row>
    <row r="178" spans="1:27" x14ac:dyDescent="0.25">
      <c r="A178" s="93">
        <f>+Hoja1!A177</f>
        <v>19550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-1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-1</v>
      </c>
      <c r="Z178" s="91"/>
      <c r="AA178" s="91"/>
    </row>
    <row r="179" spans="1:27" x14ac:dyDescent="0.25">
      <c r="A179" s="93">
        <f>+Hoja1!A178</f>
        <v>19525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0</v>
      </c>
      <c r="Z179" s="91"/>
      <c r="AA179" s="91"/>
    </row>
    <row r="180" spans="1:27" x14ac:dyDescent="0.25">
      <c r="A180" s="93">
        <f>+Hoja1!A179</f>
        <v>19500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0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0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-2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0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0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0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-3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-13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-18</v>
      </c>
      <c r="Z180" s="91"/>
      <c r="AA180" s="91"/>
    </row>
    <row r="181" spans="1:27" x14ac:dyDescent="0.25">
      <c r="A181" s="93">
        <f>+Hoja1!A180</f>
        <v>19475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-3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-3</v>
      </c>
      <c r="Z181" s="91"/>
      <c r="AA181" s="91"/>
    </row>
    <row r="182" spans="1:27" x14ac:dyDescent="0.25">
      <c r="A182" s="93">
        <f>+Hoja1!A181</f>
        <v>19450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-2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-1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-3</v>
      </c>
      <c r="Z182" s="91"/>
      <c r="AA182" s="91"/>
    </row>
    <row r="183" spans="1:27" x14ac:dyDescent="0.25">
      <c r="A183" s="93">
        <f>+Hoja1!A182</f>
        <v>19425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-6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-2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-8</v>
      </c>
      <c r="Z183" s="91"/>
      <c r="AA183" s="91"/>
    </row>
    <row r="184" spans="1:27" x14ac:dyDescent="0.25">
      <c r="A184" s="93">
        <f>+Hoja1!A183</f>
        <v>19400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0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0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0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-2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-2</v>
      </c>
      <c r="Z184" s="91"/>
      <c r="AA184" s="91"/>
    </row>
    <row r="185" spans="1:27" x14ac:dyDescent="0.25">
      <c r="A185" s="93">
        <f>+Hoja1!A184</f>
        <v>19375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0</v>
      </c>
      <c r="Z185" s="91"/>
      <c r="AA185" s="91"/>
    </row>
    <row r="186" spans="1:27" x14ac:dyDescent="0.25">
      <c r="A186" s="93">
        <f>+Hoja1!A185</f>
        <v>19350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0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-4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-4</v>
      </c>
      <c r="Z186" s="91"/>
      <c r="AA186" s="91"/>
    </row>
    <row r="187" spans="1:27" x14ac:dyDescent="0.25">
      <c r="A187" s="93">
        <f>+Hoja1!A186</f>
        <v>19325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0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0</v>
      </c>
      <c r="Z187" s="91"/>
      <c r="AA187" s="91"/>
    </row>
    <row r="188" spans="1:27" x14ac:dyDescent="0.25">
      <c r="A188" s="93">
        <f>+Hoja1!A187</f>
        <v>19300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0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-3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0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0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0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2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2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1</v>
      </c>
      <c r="Z188" s="91"/>
      <c r="AA188" s="91"/>
    </row>
    <row r="189" spans="1:27" x14ac:dyDescent="0.25">
      <c r="A189" s="93">
        <f>+Hoja1!A188</f>
        <v>19275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0</v>
      </c>
      <c r="Z189" s="91"/>
      <c r="AA189" s="91"/>
    </row>
    <row r="190" spans="1:27" x14ac:dyDescent="0.25">
      <c r="A190" s="93">
        <f>+Hoja1!A189</f>
        <v>19250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0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1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1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2025-05-12T00:25:25Z</dcterms:modified>
</cp:coreProperties>
</file>